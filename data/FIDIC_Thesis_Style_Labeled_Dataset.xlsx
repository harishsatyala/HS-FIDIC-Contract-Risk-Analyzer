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tables/table3.xml" ContentType="application/vnd.openxmlformats-officedocument.spreadsheetml.table+xml"/>
  <Override PartName="/xl/worksheets/sheet7.xml" ContentType="application/vnd.openxmlformats-officedocument.spreadsheetml.worksheet+xml"/>
  <Override PartName="/xl/tables/table4.xml" ContentType="application/vnd.openxmlformats-officedocument.spreadsheetml.table+xml"/>
  <Override PartName="/xl/worksheets/sheet8.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946b56bf63944e7" /></Relationships>
</file>

<file path=xl/workbook.xml><?xml version="1.0" encoding="utf-8"?>
<x:workbook xmlns:x="http://schemas.openxmlformats.org/spreadsheetml/2006/main">
  <x:sheets>
    <x:sheet xmlns:r="http://schemas.openxmlformats.org/officeDocument/2006/relationships" name="README" sheetId="1" r:id="Rf4b683bc70ac4d72"/>
    <x:sheet xmlns:r="http://schemas.openxmlformats.org/officeDocument/2006/relationships" name="Summary" sheetId="2" r:id="R6176427f0e31470d"/>
    <x:sheet xmlns:r="http://schemas.openxmlformats.org/officeDocument/2006/relationships" name="Label_Guide" sheetId="3" r:id="Rf1d7657b691b4b5b"/>
    <x:sheet xmlns:r="http://schemas.openxmlformats.org/officeDocument/2006/relationships" name="Combined_Unique" sheetId="4" r:id="Raa4748d771d141b0"/>
    <x:sheet xmlns:r="http://schemas.openxmlformats.org/officeDocument/2006/relationships" name="RED" sheetId="5" r:id="Reb6e8f0642ad4358"/>
    <x:sheet xmlns:r="http://schemas.openxmlformats.org/officeDocument/2006/relationships" name="YELLOW" sheetId="6" r:id="R698883e036fe4169"/>
    <x:sheet xmlns:r="http://schemas.openxmlformats.org/officeDocument/2006/relationships" name="ORANGE" sheetId="7" r:id="R9831c2cc7ff6482e"/>
    <x:sheet xmlns:r="http://schemas.openxmlformats.org/officeDocument/2006/relationships" name="SILVER" sheetId="8" r:id="R9fe1328d626f4366"/>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00"/>
  </x:numFmts>
  <x:fonts count="4">
    <x:font>
      <x:sz val="11"/>
      <x:name val="Carlito"/>
    </x:font>
    <x:font>
      <x:b/>
      <x:sz val="14"/>
      <x:color rgb="FFFFFFFF"/>
      <x:name val="Carlito"/>
    </x:font>
    <x:font>
      <x:b/>
      <x:sz val="11"/>
      <x:color rgb="FF17365D"/>
      <x:name val="Carlito"/>
    </x:font>
    <x:font>
      <x:b/>
      <x:sz val="11"/>
      <x:color rgb="FF375623"/>
      <x:name val="Carlito"/>
    </x:font>
  </x:fonts>
  <x:fills count="5">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E2F0D9"/>
      </x:patternFill>
    </x:fill>
  </x:fills>
  <x:borders count="8">
    <x:border/>
    <x:border/>
    <x:border>
      <x:left style="thin">
        <x:color rgb="FF9EADBA"/>
      </x:left>
      <x:top style="thin">
        <x:color rgb="FF9EADBA"/>
      </x:top>
      <x:bottom style="thin">
        <x:color rgb="FF9EADBA"/>
      </x:bottom>
    </x:border>
    <x:border>
      <x:right style="thin">
        <x:color rgb="FF9EADBA"/>
      </x:right>
      <x:top style="thin">
        <x:color rgb="FF9EADBA"/>
      </x:top>
      <x:bottom style="thin">
        <x:color rgb="FF9EADBA"/>
      </x:bottom>
    </x:border>
    <x:border>
      <x:left style="thin">
        <x:color rgb="FF9EADBA"/>
      </x:left>
      <x:top style="thin">
        <x:color rgb="FF9EADBA"/>
      </x:top>
      <x:bottom style="thin">
        <x:color rgb="FF9EADBA"/>
      </x:bottom>
    </x:border>
    <x:border>
      <x:right style="thin">
        <x:color rgb="FF9EADBA"/>
      </x:right>
      <x:top style="thin">
        <x:color rgb="FF9EADBA"/>
      </x:top>
      <x:bottom style="thin">
        <x:color rgb="FF9EADBA"/>
      </x:bottom>
    </x:border>
    <x:border>
      <x:top style="thin">
        <x:color rgb="FF9EADBA"/>
      </x:top>
      <x:bottom style="thin">
        <x:color rgb="FF9EADBA"/>
      </x:bottom>
    </x:border>
    <x:border>
      <x:top style="thin">
        <x:color rgb="FF9EADBA"/>
      </x:top>
      <x:bottom style="thin">
        <x:color rgb="FF9EADBA"/>
      </x:bottom>
    </x:border>
  </x:borders>
  <x:cellStyleXfs count="1">
    <x:xf numFmtId="0" fontId="0" fillId="0" borderId="0"/>
  </x:cellStyleXfs>
  <x:cellXfs count="5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2" xfId="0" applyNumberFormat="1" applyFont="1" applyFill="1" applyBorder="1" applyAlignment="1">
      <x:alignment horizontal="center" wrapText="1"/>
    </x:xf>
    <x:xf numFmtId="0" fontId="2" fillId="3" borderId="3" xfId="0" applyNumberFormat="1" applyFont="1" applyFill="1" applyBorder="1" applyAlignment="1">
      <x:alignment horizontal="center" wrapText="1"/>
    </x:xf>
    <x:xf numFmtId="0" fontId="2" fillId="3" borderId="2" xfId="0" applyNumberFormat="1" applyFont="1" applyFill="1" applyBorder="1" applyAlignment="1">
      <x:alignment horizontal="center" vertical="center" wrapText="1"/>
    </x:xf>
    <x:xf numFmtId="0" fontId="2" fillId="3" borderId="3"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4" xfId="0" applyNumberFormat="1" applyFont="1" applyFill="1" applyBorder="1" applyAlignment="1">
      <x:alignment horizontal="center" wrapText="1"/>
    </x:xf>
    <x:xf numFmtId="0" fontId="2" fillId="3" borderId="5" xfId="0" applyNumberFormat="1" applyFont="1" applyFill="1" applyBorder="1" applyAlignment="1">
      <x:alignment horizontal="center" wrapText="1"/>
    </x:xf>
    <x:xf numFmtId="0" fontId="2" fillId="3" borderId="4" xfId="0" applyNumberFormat="1" applyFont="1" applyFill="1" applyBorder="1" applyAlignment="1">
      <x:alignment horizontal="center" vertical="center" wrapText="1"/>
    </x:xf>
    <x:xf numFmtId="0" fontId="2" fillId="3" borderId="5"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2" fillId="3" borderId="6" xfId="0" applyNumberFormat="1" applyFont="1" applyFill="1" applyBorder="1"/>
    <x:xf numFmtId="0" fontId="2" fillId="3" borderId="6" xfId="0" applyNumberFormat="1" applyFont="1" applyFill="1" applyBorder="1" applyAlignment="1">
      <x:alignment wrapText="1"/>
    </x:xf>
    <x:xf numFmtId="0" fontId="2" fillId="3" borderId="6" xfId="0" applyNumberFormat="1" applyFont="1" applyFill="1" applyBorder="1" applyAlignment="1">
      <x:alignment horizontal="center" wrapText="1"/>
    </x:xf>
    <x:xf numFmtId="0" fontId="2" fillId="3" borderId="6" xfId="0" applyNumberFormat="1" applyFont="1" applyFill="1" applyBorder="1" applyAlignment="1">
      <x:alignment horizontal="center" vertical="center" wrapText="1"/>
    </x:xf>
    <x:xf numFmtId="0" fontId="2" fillId="3" borderId="7" xfId="0" applyNumberFormat="1" applyFont="1" applyFill="1" applyBorder="1"/>
    <x:xf numFmtId="0" fontId="2" fillId="3" borderId="7" xfId="0" applyNumberFormat="1" applyFont="1" applyFill="1" applyBorder="1" applyAlignment="1">
      <x:alignment wrapText="1"/>
    </x:xf>
    <x:xf numFmtId="0" fontId="2" fillId="3" borderId="7" xfId="0" applyNumberFormat="1" applyFont="1" applyFill="1" applyBorder="1" applyAlignment="1">
      <x:alignment horizontal="center" wrapText="1"/>
    </x:xf>
    <x:xf numFmtId="0" fontId="2" fillId="3" borderId="7"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left"/>
    </x:xf>
    <x:xf numFmtId="0" fontId="3" fillId="4" borderId="0" xfId="0" applyNumberFormat="1" applyFont="1" applyFill="1" applyBorder="1" applyAlignment="1">
      <x:alignment horizontal="left" vertical="center"/>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horizontal="left"/>
    </x:xf>
    <x:xf numFmtId="0" fontId="3" fillId="4" borderId="1" xfId="0" applyNumberFormat="1" applyFont="1" applyFill="1" applyBorder="1" applyAlignment="1">
      <x:alignment horizontal="left" vertical="center"/>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0" fontId="2" fillId="3" borderId="6" xfId="0" applyNumberFormat="1" applyFont="1" applyFill="1" applyBorder="1" applyAlignment="1">
      <x:alignment horizontal="center" vertical="center" wrapText="1"/>
    </x:xf>
    <x:xf numFmtId="200" fontId="2" fillId="3" borderId="7" xfId="0" applyNumberFormat="1" applyFont="1" applyFill="1" applyBorder="1" applyAlignment="1">
      <x:alignment horizontal="center" vertical="center" wrapText="1"/>
    </x:xf>
    <x:xf numFmtId="201" fontId="2" fillId="3" borderId="6" xfId="0" applyNumberFormat="1" applyFont="1" applyFill="1" applyBorder="1" applyAlignment="1">
      <x:alignment horizontal="center" vertical="center" wrapText="1"/>
    </x:xf>
    <x:xf numFmtId="201" fontId="2" fillId="3" borderId="7" xfId="0" applyNumberFormat="1" applyFont="1" applyFill="1" applyBorder="1" applyAlignment="1">
      <x:alignment horizontal="center" vertical="center" wrapText="1"/>
    </x:xf>
  </x:cellXfs>
  <x:cellStyles count="1">
    <x:cellStyle name="Normal" xfId="0"/>
  </x:cellStyles>
  <x:dxfs count="10">
    <x:dxf>
      <x:font>
        <x:b/>
        <x:color rgb="FF9C6500"/>
      </x:font>
      <x:fill>
        <x:patternFill patternType="solid">
          <x:bgColor rgb="FFFFF2CC"/>
        </x:patternFill>
      </x:fill>
    </x:dxf>
    <x:dxf>
      <x:font>
        <x:color rgb="FFC00000"/>
      </x:font>
      <x:fill>
        <x:patternFill patternType="solid">
          <x:bgColor rgb="FFFCE4D6"/>
        </x:patternFill>
      </x:fill>
    </x:dxf>
    <x:dxf>
      <x:font>
        <x:b/>
        <x:color rgb="FF9C6500"/>
      </x:font>
      <x:fill>
        <x:patternFill patternType="solid">
          <x:bgColor rgb="FFFFF2CC"/>
        </x:patternFill>
      </x:fill>
    </x:dxf>
    <x:dxf>
      <x:font>
        <x:color rgb="FFC00000"/>
      </x:font>
      <x:fill>
        <x:patternFill patternType="solid">
          <x:bgColor rgb="FFFCE4D6"/>
        </x:patternFill>
      </x:fill>
    </x:dxf>
    <x:dxf>
      <x:font>
        <x:b/>
        <x:color rgb="FF9C6500"/>
      </x:font>
      <x:fill>
        <x:patternFill patternType="solid">
          <x:bgColor rgb="FFFFF2CC"/>
        </x:patternFill>
      </x:fill>
    </x:dxf>
    <x:dxf>
      <x:font>
        <x:color rgb="FFC00000"/>
      </x:font>
      <x:fill>
        <x:patternFill patternType="solid">
          <x:bgColor rgb="FFFCE4D6"/>
        </x:patternFill>
      </x:fill>
    </x:dxf>
    <x:dxf>
      <x:font>
        <x:b/>
        <x:color rgb="FF9C6500"/>
      </x:font>
      <x:fill>
        <x:patternFill patternType="solid">
          <x:bgColor rgb="FFFFF2CC"/>
        </x:patternFill>
      </x:fill>
    </x:dxf>
    <x:dxf>
      <x:font>
        <x:color rgb="FFC00000"/>
      </x:font>
      <x:fill>
        <x:patternFill patternType="solid">
          <x:bgColor rgb="FFFCE4D6"/>
        </x:patternFill>
      </x:fill>
    </x:dxf>
    <x:dxf>
      <x:font>
        <x:b/>
        <x:color rgb="FF9C6500"/>
      </x:font>
      <x:fill>
        <x:patternFill patternType="solid">
          <x:bgColor rgb="FFFFF2CC"/>
        </x:patternFill>
      </x:fill>
    </x:dxf>
    <x:dxf>
      <x:font>
        <x:color rgb="FFC00000"/>
      </x:font>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128cd4fa17a4562" /><Relationship Type="http://schemas.openxmlformats.org/officeDocument/2006/relationships/theme" Target="/xl/theme/theme1.xml" Id="Radb8244e934b45ab" /><Relationship Type="http://schemas.openxmlformats.org/officeDocument/2006/relationships/sharedStrings" Target="/xl/sharedStrings.xml" Id="R8d6c5d7ce2814325" /><Relationship Type="http://schemas.openxmlformats.org/officeDocument/2006/relationships/worksheet" Target="/xl/worksheets/sheet1.xml" Id="Rf4b683bc70ac4d72" /><Relationship Type="http://schemas.openxmlformats.org/officeDocument/2006/relationships/worksheet" Target="/xl/worksheets/sheet2.xml" Id="R6176427f0e31470d" /><Relationship Type="http://schemas.openxmlformats.org/officeDocument/2006/relationships/worksheet" Target="/xl/worksheets/sheet3.xml" Id="Rf1d7657b691b4b5b" /><Relationship Type="http://schemas.openxmlformats.org/officeDocument/2006/relationships/worksheet" Target="/xl/worksheets/sheet4.xml" Id="Raa4748d771d141b0" /><Relationship Type="http://schemas.openxmlformats.org/officeDocument/2006/relationships/worksheet" Target="/xl/worksheets/sheet5.xml" Id="Reb6e8f0642ad4358" /><Relationship Type="http://schemas.openxmlformats.org/officeDocument/2006/relationships/worksheet" Target="/xl/worksheets/sheet6.xml" Id="R698883e036fe4169" /><Relationship Type="http://schemas.openxmlformats.org/officeDocument/2006/relationships/worksheet" Target="/xl/worksheets/sheet7.xml" Id="R9831c2cc7ff6482e" /><Relationship Type="http://schemas.openxmlformats.org/officeDocument/2006/relationships/worksheet" Target="/xl/worksheets/sheet8.xml" Id="R9fe1328d626f4366" /></Relationships>
</file>

<file path=xl/tables/table1.xml><?xml version="1.0" encoding="utf-8"?>
<x:table xmlns:x="http://schemas.openxmlformats.org/spreadsheetml/2006/main" id="1" name="CombinedUniqueTable" displayName="CombinedUniqueTable" ref="A1:L3346" headerRowCount="1" totalsRowCount="0" totalsRowShown="0">
  <x:tableColumns count="12">
    <x:tableColumn id="1" name="Sentence_ID"/>
    <x:tableColumn id="2" name="Book"/>
    <x:tableColumn id="3" name="Language"/>
    <x:tableColumn id="4" name="Page"/>
    <x:tableColumn id="5" name="Clause"/>
    <x:tableColumn id="6" name="Sentence"/>
    <x:tableColumn id="7" name="Sentence_Type"/>
    <x:tableColumn id="8" name="Related_Party"/>
    <x:tableColumn id="9" name="Type_Confidence"/>
    <x:tableColumn id="10" name="Party_Confidence"/>
    <x:tableColumn id="11" name="Needs_Review"/>
    <x:tableColumn id="12" name="Extraction_Method"/>
  </x:tableColumns>
  <x:tableStyleInfo name="TableStyleMedium2" showFirstColumn="0" showLastColumn="0" showRowStripes="1" showColumnStripes="0"/>
</x:table>
</file>

<file path=xl/tables/table2.xml><?xml version="1.0" encoding="utf-8"?>
<x:table xmlns:x="http://schemas.openxmlformats.org/spreadsheetml/2006/main" id="2" name="RedTable" displayName="RedTable" ref="A1:L1393" headerRowCount="1" totalsRowCount="0" totalsRowShown="0">
  <x:tableColumns count="12">
    <x:tableColumn id="1" name="Sentence_ID"/>
    <x:tableColumn id="2" name="Book"/>
    <x:tableColumn id="3" name="Language"/>
    <x:tableColumn id="4" name="Page"/>
    <x:tableColumn id="5" name="Clause"/>
    <x:tableColumn id="6" name="Sentence"/>
    <x:tableColumn id="7" name="Sentence_Type"/>
    <x:tableColumn id="8" name="Related_Party"/>
    <x:tableColumn id="9" name="Type_Confidence"/>
    <x:tableColumn id="10" name="Party_Confidence"/>
    <x:tableColumn id="11" name="Needs_Review"/>
    <x:tableColumn id="12" name="Extraction_Method"/>
  </x:tableColumns>
  <x:tableStyleInfo name="TableStyleMedium2" showFirstColumn="0" showLastColumn="0" showRowStripes="1" showColumnStripes="0"/>
</x:table>
</file>

<file path=xl/tables/table3.xml><?xml version="1.0" encoding="utf-8"?>
<x:table xmlns:x="http://schemas.openxmlformats.org/spreadsheetml/2006/main" id="3" name="YellowTable" displayName="YellowTable" ref="A1:L1313" headerRowCount="1" totalsRowCount="0" totalsRowShown="0">
  <x:tableColumns count="12">
    <x:tableColumn id="1" name="Sentence_ID"/>
    <x:tableColumn id="2" name="Book"/>
    <x:tableColumn id="3" name="Language"/>
    <x:tableColumn id="4" name="Page"/>
    <x:tableColumn id="5" name="Clause"/>
    <x:tableColumn id="6" name="Sentence"/>
    <x:tableColumn id="7" name="Sentence_Type"/>
    <x:tableColumn id="8" name="Related_Party"/>
    <x:tableColumn id="9" name="Type_Confidence"/>
    <x:tableColumn id="10" name="Party_Confidence"/>
    <x:tableColumn id="11" name="Needs_Review"/>
    <x:tableColumn id="12" name="Extraction_Method"/>
  </x:tableColumns>
  <x:tableStyleInfo name="TableStyleMedium2" showFirstColumn="0" showLastColumn="0" showRowStripes="1" showColumnStripes="0"/>
</x:table>
</file>

<file path=xl/tables/table4.xml><?xml version="1.0" encoding="utf-8"?>
<x:table xmlns:x="http://schemas.openxmlformats.org/spreadsheetml/2006/main" id="4" name="OrangeTable" displayName="OrangeTable" ref="A1:L621" headerRowCount="1" totalsRowCount="0" totalsRowShown="0">
  <x:tableColumns count="12">
    <x:tableColumn id="1" name="Sentence_ID"/>
    <x:tableColumn id="2" name="Book"/>
    <x:tableColumn id="3" name="Language"/>
    <x:tableColumn id="4" name="Page"/>
    <x:tableColumn id="5" name="Clause"/>
    <x:tableColumn id="6" name="Sentence"/>
    <x:tableColumn id="7" name="Sentence_Type"/>
    <x:tableColumn id="8" name="Related_Party"/>
    <x:tableColumn id="9" name="Type_Confidence"/>
    <x:tableColumn id="10" name="Party_Confidence"/>
    <x:tableColumn id="11" name="Needs_Review"/>
    <x:tableColumn id="12" name="Extraction_Method"/>
  </x:tableColumns>
  <x:tableStyleInfo name="TableStyleMedium2" showFirstColumn="0" showLastColumn="0" showRowStripes="1" showColumnStripes="0"/>
</x:table>
</file>

<file path=xl/tables/table5.xml><?xml version="1.0" encoding="utf-8"?>
<x:table xmlns:x="http://schemas.openxmlformats.org/spreadsheetml/2006/main" id="5" name="SilverTable" displayName="SilverTable" ref="A1:L742" headerRowCount="1" totalsRowCount="0" totalsRowShown="0">
  <x:tableColumns count="12">
    <x:tableColumn id="1" name="Sentence_ID"/>
    <x:tableColumn id="2" name="Book"/>
    <x:tableColumn id="3" name="Language"/>
    <x:tableColumn id="4" name="Page"/>
    <x:tableColumn id="5" name="Clause"/>
    <x:tableColumn id="6" name="Sentence"/>
    <x:tableColumn id="7" name="Sentence_Type"/>
    <x:tableColumn id="8" name="Related_Party"/>
    <x:tableColumn id="9" name="Type_Confidence"/>
    <x:tableColumn id="10" name="Party_Confidence"/>
    <x:tableColumn id="11" name="Needs_Review"/>
    <x:tableColumn id="12" name="Extraction_Metho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4.xml.rels>&#65279;<?xml version="1.0" encoding="utf-8"?><Relationships xmlns="http://schemas.openxmlformats.org/package/2006/relationships"><Relationship Type="http://schemas.openxmlformats.org/officeDocument/2006/relationships/table" Target="/xl/tables/table1.xml" Id="R2032163f9e414a46" /></Relationships>
</file>

<file path=xl/worksheets/_rels/sheet5.xml.rels>&#65279;<?xml version="1.0" encoding="utf-8"?><Relationships xmlns="http://schemas.openxmlformats.org/package/2006/relationships"><Relationship Type="http://schemas.openxmlformats.org/officeDocument/2006/relationships/table" Target="/xl/tables/table2.xml" Id="R248bb1f2ffb643de" /></Relationships>
</file>

<file path=xl/worksheets/_rels/sheet6.xml.rels>&#65279;<?xml version="1.0" encoding="utf-8"?><Relationships xmlns="http://schemas.openxmlformats.org/package/2006/relationships"><Relationship Type="http://schemas.openxmlformats.org/officeDocument/2006/relationships/table" Target="/xl/tables/table3.xml" Id="Re983da95f80c428c" /></Relationships>
</file>

<file path=xl/worksheets/_rels/sheet7.xml.rels>&#65279;<?xml version="1.0" encoding="utf-8"?><Relationships xmlns="http://schemas.openxmlformats.org/package/2006/relationships"><Relationship Type="http://schemas.openxmlformats.org/officeDocument/2006/relationships/table" Target="/xl/tables/table4.xml" Id="Rdd8c23b1f3694ea4" /></Relationships>
</file>

<file path=xl/worksheets/_rels/sheet8.xml.rels>&#65279;<?xml version="1.0" encoding="utf-8"?><Relationships xmlns="http://schemas.openxmlformats.org/package/2006/relationships"><Relationship Type="http://schemas.openxmlformats.org/officeDocument/2006/relationships/table" Target="/xl/tables/table5.xml" Id="R4404e47d96f64815" /></Relationships>
</file>

<file path=xl/worksheets/sheet1.xml><?xml version="1.0" encoding="utf-8"?>
<x:worksheet xmlns:x="http://schemas.openxmlformats.org/spreadsheetml/2006/main">
  <x:sheetFormatPr defaultRowHeight="15"/>
  <x:cols>
    <x:col min="1" max="1" width="24" hidden="0" customWidth="1"/>
    <x:col min="2" max="2" width="88" hidden="0" customWidth="1"/>
  </x:cols>
  <x:sheetData>
    <x:row r="1">
      <x:c r="A1" s="5" t="str">
        <x:v>FIDIC Sentence Classification Dataset — thesis-style format</x:v>
      </x:c>
      <x:c r="B1" s="5"/>
      <x:c r="C1" s="5"/>
      <x:c r="D1" s="5"/>
      <x:c r="E1" s="5"/>
      <x:c r="F1" s="5"/>
      <x:c r="G1" s="5"/>
      <x:c r="H1" s="5"/>
    </x:row>
    <x:row r="3">
      <x:c r="A3" s="18" t="str">
        <x:v>Item</x:v>
      </x:c>
      <x:c r="B3" s="19" t="str">
        <x:v>Description</x:v>
      </x:c>
    </x:row>
    <x:row r="4">
      <x:c r="A4" s="30" t="str">
        <x:v>Purpose</x:v>
      </x:c>
      <x:c r="B4" s="30" t="str">
        <x:v>Sentence-level dataset generated from the attached FIDIC Red, Yellow, Orange and Silver Book PDFs, using the taxonomy described in the Dikmen/Eken study.</x:v>
      </x:c>
    </x:row>
    <x:row r="5">
      <x:c r="A5" s="30" t="str">
        <x:v>Sentence types</x:v>
      </x:c>
      <x:c r="B5" s="30" t="str">
        <x:v>Heading, Definition, Obligation, Risk, Right.</x:v>
      </x:c>
    </x:row>
    <x:row r="6">
      <x:c r="A6" s="30" t="str">
        <x:v>Related parties</x:v>
      </x:c>
      <x:c r="B6" s="30" t="str">
        <x:v>Contractor, Employer, Shared. Headings and Definitions intentionally have no related-party label.</x:v>
      </x:c>
    </x:row>
    <x:row r="7">
      <x:c r="A7" s="30" t="str">
        <x:v>Method</x:v>
      </x:c>
      <x:c r="B7" s="30" t="str">
        <x:v>PDF text extraction for Red/Yellow; OCR for the scanned Orange/Silver files. Sentences were segmented, normalized and de-duplicated.</x:v>
      </x:c>
    </x:row>
    <x:row r="8">
      <x:c r="A8" s="30" t="str">
        <x:v>Important</x:v>
      </x:c>
      <x:c r="B8" s="30" t="str">
        <x:v>The labels in this workbook are automatically generated heuristic labels for research preparation. They are NOT the authors' manually validated ground-truth labels and should be expert-reviewed before ML training.</x:v>
      </x:c>
    </x:row>
    <x:row r="9">
      <x:c r="A9" s="30" t="str">
        <x:v>Silver Book language</x:v>
      </x:c>
      <x:c r="B9" s="30" t="str">
        <x:v>The attached Silver Book is an Indonesian-language scan, so its extracted sentences remain in Indonesian and use Indonesian-language labeling cues.</x:v>
      </x:c>
    </x:row>
    <x:row r="10">
      <x:c r="A10" s="30" t="str">
        <x:v>Needs_Review</x:v>
      </x:c>
      <x:c r="B10" s="30" t="str">
        <x:v>Rows marked Yes have lower-confidence automated labeling and should be checked manually.</x:v>
      </x:c>
    </x:row>
    <x:row r="11">
      <x:c r="A11" s="30" t="str">
        <x:v>Combined_Unique</x:v>
      </x:c>
      <x:c r="B11" s="30" t="str">
        <x:v>De-duplicated corpus across the four books. Individual book sheets preserve book-specific extracted rows.</x:v>
      </x:c>
    </x:row>
    <x:row r="14">
      <x:c r="A14" s="18" t="str">
        <x:v>Source Book</x:v>
      </x:c>
      <x:c r="B14" s="19" t="str">
        <x:v>Attached PDF</x:v>
      </x:c>
    </x:row>
    <x:row r="15">
      <x:c r="A15" t="str">
        <x:v>RED</x:v>
      </x:c>
      <x:c r="B15" t="str">
        <x:v>FIDIC-2005-RED-BOOK(1).pdf</x:v>
      </x:c>
    </x:row>
    <x:row r="16">
      <x:c r="A16" t="str">
        <x:v>YELLOW</x:v>
      </x:c>
      <x:c r="B16" t="str">
        <x:v>fidic-db-yellow-book(1).pdf</x:v>
      </x:c>
    </x:row>
    <x:row r="17">
      <x:c r="A17" t="str">
        <x:v>ORANGE</x:v>
      </x:c>
      <x:c r="B17" t="str">
        <x:v>FIDIC-Orange Book(1).pdf</x:v>
      </x:c>
    </x:row>
    <x:row r="18">
      <x:c r="A18" t="str">
        <x:v>SILVER</x:v>
      </x:c>
      <x:c r="B18" t="str">
        <x:v>FIDIC-Silver Book(1).pdf</x:v>
      </x:c>
    </x:row>
  </x:sheetData>
  <x:mergeCells>
    <x:mergeCell ref="A1:H1"/>
  </x:mergeCells>
  <x:pageMargins left="0.7" right="0.7" top="0.75" bottom="0.75" header="0.3" footer="0.3"/>
</x:worksheet>
</file>

<file path=xl/worksheets/sheet2.xml><?xml version="1.0" encoding="utf-8"?>
<x:worksheet xmlns:x="http://schemas.openxmlformats.org/spreadsheetml/2006/main">
  <x:sheetFormatPr defaultRowHeight="15"/>
  <x:cols>
    <x:col min="1" max="1" width="20" hidden="0" customWidth="1"/>
    <x:col min="2" max="2" width="17" hidden="0" customWidth="1"/>
    <x:col min="3" max="3" width="17" hidden="0" customWidth="1"/>
    <x:col min="4" max="4" width="17" hidden="0" customWidth="1"/>
    <x:col min="5" max="5" width="17" hidden="0" customWidth="1"/>
    <x:col min="6" max="6" width="17" hidden="0" customWidth="1"/>
    <x:col min="7" max="7" width="17" hidden="0" customWidth="1"/>
    <x:col min="8" max="8" width="17" hidden="0" customWidth="1"/>
  </x:cols>
  <x:sheetData>
    <x:row r="1">
      <x:c r="A1" s="5" t="str">
        <x:v>Dataset Summary</x:v>
      </x:c>
      <x:c r="B1" s="5"/>
      <x:c r="C1" s="5"/>
      <x:c r="D1" s="5"/>
      <x:c r="E1" s="5"/>
      <x:c r="F1" s="5"/>
      <x:c r="G1" s="5"/>
      <x:c r="H1" s="5"/>
    </x:row>
    <x:row r="3">
      <x:c r="A3" s="18" t="str">
        <x:v>Book</x:v>
      </x:c>
      <x:c r="B3" s="35" t="str">
        <x:v>Extracted Rows</x:v>
      </x:c>
      <x:c r="C3" s="35" t="str">
        <x:v>Heading</x:v>
      </x:c>
      <x:c r="D3" s="35" t="str">
        <x:v>Definition</x:v>
      </x:c>
      <x:c r="E3" s="35" t="str">
        <x:v>Obligation</x:v>
      </x:c>
      <x:c r="F3" s="35" t="str">
        <x:v>Risk</x:v>
      </x:c>
      <x:c r="G3" s="35" t="str">
        <x:v>Right</x:v>
      </x:c>
      <x:c r="H3" s="19" t="str">
        <x:v>Needs Review</x:v>
      </x:c>
    </x:row>
    <x:row r="4">
      <x:c r="A4" t="str">
        <x:v>RED</x:v>
      </x:c>
      <x:c r="B4" t="n">
        <x:f>COUNTA('RED'!A2:A1393)</x:f>
        <x:v>1392</x:v>
      </x:c>
      <x:c r="C4" t="n">
        <x:f>COUNTIF('RED'!G2:G1393,"Heading")</x:f>
        <x:v>4</x:v>
      </x:c>
      <x:c r="D4" t="n">
        <x:f>COUNTIF('RED'!G2:G1393,"Definition")</x:f>
        <x:v>68</x:v>
      </x:c>
      <x:c r="E4" t="n">
        <x:f>COUNTIF('RED'!G2:G1393,"Obligation")</x:f>
        <x:v>1147</x:v>
      </x:c>
      <x:c r="F4" t="n">
        <x:f>COUNTIF('RED'!G2:G1393,"Risk")</x:f>
        <x:v>101</x:v>
      </x:c>
      <x:c r="G4" t="n">
        <x:f>COUNTIF('RED'!G2:G1393,"Right")</x:f>
        <x:v>72</x:v>
      </x:c>
      <x:c r="H4" t="n">
        <x:f>COUNTIF('RED'!K2:K1393,"Yes")</x:f>
        <x:v>988</x:v>
      </x:c>
    </x:row>
    <x:row r="5">
      <x:c r="A5" t="str">
        <x:v>YELLOW</x:v>
      </x:c>
      <x:c r="B5" t="n">
        <x:f>COUNTA('YELLOW'!A2:A1313)</x:f>
        <x:v>1312</x:v>
      </x:c>
      <x:c r="C5" t="n">
        <x:f>COUNTIF('YELLOW'!G2:G1313,"Heading")</x:f>
        <x:v>0</x:v>
      </x:c>
      <x:c r="D5" t="n">
        <x:f>COUNTIF('YELLOW'!G2:G1313,"Definition")</x:f>
        <x:v>63</x:v>
      </x:c>
      <x:c r="E5" t="n">
        <x:f>COUNTIF('YELLOW'!G2:G1313,"Obligation")</x:f>
        <x:v>1074</x:v>
      </x:c>
      <x:c r="F5" t="n">
        <x:f>COUNTIF('YELLOW'!G2:G1313,"Risk")</x:f>
        <x:v>103</x:v>
      </x:c>
      <x:c r="G5" t="n">
        <x:f>COUNTIF('YELLOW'!G2:G1313,"Right")</x:f>
        <x:v>72</x:v>
      </x:c>
      <x:c r="H5" t="n">
        <x:f>COUNTIF('YELLOW'!K2:K1313,"Yes")</x:f>
        <x:v>944</x:v>
      </x:c>
    </x:row>
    <x:row r="6">
      <x:c r="A6" t="str">
        <x:v>ORANGE</x:v>
      </x:c>
      <x:c r="B6" t="n">
        <x:f>COUNTA('ORANGE'!A2:A621)</x:f>
        <x:v>620</x:v>
      </x:c>
      <x:c r="C6" t="n">
        <x:f>COUNTIF('ORANGE'!G2:G621,"Heading")</x:f>
        <x:v>19</x:v>
      </x:c>
      <x:c r="D6" t="n">
        <x:f>COUNTIF('ORANGE'!G2:G621,"Definition")</x:f>
        <x:v>0</x:v>
      </x:c>
      <x:c r="E6" t="n">
        <x:f>COUNTIF('ORANGE'!G2:G621,"Obligation")</x:f>
        <x:v>575</x:v>
      </x:c>
      <x:c r="F6" t="n">
        <x:f>COUNTIF('ORANGE'!G2:G621,"Risk")</x:f>
        <x:v>0</x:v>
      </x:c>
      <x:c r="G6" t="n">
        <x:f>COUNTIF('ORANGE'!G2:G621,"Right")</x:f>
        <x:v>26</x:v>
      </x:c>
      <x:c r="H6" t="n">
        <x:f>COUNTIF('ORANGE'!K2:K621,"Yes")</x:f>
        <x:v>600</x:v>
      </x:c>
    </x:row>
    <x:row r="7">
      <x:c r="A7" t="str">
        <x:v>SILVER</x:v>
      </x:c>
      <x:c r="B7" t="n">
        <x:f>COUNTA('SILVER'!A2:A742)</x:f>
        <x:v>741</x:v>
      </x:c>
      <x:c r="C7" t="n">
        <x:f>COUNTIF('SILVER'!G2:G742,"Heading")</x:f>
        <x:v>21</x:v>
      </x:c>
      <x:c r="D7" t="n">
        <x:f>COUNTIF('SILVER'!G2:G742,"Definition")</x:f>
        <x:v>0</x:v>
      </x:c>
      <x:c r="E7" t="n">
        <x:f>COUNTIF('SILVER'!G2:G742,"Obligation")</x:f>
        <x:v>720</x:v>
      </x:c>
      <x:c r="F7" t="n">
        <x:f>COUNTIF('SILVER'!G2:G742,"Risk")</x:f>
        <x:v>0</x:v>
      </x:c>
      <x:c r="G7" t="n">
        <x:f>COUNTIF('SILVER'!G2:G742,"Right")</x:f>
        <x:v>0</x:v>
      </x:c>
      <x:c r="H7" t="n">
        <x:f>COUNTIF('SILVER'!K2:K742,"Yes")</x:f>
        <x:v>720</x:v>
      </x:c>
    </x:row>
    <x:row r="9">
      <x:c r="A9" s="43" t="str">
        <x:v>Combined raw rows</x:v>
      </x:c>
      <x:c r="B9" t="n">
        <x:v>4065</x:v>
      </x:c>
    </x:row>
    <x:row r="10">
      <x:c r="A10" s="43" t="str">
        <x:v>Combined unique rows</x:v>
      </x:c>
      <x:c r="B10" t="n">
        <x:v>3345</x:v>
      </x:c>
    </x:row>
    <x:row r="11">
      <x:c r="A11" s="43" t="str">
        <x:v>Duplicate rows removed</x:v>
      </x:c>
      <x:c r="B11" t="n">
        <x:v>720</x:v>
      </x:c>
    </x:row>
  </x:sheetData>
  <x:mergeCells>
    <x:mergeCell ref="A1:H1"/>
  </x:mergeCells>
  <x:pageMargins left="0.7" right="0.7" top="0.75" bottom="0.75" header="0.3" footer="0.3"/>
</x:worksheet>
</file>

<file path=xl/worksheets/sheet3.xml><?xml version="1.0" encoding="utf-8"?>
<x:worksheet xmlns:x="http://schemas.openxmlformats.org/spreadsheetml/2006/main">
  <x:sheetFormatPr defaultRowHeight="15"/>
  <x:cols>
    <x:col min="1" max="1" width="16" hidden="0" customWidth="1"/>
    <x:col min="2" max="2" width="34" hidden="0" customWidth="1"/>
    <x:col min="3" max="3" width="38" hidden="0" customWidth="1"/>
    <x:col min="4" max="4" width="25" hidden="0" customWidth="1"/>
    <x:col min="5" max="5" width="42" hidden="0" customWidth="1"/>
  </x:cols>
  <x:sheetData>
    <x:row r="1">
      <x:c r="A1" s="5" t="str">
        <x:v>Labeling taxonomy (aligned to the thesis/paper)</x:v>
      </x:c>
      <x:c r="B1" s="5"/>
      <x:c r="C1" s="5"/>
      <x:c r="D1" s="5"/>
      <x:c r="E1" s="5"/>
    </x:row>
    <x:row r="3">
      <x:c r="A3" s="18" t="str">
        <x:v>Sentence Type</x:v>
      </x:c>
      <x:c r="B3" s="35" t="str">
        <x:v>Definition</x:v>
      </x:c>
      <x:c r="C3" s="35" t="str">
        <x:v>Typical cues</x:v>
      </x:c>
      <x:c r="D3" s="35" t="str">
        <x:v>Related Party</x:v>
      </x:c>
      <x:c r="E3" s="19" t="str">
        <x:v>Review note</x:v>
      </x:c>
    </x:row>
    <x:row r="4">
      <x:c r="A4" s="30" t="str">
        <x:v>Heading</x:v>
      </x:c>
      <x:c r="B4" s="30" t="str">
        <x:v>Clause or sub-clause title / structural heading</x:v>
      </x:c>
      <x:c r="C4" s="30" t="str">
        <x:v>Numbered short title</x:v>
      </x:c>
      <x:c r="D4" s="30" t="str">
        <x:v>Blank</x:v>
      </x:c>
      <x:c r="E4" s="30" t="str">
        <x:v>Usually straightforward</x:v>
      </x:c>
    </x:row>
    <x:row r="5">
      <x:c r="A5" s="30" t="str">
        <x:v>Definition</x:v>
      </x:c>
      <x:c r="B5" s="30" t="str">
        <x:v>Defines a contractual term</x:v>
      </x:c>
      <x:c r="C5" s="30" t="str">
        <x:v>means / shall mean / berarti</x:v>
      </x:c>
      <x:c r="D5" s="30" t="str">
        <x:v>Blank</x:v>
      </x:c>
      <x:c r="E5" s="30" t="str">
        <x:v>Verify OCR quotes and term boundaries</x:v>
      </x:c>
    </x:row>
    <x:row r="6">
      <x:c r="A6" s="30" t="str">
        <x:v>Obligation</x:v>
      </x:c>
      <x:c r="B6" s="30" t="str">
        <x:v>Creates a duty or responsibility</x:v>
      </x:c>
      <x:c r="C6" s="30" t="str">
        <x:v>shall / must / harus / wajib</x:v>
      </x:c>
      <x:c r="D6" s="30" t="str">
        <x:v>Contractor / Employer / Shared</x:v>
      </x:c>
      <x:c r="E6" s="30" t="str">
        <x:v>Check who bears the duty</x:v>
      </x:c>
    </x:row>
    <x:row r="7">
      <x:c r="A7" s="30" t="str">
        <x:v>Risk</x:v>
      </x:c>
      <x:c r="B7" s="30" t="str">
        <x:v>Allocates consequences, liability, loss, delay, cost or risk</x:v>
      </x:c>
      <x:c r="C7" s="30" t="str">
        <x:v>risk, liability, delay, loss, cost, indemnity</x:v>
      </x:c>
      <x:c r="D7" s="30" t="str">
        <x:v>Contractor / Employer / Shared</x:v>
      </x:c>
      <x:c r="E7" s="30" t="str">
        <x:v>Often overlaps with obligation/right; expert review important</x:v>
      </x:c>
    </x:row>
    <x:row r="8">
      <x:c r="A8" s="30" t="str">
        <x:v>Right</x:v>
      </x:c>
      <x:c r="B8" s="30" t="str">
        <x:v>Grants an entitlement, permission or contractual right</x:v>
      </x:c>
      <x:c r="C8" s="30" t="str">
        <x:v>entitled, may, right to, berhak, dapat</x:v>
      </x:c>
      <x:c r="D8" s="30" t="str">
        <x:v>Contractor / Employer / Shared</x:v>
      </x:c>
      <x:c r="E8" s="30" t="str">
        <x:v>Distinguish discretionary 'may' from mere possibility</x:v>
      </x:c>
    </x:row>
  </x:sheetData>
  <x:mergeCells>
    <x:mergeCell ref="A1:E1"/>
  </x:mergeCells>
  <x:pageMargins left="0.7" right="0.7" top="0.75" bottom="0.75" header="0.3" footer="0.3"/>
</x:worksheet>
</file>

<file path=xl/worksheets/sheet4.xml><?xml version="1.0" encoding="utf-8"?>
<x:worksheet xmlns:x="http://schemas.openxmlformats.org/spreadsheetml/2006/main">
  <x:sheetFormatPr defaultRowHeight="15"/>
  <x:cols>
    <x:col min="1" max="1" width="14" hidden="0" customWidth="1"/>
    <x:col min="2" max="2" width="10" hidden="0" customWidth="1"/>
    <x:col min="3" max="3" width="12" hidden="0" customWidth="1"/>
    <x:col min="4" max="4" width="8" hidden="0" customWidth="1"/>
    <x:col min="5" max="5" width="12" hidden="0" customWidth="1"/>
    <x:col min="6" max="6" width="58" hidden="0" customWidth="1"/>
    <x:col min="7" max="7" width="16" hidden="0" customWidth="1"/>
    <x:col min="8" max="8" width="16" hidden="0" customWidth="1"/>
    <x:col min="9" max="9" width="15" hidden="0" customWidth="1"/>
    <x:col min="10" max="10" width="16" hidden="0" customWidth="1"/>
    <x:col min="11" max="11" width="14" hidden="0" customWidth="1"/>
    <x:col min="12" max="12" width="18" hidden="0" customWidth="1"/>
  </x:cols>
  <x:sheetData>
    <x:row r="1">
      <x:c r="A1" s="18" t="str">
        <x:v>Sentence_ID</x:v>
      </x:c>
      <x:c r="B1" s="35" t="str">
        <x:v>Book</x:v>
      </x:c>
      <x:c r="C1" s="35" t="str">
        <x:v>Language</x:v>
      </x:c>
      <x:c r="D1" s="50" t="str">
        <x:v>Page</x:v>
      </x:c>
      <x:c r="E1" s="35" t="str">
        <x:v>Clause</x:v>
      </x:c>
      <x:c r="F1" s="35" t="str">
        <x:v>Sentence</x:v>
      </x:c>
      <x:c r="G1" s="35" t="str">
        <x:v>Sentence_Type</x:v>
      </x:c>
      <x:c r="H1" s="35" t="str">
        <x:v>Related_Party</x:v>
      </x:c>
      <x:c r="I1" s="52" t="str">
        <x:v>Type_Confidence</x:v>
      </x:c>
      <x:c r="J1" s="52" t="str">
        <x:v>Party_Confidence</x:v>
      </x:c>
      <x:c r="K1" s="35" t="str">
        <x:v>Needs_Review</x:v>
      </x:c>
      <x:c r="L1" s="19" t="str">
        <x:v>Extraction_Method</x:v>
      </x:c>
    </x:row>
    <x:row r="2">
      <x:c r="A2" s="48" t="str">
        <x:v>UNI-0001</x:v>
      </x:c>
      <x:c r="B2" s="48" t="str">
        <x:v>RED</x:v>
      </x:c>
      <x:c r="C2" s="48" t="str">
        <x:v>English</x:v>
      </x:c>
      <x:c r="D2" s="48" t="n">
        <x:v>14</x:v>
      </x:c>
      <x:c r="E2" s="48" t="str"/>
      <x:c r="F2" s="48" t="str">
        <x:v>In the Conditions of Contract (“these Conditions”), which include Particular</x:v>
      </x:c>
      <x:c r="G2" s="48" t="str">
        <x:v>Obligation</x:v>
      </x:c>
      <x:c r="H2" s="48" t="str">
        <x:v>Shared</x:v>
      </x:c>
      <x:c r="I2" s="48" t="n">
        <x:v>0.45</x:v>
      </x:c>
      <x:c r="J2" s="48" t="n">
        <x:v>0.4</x:v>
      </x:c>
      <x:c r="K2" s="48" t="str">
        <x:v>Yes</x:v>
      </x:c>
      <x:c r="L2" s="48" t="str">
        <x:v>PDF text</x:v>
      </x:c>
    </x:row>
    <x:row r="3">
      <x:c r="A3" s="48" t="str">
        <x:v>UNI-0002</x:v>
      </x:c>
      <x:c r="B3" s="48" t="str">
        <x:v>RED</x:v>
      </x:c>
      <x:c r="C3" s="48" t="str">
        <x:v>English</x:v>
      </x:c>
      <x:c r="D3" s="48" t="n">
        <x:v>14</x:v>
      </x:c>
      <x:c r="E3" s="48" t="str"/>
      <x:c r="F3" s="48" t="str">
        <x:v>Conditions, Parts A and B, and these General Conditions, the following words and</x:v>
      </x:c>
      <x:c r="G3" s="48" t="str">
        <x:v>Obligation</x:v>
      </x:c>
      <x:c r="H3" s="48" t="str">
        <x:v>Shared</x:v>
      </x:c>
      <x:c r="I3" s="48" t="n">
        <x:v>0.45</x:v>
      </x:c>
      <x:c r="J3" s="48" t="n">
        <x:v>0.4</x:v>
      </x:c>
      <x:c r="K3" s="48" t="str">
        <x:v>Yes</x:v>
      </x:c>
      <x:c r="L3" s="48" t="str">
        <x:v>PDF text</x:v>
      </x:c>
    </x:row>
    <x:row r="4">
      <x:c r="A4" s="48" t="str">
        <x:v>UNI-0003</x:v>
      </x:c>
      <x:c r="B4" s="48" t="str">
        <x:v>RED</x:v>
      </x:c>
      <x:c r="C4" s="48" t="str">
        <x:v>English</x:v>
      </x:c>
      <x:c r="D4" s="48" t="n">
        <x:v>14</x:v>
      </x:c>
      <x:c r="E4" s="48" t="str"/>
      <x:c r="F4" s="48" t="str">
        <x:v>expressions shall have the meanings stated.</x:v>
      </x:c>
      <x:c r="G4" s="48" t="str">
        <x:v>Obligation</x:v>
      </x:c>
      <x:c r="H4" s="48" t="str">
        <x:v>Shared</x:v>
      </x:c>
      <x:c r="I4" s="48" t="n">
        <x:v>0.88</x:v>
      </x:c>
      <x:c r="J4" s="48" t="n">
        <x:v>0.4</x:v>
      </x:c>
      <x:c r="K4" s="48" t="str">
        <x:v>Yes</x:v>
      </x:c>
      <x:c r="L4" s="48" t="str">
        <x:v>PDF text</x:v>
      </x:c>
    </x:row>
    <x:row r="5">
      <x:c r="A5" s="48" t="str">
        <x:v>UNI-0004</x:v>
      </x:c>
      <x:c r="B5" s="48" t="str">
        <x:v>RED</x:v>
      </x:c>
      <x:c r="C5" s="48" t="str">
        <x:v>English</x:v>
      </x:c>
      <x:c r="D5" s="48" t="n">
        <x:v>14</x:v>
      </x:c>
      <x:c r="E5" s="48" t="str"/>
      <x:c r="F5" s="48" t="str">
        <x:v>Words indicating persons or parties include corporations and other legal entities, except where the context requires otherwise.</x:v>
      </x:c>
      <x:c r="G5" s="48" t="str">
        <x:v>Obligation</x:v>
      </x:c>
      <x:c r="H5" s="48" t="str">
        <x:v>Shared</x:v>
      </x:c>
      <x:c r="I5" s="48" t="n">
        <x:v>0.45</x:v>
      </x:c>
      <x:c r="J5" s="48" t="n">
        <x:v>0.4</x:v>
      </x:c>
      <x:c r="K5" s="48" t="str">
        <x:v>Yes</x:v>
      </x:c>
      <x:c r="L5" s="48" t="str">
        <x:v>PDF text</x:v>
      </x:c>
    </x:row>
    <x:row r="6">
      <x:c r="A6" s="48" t="str">
        <x:v>UNI-0005</x:v>
      </x:c>
      <x:c r="B6" s="48" t="str">
        <x:v>RED</x:v>
      </x:c>
      <x:c r="C6" s="48" t="str">
        <x:v>English</x:v>
      </x:c>
      <x:c r="D6" s="48" t="n">
        <x:v>14</x:v>
      </x:c>
      <x:c r="E6" s="48" t="str">
        <x:v>1.1.1.1</x:v>
      </x:c>
      <x:c r="F6" s="48" t="str">
        <x:v>1.1.1.1 “Contract” means the Contract Agreement, the Letter of Acceptance, the</x:v>
      </x:c>
      <x:c r="G6" s="48" t="str">
        <x:v>Definition</x:v>
      </x:c>
      <x:c r="H6" s="48" t="str"/>
      <x:c r="I6" s="48" t="n">
        <x:v>0.97</x:v>
      </x:c>
      <x:c r="J6" s="48" t="n">
        <x:v>0.99</x:v>
      </x:c>
      <x:c r="K6" s="48" t="str">
        <x:v>No</x:v>
      </x:c>
      <x:c r="L6" s="48" t="str">
        <x:v>PDF text</x:v>
      </x:c>
    </x:row>
    <x:row r="7">
      <x:c r="A7" s="48" t="str">
        <x:v>UNI-0006</x:v>
      </x:c>
      <x:c r="B7" s="48" t="str">
        <x:v>RED</x:v>
      </x:c>
      <x:c r="C7" s="48" t="str">
        <x:v>English</x:v>
      </x:c>
      <x:c r="D7" s="48" t="n">
        <x:v>14</x:v>
      </x:c>
      <x:c r="E7" s="48" t="str"/>
      <x:c r="F7" s="48" t="str">
        <x:v>Letter of Tender, these Conditions, the Specification, the Drawings, the</x:v>
      </x:c>
      <x:c r="G7" s="48" t="str">
        <x:v>Obligation</x:v>
      </x:c>
      <x:c r="H7" s="48" t="str">
        <x:v>Shared</x:v>
      </x:c>
      <x:c r="I7" s="48" t="n">
        <x:v>0.45</x:v>
      </x:c>
      <x:c r="J7" s="48" t="n">
        <x:v>0.4</x:v>
      </x:c>
      <x:c r="K7" s="48" t="str">
        <x:v>Yes</x:v>
      </x:c>
      <x:c r="L7" s="48" t="str">
        <x:v>PDF text</x:v>
      </x:c>
    </x:row>
    <x:row r="8">
      <x:c r="A8" s="48" t="str">
        <x:v>UNI-0007</x:v>
      </x:c>
      <x:c r="B8" s="48" t="str">
        <x:v>RED</x:v>
      </x:c>
      <x:c r="C8" s="48" t="str">
        <x:v>English</x:v>
      </x:c>
      <x:c r="D8" s="48" t="n">
        <x:v>14</x:v>
      </x:c>
      <x:c r="E8" s="48" t="str"/>
      <x:c r="F8" s="48" t="str">
        <x:v>Schedules, and the further documents (if any) which are listed in the</x:v>
      </x:c>
      <x:c r="G8" s="48" t="str">
        <x:v>Obligation</x:v>
      </x:c>
      <x:c r="H8" s="48" t="str">
        <x:v>Shared</x:v>
      </x:c>
      <x:c r="I8" s="48" t="n">
        <x:v>0.45</x:v>
      </x:c>
      <x:c r="J8" s="48" t="n">
        <x:v>0.4</x:v>
      </x:c>
      <x:c r="K8" s="48" t="str">
        <x:v>Yes</x:v>
      </x:c>
      <x:c r="L8" s="48" t="str">
        <x:v>PDF text</x:v>
      </x:c>
    </x:row>
    <x:row r="9">
      <x:c r="A9" s="48" t="str">
        <x:v>UNI-0008</x:v>
      </x:c>
      <x:c r="B9" s="48" t="str">
        <x:v>RED</x:v>
      </x:c>
      <x:c r="C9" s="48" t="str">
        <x:v>English</x:v>
      </x:c>
      <x:c r="D9" s="48" t="n">
        <x:v>14</x:v>
      </x:c>
      <x:c r="E9" s="48" t="str"/>
      <x:c r="F9" s="48" t="str">
        <x:v>Contract Agreement or in the Letter of Acceptance.</x:v>
      </x:c>
      <x:c r="G9" s="48" t="str">
        <x:v>Obligation</x:v>
      </x:c>
      <x:c r="H9" s="48" t="str">
        <x:v>Shared</x:v>
      </x:c>
      <x:c r="I9" s="48" t="n">
        <x:v>0.45</x:v>
      </x:c>
      <x:c r="J9" s="48" t="n">
        <x:v>0.4</x:v>
      </x:c>
      <x:c r="K9" s="48" t="str">
        <x:v>Yes</x:v>
      </x:c>
      <x:c r="L9" s="48" t="str">
        <x:v>PDF text</x:v>
      </x:c>
    </x:row>
    <x:row r="10">
      <x:c r="A10" s="48" t="str">
        <x:v>UNI-0009</x:v>
      </x:c>
      <x:c r="B10" s="48" t="str">
        <x:v>RED</x:v>
      </x:c>
      <x:c r="C10" s="48" t="str">
        <x:v>English</x:v>
      </x:c>
      <x:c r="D10" s="48" t="n">
        <x:v>14</x:v>
      </x:c>
      <x:c r="E10" s="48" t="str">
        <x:v>1.1.1.2</x:v>
      </x:c>
      <x:c r="F10" s="48" t="str">
        <x:v>1.1.1.2 “Contract Agreement” means the contract agreement (if any) referred to in Sub-Clause 1.6 [Contract Agreement].</x:v>
      </x:c>
      <x:c r="G10" s="48" t="str">
        <x:v>Definition</x:v>
      </x:c>
      <x:c r="H10" s="48" t="str"/>
      <x:c r="I10" s="48" t="n">
        <x:v>0.97</x:v>
      </x:c>
      <x:c r="J10" s="48" t="n">
        <x:v>0.99</x:v>
      </x:c>
      <x:c r="K10" s="48" t="str">
        <x:v>No</x:v>
      </x:c>
      <x:c r="L10" s="48" t="str">
        <x:v>PDF text</x:v>
      </x:c>
    </x:row>
    <x:row r="11">
      <x:c r="A11" s="48" t="str">
        <x:v>UNI-0010</x:v>
      </x:c>
      <x:c r="B11" s="48" t="str">
        <x:v>RED</x:v>
      </x:c>
      <x:c r="C11" s="48" t="str">
        <x:v>English</x:v>
      </x:c>
      <x:c r="D11" s="48" t="n">
        <x:v>14</x:v>
      </x:c>
      <x:c r="E11" s="48" t="str">
        <x:v>1.1.1.3</x:v>
      </x:c>
      <x:c r="F11" s="48" t="str">
        <x:v>1.1.1.3 “Letter of Acceptance” means the letter of formal acceptance, signed by the Employer, of the Letter of Tender, including any annexed memoranda comprising agreements between and signed by both Parties.</x:v>
      </x:c>
      <x:c r="G11" s="48" t="str">
        <x:v>Definition</x:v>
      </x:c>
      <x:c r="H11" s="48" t="str"/>
      <x:c r="I11" s="48" t="n">
        <x:v>0.97</x:v>
      </x:c>
      <x:c r="J11" s="48" t="n">
        <x:v>0.99</x:v>
      </x:c>
      <x:c r="K11" s="48" t="str">
        <x:v>No</x:v>
      </x:c>
      <x:c r="L11" s="48" t="str">
        <x:v>PDF text</x:v>
      </x:c>
    </x:row>
    <x:row r="12">
      <x:c r="A12" s="48" t="str">
        <x:v>UNI-0011</x:v>
      </x:c>
      <x:c r="B12" s="48" t="str">
        <x:v>RED</x:v>
      </x:c>
      <x:c r="C12" s="48" t="str">
        <x:v>English</x:v>
      </x:c>
      <x:c r="D12" s="48" t="n">
        <x:v>14</x:v>
      </x:c>
      <x:c r="E12" s="48" t="str"/>
      <x:c r="F12" s="48" t="str">
        <x:v>If there is no such letter of acceptance, the expression “Letter of Acceptance” means the</x:v>
      </x:c>
      <x:c r="G12" s="48" t="str">
        <x:v>Definition</x:v>
      </x:c>
      <x:c r="H12" s="48" t="str"/>
      <x:c r="I12" s="48" t="n">
        <x:v>0.97</x:v>
      </x:c>
      <x:c r="J12" s="48" t="n">
        <x:v>0.99</x:v>
      </x:c>
      <x:c r="K12" s="48" t="str">
        <x:v>No</x:v>
      </x:c>
      <x:c r="L12" s="48" t="str">
        <x:v>PDF text</x:v>
      </x:c>
    </x:row>
    <x:row r="13">
      <x:c r="A13" s="48" t="str">
        <x:v>UNI-0012</x:v>
      </x:c>
      <x:c r="B13" s="48" t="str">
        <x:v>RED</x:v>
      </x:c>
      <x:c r="C13" s="48" t="str">
        <x:v>English</x:v>
      </x:c>
      <x:c r="D13" s="48" t="n">
        <x:v>14</x:v>
      </x:c>
      <x:c r="E13" s="48" t="str"/>
      <x:c r="F13" s="48" t="str">
        <x:v>Contract Agreement and the date of issuing or receiving the Letter of</x:v>
      </x:c>
      <x:c r="G13" s="48" t="str">
        <x:v>Obligation</x:v>
      </x:c>
      <x:c r="H13" s="48" t="str">
        <x:v>Shared</x:v>
      </x:c>
      <x:c r="I13" s="48" t="n">
        <x:v>0.45</x:v>
      </x:c>
      <x:c r="J13" s="48" t="n">
        <x:v>0.4</x:v>
      </x:c>
      <x:c r="K13" s="48" t="str">
        <x:v>Yes</x:v>
      </x:c>
      <x:c r="L13" s="48" t="str">
        <x:v>PDF text</x:v>
      </x:c>
    </x:row>
    <x:row r="14">
      <x:c r="A14" s="48" t="str">
        <x:v>UNI-0013</x:v>
      </x:c>
      <x:c r="B14" s="48" t="str">
        <x:v>RED</x:v>
      </x:c>
      <x:c r="C14" s="48" t="str">
        <x:v>English</x:v>
      </x:c>
      <x:c r="D14" s="48" t="n">
        <x:v>14</x:v>
      </x:c>
      <x:c r="E14" s="48" t="str"/>
      <x:c r="F14" s="48" t="str">
        <x:v>Acceptance means the date of signing the Contract Agreement.</x:v>
      </x:c>
      <x:c r="G14" s="48" t="str">
        <x:v>Obligation</x:v>
      </x:c>
      <x:c r="H14" s="48" t="str">
        <x:v>Shared</x:v>
      </x:c>
      <x:c r="I14" s="48" t="n">
        <x:v>0.45</x:v>
      </x:c>
      <x:c r="J14" s="48" t="n">
        <x:v>0.4</x:v>
      </x:c>
      <x:c r="K14" s="48" t="str">
        <x:v>Yes</x:v>
      </x:c>
      <x:c r="L14" s="48" t="str">
        <x:v>PDF text</x:v>
      </x:c>
    </x:row>
    <x:row r="15">
      <x:c r="A15" s="48" t="str">
        <x:v>UNI-0014</x:v>
      </x:c>
      <x:c r="B15" s="48" t="str">
        <x:v>RED</x:v>
      </x:c>
      <x:c r="C15" s="48" t="str">
        <x:v>English</x:v>
      </x:c>
      <x:c r="D15" s="48" t="n">
        <x:v>14</x:v>
      </x:c>
      <x:c r="E15" s="48" t="str">
        <x:v>1.1.1.4</x:v>
      </x:c>
      <x:c r="F15" s="48" t="str">
        <x:v>1.1.1.4 “Letter of Tender” means the document entitled letter of tender or letter of bid, which was completed by the Contractor and includes the signed offer to the Employer for the Works.</x:v>
      </x:c>
      <x:c r="G15" s="48" t="str">
        <x:v>Definition</x:v>
      </x:c>
      <x:c r="H15" s="48" t="str"/>
      <x:c r="I15" s="48" t="n">
        <x:v>0.97</x:v>
      </x:c>
      <x:c r="J15" s="48" t="n">
        <x:v>0.99</x:v>
      </x:c>
      <x:c r="K15" s="48" t="str">
        <x:v>No</x:v>
      </x:c>
      <x:c r="L15" s="48" t="str">
        <x:v>PDF text</x:v>
      </x:c>
    </x:row>
    <x:row r="16">
      <x:c r="A16" s="48" t="str">
        <x:v>UNI-0015</x:v>
      </x:c>
      <x:c r="B16" s="48" t="str">
        <x:v>RED</x:v>
      </x:c>
      <x:c r="C16" s="48" t="str">
        <x:v>English</x:v>
      </x:c>
      <x:c r="D16" s="48" t="n">
        <x:v>14</x:v>
      </x:c>
      <x:c r="E16" s="48" t="str">
        <x:v>1.1.1.5</x:v>
      </x:c>
      <x:c r="F16" s="48" t="str">
        <x:v>1.1.1.5 “Specification” means the document entitled specification, as included in the Contract, and any additions and modifications to the specification in accordance with the Contract.</x:v>
      </x:c>
      <x:c r="G16" s="48" t="str">
        <x:v>Definition</x:v>
      </x:c>
      <x:c r="H16" s="48" t="str"/>
      <x:c r="I16" s="48" t="n">
        <x:v>0.97</x:v>
      </x:c>
      <x:c r="J16" s="48" t="n">
        <x:v>0.99</x:v>
      </x:c>
      <x:c r="K16" s="48" t="str">
        <x:v>No</x:v>
      </x:c>
      <x:c r="L16" s="48" t="str">
        <x:v>PDF text</x:v>
      </x:c>
    </x:row>
    <x:row r="17">
      <x:c r="A17" s="48" t="str">
        <x:v>UNI-0016</x:v>
      </x:c>
      <x:c r="B17" s="48" t="str">
        <x:v>RED</x:v>
      </x:c>
      <x:c r="C17" s="48" t="str">
        <x:v>English</x:v>
      </x:c>
      <x:c r="D17" s="48" t="n">
        <x:v>14</x:v>
      </x:c>
      <x:c r="E17" s="48" t="str"/>
      <x:c r="F17" s="48" t="str">
        <x:v>Such document specifies the Works.</x:v>
      </x:c>
      <x:c r="G17" s="48" t="str">
        <x:v>Obligation</x:v>
      </x:c>
      <x:c r="H17" s="48" t="str">
        <x:v>Shared</x:v>
      </x:c>
      <x:c r="I17" s="48" t="n">
        <x:v>0.45</x:v>
      </x:c>
      <x:c r="J17" s="48" t="n">
        <x:v>0.4</x:v>
      </x:c>
      <x:c r="K17" s="48" t="str">
        <x:v>Yes</x:v>
      </x:c>
      <x:c r="L17" s="48" t="str">
        <x:v>PDF text</x:v>
      </x:c>
    </x:row>
    <x:row r="18">
      <x:c r="A18" s="48" t="str">
        <x:v>UNI-0017</x:v>
      </x:c>
      <x:c r="B18" s="48" t="str">
        <x:v>RED</x:v>
      </x:c>
      <x:c r="C18" s="48" t="str">
        <x:v>English</x:v>
      </x:c>
      <x:c r="D18" s="48" t="n">
        <x:v>14</x:v>
      </x:c>
      <x:c r="E18" s="48" t="str">
        <x:v>1.1.1.6</x:v>
      </x:c>
      <x:c r="F18" s="48" t="str">
        <x:v>1.1.1.6 “Drawings” means the drawings of the Works, as included in the Contract, and any additional and modified drawings issued by (or on behalf of) the Employer in accordance with the Contract.</x:v>
      </x:c>
      <x:c r="G18" s="48" t="str">
        <x:v>Definition</x:v>
      </x:c>
      <x:c r="H18" s="48" t="str"/>
      <x:c r="I18" s="48" t="n">
        <x:v>0.97</x:v>
      </x:c>
      <x:c r="J18" s="48" t="n">
        <x:v>0.99</x:v>
      </x:c>
      <x:c r="K18" s="48" t="str">
        <x:v>No</x:v>
      </x:c>
      <x:c r="L18" s="48" t="str">
        <x:v>PDF text</x:v>
      </x:c>
    </x:row>
    <x:row r="19">
      <x:c r="A19" s="48" t="str">
        <x:v>UNI-0018</x:v>
      </x:c>
      <x:c r="B19" s="48" t="str">
        <x:v>RED</x:v>
      </x:c>
      <x:c r="C19" s="48" t="str">
        <x:v>English</x:v>
      </x:c>
      <x:c r="D19" s="48" t="n">
        <x:v>14</x:v>
      </x:c>
      <x:c r="E19" s="48" t="str">
        <x:v>1.1.1.7</x:v>
      </x:c>
      <x:c r="F19" s="48" t="str">
        <x:v>1.1.1.7 “Schedules” means the document(s) entitled schedules, completed by the</x:v>
      </x:c>
      <x:c r="G19" s="48" t="str">
        <x:v>Definition</x:v>
      </x:c>
      <x:c r="H19" s="48" t="str"/>
      <x:c r="I19" s="48" t="n">
        <x:v>0.97</x:v>
      </x:c>
      <x:c r="J19" s="48" t="n">
        <x:v>0.99</x:v>
      </x:c>
      <x:c r="K19" s="48" t="str">
        <x:v>No</x:v>
      </x:c>
      <x:c r="L19" s="48" t="str">
        <x:v>PDF text</x:v>
      </x:c>
    </x:row>
    <x:row r="20">
      <x:c r="A20" s="48" t="str">
        <x:v>UNI-0019</x:v>
      </x:c>
      <x:c r="B20" s="48" t="str">
        <x:v>RED</x:v>
      </x:c>
      <x:c r="C20" s="48" t="str">
        <x:v>English</x:v>
      </x:c>
      <x:c r="D20" s="48" t="n">
        <x:v>14</x:v>
      </x:c>
      <x:c r="E20" s="48" t="str"/>
      <x:c r="F20" s="48" t="str">
        <x:v>Contractor and submitted with the Letter of Tender, as included in the</x:v>
      </x:c>
      <x:c r="G20" s="48" t="str">
        <x:v>Obligation</x:v>
      </x:c>
      <x:c r="H20" s="48" t="str">
        <x:v>Contractor</x:v>
      </x:c>
      <x:c r="I20" s="48" t="n">
        <x:v>0.45</x:v>
      </x:c>
      <x:c r="J20" s="48" t="n">
        <x:v>0.68</x:v>
      </x:c>
      <x:c r="K20" s="48" t="str">
        <x:v>Yes</x:v>
      </x:c>
      <x:c r="L20" s="48" t="str">
        <x:v>PDF text</x:v>
      </x:c>
    </x:row>
    <x:row r="21">
      <x:c r="A21" s="48" t="str">
        <x:v>UNI-0020</x:v>
      </x:c>
      <x:c r="B21" s="48" t="str">
        <x:v>RED</x:v>
      </x:c>
      <x:c r="C21" s="48" t="str">
        <x:v>English</x:v>
      </x:c>
      <x:c r="D21" s="48" t="n">
        <x:v>14</x:v>
      </x:c>
      <x:c r="E21" s="48" t="str"/>
      <x:c r="F21" s="48" t="str">
        <x:v>Contract.</x:v>
      </x:c>
      <x:c r="G21" s="48" t="str">
        <x:v>Obligation</x:v>
      </x:c>
      <x:c r="H21" s="48" t="str">
        <x:v>Shared</x:v>
      </x:c>
      <x:c r="I21" s="48" t="n">
        <x:v>0.45</x:v>
      </x:c>
      <x:c r="J21" s="48" t="n">
        <x:v>0.4</x:v>
      </x:c>
      <x:c r="K21" s="48" t="str">
        <x:v>Yes</x:v>
      </x:c>
      <x:c r="L21" s="48" t="str">
        <x:v>PDF text</x:v>
      </x:c>
    </x:row>
    <x:row r="22">
      <x:c r="A22" s="48" t="str">
        <x:v>UNI-0021</x:v>
      </x:c>
      <x:c r="B22" s="48" t="str">
        <x:v>RED</x:v>
      </x:c>
      <x:c r="C22" s="48" t="str">
        <x:v>English</x:v>
      </x:c>
      <x:c r="D22" s="48" t="n">
        <x:v>14</x:v>
      </x:c>
      <x:c r="E22" s="48" t="str"/>
      <x:c r="F22" s="48" t="str">
        <x:v>Such document may include the Bill of Quantities, data, lists, and schedules of rates and/or prices.</x:v>
      </x:c>
      <x:c r="G22" s="48" t="str">
        <x:v>Right</x:v>
      </x:c>
      <x:c r="H22" s="48" t="str">
        <x:v>Shared</x:v>
      </x:c>
      <x:c r="I22" s="48" t="n">
        <x:v>0.78</x:v>
      </x:c>
      <x:c r="J22" s="48" t="n">
        <x:v>0.4</x:v>
      </x:c>
      <x:c r="K22" s="48" t="str">
        <x:v>Yes</x:v>
      </x:c>
      <x:c r="L22" s="48" t="str">
        <x:v>PDF text</x:v>
      </x:c>
    </x:row>
    <x:row r="23">
      <x:c r="A23" s="48" t="str">
        <x:v>UNI-0022</x:v>
      </x:c>
      <x:c r="B23" s="48" t="str">
        <x:v>RED</x:v>
      </x:c>
      <x:c r="C23" s="48" t="str">
        <x:v>English</x:v>
      </x:c>
      <x:c r="D23" s="48" t="n">
        <x:v>14</x:v>
      </x:c>
      <x:c r="E23" s="48" t="str">
        <x:v>1.1.1.8</x:v>
      </x:c>
      <x:c r="F23" s="48" t="str">
        <x:v>1.1.1.8 “Tender” means the Letter of Tender and all other documents which the Contractor submitted with the Letter of Tender, as included in the Contract.</x:v>
      </x:c>
      <x:c r="G23" s="48" t="str">
        <x:v>Definition</x:v>
      </x:c>
      <x:c r="H23" s="48" t="str"/>
      <x:c r="I23" s="48" t="n">
        <x:v>0.97</x:v>
      </x:c>
      <x:c r="J23" s="48" t="n">
        <x:v>0.99</x:v>
      </x:c>
      <x:c r="K23" s="48" t="str">
        <x:v>No</x:v>
      </x:c>
      <x:c r="L23" s="48" t="str">
        <x:v>PDF text</x:v>
      </x:c>
    </x:row>
    <x:row r="24">
      <x:c r="A24" s="48" t="str">
        <x:v>UNI-0023</x:v>
      </x:c>
      <x:c r="B24" s="48" t="str">
        <x:v>RED</x:v>
      </x:c>
      <x:c r="C24" s="48" t="str">
        <x:v>English</x:v>
      </x:c>
      <x:c r="D24" s="48" t="n">
        <x:v>14</x:v>
      </x:c>
      <x:c r="E24" s="48" t="str">
        <x:v>1.1.1.9</x:v>
      </x:c>
      <x:c r="F24" s="48" t="str">
        <x:v>1.1.1.9 “Bill of Quantities” and “Daywork Schedule” and “Schedule of Payment Currencies” mean the documents so named (if any) which are comprised in the Schedules.</x:v>
      </x:c>
      <x:c r="G24" s="48" t="str">
        <x:v>Obligation</x:v>
      </x:c>
      <x:c r="H24" s="48" t="str">
        <x:v>Shared</x:v>
      </x:c>
      <x:c r="I24" s="48" t="n">
        <x:v>0.55</x:v>
      </x:c>
      <x:c r="J24" s="48" t="n">
        <x:v>0.4</x:v>
      </x:c>
      <x:c r="K24" s="48" t="str">
        <x:v>Yes</x:v>
      </x:c>
      <x:c r="L24" s="48" t="str">
        <x:v>PDF text</x:v>
      </x:c>
    </x:row>
    <x:row r="25">
      <x:c r="A25" s="48" t="str">
        <x:v>UNI-0024</x:v>
      </x:c>
      <x:c r="B25" s="48" t="str">
        <x:v>RED</x:v>
      </x:c>
      <x:c r="C25" s="48" t="str">
        <x:v>English</x:v>
      </x:c>
      <x:c r="D25" s="48" t="n">
        <x:v>14</x:v>
      </x:c>
      <x:c r="E25" s="48" t="str">
        <x:v>1.1.1.10</x:v>
      </x:c>
      <x:c r="F25" s="48" t="str">
        <x:v>1.1.1.10 “Contract Data” means the pages completed by the Employer entitled</x:v>
      </x:c>
      <x:c r="G25" s="48" t="str">
        <x:v>Definition</x:v>
      </x:c>
      <x:c r="H25" s="48" t="str"/>
      <x:c r="I25" s="48" t="n">
        <x:v>0.97</x:v>
      </x:c>
      <x:c r="J25" s="48" t="n">
        <x:v>0.99</x:v>
      </x:c>
      <x:c r="K25" s="48" t="str">
        <x:v>No</x:v>
      </x:c>
      <x:c r="L25" s="48" t="str">
        <x:v>PDF text</x:v>
      </x:c>
    </x:row>
    <x:row r="26">
      <x:c r="A26" s="48" t="str">
        <x:v>UNI-0025</x:v>
      </x:c>
      <x:c r="B26" s="48" t="str">
        <x:v>RED</x:v>
      </x:c>
      <x:c r="C26" s="48" t="str">
        <x:v>English</x:v>
      </x:c>
      <x:c r="D26" s="48" t="n">
        <x:v>14</x:v>
      </x:c>
      <x:c r="E26" s="48" t="str"/>
      <x:c r="F26" s="48" t="str">
        <x:v>contract data which constitute Part A of the Particular Conditions.</x:v>
      </x:c>
      <x:c r="G26" s="48" t="str">
        <x:v>Obligation</x:v>
      </x:c>
      <x:c r="H26" s="48" t="str">
        <x:v>Shared</x:v>
      </x:c>
      <x:c r="I26" s="48" t="n">
        <x:v>0.45</x:v>
      </x:c>
      <x:c r="J26" s="48" t="n">
        <x:v>0.4</x:v>
      </x:c>
      <x:c r="K26" s="48" t="str">
        <x:v>Yes</x:v>
      </x:c>
      <x:c r="L26" s="48" t="str">
        <x:v>PDF text</x:v>
      </x:c>
    </x:row>
    <x:row r="27">
      <x:c r="A27" s="48" t="str">
        <x:v>UNI-0026</x:v>
      </x:c>
      <x:c r="B27" s="48" t="str">
        <x:v>RED</x:v>
      </x:c>
      <x:c r="C27" s="48" t="str">
        <x:v>English</x:v>
      </x:c>
      <x:c r="D27" s="48" t="n">
        <x:v>14</x:v>
      </x:c>
      <x:c r="E27" s="48" t="str"/>
      <x:c r="F27" s="48" t="str">
        <x:v>Definitions</x:v>
      </x:c>
      <x:c r="G27" s="48" t="str">
        <x:v>Obligation</x:v>
      </x:c>
      <x:c r="H27" s="48" t="str">
        <x:v>Shared</x:v>
      </x:c>
      <x:c r="I27" s="48" t="n">
        <x:v>0.45</x:v>
      </x:c>
      <x:c r="J27" s="48" t="n">
        <x:v>0.4</x:v>
      </x:c>
      <x:c r="K27" s="48" t="str">
        <x:v>Yes</x:v>
      </x:c>
      <x:c r="L27" s="48" t="str">
        <x:v>PDF text</x:v>
      </x:c>
    </x:row>
    <x:row r="28">
      <x:c r="A28" s="48" t="str">
        <x:v>UNI-0027</x:v>
      </x:c>
      <x:c r="B28" s="48" t="str">
        <x:v>RED</x:v>
      </x:c>
      <x:c r="C28" s="48" t="str">
        <x:v>English</x:v>
      </x:c>
      <x:c r="D28" s="48" t="n">
        <x:v>14</x:v>
      </x:c>
      <x:c r="E28" s="48" t="str"/>
      <x:c r="F28" s="48" t="str">
        <x:v>The Contract</x:v>
      </x:c>
      <x:c r="G28" s="48" t="str">
        <x:v>Obligation</x:v>
      </x:c>
      <x:c r="H28" s="48" t="str">
        <x:v>Shared</x:v>
      </x:c>
      <x:c r="I28" s="48" t="n">
        <x:v>0.45</x:v>
      </x:c>
      <x:c r="J28" s="48" t="n">
        <x:v>0.4</x:v>
      </x:c>
      <x:c r="K28" s="48" t="str">
        <x:v>Yes</x:v>
      </x:c>
      <x:c r="L28" s="48" t="str">
        <x:v>PDF text</x:v>
      </x:c>
    </x:row>
    <x:row r="29">
      <x:c r="A29" s="48" t="str">
        <x:v>UNI-0028</x:v>
      </x:c>
      <x:c r="B29" s="48" t="str">
        <x:v>RED</x:v>
      </x:c>
      <x:c r="C29" s="48" t="str">
        <x:v>English</x:v>
      </x:c>
      <x:c r="D29" s="48" t="n">
        <x:v>14</x:v>
      </x:c>
      <x:c r="E29" s="48" t="str"/>
      <x:c r="F29" s="48" t="str">
        <x:v>General Provisions</x:v>
      </x:c>
      <x:c r="G29" s="48" t="str">
        <x:v>Obligation</x:v>
      </x:c>
      <x:c r="H29" s="48" t="str">
        <x:v>Shared</x:v>
      </x:c>
      <x:c r="I29" s="48" t="n">
        <x:v>0.45</x:v>
      </x:c>
      <x:c r="J29" s="48" t="n">
        <x:v>0.4</x:v>
      </x:c>
      <x:c r="K29" s="48" t="str">
        <x:v>Yes</x:v>
      </x:c>
      <x:c r="L29" s="48" t="str">
        <x:v>PDF text</x:v>
      </x:c>
    </x:row>
    <x:row r="30">
      <x:c r="A30" s="48" t="str">
        <x:v>UNI-0029</x:v>
      </x:c>
      <x:c r="B30" s="48" t="str">
        <x:v>RED</x:v>
      </x:c>
      <x:c r="C30" s="48" t="str">
        <x:v>English</x:v>
      </x:c>
      <x:c r="D30" s="48" t="n">
        <x:v>15</x:v>
      </x:c>
      <x:c r="E30" s="48" t="str">
        <x:v>1.1.2.1</x:v>
      </x:c>
      <x:c r="F30" s="48" t="str">
        <x:v>1.1.2.1 “Party” means the Employer or the Contractor, as the context requires.</x:v>
      </x:c>
      <x:c r="G30" s="48" t="str">
        <x:v>Definition</x:v>
      </x:c>
      <x:c r="H30" s="48" t="str"/>
      <x:c r="I30" s="48" t="n">
        <x:v>0.97</x:v>
      </x:c>
      <x:c r="J30" s="48" t="n">
        <x:v>0.99</x:v>
      </x:c>
      <x:c r="K30" s="48" t="str">
        <x:v>No</x:v>
      </x:c>
      <x:c r="L30" s="48" t="str">
        <x:v>PDF text</x:v>
      </x:c>
    </x:row>
    <x:row r="31">
      <x:c r="A31" s="48" t="str">
        <x:v>UNI-0030</x:v>
      </x:c>
      <x:c r="B31" s="48" t="str">
        <x:v>RED</x:v>
      </x:c>
      <x:c r="C31" s="48" t="str">
        <x:v>English</x:v>
      </x:c>
      <x:c r="D31" s="48" t="n">
        <x:v>15</x:v>
      </x:c>
      <x:c r="E31" s="48" t="str">
        <x:v>1.1.2.2</x:v>
      </x:c>
      <x:c r="F31" s="48" t="str">
        <x:v>1.1.2.2 “Employer” means the person named as employer in the Contract Data and the legal successors in title to this person.</x:v>
      </x:c>
      <x:c r="G31" s="48" t="str">
        <x:v>Definition</x:v>
      </x:c>
      <x:c r="H31" s="48" t="str"/>
      <x:c r="I31" s="48" t="n">
        <x:v>0.97</x:v>
      </x:c>
      <x:c r="J31" s="48" t="n">
        <x:v>0.99</x:v>
      </x:c>
      <x:c r="K31" s="48" t="str">
        <x:v>No</x:v>
      </x:c>
      <x:c r="L31" s="48" t="str">
        <x:v>PDF text</x:v>
      </x:c>
    </x:row>
    <x:row r="32">
      <x:c r="A32" s="48" t="str">
        <x:v>UNI-0031</x:v>
      </x:c>
      <x:c r="B32" s="48" t="str">
        <x:v>RED</x:v>
      </x:c>
      <x:c r="C32" s="48" t="str">
        <x:v>English</x:v>
      </x:c>
      <x:c r="D32" s="48" t="n">
        <x:v>15</x:v>
      </x:c>
      <x:c r="E32" s="48" t="str">
        <x:v>1.1.2.3</x:v>
      </x:c>
      <x:c r="F32" s="48" t="str">
        <x:v>1.1.2.3 “Contractor” means the person(s) named as contractor in the Letter of</x:v>
      </x:c>
      <x:c r="G32" s="48" t="str">
        <x:v>Definition</x:v>
      </x:c>
      <x:c r="H32" s="48" t="str"/>
      <x:c r="I32" s="48" t="n">
        <x:v>0.97</x:v>
      </x:c>
      <x:c r="J32" s="48" t="n">
        <x:v>0.99</x:v>
      </x:c>
      <x:c r="K32" s="48" t="str">
        <x:v>No</x:v>
      </x:c>
      <x:c r="L32" s="48" t="str">
        <x:v>PDF text</x:v>
      </x:c>
    </x:row>
    <x:row r="33">
      <x:c r="A33" s="48" t="str">
        <x:v>UNI-0032</x:v>
      </x:c>
      <x:c r="B33" s="48" t="str">
        <x:v>RED</x:v>
      </x:c>
      <x:c r="C33" s="48" t="str">
        <x:v>English</x:v>
      </x:c>
      <x:c r="D33" s="48" t="n">
        <x:v>15</x:v>
      </x:c>
      <x:c r="E33" s="48" t="str"/>
      <x:c r="F33" s="48" t="str">
        <x:v>Tender accepted by the Employer and the legal successors in title to this</x:v>
      </x:c>
      <x:c r="G33" s="48" t="str">
        <x:v>Obligation</x:v>
      </x:c>
      <x:c r="H33" s="48" t="str">
        <x:v>Employer</x:v>
      </x:c>
      <x:c r="I33" s="48" t="n">
        <x:v>0.45</x:v>
      </x:c>
      <x:c r="J33" s="48" t="n">
        <x:v>0.68</x:v>
      </x:c>
      <x:c r="K33" s="48" t="str">
        <x:v>Yes</x:v>
      </x:c>
      <x:c r="L33" s="48" t="str">
        <x:v>PDF text</x:v>
      </x:c>
    </x:row>
    <x:row r="34">
      <x:c r="A34" s="48" t="str">
        <x:v>UNI-0033</x:v>
      </x:c>
      <x:c r="B34" s="48" t="str">
        <x:v>RED</x:v>
      </x:c>
      <x:c r="C34" s="48" t="str">
        <x:v>English</x:v>
      </x:c>
      <x:c r="D34" s="48" t="n">
        <x:v>15</x:v>
      </x:c>
      <x:c r="E34" s="48" t="str"/>
      <x:c r="F34" s="48" t="str">
        <x:v>person(s).</x:v>
      </x:c>
      <x:c r="G34" s="48" t="str">
        <x:v>Obligation</x:v>
      </x:c>
      <x:c r="H34" s="48" t="str">
        <x:v>Shared</x:v>
      </x:c>
      <x:c r="I34" s="48" t="n">
        <x:v>0.45</x:v>
      </x:c>
      <x:c r="J34" s="48" t="n">
        <x:v>0.4</x:v>
      </x:c>
      <x:c r="K34" s="48" t="str">
        <x:v>Yes</x:v>
      </x:c>
      <x:c r="L34" s="48" t="str">
        <x:v>PDF text</x:v>
      </x:c>
    </x:row>
    <x:row r="35">
      <x:c r="A35" s="48" t="str">
        <x:v>UNI-0034</x:v>
      </x:c>
      <x:c r="B35" s="48" t="str">
        <x:v>RED</x:v>
      </x:c>
      <x:c r="C35" s="48" t="str">
        <x:v>English</x:v>
      </x:c>
      <x:c r="D35" s="48" t="n">
        <x:v>15</x:v>
      </x:c>
      <x:c r="E35" s="48" t="str">
        <x:v>1.1.2.4</x:v>
      </x:c>
      <x:c r="F35" s="48" t="str">
        <x:v>1.1.2.4 “Engineer” means the person appointed by the Employer to act as the</x:v>
      </x:c>
      <x:c r="G35" s="48" t="str">
        <x:v>Definition</x:v>
      </x:c>
      <x:c r="H35" s="48" t="str"/>
      <x:c r="I35" s="48" t="n">
        <x:v>0.97</x:v>
      </x:c>
      <x:c r="J35" s="48" t="n">
        <x:v>0.99</x:v>
      </x:c>
      <x:c r="K35" s="48" t="str">
        <x:v>No</x:v>
      </x:c>
      <x:c r="L35" s="48" t="str">
        <x:v>PDF text</x:v>
      </x:c>
    </x:row>
    <x:row r="36">
      <x:c r="A36" s="48" t="str">
        <x:v>UNI-0035</x:v>
      </x:c>
      <x:c r="B36" s="48" t="str">
        <x:v>RED</x:v>
      </x:c>
      <x:c r="C36" s="48" t="str">
        <x:v>English</x:v>
      </x:c>
      <x:c r="D36" s="48" t="n">
        <x:v>15</x:v>
      </x:c>
      <x:c r="E36" s="48" t="str"/>
      <x:c r="F36" s="48" t="str">
        <x:v>Engineer for the purposes of the Contract and named in the Contract Data,</x:v>
      </x:c>
      <x:c r="G36" s="48" t="str">
        <x:v>Obligation</x:v>
      </x:c>
      <x:c r="H36" s="48" t="str">
        <x:v>Shared</x:v>
      </x:c>
      <x:c r="I36" s="48" t="n">
        <x:v>0.45</x:v>
      </x:c>
      <x:c r="J36" s="48" t="n">
        <x:v>0.4</x:v>
      </x:c>
      <x:c r="K36" s="48" t="str">
        <x:v>Yes</x:v>
      </x:c>
      <x:c r="L36" s="48" t="str">
        <x:v>PDF text</x:v>
      </x:c>
    </x:row>
    <x:row r="37">
      <x:c r="A37" s="48" t="str">
        <x:v>UNI-0036</x:v>
      </x:c>
      <x:c r="B37" s="48" t="str">
        <x:v>RED</x:v>
      </x:c>
      <x:c r="C37" s="48" t="str">
        <x:v>English</x:v>
      </x:c>
      <x:c r="D37" s="48" t="n">
        <x:v>15</x:v>
      </x:c>
      <x:c r="E37" s="48" t="str"/>
      <x:c r="F37" s="48" t="str">
        <x:v>or other person appointed from time to time by the Employer and notified to the Contractor under Sub-Clause 3.4 [Replacement of the Engineer].</x:v>
      </x:c>
      <x:c r="G37" s="48" t="str">
        <x:v>Obligation</x:v>
      </x:c>
      <x:c r="H37" s="48" t="str">
        <x:v>Shared</x:v>
      </x:c>
      <x:c r="I37" s="48" t="n">
        <x:v>0.45</x:v>
      </x:c>
      <x:c r="J37" s="48" t="n">
        <x:v>0.6</x:v>
      </x:c>
      <x:c r="K37" s="48" t="str">
        <x:v>Yes</x:v>
      </x:c>
      <x:c r="L37" s="48" t="str">
        <x:v>PDF text</x:v>
      </x:c>
    </x:row>
    <x:row r="38">
      <x:c r="A38" s="48" t="str">
        <x:v>UNI-0037</x:v>
      </x:c>
      <x:c r="B38" s="48" t="str">
        <x:v>RED</x:v>
      </x:c>
      <x:c r="C38" s="48" t="str">
        <x:v>English</x:v>
      </x:c>
      <x:c r="D38" s="48" t="n">
        <x:v>15</x:v>
      </x:c>
      <x:c r="E38" s="48" t="str">
        <x:v>1.1.2.5</x:v>
      </x:c>
      <x:c r="F38" s="48" t="str">
        <x:v>1.1.2.5 “Contractor’s Representative” means the person named by the</x:v>
      </x:c>
      <x:c r="G38" s="48" t="str">
        <x:v>Definition</x:v>
      </x:c>
      <x:c r="H38" s="48" t="str"/>
      <x:c r="I38" s="48" t="n">
        <x:v>0.97</x:v>
      </x:c>
      <x:c r="J38" s="48" t="n">
        <x:v>0.99</x:v>
      </x:c>
      <x:c r="K38" s="48" t="str">
        <x:v>No</x:v>
      </x:c>
      <x:c r="L38" s="48" t="str">
        <x:v>PDF text</x:v>
      </x:c>
    </x:row>
    <x:row r="39">
      <x:c r="A39" s="48" t="str">
        <x:v>UNI-0038</x:v>
      </x:c>
      <x:c r="B39" s="48" t="str">
        <x:v>RED</x:v>
      </x:c>
      <x:c r="C39" s="48" t="str">
        <x:v>English</x:v>
      </x:c>
      <x:c r="D39" s="48" t="n">
        <x:v>15</x:v>
      </x:c>
      <x:c r="E39" s="48" t="str"/>
      <x:c r="F39" s="48" t="str">
        <x:v>Contractor in the Contract or appointed from time to time by the Contractor</x:v>
      </x:c>
      <x:c r="G39" s="48" t="str">
        <x:v>Obligation</x:v>
      </x:c>
      <x:c r="H39" s="48" t="str">
        <x:v>Contractor</x:v>
      </x:c>
      <x:c r="I39" s="48" t="n">
        <x:v>0.45</x:v>
      </x:c>
      <x:c r="J39" s="48" t="n">
        <x:v>0.68</x:v>
      </x:c>
      <x:c r="K39" s="48" t="str">
        <x:v>Yes</x:v>
      </x:c>
      <x:c r="L39" s="48" t="str">
        <x:v>PDF text</x:v>
      </x:c>
    </x:row>
    <x:row r="40">
      <x:c r="A40" s="48" t="str">
        <x:v>UNI-0039</x:v>
      </x:c>
      <x:c r="B40" s="48" t="str">
        <x:v>RED</x:v>
      </x:c>
      <x:c r="C40" s="48" t="str">
        <x:v>English</x:v>
      </x:c>
      <x:c r="D40" s="48" t="n">
        <x:v>15</x:v>
      </x:c>
      <x:c r="E40" s="48" t="str"/>
      <x:c r="F40" s="48" t="str">
        <x:v>under Sub-Clause 4.3 [Contractor’s Representative], who acts on behalf of the Contractor.</x:v>
      </x:c>
      <x:c r="G40" s="48" t="str">
        <x:v>Obligation</x:v>
      </x:c>
      <x:c r="H40" s="48" t="str">
        <x:v>Contractor</x:v>
      </x:c>
      <x:c r="I40" s="48" t="n">
        <x:v>0.45</x:v>
      </x:c>
      <x:c r="J40" s="48" t="n">
        <x:v>0.68</x:v>
      </x:c>
      <x:c r="K40" s="48" t="str">
        <x:v>Yes</x:v>
      </x:c>
      <x:c r="L40" s="48" t="str">
        <x:v>PDF text</x:v>
      </x:c>
    </x:row>
    <x:row r="41">
      <x:c r="A41" s="48" t="str">
        <x:v>UNI-0040</x:v>
      </x:c>
      <x:c r="B41" s="48" t="str">
        <x:v>RED</x:v>
      </x:c>
      <x:c r="C41" s="48" t="str">
        <x:v>English</x:v>
      </x:c>
      <x:c r="D41" s="48" t="n">
        <x:v>15</x:v>
      </x:c>
      <x:c r="E41" s="48" t="str">
        <x:v>1.1.2.6</x:v>
      </x:c>
      <x:c r="F41" s="48" t="str">
        <x:v>1.1.2.6 “Employer’s Personnel” means the Engineer, the assistants referred to in Sub-Clause 3.2 [Delegation by the Engineer] and all other staff, labour and other employees of the Engineer and of the Employer; and any other personnel notified to the Contractor, by the Employer or the Engineer, as Employer’s Personnel.</x:v>
      </x:c>
      <x:c r="G41" s="48" t="str">
        <x:v>Definition</x:v>
      </x:c>
      <x:c r="H41" s="48" t="str"/>
      <x:c r="I41" s="48" t="n">
        <x:v>0.97</x:v>
      </x:c>
      <x:c r="J41" s="48" t="n">
        <x:v>0.99</x:v>
      </x:c>
      <x:c r="K41" s="48" t="str">
        <x:v>No</x:v>
      </x:c>
      <x:c r="L41" s="48" t="str">
        <x:v>PDF text</x:v>
      </x:c>
    </x:row>
    <x:row r="42">
      <x:c r="A42" s="48" t="str">
        <x:v>UNI-0041</x:v>
      </x:c>
      <x:c r="B42" s="48" t="str">
        <x:v>RED</x:v>
      </x:c>
      <x:c r="C42" s="48" t="str">
        <x:v>English</x:v>
      </x:c>
      <x:c r="D42" s="48" t="n">
        <x:v>15</x:v>
      </x:c>
      <x:c r="E42" s="48" t="str">
        <x:v>1.1.2.7</x:v>
      </x:c>
      <x:c r="F42" s="48" t="str">
        <x:v>1.1.2.7 “Contractor’s Personnel” means the Contractor’s Representative and all personnel whom the Contractor utilises on Site, who may include the staff, labour and other employees of the Contractor and of each Subcontractor; and any other personnel assisting the Contractor in the execution of the Works.</x:v>
      </x:c>
      <x:c r="G42" s="48" t="str">
        <x:v>Definition</x:v>
      </x:c>
      <x:c r="H42" s="48" t="str"/>
      <x:c r="I42" s="48" t="n">
        <x:v>0.97</x:v>
      </x:c>
      <x:c r="J42" s="48" t="n">
        <x:v>0.99</x:v>
      </x:c>
      <x:c r="K42" s="48" t="str">
        <x:v>No</x:v>
      </x:c>
      <x:c r="L42" s="48" t="str">
        <x:v>PDF text</x:v>
      </x:c>
    </x:row>
    <x:row r="43">
      <x:c r="A43" s="48" t="str">
        <x:v>UNI-0042</x:v>
      </x:c>
      <x:c r="B43" s="48" t="str">
        <x:v>RED</x:v>
      </x:c>
      <x:c r="C43" s="48" t="str">
        <x:v>English</x:v>
      </x:c>
      <x:c r="D43" s="48" t="n">
        <x:v>15</x:v>
      </x:c>
      <x:c r="E43" s="48" t="str">
        <x:v>1.1.2.8</x:v>
      </x:c>
      <x:c r="F43" s="48" t="str">
        <x:v>1.1.2.8 “Subcontractor” means any person named in the Contract as a subcontractor, or any person appointed as a subcontractor, for a part of the Works; and the legal successors in title to each of these persons.</x:v>
      </x:c>
      <x:c r="G43" s="48" t="str">
        <x:v>Definition</x:v>
      </x:c>
      <x:c r="H43" s="48" t="str"/>
      <x:c r="I43" s="48" t="n">
        <x:v>0.97</x:v>
      </x:c>
      <x:c r="J43" s="48" t="n">
        <x:v>0.99</x:v>
      </x:c>
      <x:c r="K43" s="48" t="str">
        <x:v>No</x:v>
      </x:c>
      <x:c r="L43" s="48" t="str">
        <x:v>PDF text</x:v>
      </x:c>
    </x:row>
    <x:row r="44">
      <x:c r="A44" s="48" t="str">
        <x:v>UNI-0043</x:v>
      </x:c>
      <x:c r="B44" s="48" t="str">
        <x:v>RED</x:v>
      </x:c>
      <x:c r="C44" s="48" t="str">
        <x:v>English</x:v>
      </x:c>
      <x:c r="D44" s="48" t="n">
        <x:v>15</x:v>
      </x:c>
      <x:c r="E44" s="48" t="str">
        <x:v>1.1.2.9</x:v>
      </x:c>
      <x:c r="F44" s="48" t="str">
        <x:v>1.1.2.9 “DB” means the person or three persons appointed under Sub-Clause 20.2 [Appointment of the Dispute Board] or Sub-Clause 20.3 [Failure to Agree on the Composition of the Dispute Board].</x:v>
      </x:c>
      <x:c r="G44" s="48" t="str">
        <x:v>Definition</x:v>
      </x:c>
      <x:c r="H44" s="48" t="str"/>
      <x:c r="I44" s="48" t="n">
        <x:v>0.97</x:v>
      </x:c>
      <x:c r="J44" s="48" t="n">
        <x:v>0.99</x:v>
      </x:c>
      <x:c r="K44" s="48" t="str">
        <x:v>No</x:v>
      </x:c>
      <x:c r="L44" s="48" t="str">
        <x:v>PDF text</x:v>
      </x:c>
    </x:row>
    <x:row r="45">
      <x:c r="A45" s="48" t="str">
        <x:v>UNI-0044</x:v>
      </x:c>
      <x:c r="B45" s="48" t="str">
        <x:v>RED</x:v>
      </x:c>
      <x:c r="C45" s="48" t="str">
        <x:v>English</x:v>
      </x:c>
      <x:c r="D45" s="48" t="n">
        <x:v>15</x:v>
      </x:c>
      <x:c r="E45" s="48" t="str">
        <x:v>1.1.2.10</x:v>
      </x:c>
      <x:c r="F45" s="48" t="str">
        <x:v>1.1.2.10 “FIDIC” means the Fédération Internationale des Ingénieurs-Conseils, the</x:v>
      </x:c>
      <x:c r="G45" s="48" t="str">
        <x:v>Definition</x:v>
      </x:c>
      <x:c r="H45" s="48" t="str"/>
      <x:c r="I45" s="48" t="n">
        <x:v>0.97</x:v>
      </x:c>
      <x:c r="J45" s="48" t="n">
        <x:v>0.99</x:v>
      </x:c>
      <x:c r="K45" s="48" t="str">
        <x:v>No</x:v>
      </x:c>
      <x:c r="L45" s="48" t="str">
        <x:v>PDF text</x:v>
      </x:c>
    </x:row>
    <x:row r="46">
      <x:c r="A46" s="48" t="str">
        <x:v>UNI-0045</x:v>
      </x:c>
      <x:c r="B46" s="48" t="str">
        <x:v>RED</x:v>
      </x:c>
      <x:c r="C46" s="48" t="str">
        <x:v>English</x:v>
      </x:c>
      <x:c r="D46" s="48" t="n">
        <x:v>15</x:v>
      </x:c>
      <x:c r="E46" s="48" t="str">
        <x:v>1.1.2.11</x:v>
      </x:c>
      <x:c r="F46" s="48" t="str">
        <x:v>1.1.2.11 “Bank” means the financing institution (if any) named in the Contract Data.</x:v>
      </x:c>
      <x:c r="G46" s="48" t="str">
        <x:v>Definition</x:v>
      </x:c>
      <x:c r="H46" s="48" t="str"/>
      <x:c r="I46" s="48" t="n">
        <x:v>0.97</x:v>
      </x:c>
      <x:c r="J46" s="48" t="n">
        <x:v>0.99</x:v>
      </x:c>
      <x:c r="K46" s="48" t="str">
        <x:v>No</x:v>
      </x:c>
      <x:c r="L46" s="48" t="str">
        <x:v>PDF text</x:v>
      </x:c>
    </x:row>
    <x:row r="47">
      <x:c r="A47" s="48" t="str">
        <x:v>UNI-0046</x:v>
      </x:c>
      <x:c r="B47" s="48" t="str">
        <x:v>RED</x:v>
      </x:c>
      <x:c r="C47" s="48" t="str">
        <x:v>English</x:v>
      </x:c>
      <x:c r="D47" s="48" t="n">
        <x:v>15</x:v>
      </x:c>
      <x:c r="E47" s="48" t="str">
        <x:v>1.1.2.12</x:v>
      </x:c>
      <x:c r="F47" s="48" t="str">
        <x:v>1.1.2.12 “Borrower” means the person (if any) named as the borrower in the</x:v>
      </x:c>
      <x:c r="G47" s="48" t="str">
        <x:v>Definition</x:v>
      </x:c>
      <x:c r="H47" s="48" t="str"/>
      <x:c r="I47" s="48" t="n">
        <x:v>0.97</x:v>
      </x:c>
      <x:c r="J47" s="48" t="n">
        <x:v>0.99</x:v>
      </x:c>
      <x:c r="K47" s="48" t="str">
        <x:v>No</x:v>
      </x:c>
      <x:c r="L47" s="48" t="str">
        <x:v>PDF text</x:v>
      </x:c>
    </x:row>
    <x:row r="48">
      <x:c r="A48" s="48" t="str">
        <x:v>UNI-0047</x:v>
      </x:c>
      <x:c r="B48" s="48" t="str">
        <x:v>RED</x:v>
      </x:c>
      <x:c r="C48" s="48" t="str">
        <x:v>English</x:v>
      </x:c>
      <x:c r="D48" s="48" t="n">
        <x:v>15</x:v>
      </x:c>
      <x:c r="E48" s="48" t="str"/>
      <x:c r="F48" s="48" t="str">
        <x:v>Contract Data.</x:v>
      </x:c>
      <x:c r="G48" s="48" t="str">
        <x:v>Obligation</x:v>
      </x:c>
      <x:c r="H48" s="48" t="str">
        <x:v>Shared</x:v>
      </x:c>
      <x:c r="I48" s="48" t="n">
        <x:v>0.45</x:v>
      </x:c>
      <x:c r="J48" s="48" t="n">
        <x:v>0.4</x:v>
      </x:c>
      <x:c r="K48" s="48" t="str">
        <x:v>Yes</x:v>
      </x:c>
      <x:c r="L48" s="48" t="str">
        <x:v>PDF text</x:v>
      </x:c>
    </x:row>
    <x:row r="49">
      <x:c r="A49" s="48" t="str">
        <x:v>UNI-0048</x:v>
      </x:c>
      <x:c r="B49" s="48" t="str">
        <x:v>RED</x:v>
      </x:c>
      <x:c r="C49" s="48" t="str">
        <x:v>English</x:v>
      </x:c>
      <x:c r="D49" s="48" t="n">
        <x:v>15</x:v>
      </x:c>
      <x:c r="E49" s="48" t="str">
        <x:v>1.1.3.1</x:v>
      </x:c>
      <x:c r="F49" s="48" t="str">
        <x:v>1.1.3.1 “Base Date” means the date 28 days prior to the latest date for submission and Completion of the Tender.</x:v>
      </x:c>
      <x:c r="G49" s="48" t="str">
        <x:v>Definition</x:v>
      </x:c>
      <x:c r="H49" s="48" t="str"/>
      <x:c r="I49" s="48" t="n">
        <x:v>0.97</x:v>
      </x:c>
      <x:c r="J49" s="48" t="n">
        <x:v>0.99</x:v>
      </x:c>
      <x:c r="K49" s="48" t="str">
        <x:v>No</x:v>
      </x:c>
      <x:c r="L49" s="48" t="str">
        <x:v>PDF text</x:v>
      </x:c>
    </x:row>
    <x:row r="50">
      <x:c r="A50" s="48" t="str">
        <x:v>UNI-0049</x:v>
      </x:c>
      <x:c r="B50" s="48" t="str">
        <x:v>RED</x:v>
      </x:c>
      <x:c r="C50" s="48" t="str">
        <x:v>English</x:v>
      </x:c>
      <x:c r="D50" s="48" t="n">
        <x:v>15</x:v>
      </x:c>
      <x:c r="E50" s="48" t="str">
        <x:v>1.1.3.2</x:v>
      </x:c>
      <x:c r="F50" s="48" t="str">
        <x:v>1.1.3.2 “Commencement Date” means the date notified under Sub-Clause 8.1 [Commencement of Works].</x:v>
      </x:c>
      <x:c r="G50" s="48" t="str">
        <x:v>Definition</x:v>
      </x:c>
      <x:c r="H50" s="48" t="str"/>
      <x:c r="I50" s="48" t="n">
        <x:v>0.97</x:v>
      </x:c>
      <x:c r="J50" s="48" t="n">
        <x:v>0.99</x:v>
      </x:c>
      <x:c r="K50" s="48" t="str">
        <x:v>No</x:v>
      </x:c>
      <x:c r="L50" s="48" t="str">
        <x:v>PDF text</x:v>
      </x:c>
    </x:row>
    <x:row r="51">
      <x:c r="A51" s="48" t="str">
        <x:v>UNI-0050</x:v>
      </x:c>
      <x:c r="B51" s="48" t="str">
        <x:v>RED</x:v>
      </x:c>
      <x:c r="C51" s="48" t="str">
        <x:v>English</x:v>
      </x:c>
      <x:c r="D51" s="48" t="n">
        <x:v>15</x:v>
      </x:c>
      <x:c r="E51" s="48" t="str">
        <x:v>1.1.3.3</x:v>
      </x:c>
      <x:c r="F51" s="48" t="str">
        <x:v>1.1.3.3 “Time for Completion” means the time for completing the Works or a Section (as the case may be) under Sub-Clause 8.2 [Time for Completion], as stated in the Contract Data (with any extension under Sub-Clause 8.4 [Extension of Time for Completion]), calculated from the Commencement Date.</x:v>
      </x:c>
      <x:c r="G51" s="48" t="str">
        <x:v>Definition</x:v>
      </x:c>
      <x:c r="H51" s="48" t="str"/>
      <x:c r="I51" s="48" t="n">
        <x:v>0.97</x:v>
      </x:c>
      <x:c r="J51" s="48" t="n">
        <x:v>0.99</x:v>
      </x:c>
      <x:c r="K51" s="48" t="str">
        <x:v>No</x:v>
      </x:c>
      <x:c r="L51" s="48" t="str">
        <x:v>PDF text</x:v>
      </x:c>
    </x:row>
    <x:row r="52">
      <x:c r="A52" s="48" t="str">
        <x:v>UNI-0051</x:v>
      </x:c>
      <x:c r="B52" s="48" t="str">
        <x:v>RED</x:v>
      </x:c>
      <x:c r="C52" s="48" t="str">
        <x:v>English</x:v>
      </x:c>
      <x:c r="D52" s="48" t="n">
        <x:v>15</x:v>
      </x:c>
      <x:c r="E52" s="48" t="str"/>
      <x:c r="F52" s="48" t="str">
        <x:v>Parties and Persons</x:v>
      </x:c>
      <x:c r="G52" s="48" t="str">
        <x:v>Obligation</x:v>
      </x:c>
      <x:c r="H52" s="48" t="str">
        <x:v>Shared</x:v>
      </x:c>
      <x:c r="I52" s="48" t="n">
        <x:v>0.45</x:v>
      </x:c>
      <x:c r="J52" s="48" t="n">
        <x:v>0.4</x:v>
      </x:c>
      <x:c r="K52" s="48" t="str">
        <x:v>Yes</x:v>
      </x:c>
      <x:c r="L52" s="48" t="str">
        <x:v>PDF text</x:v>
      </x:c>
    </x:row>
    <x:row r="53">
      <x:c r="A53" s="48" t="str">
        <x:v>UNI-0052</x:v>
      </x:c>
      <x:c r="B53" s="48" t="str">
        <x:v>RED</x:v>
      </x:c>
      <x:c r="C53" s="48" t="str">
        <x:v>English</x:v>
      </x:c>
      <x:c r="D53" s="48" t="n">
        <x:v>15</x:v>
      </x:c>
      <x:c r="E53" s="48" t="str"/>
      <x:c r="F53" s="48" t="str">
        <x:v>Dates, Tests, Periods</x:v>
      </x:c>
      <x:c r="G53" s="48" t="str">
        <x:v>Obligation</x:v>
      </x:c>
      <x:c r="H53" s="48" t="str">
        <x:v>Shared</x:v>
      </x:c>
      <x:c r="I53" s="48" t="n">
        <x:v>0.45</x:v>
      </x:c>
      <x:c r="J53" s="48" t="n">
        <x:v>0.4</x:v>
      </x:c>
      <x:c r="K53" s="48" t="str">
        <x:v>Yes</x:v>
      </x:c>
      <x:c r="L53" s="48" t="str">
        <x:v>PDF text</x:v>
      </x:c>
    </x:row>
    <x:row r="54">
      <x:c r="A54" s="48" t="str">
        <x:v>UNI-0053</x:v>
      </x:c>
      <x:c r="B54" s="48" t="str">
        <x:v>RED</x:v>
      </x:c>
      <x:c r="C54" s="48" t="str">
        <x:v>English</x:v>
      </x:c>
      <x:c r="D54" s="48" t="n">
        <x:v>15</x:v>
      </x:c>
      <x:c r="E54" s="48" t="str"/>
      <x:c r="F54" s="48" t="str">
        <x:v>and Completion</x:v>
      </x:c>
      <x:c r="G54" s="48" t="str">
        <x:v>Obligation</x:v>
      </x:c>
      <x:c r="H54" s="48" t="str">
        <x:v>Shared</x:v>
      </x:c>
      <x:c r="I54" s="48" t="n">
        <x:v>0.45</x:v>
      </x:c>
      <x:c r="J54" s="48" t="n">
        <x:v>0.4</x:v>
      </x:c>
      <x:c r="K54" s="48" t="str">
        <x:v>Yes</x:v>
      </x:c>
      <x:c r="L54" s="48" t="str">
        <x:v>PDF text</x:v>
      </x:c>
    </x:row>
    <x:row r="55">
      <x:c r="A55" s="48" t="str">
        <x:v>UNI-0054</x:v>
      </x:c>
      <x:c r="B55" s="48" t="str">
        <x:v>RED</x:v>
      </x:c>
      <x:c r="C55" s="48" t="str">
        <x:v>English</x:v>
      </x:c>
      <x:c r="D55" s="48" t="n">
        <x:v>16</x:v>
      </x:c>
      <x:c r="E55" s="48" t="str">
        <x:v>1.1.3.4</x:v>
      </x:c>
      <x:c r="F55" s="48" t="str">
        <x:v>1.1.3.4 “Tests on Completion” means the tests which are specified in the Contract or agreed by both Parties or instructed as a Variation, and which are carried out under Clause 9 [Tests on Completion] before the Works or a Section (as the case may be) are taken over by the Employer.</x:v>
      </x:c>
      <x:c r="G55" s="48" t="str">
        <x:v>Definition</x:v>
      </x:c>
      <x:c r="H55" s="48" t="str"/>
      <x:c r="I55" s="48" t="n">
        <x:v>0.97</x:v>
      </x:c>
      <x:c r="J55" s="48" t="n">
        <x:v>0.99</x:v>
      </x:c>
      <x:c r="K55" s="48" t="str">
        <x:v>No</x:v>
      </x:c>
      <x:c r="L55" s="48" t="str">
        <x:v>PDF text</x:v>
      </x:c>
    </x:row>
    <x:row r="56">
      <x:c r="A56" s="48" t="str">
        <x:v>UNI-0055</x:v>
      </x:c>
      <x:c r="B56" s="48" t="str">
        <x:v>RED</x:v>
      </x:c>
      <x:c r="C56" s="48" t="str">
        <x:v>English</x:v>
      </x:c>
      <x:c r="D56" s="48" t="n">
        <x:v>16</x:v>
      </x:c>
      <x:c r="E56" s="48" t="str">
        <x:v>1.1.3.5</x:v>
      </x:c>
      <x:c r="F56" s="48" t="str">
        <x:v>1.1.3.5 “Taking-Over Certificate” means a certificate issued under Clause 10 [Employer’s Taking Over].</x:v>
      </x:c>
      <x:c r="G56" s="48" t="str">
        <x:v>Definition</x:v>
      </x:c>
      <x:c r="H56" s="48" t="str"/>
      <x:c r="I56" s="48" t="n">
        <x:v>0.97</x:v>
      </x:c>
      <x:c r="J56" s="48" t="n">
        <x:v>0.99</x:v>
      </x:c>
      <x:c r="K56" s="48" t="str">
        <x:v>No</x:v>
      </x:c>
      <x:c r="L56" s="48" t="str">
        <x:v>PDF text</x:v>
      </x:c>
    </x:row>
    <x:row r="57">
      <x:c r="A57" s="48" t="str">
        <x:v>UNI-0056</x:v>
      </x:c>
      <x:c r="B57" s="48" t="str">
        <x:v>RED</x:v>
      </x:c>
      <x:c r="C57" s="48" t="str">
        <x:v>English</x:v>
      </x:c>
      <x:c r="D57" s="48" t="n">
        <x:v>16</x:v>
      </x:c>
      <x:c r="E57" s="48" t="str">
        <x:v>1.1.3.6</x:v>
      </x:c>
      <x:c r="F57" s="48" t="str">
        <x:v>1.1.3.6 “Tests after Completion” means the tests (if any) which are specified in the</x:v>
      </x:c>
      <x:c r="G57" s="48" t="str">
        <x:v>Definition</x:v>
      </x:c>
      <x:c r="H57" s="48" t="str"/>
      <x:c r="I57" s="48" t="n">
        <x:v>0.97</x:v>
      </x:c>
      <x:c r="J57" s="48" t="n">
        <x:v>0.99</x:v>
      </x:c>
      <x:c r="K57" s="48" t="str">
        <x:v>No</x:v>
      </x:c>
      <x:c r="L57" s="48" t="str">
        <x:v>PDF text</x:v>
      </x:c>
    </x:row>
    <x:row r="58">
      <x:c r="A58" s="48" t="str">
        <x:v>UNI-0057</x:v>
      </x:c>
      <x:c r="B58" s="48" t="str">
        <x:v>RED</x:v>
      </x:c>
      <x:c r="C58" s="48" t="str">
        <x:v>English</x:v>
      </x:c>
      <x:c r="D58" s="48" t="n">
        <x:v>16</x:v>
      </x:c>
      <x:c r="E58" s="48" t="str"/>
      <x:c r="F58" s="48" t="str">
        <x:v>Contract and which are carried out in accordance with the Specification</x:v>
      </x:c>
      <x:c r="G58" s="48" t="str">
        <x:v>Obligation</x:v>
      </x:c>
      <x:c r="H58" s="48" t="str">
        <x:v>Shared</x:v>
      </x:c>
      <x:c r="I58" s="48" t="n">
        <x:v>0.45</x:v>
      </x:c>
      <x:c r="J58" s="48" t="n">
        <x:v>0.4</x:v>
      </x:c>
      <x:c r="K58" s="48" t="str">
        <x:v>Yes</x:v>
      </x:c>
      <x:c r="L58" s="48" t="str">
        <x:v>PDF text</x:v>
      </x:c>
    </x:row>
    <x:row r="59">
      <x:c r="A59" s="48" t="str">
        <x:v>UNI-0058</x:v>
      </x:c>
      <x:c r="B59" s="48" t="str">
        <x:v>RED</x:v>
      </x:c>
      <x:c r="C59" s="48" t="str">
        <x:v>English</x:v>
      </x:c>
      <x:c r="D59" s="48" t="n">
        <x:v>16</x:v>
      </x:c>
      <x:c r="E59" s="48" t="str"/>
      <x:c r="F59" s="48" t="str">
        <x:v>after the Works or a Section (as the case may be) are taken over by the Employer.</x:v>
      </x:c>
      <x:c r="G59" s="48" t="str">
        <x:v>Right</x:v>
      </x:c>
      <x:c r="H59" s="48" t="str">
        <x:v>Employer</x:v>
      </x:c>
      <x:c r="I59" s="48" t="n">
        <x:v>0.78</x:v>
      </x:c>
      <x:c r="J59" s="48" t="n">
        <x:v>0.68</x:v>
      </x:c>
      <x:c r="K59" s="48" t="str">
        <x:v>Yes</x:v>
      </x:c>
      <x:c r="L59" s="48" t="str">
        <x:v>PDF text</x:v>
      </x:c>
    </x:row>
    <x:row r="60">
      <x:c r="A60" s="48" t="str">
        <x:v>UNI-0059</x:v>
      </x:c>
      <x:c r="B60" s="48" t="str">
        <x:v>RED</x:v>
      </x:c>
      <x:c r="C60" s="48" t="str">
        <x:v>English</x:v>
      </x:c>
      <x:c r="D60" s="48" t="n">
        <x:v>16</x:v>
      </x:c>
      <x:c r="E60" s="48" t="str">
        <x:v>1.1.3.7</x:v>
      </x:c>
      <x:c r="F60" s="48" t="str">
        <x:v>1.1.3.7 “Defects Notification Period” means the period for notifying defects in the Works or a Section (as the case may be) under Sub-Clause 11.1 [Completion of Outstanding Work and Remedying Defects], as stated in the Contract Data (with any extension under Sub-Clause 11.3 [Extension of Defects Notification Period]), calculated from the date on which the Works or Section is completed as certified under Sub-Clause 10.1 [Taking Over of the Works and Sections].</x:v>
      </x:c>
      <x:c r="G60" s="48" t="str">
        <x:v>Definition</x:v>
      </x:c>
      <x:c r="H60" s="48" t="str"/>
      <x:c r="I60" s="48" t="n">
        <x:v>0.97</x:v>
      </x:c>
      <x:c r="J60" s="48" t="n">
        <x:v>0.99</x:v>
      </x:c>
      <x:c r="K60" s="48" t="str">
        <x:v>No</x:v>
      </x:c>
      <x:c r="L60" s="48" t="str">
        <x:v>PDF text</x:v>
      </x:c>
    </x:row>
    <x:row r="61">
      <x:c r="A61" s="48" t="str">
        <x:v>UNI-0060</x:v>
      </x:c>
      <x:c r="B61" s="48" t="str">
        <x:v>RED</x:v>
      </x:c>
      <x:c r="C61" s="48" t="str">
        <x:v>English</x:v>
      </x:c>
      <x:c r="D61" s="48" t="n">
        <x:v>16</x:v>
      </x:c>
      <x:c r="E61" s="48" t="str">
        <x:v>1.1.3.8</x:v>
      </x:c>
      <x:c r="F61" s="48" t="str">
        <x:v>1.1.3.8 “Performance Certificate” means the certificate issued under Sub-Clause</x:v>
      </x:c>
      <x:c r="G61" s="48" t="str">
        <x:v>Definition</x:v>
      </x:c>
      <x:c r="H61" s="48" t="str"/>
      <x:c r="I61" s="48" t="n">
        <x:v>0.97</x:v>
      </x:c>
      <x:c r="J61" s="48" t="n">
        <x:v>0.99</x:v>
      </x:c>
      <x:c r="K61" s="48" t="str">
        <x:v>No</x:v>
      </x:c>
      <x:c r="L61" s="48" t="str">
        <x:v>PDF text</x:v>
      </x:c>
    </x:row>
    <x:row r="62">
      <x:c r="A62" s="48" t="str">
        <x:v>UNI-0061</x:v>
      </x:c>
      <x:c r="B62" s="48" t="str">
        <x:v>RED</x:v>
      </x:c>
      <x:c r="C62" s="48" t="str">
        <x:v>English</x:v>
      </x:c>
      <x:c r="D62" s="48" t="n">
        <x:v>16</x:v>
      </x:c>
      <x:c r="E62" s="48" t="str">
        <x:v>11.9</x:v>
      </x:c>
      <x:c r="F62" s="48" t="str">
        <x:v>11.9 [Performance Certificate].</x:v>
      </x:c>
      <x:c r="G62" s="48" t="str">
        <x:v>Obligation</x:v>
      </x:c>
      <x:c r="H62" s="48" t="str">
        <x:v>Shared</x:v>
      </x:c>
      <x:c r="I62" s="48" t="n">
        <x:v>0.55</x:v>
      </x:c>
      <x:c r="J62" s="48" t="n">
        <x:v>0.4</x:v>
      </x:c>
      <x:c r="K62" s="48" t="str">
        <x:v>Yes</x:v>
      </x:c>
      <x:c r="L62" s="48" t="str">
        <x:v>PDF text</x:v>
      </x:c>
    </x:row>
    <x:row r="63">
      <x:c r="A63" s="48" t="str">
        <x:v>UNI-0062</x:v>
      </x:c>
      <x:c r="B63" s="48" t="str">
        <x:v>RED</x:v>
      </x:c>
      <x:c r="C63" s="48" t="str">
        <x:v>English</x:v>
      </x:c>
      <x:c r="D63" s="48" t="n">
        <x:v>16</x:v>
      </x:c>
      <x:c r="E63" s="48" t="str">
        <x:v>1.1.3.9</x:v>
      </x:c>
      <x:c r="F63" s="48" t="str">
        <x:v>1.1.3.9 “day” means a calendar day and “year” means 365 days.</x:v>
      </x:c>
      <x:c r="G63" s="48" t="str">
        <x:v>Definition</x:v>
      </x:c>
      <x:c r="H63" s="48" t="str"/>
      <x:c r="I63" s="48" t="n">
        <x:v>0.97</x:v>
      </x:c>
      <x:c r="J63" s="48" t="n">
        <x:v>0.99</x:v>
      </x:c>
      <x:c r="K63" s="48" t="str">
        <x:v>No</x:v>
      </x:c>
      <x:c r="L63" s="48" t="str">
        <x:v>PDF text</x:v>
      </x:c>
    </x:row>
    <x:row r="64">
      <x:c r="A64" s="48" t="str">
        <x:v>UNI-0063</x:v>
      </x:c>
      <x:c r="B64" s="48" t="str">
        <x:v>RED</x:v>
      </x:c>
      <x:c r="C64" s="48" t="str">
        <x:v>English</x:v>
      </x:c>
      <x:c r="D64" s="48" t="n">
        <x:v>16</x:v>
      </x:c>
      <x:c r="E64" s="48" t="str">
        <x:v>1.1.4.1</x:v>
      </x:c>
      <x:c r="F64" s="48" t="str">
        <x:v>1.1.4.1 “Accepted Contract Amount” means the amount accepted in the Letter of</x:v>
      </x:c>
      <x:c r="G64" s="48" t="str">
        <x:v>Definition</x:v>
      </x:c>
      <x:c r="H64" s="48" t="str"/>
      <x:c r="I64" s="48" t="n">
        <x:v>0.97</x:v>
      </x:c>
      <x:c r="J64" s="48" t="n">
        <x:v>0.99</x:v>
      </x:c>
      <x:c r="K64" s="48" t="str">
        <x:v>No</x:v>
      </x:c>
      <x:c r="L64" s="48" t="str">
        <x:v>PDF text</x:v>
      </x:c>
    </x:row>
    <x:row r="65">
      <x:c r="A65" s="48" t="str">
        <x:v>UNI-0064</x:v>
      </x:c>
      <x:c r="B65" s="48" t="str">
        <x:v>RED</x:v>
      </x:c>
      <x:c r="C65" s="48" t="str">
        <x:v>English</x:v>
      </x:c>
      <x:c r="D65" s="48" t="n">
        <x:v>16</x:v>
      </x:c>
      <x:c r="E65" s="48" t="str"/>
      <x:c r="F65" s="48" t="str">
        <x:v>Acceptance for the execution and completion of the Works and the</x:v>
      </x:c>
      <x:c r="G65" s="48" t="str">
        <x:v>Obligation</x:v>
      </x:c>
      <x:c r="H65" s="48" t="str">
        <x:v>Shared</x:v>
      </x:c>
      <x:c r="I65" s="48" t="n">
        <x:v>0.45</x:v>
      </x:c>
      <x:c r="J65" s="48" t="n">
        <x:v>0.4</x:v>
      </x:c>
      <x:c r="K65" s="48" t="str">
        <x:v>Yes</x:v>
      </x:c>
      <x:c r="L65" s="48" t="str">
        <x:v>PDF text</x:v>
      </x:c>
    </x:row>
    <x:row r="66">
      <x:c r="A66" s="48" t="str">
        <x:v>UNI-0065</x:v>
      </x:c>
      <x:c r="B66" s="48" t="str">
        <x:v>RED</x:v>
      </x:c>
      <x:c r="C66" s="48" t="str">
        <x:v>English</x:v>
      </x:c>
      <x:c r="D66" s="48" t="n">
        <x:v>16</x:v>
      </x:c>
      <x:c r="E66" s="48" t="str"/>
      <x:c r="F66" s="48" t="str">
        <x:v>remedying of any defects.</x:v>
      </x:c>
      <x:c r="G66" s="48" t="str">
        <x:v>Obligation</x:v>
      </x:c>
      <x:c r="H66" s="48" t="str">
        <x:v>Shared</x:v>
      </x:c>
      <x:c r="I66" s="48" t="n">
        <x:v>0.45</x:v>
      </x:c>
      <x:c r="J66" s="48" t="n">
        <x:v>0.4</x:v>
      </x:c>
      <x:c r="K66" s="48" t="str">
        <x:v>Yes</x:v>
      </x:c>
      <x:c r="L66" s="48" t="str">
        <x:v>PDF text</x:v>
      </x:c>
    </x:row>
    <x:row r="67">
      <x:c r="A67" s="48" t="str">
        <x:v>UNI-0066</x:v>
      </x:c>
      <x:c r="B67" s="48" t="str">
        <x:v>RED</x:v>
      </x:c>
      <x:c r="C67" s="48" t="str">
        <x:v>English</x:v>
      </x:c>
      <x:c r="D67" s="48" t="n">
        <x:v>16</x:v>
      </x:c>
      <x:c r="E67" s="48" t="str">
        <x:v>1.1.4.2</x:v>
      </x:c>
      <x:c r="F67" s="48" t="str">
        <x:v>1.1.4.2 “Contract Price” means the price defined in Sub-Clause 14.1 [The Contract Price], and includes adjustments in accordance with the Contract.</x:v>
      </x:c>
      <x:c r="G67" s="48" t="str">
        <x:v>Definition</x:v>
      </x:c>
      <x:c r="H67" s="48" t="str"/>
      <x:c r="I67" s="48" t="n">
        <x:v>0.97</x:v>
      </x:c>
      <x:c r="J67" s="48" t="n">
        <x:v>0.99</x:v>
      </x:c>
      <x:c r="K67" s="48" t="str">
        <x:v>No</x:v>
      </x:c>
      <x:c r="L67" s="48" t="str">
        <x:v>PDF text</x:v>
      </x:c>
    </x:row>
    <x:row r="68">
      <x:c r="A68" s="48" t="str">
        <x:v>UNI-0067</x:v>
      </x:c>
      <x:c r="B68" s="48" t="str">
        <x:v>RED</x:v>
      </x:c>
      <x:c r="C68" s="48" t="str">
        <x:v>English</x:v>
      </x:c>
      <x:c r="D68" s="48" t="n">
        <x:v>16</x:v>
      </x:c>
      <x:c r="E68" s="48" t="str">
        <x:v>1.1.4.3</x:v>
      </x:c>
      <x:c r="F68" s="48" t="str">
        <x:v>1.1.4.3 “Cost” means all expenditure reasonably incurred (or to be incurred) by the</x:v>
      </x:c>
      <x:c r="G68" s="48" t="str">
        <x:v>Definition</x:v>
      </x:c>
      <x:c r="H68" s="48" t="str"/>
      <x:c r="I68" s="48" t="n">
        <x:v>0.97</x:v>
      </x:c>
      <x:c r="J68" s="48" t="n">
        <x:v>0.99</x:v>
      </x:c>
      <x:c r="K68" s="48" t="str">
        <x:v>No</x:v>
      </x:c>
      <x:c r="L68" s="48" t="str">
        <x:v>PDF text</x:v>
      </x:c>
    </x:row>
    <x:row r="69">
      <x:c r="A69" s="48" t="str">
        <x:v>UNI-0068</x:v>
      </x:c>
      <x:c r="B69" s="48" t="str">
        <x:v>RED</x:v>
      </x:c>
      <x:c r="C69" s="48" t="str">
        <x:v>English</x:v>
      </x:c>
      <x:c r="D69" s="48" t="n">
        <x:v>16</x:v>
      </x:c>
      <x:c r="E69" s="48" t="str"/>
      <x:c r="F69" s="48" t="str">
        <x:v>Contractor, whether on or off the Site, including overhead and similar</x:v>
      </x:c>
      <x:c r="G69" s="48" t="str">
        <x:v>Obligation</x:v>
      </x:c>
      <x:c r="H69" s="48" t="str">
        <x:v>Contractor</x:v>
      </x:c>
      <x:c r="I69" s="48" t="n">
        <x:v>0.45</x:v>
      </x:c>
      <x:c r="J69" s="48" t="n">
        <x:v>0.68</x:v>
      </x:c>
      <x:c r="K69" s="48" t="str">
        <x:v>Yes</x:v>
      </x:c>
      <x:c r="L69" s="48" t="str">
        <x:v>PDF text</x:v>
      </x:c>
    </x:row>
    <x:row r="70">
      <x:c r="A70" s="48" t="str">
        <x:v>UNI-0069</x:v>
      </x:c>
      <x:c r="B70" s="48" t="str">
        <x:v>RED</x:v>
      </x:c>
      <x:c r="C70" s="48" t="str">
        <x:v>English</x:v>
      </x:c>
      <x:c r="D70" s="48" t="n">
        <x:v>16</x:v>
      </x:c>
      <x:c r="E70" s="48" t="str"/>
      <x:c r="F70" s="48" t="str">
        <x:v>charges, but does not include profit.</x:v>
      </x:c>
      <x:c r="G70" s="48" t="str">
        <x:v>Obligation</x:v>
      </x:c>
      <x:c r="H70" s="48" t="str">
        <x:v>Shared</x:v>
      </x:c>
      <x:c r="I70" s="48" t="n">
        <x:v>0.45</x:v>
      </x:c>
      <x:c r="J70" s="48" t="n">
        <x:v>0.4</x:v>
      </x:c>
      <x:c r="K70" s="48" t="str">
        <x:v>Yes</x:v>
      </x:c>
      <x:c r="L70" s="48" t="str">
        <x:v>PDF text</x:v>
      </x:c>
    </x:row>
    <x:row r="71">
      <x:c r="A71" s="48" t="str">
        <x:v>UNI-0070</x:v>
      </x:c>
      <x:c r="B71" s="48" t="str">
        <x:v>RED</x:v>
      </x:c>
      <x:c r="C71" s="48" t="str">
        <x:v>English</x:v>
      </x:c>
      <x:c r="D71" s="48" t="n">
        <x:v>16</x:v>
      </x:c>
      <x:c r="E71" s="48" t="str">
        <x:v>1.1.4.4</x:v>
      </x:c>
      <x:c r="F71" s="48" t="str">
        <x:v>1.1.4.4 “Final Payment Certificate” means the payment certificate issued under Sub-Clause 14.13 [Issue of Final Payment Certificate].</x:v>
      </x:c>
      <x:c r="G71" s="48" t="str">
        <x:v>Definition</x:v>
      </x:c>
      <x:c r="H71" s="48" t="str"/>
      <x:c r="I71" s="48" t="n">
        <x:v>0.97</x:v>
      </x:c>
      <x:c r="J71" s="48" t="n">
        <x:v>0.99</x:v>
      </x:c>
      <x:c r="K71" s="48" t="str">
        <x:v>No</x:v>
      </x:c>
      <x:c r="L71" s="48" t="str">
        <x:v>PDF text</x:v>
      </x:c>
    </x:row>
    <x:row r="72">
      <x:c r="A72" s="48" t="str">
        <x:v>UNI-0071</x:v>
      </x:c>
      <x:c r="B72" s="48" t="str">
        <x:v>RED</x:v>
      </x:c>
      <x:c r="C72" s="48" t="str">
        <x:v>English</x:v>
      </x:c>
      <x:c r="D72" s="48" t="n">
        <x:v>16</x:v>
      </x:c>
      <x:c r="E72" s="48" t="str">
        <x:v>1.1.4.5</x:v>
      </x:c>
      <x:c r="F72" s="48" t="str">
        <x:v>1.1.4.5 “Final Statement” means the statement defined in Sub-Clause 14.11 [Application for Final Payment Certificate].</x:v>
      </x:c>
      <x:c r="G72" s="48" t="str">
        <x:v>Definition</x:v>
      </x:c>
      <x:c r="H72" s="48" t="str"/>
      <x:c r="I72" s="48" t="n">
        <x:v>0.97</x:v>
      </x:c>
      <x:c r="J72" s="48" t="n">
        <x:v>0.99</x:v>
      </x:c>
      <x:c r="K72" s="48" t="str">
        <x:v>No</x:v>
      </x:c>
      <x:c r="L72" s="48" t="str">
        <x:v>PDF text</x:v>
      </x:c>
    </x:row>
    <x:row r="73">
      <x:c r="A73" s="48" t="str">
        <x:v>UNI-0072</x:v>
      </x:c>
      <x:c r="B73" s="48" t="str">
        <x:v>RED</x:v>
      </x:c>
      <x:c r="C73" s="48" t="str">
        <x:v>English</x:v>
      </x:c>
      <x:c r="D73" s="48" t="n">
        <x:v>16</x:v>
      </x:c>
      <x:c r="E73" s="48" t="str">
        <x:v>1.1.4.6</x:v>
      </x:c>
      <x:c r="F73" s="48" t="str">
        <x:v>1.1.4.6 “Foreign Currency” means a currency in which part (or all) of the Contract Price is payable, but not the Local Currency.</x:v>
      </x:c>
      <x:c r="G73" s="48" t="str">
        <x:v>Definition</x:v>
      </x:c>
      <x:c r="H73" s="48" t="str"/>
      <x:c r="I73" s="48" t="n">
        <x:v>0.97</x:v>
      </x:c>
      <x:c r="J73" s="48" t="n">
        <x:v>0.99</x:v>
      </x:c>
      <x:c r="K73" s="48" t="str">
        <x:v>No</x:v>
      </x:c>
      <x:c r="L73" s="48" t="str">
        <x:v>PDF text</x:v>
      </x:c>
    </x:row>
    <x:row r="74">
      <x:c r="A74" s="48" t="str">
        <x:v>UNI-0073</x:v>
      </x:c>
      <x:c r="B74" s="48" t="str">
        <x:v>RED</x:v>
      </x:c>
      <x:c r="C74" s="48" t="str">
        <x:v>English</x:v>
      </x:c>
      <x:c r="D74" s="48" t="n">
        <x:v>16</x:v>
      </x:c>
      <x:c r="E74" s="48" t="str">
        <x:v>1.1.4.7</x:v>
      </x:c>
      <x:c r="F74" s="48" t="str">
        <x:v>1.1.4.7 “Interim Payment Certificate” means a payment certificate issued under Clause 14 [Contract Price and Payment], other than the Final Payment Certificate.</x:v>
      </x:c>
      <x:c r="G74" s="48" t="str">
        <x:v>Definition</x:v>
      </x:c>
      <x:c r="H74" s="48" t="str"/>
      <x:c r="I74" s="48" t="n">
        <x:v>0.97</x:v>
      </x:c>
      <x:c r="J74" s="48" t="n">
        <x:v>0.99</x:v>
      </x:c>
      <x:c r="K74" s="48" t="str">
        <x:v>No</x:v>
      </x:c>
      <x:c r="L74" s="48" t="str">
        <x:v>PDF text</x:v>
      </x:c>
    </x:row>
    <x:row r="75">
      <x:c r="A75" s="48" t="str">
        <x:v>UNI-0074</x:v>
      </x:c>
      <x:c r="B75" s="48" t="str">
        <x:v>RED</x:v>
      </x:c>
      <x:c r="C75" s="48" t="str">
        <x:v>English</x:v>
      </x:c>
      <x:c r="D75" s="48" t="n">
        <x:v>16</x:v>
      </x:c>
      <x:c r="E75" s="48" t="str">
        <x:v>1.1.4.8</x:v>
      </x:c>
      <x:c r="F75" s="48" t="str">
        <x:v>1.1.4.8 “Local Currency” means the currency of the Country.</x:v>
      </x:c>
      <x:c r="G75" s="48" t="str">
        <x:v>Definition</x:v>
      </x:c>
      <x:c r="H75" s="48" t="str"/>
      <x:c r="I75" s="48" t="n">
        <x:v>0.97</x:v>
      </x:c>
      <x:c r="J75" s="48" t="n">
        <x:v>0.99</x:v>
      </x:c>
      <x:c r="K75" s="48" t="str">
        <x:v>No</x:v>
      </x:c>
      <x:c r="L75" s="48" t="str">
        <x:v>PDF text</x:v>
      </x:c>
    </x:row>
    <x:row r="76">
      <x:c r="A76" s="48" t="str">
        <x:v>UNI-0075</x:v>
      </x:c>
      <x:c r="B76" s="48" t="str">
        <x:v>RED</x:v>
      </x:c>
      <x:c r="C76" s="48" t="str">
        <x:v>English</x:v>
      </x:c>
      <x:c r="D76" s="48" t="n">
        <x:v>16</x:v>
      </x:c>
      <x:c r="E76" s="48" t="str">
        <x:v>1.1.4.9</x:v>
      </x:c>
      <x:c r="F76" s="48" t="str">
        <x:v>1.1.4.9 “Payment Certificate” means a payment certificate issued under Clause 14 [Contract Price and Payment].</x:v>
      </x:c>
      <x:c r="G76" s="48" t="str">
        <x:v>Definition</x:v>
      </x:c>
      <x:c r="H76" s="48" t="str"/>
      <x:c r="I76" s="48" t="n">
        <x:v>0.97</x:v>
      </x:c>
      <x:c r="J76" s="48" t="n">
        <x:v>0.99</x:v>
      </x:c>
      <x:c r="K76" s="48" t="str">
        <x:v>No</x:v>
      </x:c>
      <x:c r="L76" s="48" t="str">
        <x:v>PDF text</x:v>
      </x:c>
    </x:row>
    <x:row r="77">
      <x:c r="A77" s="48" t="str">
        <x:v>UNI-0076</x:v>
      </x:c>
      <x:c r="B77" s="48" t="str">
        <x:v>RED</x:v>
      </x:c>
      <x:c r="C77" s="48" t="str">
        <x:v>English</x:v>
      </x:c>
      <x:c r="D77" s="48" t="n">
        <x:v>16</x:v>
      </x:c>
      <x:c r="E77" s="48" t="str">
        <x:v>1.1.4.10</x:v>
      </x:c>
      <x:c r="F77" s="48" t="str">
        <x:v>1.1.4.10 “Provisional Sum” means a sum (if any) which is specified in the Contract as</x:v>
      </x:c>
      <x:c r="G77" s="48" t="str">
        <x:v>Definition</x:v>
      </x:c>
      <x:c r="H77" s="48" t="str"/>
      <x:c r="I77" s="48" t="n">
        <x:v>0.97</x:v>
      </x:c>
      <x:c r="J77" s="48" t="n">
        <x:v>0.99</x:v>
      </x:c>
      <x:c r="K77" s="48" t="str">
        <x:v>No</x:v>
      </x:c>
      <x:c r="L77" s="48" t="str">
        <x:v>PDF text</x:v>
      </x:c>
    </x:row>
    <x:row r="78">
      <x:c r="A78" s="48" t="str">
        <x:v>UNI-0077</x:v>
      </x:c>
      <x:c r="B78" s="48" t="str">
        <x:v>RED</x:v>
      </x:c>
      <x:c r="C78" s="48" t="str">
        <x:v>English</x:v>
      </x:c>
      <x:c r="D78" s="48" t="n">
        <x:v>16</x:v>
      </x:c>
      <x:c r="E78" s="48" t="str"/>
      <x:c r="F78" s="48" t="str">
        <x:v>Money and Payments</x:v>
      </x:c>
      <x:c r="G78" s="48" t="str">
        <x:v>Obligation</x:v>
      </x:c>
      <x:c r="H78" s="48" t="str">
        <x:v>Shared</x:v>
      </x:c>
      <x:c r="I78" s="48" t="n">
        <x:v>0.45</x:v>
      </x:c>
      <x:c r="J78" s="48" t="n">
        <x:v>0.4</x:v>
      </x:c>
      <x:c r="K78" s="48" t="str">
        <x:v>Yes</x:v>
      </x:c>
      <x:c r="L78" s="48" t="str">
        <x:v>PDF text</x:v>
      </x:c>
    </x:row>
    <x:row r="79">
      <x:c r="A79" s="48" t="str">
        <x:v>UNI-0078</x:v>
      </x:c>
      <x:c r="B79" s="48" t="str">
        <x:v>RED</x:v>
      </x:c>
      <x:c r="C79" s="48" t="str">
        <x:v>English</x:v>
      </x:c>
      <x:c r="D79" s="48" t="n">
        <x:v>17</x:v>
      </x:c>
      <x:c r="E79" s="48" t="str"/>
      <x:c r="F79" s="48" t="str">
        <x:v>a provisional sum, for the execution of any part of the Works or for the supply of Plant, Materials or services under Sub-Clause 13.5 [Provisional Sums].</x:v>
      </x:c>
      <x:c r="G79" s="48" t="str">
        <x:v>Obligation</x:v>
      </x:c>
      <x:c r="H79" s="48" t="str">
        <x:v>Shared</x:v>
      </x:c>
      <x:c r="I79" s="48" t="n">
        <x:v>0.45</x:v>
      </x:c>
      <x:c r="J79" s="48" t="n">
        <x:v>0.4</x:v>
      </x:c>
      <x:c r="K79" s="48" t="str">
        <x:v>Yes</x:v>
      </x:c>
      <x:c r="L79" s="48" t="str">
        <x:v>PDF text</x:v>
      </x:c>
    </x:row>
    <x:row r="80">
      <x:c r="A80" s="48" t="str">
        <x:v>UNI-0079</x:v>
      </x:c>
      <x:c r="B80" s="48" t="str">
        <x:v>RED</x:v>
      </x:c>
      <x:c r="C80" s="48" t="str">
        <x:v>English</x:v>
      </x:c>
      <x:c r="D80" s="48" t="n">
        <x:v>17</x:v>
      </x:c>
      <x:c r="E80" s="48" t="str">
        <x:v>1.1.4.11</x:v>
      </x:c>
      <x:c r="F80" s="48" t="str">
        <x:v>1.1.4.11 “Retention Money” means the accumulated retention moneys which the</x:v>
      </x:c>
      <x:c r="G80" s="48" t="str">
        <x:v>Definition</x:v>
      </x:c>
      <x:c r="H80" s="48" t="str"/>
      <x:c r="I80" s="48" t="n">
        <x:v>0.97</x:v>
      </x:c>
      <x:c r="J80" s="48" t="n">
        <x:v>0.99</x:v>
      </x:c>
      <x:c r="K80" s="48" t="str">
        <x:v>No</x:v>
      </x:c>
      <x:c r="L80" s="48" t="str">
        <x:v>PDF text</x:v>
      </x:c>
    </x:row>
    <x:row r="81">
      <x:c r="A81" s="48" t="str">
        <x:v>UNI-0080</x:v>
      </x:c>
      <x:c r="B81" s="48" t="str">
        <x:v>RED</x:v>
      </x:c>
      <x:c r="C81" s="48" t="str">
        <x:v>English</x:v>
      </x:c>
      <x:c r="D81" s="48" t="n">
        <x:v>17</x:v>
      </x:c>
      <x:c r="E81" s="48" t="str"/>
      <x:c r="F81" s="48" t="str">
        <x:v>Employer retains under Sub-Clause 14.3 [Application for Interim Payment Certificates] and pays under Sub-Clause 14.9 [Payment of Retention Money].</x:v>
      </x:c>
      <x:c r="G81" s="48" t="str">
        <x:v>Obligation</x:v>
      </x:c>
      <x:c r="H81" s="48" t="str">
        <x:v>Employer</x:v>
      </x:c>
      <x:c r="I81" s="48" t="n">
        <x:v>0.55</x:v>
      </x:c>
      <x:c r="J81" s="48" t="n">
        <x:v>0.68</x:v>
      </x:c>
      <x:c r="K81" s="48" t="str">
        <x:v>Yes</x:v>
      </x:c>
      <x:c r="L81" s="48" t="str">
        <x:v>PDF text</x:v>
      </x:c>
    </x:row>
    <x:row r="82">
      <x:c r="A82" s="48" t="str">
        <x:v>UNI-0081</x:v>
      </x:c>
      <x:c r="B82" s="48" t="str">
        <x:v>RED</x:v>
      </x:c>
      <x:c r="C82" s="48" t="str">
        <x:v>English</x:v>
      </x:c>
      <x:c r="D82" s="48" t="n">
        <x:v>17</x:v>
      </x:c>
      <x:c r="E82" s="48" t="str">
        <x:v>1.1.4.12</x:v>
      </x:c>
      <x:c r="F82" s="48" t="str">
        <x:v>1.1.4.12 “Statement” means a statement submitted by the Contractor as part of an</x:v>
      </x:c>
      <x:c r="G82" s="48" t="str">
        <x:v>Definition</x:v>
      </x:c>
      <x:c r="H82" s="48" t="str"/>
      <x:c r="I82" s="48" t="n">
        <x:v>0.97</x:v>
      </x:c>
      <x:c r="J82" s="48" t="n">
        <x:v>0.99</x:v>
      </x:c>
      <x:c r="K82" s="48" t="str">
        <x:v>No</x:v>
      </x:c>
      <x:c r="L82" s="48" t="str">
        <x:v>PDF text</x:v>
      </x:c>
    </x:row>
    <x:row r="83">
      <x:c r="A83" s="48" t="str">
        <x:v>UNI-0082</x:v>
      </x:c>
      <x:c r="B83" s="48" t="str">
        <x:v>RED</x:v>
      </x:c>
      <x:c r="C83" s="48" t="str">
        <x:v>English</x:v>
      </x:c>
      <x:c r="D83" s="48" t="n">
        <x:v>17</x:v>
      </x:c>
      <x:c r="E83" s="48" t="str"/>
      <x:c r="F83" s="48" t="str">
        <x:v>application, under Clause 14 [Contract Price and Payment], for a payment certificate.</x:v>
      </x:c>
      <x:c r="G83" s="48" t="str">
        <x:v>Obligation</x:v>
      </x:c>
      <x:c r="H83" s="48" t="str">
        <x:v>Shared</x:v>
      </x:c>
      <x:c r="I83" s="48" t="n">
        <x:v>0.55</x:v>
      </x:c>
      <x:c r="J83" s="48" t="n">
        <x:v>0.4</x:v>
      </x:c>
      <x:c r="K83" s="48" t="str">
        <x:v>Yes</x:v>
      </x:c>
      <x:c r="L83" s="48" t="str">
        <x:v>PDF text</x:v>
      </x:c>
    </x:row>
    <x:row r="84">
      <x:c r="A84" s="48" t="str">
        <x:v>UNI-0083</x:v>
      </x:c>
      <x:c r="B84" s="48" t="str">
        <x:v>RED</x:v>
      </x:c>
      <x:c r="C84" s="48" t="str">
        <x:v>English</x:v>
      </x:c>
      <x:c r="D84" s="48" t="n">
        <x:v>17</x:v>
      </x:c>
      <x:c r="E84" s="48" t="str">
        <x:v>1.1.5.1</x:v>
      </x:c>
      <x:c r="F84" s="48" t="str">
        <x:v>1.1.5.1 “Contractor’s Equipment” means all apparatus, machinery, vehicles and other things required for the execution and completion of the Works and the remedying of any defects.</x:v>
      </x:c>
      <x:c r="G84" s="48" t="str">
        <x:v>Definition</x:v>
      </x:c>
      <x:c r="H84" s="48" t="str"/>
      <x:c r="I84" s="48" t="n">
        <x:v>0.97</x:v>
      </x:c>
      <x:c r="J84" s="48" t="n">
        <x:v>0.99</x:v>
      </x:c>
      <x:c r="K84" s="48" t="str">
        <x:v>No</x:v>
      </x:c>
      <x:c r="L84" s="48" t="str">
        <x:v>PDF text</x:v>
      </x:c>
    </x:row>
    <x:row r="85">
      <x:c r="A85" s="48" t="str">
        <x:v>UNI-0084</x:v>
      </x:c>
      <x:c r="B85" s="48" t="str">
        <x:v>RED</x:v>
      </x:c>
      <x:c r="C85" s="48" t="str">
        <x:v>English</x:v>
      </x:c>
      <x:c r="D85" s="48" t="n">
        <x:v>17</x:v>
      </x:c>
      <x:c r="E85" s="48" t="str"/>
      <x:c r="F85" s="48" t="str">
        <x:v>However, Contractor’s Equipment excludes</x:v>
      </x:c>
      <x:c r="G85" s="48" t="str">
        <x:v>Obligation</x:v>
      </x:c>
      <x:c r="H85" s="48" t="str">
        <x:v>Contractor</x:v>
      </x:c>
      <x:c r="I85" s="48" t="n">
        <x:v>0.45</x:v>
      </x:c>
      <x:c r="J85" s="48" t="n">
        <x:v>0.68</x:v>
      </x:c>
      <x:c r="K85" s="48" t="str">
        <x:v>Yes</x:v>
      </x:c>
      <x:c r="L85" s="48" t="str">
        <x:v>PDF text</x:v>
      </x:c>
    </x:row>
    <x:row r="86">
      <x:c r="A86" s="48" t="str">
        <x:v>UNI-0085</x:v>
      </x:c>
      <x:c r="B86" s="48" t="str">
        <x:v>RED</x:v>
      </x:c>
      <x:c r="C86" s="48" t="str">
        <x:v>English</x:v>
      </x:c>
      <x:c r="D86" s="48" t="n">
        <x:v>17</x:v>
      </x:c>
      <x:c r="E86" s="48" t="str"/>
      <x:c r="F86" s="48" t="str">
        <x:v>Temporary Works, Employer’s Equipment (if any), Plant, Materials and any</x:v>
      </x:c>
      <x:c r="G86" s="48" t="str">
        <x:v>Obligation</x:v>
      </x:c>
      <x:c r="H86" s="48" t="str">
        <x:v>Employer</x:v>
      </x:c>
      <x:c r="I86" s="48" t="n">
        <x:v>0.45</x:v>
      </x:c>
      <x:c r="J86" s="48" t="n">
        <x:v>0.68</x:v>
      </x:c>
      <x:c r="K86" s="48" t="str">
        <x:v>Yes</x:v>
      </x:c>
      <x:c r="L86" s="48" t="str">
        <x:v>PDF text</x:v>
      </x:c>
    </x:row>
    <x:row r="87">
      <x:c r="A87" s="48" t="str">
        <x:v>UNI-0086</x:v>
      </x:c>
      <x:c r="B87" s="48" t="str">
        <x:v>RED</x:v>
      </x:c>
      <x:c r="C87" s="48" t="str">
        <x:v>English</x:v>
      </x:c>
      <x:c r="D87" s="48" t="n">
        <x:v>17</x:v>
      </x:c>
      <x:c r="E87" s="48" t="str"/>
      <x:c r="F87" s="48" t="str">
        <x:v>other things intended to form or forming part of the Permanent Works.</x:v>
      </x:c>
      <x:c r="G87" s="48" t="str">
        <x:v>Obligation</x:v>
      </x:c>
      <x:c r="H87" s="48" t="str">
        <x:v>Shared</x:v>
      </x:c>
      <x:c r="I87" s="48" t="n">
        <x:v>0.45</x:v>
      </x:c>
      <x:c r="J87" s="48" t="n">
        <x:v>0.4</x:v>
      </x:c>
      <x:c r="K87" s="48" t="str">
        <x:v>Yes</x:v>
      </x:c>
      <x:c r="L87" s="48" t="str">
        <x:v>PDF text</x:v>
      </x:c>
    </x:row>
    <x:row r="88">
      <x:c r="A88" s="48" t="str">
        <x:v>UNI-0087</x:v>
      </x:c>
      <x:c r="B88" s="48" t="str">
        <x:v>RED</x:v>
      </x:c>
      <x:c r="C88" s="48" t="str">
        <x:v>English</x:v>
      </x:c>
      <x:c r="D88" s="48" t="n">
        <x:v>17</x:v>
      </x:c>
      <x:c r="E88" s="48" t="str">
        <x:v>1.1.5.2</x:v>
      </x:c>
      <x:c r="F88" s="48" t="str">
        <x:v>1.1.5.2 “Goods” means Contractor’s Equipment, Materials, Plant and Temporary Works, or any of them as appropriate.</x:v>
      </x:c>
      <x:c r="G88" s="48" t="str">
        <x:v>Definition</x:v>
      </x:c>
      <x:c r="H88" s="48" t="str"/>
      <x:c r="I88" s="48" t="n">
        <x:v>0.97</x:v>
      </x:c>
      <x:c r="J88" s="48" t="n">
        <x:v>0.99</x:v>
      </x:c>
      <x:c r="K88" s="48" t="str">
        <x:v>No</x:v>
      </x:c>
      <x:c r="L88" s="48" t="str">
        <x:v>PDF text</x:v>
      </x:c>
    </x:row>
    <x:row r="89">
      <x:c r="A89" s="48" t="str">
        <x:v>UNI-0088</x:v>
      </x:c>
      <x:c r="B89" s="48" t="str">
        <x:v>RED</x:v>
      </x:c>
      <x:c r="C89" s="48" t="str">
        <x:v>English</x:v>
      </x:c>
      <x:c r="D89" s="48" t="n">
        <x:v>17</x:v>
      </x:c>
      <x:c r="E89" s="48" t="str">
        <x:v>1.1.5.3</x:v>
      </x:c>
      <x:c r="F89" s="48" t="str">
        <x:v>1.1.5.3 “Materials” means things of all kinds (other than Plant) intended to form or forming part of the Permanent Works, including the supply-only materials (if any) to be supplied by the Contractor under the Contract.</x:v>
      </x:c>
      <x:c r="G89" s="48" t="str">
        <x:v>Definition</x:v>
      </x:c>
      <x:c r="H89" s="48" t="str"/>
      <x:c r="I89" s="48" t="n">
        <x:v>0.97</x:v>
      </x:c>
      <x:c r="J89" s="48" t="n">
        <x:v>0.99</x:v>
      </x:c>
      <x:c r="K89" s="48" t="str">
        <x:v>No</x:v>
      </x:c>
      <x:c r="L89" s="48" t="str">
        <x:v>PDF text</x:v>
      </x:c>
    </x:row>
    <x:row r="90">
      <x:c r="A90" s="48" t="str">
        <x:v>UNI-0089</x:v>
      </x:c>
      <x:c r="B90" s="48" t="str">
        <x:v>RED</x:v>
      </x:c>
      <x:c r="C90" s="48" t="str">
        <x:v>English</x:v>
      </x:c>
      <x:c r="D90" s="48" t="n">
        <x:v>17</x:v>
      </x:c>
      <x:c r="E90" s="48" t="str">
        <x:v>1.1.5.4</x:v>
      </x:c>
      <x:c r="F90" s="48" t="str">
        <x:v>1.1.5.4 “Permanent Works” means the permanent works to be executed by the Contractor under the Contract.</x:v>
      </x:c>
      <x:c r="G90" s="48" t="str">
        <x:v>Definition</x:v>
      </x:c>
      <x:c r="H90" s="48" t="str"/>
      <x:c r="I90" s="48" t="n">
        <x:v>0.97</x:v>
      </x:c>
      <x:c r="J90" s="48" t="n">
        <x:v>0.99</x:v>
      </x:c>
      <x:c r="K90" s="48" t="str">
        <x:v>No</x:v>
      </x:c>
      <x:c r="L90" s="48" t="str">
        <x:v>PDF text</x:v>
      </x:c>
    </x:row>
    <x:row r="91">
      <x:c r="A91" s="48" t="str">
        <x:v>UNI-0090</x:v>
      </x:c>
      <x:c r="B91" s="48" t="str">
        <x:v>RED</x:v>
      </x:c>
      <x:c r="C91" s="48" t="str">
        <x:v>English</x:v>
      </x:c>
      <x:c r="D91" s="48" t="n">
        <x:v>17</x:v>
      </x:c>
      <x:c r="E91" s="48" t="str">
        <x:v>1.1.5.5</x:v>
      </x:c>
      <x:c r="F91" s="48" t="str">
        <x:v>1.1.5.5 “Plant” means the apparatus, machinery and vehicles intended to form or forming part of the Permanent Works.</x:v>
      </x:c>
      <x:c r="G91" s="48" t="str">
        <x:v>Definition</x:v>
      </x:c>
      <x:c r="H91" s="48" t="str"/>
      <x:c r="I91" s="48" t="n">
        <x:v>0.97</x:v>
      </x:c>
      <x:c r="J91" s="48" t="n">
        <x:v>0.99</x:v>
      </x:c>
      <x:c r="K91" s="48" t="str">
        <x:v>No</x:v>
      </x:c>
      <x:c r="L91" s="48" t="str">
        <x:v>PDF text</x:v>
      </x:c>
    </x:row>
    <x:row r="92">
      <x:c r="A92" s="48" t="str">
        <x:v>UNI-0091</x:v>
      </x:c>
      <x:c r="B92" s="48" t="str">
        <x:v>RED</x:v>
      </x:c>
      <x:c r="C92" s="48" t="str">
        <x:v>English</x:v>
      </x:c>
      <x:c r="D92" s="48" t="n">
        <x:v>17</x:v>
      </x:c>
      <x:c r="E92" s="48" t="str">
        <x:v>1.1.5.6</x:v>
      </x:c>
      <x:c r="F92" s="48" t="str">
        <x:v>1.1.5.6 “Section” means a part of the Works specified in the Contract Data as a Section (if any).</x:v>
      </x:c>
      <x:c r="G92" s="48" t="str">
        <x:v>Definition</x:v>
      </x:c>
      <x:c r="H92" s="48" t="str"/>
      <x:c r="I92" s="48" t="n">
        <x:v>0.97</x:v>
      </x:c>
      <x:c r="J92" s="48" t="n">
        <x:v>0.99</x:v>
      </x:c>
      <x:c r="K92" s="48" t="str">
        <x:v>No</x:v>
      </x:c>
      <x:c r="L92" s="48" t="str">
        <x:v>PDF text</x:v>
      </x:c>
    </x:row>
    <x:row r="93">
      <x:c r="A93" s="48" t="str">
        <x:v>UNI-0092</x:v>
      </x:c>
      <x:c r="B93" s="48" t="str">
        <x:v>RED</x:v>
      </x:c>
      <x:c r="C93" s="48" t="str">
        <x:v>English</x:v>
      </x:c>
      <x:c r="D93" s="48" t="n">
        <x:v>17</x:v>
      </x:c>
      <x:c r="E93" s="48" t="str">
        <x:v>1.1.5.7</x:v>
      </x:c>
      <x:c r="F93" s="48" t="str">
        <x:v>1.1.5.7 “Temporary Works” means all temporary works of every kind (other than</x:v>
      </x:c>
      <x:c r="G93" s="48" t="str">
        <x:v>Definition</x:v>
      </x:c>
      <x:c r="H93" s="48" t="str"/>
      <x:c r="I93" s="48" t="n">
        <x:v>0.97</x:v>
      </x:c>
      <x:c r="J93" s="48" t="n">
        <x:v>0.99</x:v>
      </x:c>
      <x:c r="K93" s="48" t="str">
        <x:v>No</x:v>
      </x:c>
      <x:c r="L93" s="48" t="str">
        <x:v>PDF text</x:v>
      </x:c>
    </x:row>
    <x:row r="94">
      <x:c r="A94" s="48" t="str">
        <x:v>UNI-0093</x:v>
      </x:c>
      <x:c r="B94" s="48" t="str">
        <x:v>RED</x:v>
      </x:c>
      <x:c r="C94" s="48" t="str">
        <x:v>English</x:v>
      </x:c>
      <x:c r="D94" s="48" t="n">
        <x:v>17</x:v>
      </x:c>
      <x:c r="E94" s="48" t="str"/>
      <x:c r="F94" s="48" t="str">
        <x:v>Contractor’s Equipment) required on Site for the execution and completion</x:v>
      </x:c>
      <x:c r="G94" s="48" t="str">
        <x:v>Obligation</x:v>
      </x:c>
      <x:c r="H94" s="48" t="str">
        <x:v>Contractor</x:v>
      </x:c>
      <x:c r="I94" s="48" t="n">
        <x:v>0.45</x:v>
      </x:c>
      <x:c r="J94" s="48" t="n">
        <x:v>0.68</x:v>
      </x:c>
      <x:c r="K94" s="48" t="str">
        <x:v>Yes</x:v>
      </x:c>
      <x:c r="L94" s="48" t="str">
        <x:v>PDF text</x:v>
      </x:c>
    </x:row>
    <x:row r="95">
      <x:c r="A95" s="48" t="str">
        <x:v>UNI-0094</x:v>
      </x:c>
      <x:c r="B95" s="48" t="str">
        <x:v>RED</x:v>
      </x:c>
      <x:c r="C95" s="48" t="str">
        <x:v>English</x:v>
      </x:c>
      <x:c r="D95" s="48" t="n">
        <x:v>17</x:v>
      </x:c>
      <x:c r="E95" s="48" t="str"/>
      <x:c r="F95" s="48" t="str">
        <x:v>of the Permanent Works and the remedying of any defects.</x:v>
      </x:c>
      <x:c r="G95" s="48" t="str">
        <x:v>Obligation</x:v>
      </x:c>
      <x:c r="H95" s="48" t="str">
        <x:v>Shared</x:v>
      </x:c>
      <x:c r="I95" s="48" t="n">
        <x:v>0.45</x:v>
      </x:c>
      <x:c r="J95" s="48" t="n">
        <x:v>0.4</x:v>
      </x:c>
      <x:c r="K95" s="48" t="str">
        <x:v>Yes</x:v>
      </x:c>
      <x:c r="L95" s="48" t="str">
        <x:v>PDF text</x:v>
      </x:c>
    </x:row>
    <x:row r="96">
      <x:c r="A96" s="48" t="str">
        <x:v>UNI-0095</x:v>
      </x:c>
      <x:c r="B96" s="48" t="str">
        <x:v>RED</x:v>
      </x:c>
      <x:c r="C96" s="48" t="str">
        <x:v>English</x:v>
      </x:c>
      <x:c r="D96" s="48" t="n">
        <x:v>17</x:v>
      </x:c>
      <x:c r="E96" s="48" t="str">
        <x:v>1.1.5.8</x:v>
      </x:c>
      <x:c r="F96" s="48" t="str">
        <x:v>1.1.5.8 “Works” mean the Permanent Works and the Temporary Works, or either of them as appropriate.</x:v>
      </x:c>
      <x:c r="G96" s="48" t="str">
        <x:v>Obligation</x:v>
      </x:c>
      <x:c r="H96" s="48" t="str">
        <x:v>Shared</x:v>
      </x:c>
      <x:c r="I96" s="48" t="n">
        <x:v>0.45</x:v>
      </x:c>
      <x:c r="J96" s="48" t="n">
        <x:v>0.4</x:v>
      </x:c>
      <x:c r="K96" s="48" t="str">
        <x:v>Yes</x:v>
      </x:c>
      <x:c r="L96" s="48" t="str">
        <x:v>PDF text</x:v>
      </x:c>
    </x:row>
    <x:row r="97">
      <x:c r="A97" s="48" t="str">
        <x:v>UNI-0096</x:v>
      </x:c>
      <x:c r="B97" s="48" t="str">
        <x:v>RED</x:v>
      </x:c>
      <x:c r="C97" s="48" t="str">
        <x:v>English</x:v>
      </x:c>
      <x:c r="D97" s="48" t="n">
        <x:v>17</x:v>
      </x:c>
      <x:c r="E97" s="48" t="str">
        <x:v>1.1.6.1</x:v>
      </x:c>
      <x:c r="F97" s="48" t="str">
        <x:v>1.1.6.1 “Contractor’s Documents” means the calculations, computer programs and other software, drawings, manuals, models and other documents of a technical nature (if any) supplied by the Contractor under the Contract.</x:v>
      </x:c>
      <x:c r="G97" s="48" t="str">
        <x:v>Definition</x:v>
      </x:c>
      <x:c r="H97" s="48" t="str"/>
      <x:c r="I97" s="48" t="n">
        <x:v>0.97</x:v>
      </x:c>
      <x:c r="J97" s="48" t="n">
        <x:v>0.99</x:v>
      </x:c>
      <x:c r="K97" s="48" t="str">
        <x:v>No</x:v>
      </x:c>
      <x:c r="L97" s="48" t="str">
        <x:v>PDF text</x:v>
      </x:c>
    </x:row>
    <x:row r="98">
      <x:c r="A98" s="48" t="str">
        <x:v>UNI-0097</x:v>
      </x:c>
      <x:c r="B98" s="48" t="str">
        <x:v>RED</x:v>
      </x:c>
      <x:c r="C98" s="48" t="str">
        <x:v>English</x:v>
      </x:c>
      <x:c r="D98" s="48" t="n">
        <x:v>17</x:v>
      </x:c>
      <x:c r="E98" s="48" t="str">
        <x:v>1.1.6.2</x:v>
      </x:c>
      <x:c r="F98" s="48" t="str">
        <x:v>1.1.6.2 “Country” means the country in which the Site (or most of it) is located, where the Permanent Works are to be executed.</x:v>
      </x:c>
      <x:c r="G98" s="48" t="str">
        <x:v>Definition</x:v>
      </x:c>
      <x:c r="H98" s="48" t="str"/>
      <x:c r="I98" s="48" t="n">
        <x:v>0.97</x:v>
      </x:c>
      <x:c r="J98" s="48" t="n">
        <x:v>0.99</x:v>
      </x:c>
      <x:c r="K98" s="48" t="str">
        <x:v>No</x:v>
      </x:c>
      <x:c r="L98" s="48" t="str">
        <x:v>PDF text</x:v>
      </x:c>
    </x:row>
    <x:row r="99">
      <x:c r="A99" s="48" t="str">
        <x:v>UNI-0098</x:v>
      </x:c>
      <x:c r="B99" s="48" t="str">
        <x:v>RED</x:v>
      </x:c>
      <x:c r="C99" s="48" t="str">
        <x:v>English</x:v>
      </x:c>
      <x:c r="D99" s="48" t="n">
        <x:v>17</x:v>
      </x:c>
      <x:c r="E99" s="48" t="str">
        <x:v>1.1.6.3</x:v>
      </x:c>
      <x:c r="F99" s="48" t="str">
        <x:v>1.1.6.3 “Employer’s Equipment” means the apparatus, machinery and vehicles (if any) made available by the Employer for the use of the Contractor in the execution of the Works, as stated in the Specification; but does not include Plant which has not been taken over by the Employer.</x:v>
      </x:c>
      <x:c r="G99" s="48" t="str">
        <x:v>Definition</x:v>
      </x:c>
      <x:c r="H99" s="48" t="str"/>
      <x:c r="I99" s="48" t="n">
        <x:v>0.97</x:v>
      </x:c>
      <x:c r="J99" s="48" t="n">
        <x:v>0.99</x:v>
      </x:c>
      <x:c r="K99" s="48" t="str">
        <x:v>No</x:v>
      </x:c>
      <x:c r="L99" s="48" t="str">
        <x:v>PDF text</x:v>
      </x:c>
    </x:row>
    <x:row r="100">
      <x:c r="A100" s="48" t="str">
        <x:v>UNI-0099</x:v>
      </x:c>
      <x:c r="B100" s="48" t="str">
        <x:v>RED</x:v>
      </x:c>
      <x:c r="C100" s="48" t="str">
        <x:v>English</x:v>
      </x:c>
      <x:c r="D100" s="48" t="n">
        <x:v>17</x:v>
      </x:c>
      <x:c r="E100" s="48" t="str">
        <x:v>1.1.6.4</x:v>
      </x:c>
      <x:c r="F100" s="48" t="str">
        <x:v>1.1.6.4 “Force Majeure” is defined in Clause 19 [Force Majeure].</x:v>
      </x:c>
      <x:c r="G100" s="48" t="str">
        <x:v>Obligation</x:v>
      </x:c>
      <x:c r="H100" s="48" t="str">
        <x:v>Shared</x:v>
      </x:c>
      <x:c r="I100" s="48" t="n">
        <x:v>0.45</x:v>
      </x:c>
      <x:c r="J100" s="48" t="n">
        <x:v>0.4</x:v>
      </x:c>
      <x:c r="K100" s="48" t="str">
        <x:v>Yes</x:v>
      </x:c>
      <x:c r="L100" s="48" t="str">
        <x:v>PDF text</x:v>
      </x:c>
    </x:row>
    <x:row r="101">
      <x:c r="A101" s="48" t="str">
        <x:v>UNI-0100</x:v>
      </x:c>
      <x:c r="B101" s="48" t="str">
        <x:v>RED</x:v>
      </x:c>
      <x:c r="C101" s="48" t="str">
        <x:v>English</x:v>
      </x:c>
      <x:c r="D101" s="48" t="n">
        <x:v>17</x:v>
      </x:c>
      <x:c r="E101" s="48" t="str">
        <x:v>1.1.6.5</x:v>
      </x:c>
      <x:c r="F101" s="48" t="str">
        <x:v>1.1.6.5 “Laws” means all national (or state) legislation, statutes, ordinances and other laws, and regulations and by-laws of any legally constituted public authority.</x:v>
      </x:c>
      <x:c r="G101" s="48" t="str">
        <x:v>Definition</x:v>
      </x:c>
      <x:c r="H101" s="48" t="str"/>
      <x:c r="I101" s="48" t="n">
        <x:v>0.97</x:v>
      </x:c>
      <x:c r="J101" s="48" t="n">
        <x:v>0.99</x:v>
      </x:c>
      <x:c r="K101" s="48" t="str">
        <x:v>No</x:v>
      </x:c>
      <x:c r="L101" s="48" t="str">
        <x:v>PDF text</x:v>
      </x:c>
    </x:row>
    <x:row r="102">
      <x:c r="A102" s="48" t="str">
        <x:v>UNI-0101</x:v>
      </x:c>
      <x:c r="B102" s="48" t="str">
        <x:v>RED</x:v>
      </x:c>
      <x:c r="C102" s="48" t="str">
        <x:v>English</x:v>
      </x:c>
      <x:c r="D102" s="48" t="n">
        <x:v>17</x:v>
      </x:c>
      <x:c r="E102" s="48" t="str"/>
      <x:c r="F102" s="48" t="str">
        <x:v>Works and Goods</x:v>
      </x:c>
      <x:c r="G102" s="48" t="str">
        <x:v>Obligation</x:v>
      </x:c>
      <x:c r="H102" s="48" t="str">
        <x:v>Shared</x:v>
      </x:c>
      <x:c r="I102" s="48" t="n">
        <x:v>0.45</x:v>
      </x:c>
      <x:c r="J102" s="48" t="n">
        <x:v>0.4</x:v>
      </x:c>
      <x:c r="K102" s="48" t="str">
        <x:v>Yes</x:v>
      </x:c>
      <x:c r="L102" s="48" t="str">
        <x:v>PDF text</x:v>
      </x:c>
    </x:row>
    <x:row r="103">
      <x:c r="A103" s="48" t="str">
        <x:v>UNI-0102</x:v>
      </x:c>
      <x:c r="B103" s="48" t="str">
        <x:v>RED</x:v>
      </x:c>
      <x:c r="C103" s="48" t="str">
        <x:v>English</x:v>
      </x:c>
      <x:c r="D103" s="48" t="n">
        <x:v>17</x:v>
      </x:c>
      <x:c r="E103" s="48" t="str"/>
      <x:c r="F103" s="48" t="str">
        <x:v>Other Definitions</x:v>
      </x:c>
      <x:c r="G103" s="48" t="str">
        <x:v>Obligation</x:v>
      </x:c>
      <x:c r="H103" s="48" t="str">
        <x:v>Shared</x:v>
      </x:c>
      <x:c r="I103" s="48" t="n">
        <x:v>0.45</x:v>
      </x:c>
      <x:c r="J103" s="48" t="n">
        <x:v>0.4</x:v>
      </x:c>
      <x:c r="K103" s="48" t="str">
        <x:v>Yes</x:v>
      </x:c>
      <x:c r="L103" s="48" t="str">
        <x:v>PDF text</x:v>
      </x:c>
    </x:row>
    <x:row r="104">
      <x:c r="A104" s="48" t="str">
        <x:v>UNI-0103</x:v>
      </x:c>
      <x:c r="B104" s="48" t="str">
        <x:v>RED</x:v>
      </x:c>
      <x:c r="C104" s="48" t="str">
        <x:v>English</x:v>
      </x:c>
      <x:c r="D104" s="48" t="n">
        <x:v>18</x:v>
      </x:c>
      <x:c r="E104" s="48" t="str">
        <x:v>1.1.6.6</x:v>
      </x:c>
      <x:c r="F104" s="48" t="str">
        <x:v>1.1.6.6 “Performance Security” means the security (or securities, if any) under Sub-Clause 4.2 [Performance Security].</x:v>
      </x:c>
      <x:c r="G104" s="48" t="str">
        <x:v>Definition</x:v>
      </x:c>
      <x:c r="H104" s="48" t="str"/>
      <x:c r="I104" s="48" t="n">
        <x:v>0.97</x:v>
      </x:c>
      <x:c r="J104" s="48" t="n">
        <x:v>0.99</x:v>
      </x:c>
      <x:c r="K104" s="48" t="str">
        <x:v>No</x:v>
      </x:c>
      <x:c r="L104" s="48" t="str">
        <x:v>PDF text</x:v>
      </x:c>
    </x:row>
    <x:row r="105">
      <x:c r="A105" s="48" t="str">
        <x:v>UNI-0104</x:v>
      </x:c>
      <x:c r="B105" s="48" t="str">
        <x:v>RED</x:v>
      </x:c>
      <x:c r="C105" s="48" t="str">
        <x:v>English</x:v>
      </x:c>
      <x:c r="D105" s="48" t="n">
        <x:v>18</x:v>
      </x:c>
      <x:c r="E105" s="48" t="str">
        <x:v>1.1.6.7</x:v>
      </x:c>
      <x:c r="F105" s="48" t="str">
        <x:v>1.1.6.7 “Site” means the places where the Permanent Works are to be executed and to which Plant and Materials are to be delivered, and any other places as may be specified in the Contract as forming part of the Site.</x:v>
      </x:c>
      <x:c r="G105" s="48" t="str">
        <x:v>Definition</x:v>
      </x:c>
      <x:c r="H105" s="48" t="str"/>
      <x:c r="I105" s="48" t="n">
        <x:v>0.97</x:v>
      </x:c>
      <x:c r="J105" s="48" t="n">
        <x:v>0.99</x:v>
      </x:c>
      <x:c r="K105" s="48" t="str">
        <x:v>No</x:v>
      </x:c>
      <x:c r="L105" s="48" t="str">
        <x:v>PDF text</x:v>
      </x:c>
    </x:row>
    <x:row r="106">
      <x:c r="A106" s="48" t="str">
        <x:v>UNI-0105</x:v>
      </x:c>
      <x:c r="B106" s="48" t="str">
        <x:v>RED</x:v>
      </x:c>
      <x:c r="C106" s="48" t="str">
        <x:v>English</x:v>
      </x:c>
      <x:c r="D106" s="48" t="n">
        <x:v>18</x:v>
      </x:c>
      <x:c r="E106" s="48" t="str">
        <x:v>1.1.6.8</x:v>
      </x:c>
      <x:c r="F106" s="48" t="str">
        <x:v>1.1.6.8 “Unforeseeable” means not reasonably foreseeable and against which adequate preventive precautions could not reasonably be taken by an experienced contractor by the date for submission of the Tender.</x:v>
      </x:c>
      <x:c r="G106" s="48" t="str">
        <x:v>Definition</x:v>
      </x:c>
      <x:c r="H106" s="48" t="str"/>
      <x:c r="I106" s="48" t="n">
        <x:v>0.97</x:v>
      </x:c>
      <x:c r="J106" s="48" t="n">
        <x:v>0.99</x:v>
      </x:c>
      <x:c r="K106" s="48" t="str">
        <x:v>No</x:v>
      </x:c>
      <x:c r="L106" s="48" t="str">
        <x:v>PDF text</x:v>
      </x:c>
    </x:row>
    <x:row r="107">
      <x:c r="A107" s="48" t="str">
        <x:v>UNI-0106</x:v>
      </x:c>
      <x:c r="B107" s="48" t="str">
        <x:v>RED</x:v>
      </x:c>
      <x:c r="C107" s="48" t="str">
        <x:v>English</x:v>
      </x:c>
      <x:c r="D107" s="48" t="n">
        <x:v>18</x:v>
      </x:c>
      <x:c r="E107" s="48" t="str">
        <x:v>1.1.6.9</x:v>
      </x:c>
      <x:c r="F107" s="48" t="str">
        <x:v>1.1.6.9 “Variation” means any change to the Works, which is instructed or approved as a variation under Clause 13 [Variations and Adjustments].</x:v>
      </x:c>
      <x:c r="G107" s="48" t="str">
        <x:v>Definition</x:v>
      </x:c>
      <x:c r="H107" s="48" t="str"/>
      <x:c r="I107" s="48" t="n">
        <x:v>0.97</x:v>
      </x:c>
      <x:c r="J107" s="48" t="n">
        <x:v>0.99</x:v>
      </x:c>
      <x:c r="K107" s="48" t="str">
        <x:v>No</x:v>
      </x:c>
      <x:c r="L107" s="48" t="str">
        <x:v>PDF text</x:v>
      </x:c>
    </x:row>
    <x:row r="108">
      <x:c r="A108" s="48" t="str">
        <x:v>UNI-0107</x:v>
      </x:c>
      <x:c r="B108" s="48" t="str">
        <x:v>RED</x:v>
      </x:c>
      <x:c r="C108" s="48" t="str">
        <x:v>English</x:v>
      </x:c>
      <x:c r="D108" s="48" t="n">
        <x:v>18</x:v>
      </x:c>
      <x:c r="E108" s="48" t="str"/>
      <x:c r="F108" s="48" t="str">
        <x:v>In the Contract, except where the context requires otherwise: (a) words indicating one gender include all genders; (b) words indicating the singular also include the plural and words indicating the plural also include the singular; (c) provisions including the word “agree”, “agreed” or “agreement” require the agreement to be record in writing; (d) “written” or “in writing” means hand-written, type-written, printed or electronically made, and resulting in a permanent record; and (e) the word “tender” is synonymous with “bid”, and “tenderer” with “bidder” and the words “tender documents” with “bidding documents".</x:v>
      </x:c>
      <x:c r="G108" s="48" t="str">
        <x:v>Definition</x:v>
      </x:c>
      <x:c r="H108" s="48" t="str"/>
      <x:c r="I108" s="48" t="n">
        <x:v>0.97</x:v>
      </x:c>
      <x:c r="J108" s="48" t="n">
        <x:v>0.99</x:v>
      </x:c>
      <x:c r="K108" s="48" t="str">
        <x:v>No</x:v>
      </x:c>
      <x:c r="L108" s="48" t="str">
        <x:v>PDF text</x:v>
      </x:c>
    </x:row>
    <x:row r="109">
      <x:c r="A109" s="48" t="str">
        <x:v>UNI-0108</x:v>
      </x:c>
      <x:c r="B109" s="48" t="str">
        <x:v>RED</x:v>
      </x:c>
      <x:c r="C109" s="48" t="str">
        <x:v>English</x:v>
      </x:c>
      <x:c r="D109" s="48" t="n">
        <x:v>18</x:v>
      </x:c>
      <x:c r="E109" s="48" t="str"/>
      <x:c r="F109" s="48" t="str">
        <x:v>The marginal words and other headings shall not be taken into consideration in the interpretation of these Conditions.</x:v>
      </x:c>
      <x:c r="G109" s="48" t="str">
        <x:v>Obligation</x:v>
      </x:c>
      <x:c r="H109" s="48" t="str">
        <x:v>Shared</x:v>
      </x:c>
      <x:c r="I109" s="48" t="n">
        <x:v>0.88</x:v>
      </x:c>
      <x:c r="J109" s="48" t="n">
        <x:v>0.4</x:v>
      </x:c>
      <x:c r="K109" s="48" t="str">
        <x:v>Yes</x:v>
      </x:c>
      <x:c r="L109" s="48" t="str">
        <x:v>PDF text</x:v>
      </x:c>
    </x:row>
    <x:row r="110">
      <x:c r="A110" s="48" t="str">
        <x:v>UNI-0109</x:v>
      </x:c>
      <x:c r="B110" s="48" t="str">
        <x:v>RED</x:v>
      </x:c>
      <x:c r="C110" s="48" t="str">
        <x:v>English</x:v>
      </x:c>
      <x:c r="D110" s="48" t="n">
        <x:v>18</x:v>
      </x:c>
      <x:c r="E110" s="48" t="str"/>
      <x:c r="F110" s="48" t="str">
        <x:v>In these Conditions, provisions including the expression “Cost plus profit” require this profit to be one twentieth (5%) of this Cost unless otherwise indicated in the Contract Data.</x:v>
      </x:c>
      <x:c r="G110" s="48" t="str">
        <x:v>Obligation</x:v>
      </x:c>
      <x:c r="H110" s="48" t="str">
        <x:v>Shared</x:v>
      </x:c>
      <x:c r="I110" s="48" t="n">
        <x:v>0.45</x:v>
      </x:c>
      <x:c r="J110" s="48" t="n">
        <x:v>0.4</x:v>
      </x:c>
      <x:c r="K110" s="48" t="str">
        <x:v>Yes</x:v>
      </x:c>
      <x:c r="L110" s="48" t="str">
        <x:v>PDF text</x:v>
      </x:c>
    </x:row>
    <x:row r="111">
      <x:c r="A111" s="48" t="str">
        <x:v>UNI-0110</x:v>
      </x:c>
      <x:c r="B111" s="48" t="str">
        <x:v>RED</x:v>
      </x:c>
      <x:c r="C111" s="48" t="str">
        <x:v>English</x:v>
      </x:c>
      <x:c r="D111" s="48" t="n">
        <x:v>18</x:v>
      </x:c>
      <x:c r="E111" s="48" t="str"/>
      <x:c r="F111" s="48" t="str">
        <x:v>Wherever these Conditions provide for the giving or issuing of approvals, certificates, consents, determinations, notices, requests and discharges, these communications shall be: (a) in writing and delivered by hand (against receipt), sent by mail or courier, or transmitted using any of the agreed systems of electronic transmission as stated in the Contract Data; and (b) delivered, sent or transmitted to the address for the recipient’s communications as stated in the Contract Data.</x:v>
      </x:c>
      <x:c r="G111" s="48" t="str">
        <x:v>Obligation</x:v>
      </x:c>
      <x:c r="H111" s="48" t="str">
        <x:v>Shared</x:v>
      </x:c>
      <x:c r="I111" s="48" t="n">
        <x:v>0.88</x:v>
      </x:c>
      <x:c r="J111" s="48" t="n">
        <x:v>0.4</x:v>
      </x:c>
      <x:c r="K111" s="48" t="str">
        <x:v>Yes</x:v>
      </x:c>
      <x:c r="L111" s="48" t="str">
        <x:v>PDF text</x:v>
      </x:c>
    </x:row>
    <x:row r="112">
      <x:c r="A112" s="48" t="str">
        <x:v>UNI-0111</x:v>
      </x:c>
      <x:c r="B112" s="48" t="str">
        <x:v>RED</x:v>
      </x:c>
      <x:c r="C112" s="48" t="str">
        <x:v>English</x:v>
      </x:c>
      <x:c r="D112" s="48" t="n">
        <x:v>18</x:v>
      </x:c>
      <x:c r="E112" s="48" t="str"/>
      <x:c r="F112" s="48" t="str">
        <x:v>However: (i) if the recipient gives notice of another address, communications shall thereafter be delivered accordingly; and (ii) if the recipient has not stated otherwise when requesting an approval or consent, it may be sent to the address from which the request was issued.</x:v>
      </x:c>
      <x:c r="G112" s="48" t="str">
        <x:v>Obligation</x:v>
      </x:c>
      <x:c r="H112" s="48" t="str">
        <x:v>Shared</x:v>
      </x:c>
      <x:c r="I112" s="48" t="n">
        <x:v>0.88</x:v>
      </x:c>
      <x:c r="J112" s="48" t="n">
        <x:v>0.4</x:v>
      </x:c>
      <x:c r="K112" s="48" t="str">
        <x:v>Yes</x:v>
      </x:c>
      <x:c r="L112" s="48" t="str">
        <x:v>PDF text</x:v>
      </x:c>
    </x:row>
    <x:row r="113">
      <x:c r="A113" s="48" t="str">
        <x:v>UNI-0112</x:v>
      </x:c>
      <x:c r="B113" s="48" t="str">
        <x:v>RED</x:v>
      </x:c>
      <x:c r="C113" s="48" t="str">
        <x:v>English</x:v>
      </x:c>
      <x:c r="D113" s="48" t="n">
        <x:v>18</x:v>
      </x:c>
      <x:c r="E113" s="48" t="str"/>
      <x:c r="F113" s="48" t="str">
        <x:v>Approvals, certificates, consents and determinations shall not be unreasonably</x:v>
      </x:c>
      <x:c r="G113" s="48" t="str">
        <x:v>Obligation</x:v>
      </x:c>
      <x:c r="H113" s="48" t="str">
        <x:v>Shared</x:v>
      </x:c>
      <x:c r="I113" s="48" t="n">
        <x:v>0.88</x:v>
      </x:c>
      <x:c r="J113" s="48" t="n">
        <x:v>0.4</x:v>
      </x:c>
      <x:c r="K113" s="48" t="str">
        <x:v>Yes</x:v>
      </x:c>
      <x:c r="L113" s="48" t="str">
        <x:v>PDF text</x:v>
      </x:c>
    </x:row>
    <x:row r="114">
      <x:c r="A114" s="48" t="str">
        <x:v>UNI-0113</x:v>
      </x:c>
      <x:c r="B114" s="48" t="str">
        <x:v>RED</x:v>
      </x:c>
      <x:c r="C114" s="48" t="str">
        <x:v>English</x:v>
      </x:c>
      <x:c r="D114" s="48" t="n">
        <x:v>18</x:v>
      </x:c>
      <x:c r="E114" s="48" t="str"/>
      <x:c r="F114" s="48" t="str">
        <x:v>withheld or delayed.</x:v>
      </x:c>
      <x:c r="G114" s="48" t="str">
        <x:v>Obligation</x:v>
      </x:c>
      <x:c r="H114" s="48" t="str">
        <x:v>Shared</x:v>
      </x:c>
      <x:c r="I114" s="48" t="n">
        <x:v>0.45</x:v>
      </x:c>
      <x:c r="J114" s="48" t="n">
        <x:v>0.4</x:v>
      </x:c>
      <x:c r="K114" s="48" t="str">
        <x:v>Yes</x:v>
      </x:c>
      <x:c r="L114" s="48" t="str">
        <x:v>PDF text</x:v>
      </x:c>
    </x:row>
    <x:row r="115">
      <x:c r="A115" s="48" t="str">
        <x:v>UNI-0114</x:v>
      </x:c>
      <x:c r="B115" s="48" t="str">
        <x:v>RED</x:v>
      </x:c>
      <x:c r="C115" s="48" t="str">
        <x:v>English</x:v>
      </x:c>
      <x:c r="D115" s="48" t="n">
        <x:v>18</x:v>
      </x:c>
      <x:c r="E115" s="48" t="str"/>
      <x:c r="F115" s="48" t="str">
        <x:v>When a certificate is issued to a Party, the certifier shall send a copy to the other Party.</x:v>
      </x:c>
      <x:c r="G115" s="48" t="str">
        <x:v>Obligation</x:v>
      </x:c>
      <x:c r="H115" s="48" t="str">
        <x:v>Shared</x:v>
      </x:c>
      <x:c r="I115" s="48" t="n">
        <x:v>0.88</x:v>
      </x:c>
      <x:c r="J115" s="48" t="n">
        <x:v>0.4</x:v>
      </x:c>
      <x:c r="K115" s="48" t="str">
        <x:v>Yes</x:v>
      </x:c>
      <x:c r="L115" s="48" t="str">
        <x:v>PDF text</x:v>
      </x:c>
    </x:row>
    <x:row r="116">
      <x:c r="A116" s="48" t="str">
        <x:v>UNI-0115</x:v>
      </x:c>
      <x:c r="B116" s="48" t="str">
        <x:v>RED</x:v>
      </x:c>
      <x:c r="C116" s="48" t="str">
        <x:v>English</x:v>
      </x:c>
      <x:c r="D116" s="48" t="n">
        <x:v>18</x:v>
      </x:c>
      <x:c r="E116" s="48" t="str"/>
      <x:c r="F116" s="48" t="str">
        <x:v>When a notice is issued to a Party, by the other Party or the Engineer, a copy shall be sent to the Engineer or the other Party, as the case may be.</x:v>
      </x:c>
      <x:c r="G116" s="48" t="str">
        <x:v>Obligation</x:v>
      </x:c>
      <x:c r="H116" s="48" t="str">
        <x:v>Shared</x:v>
      </x:c>
      <x:c r="I116" s="48" t="n">
        <x:v>0.88</x:v>
      </x:c>
      <x:c r="J116" s="48" t="n">
        <x:v>0.4</x:v>
      </x:c>
      <x:c r="K116" s="48" t="str">
        <x:v>Yes</x:v>
      </x:c>
      <x:c r="L116" s="48" t="str">
        <x:v>PDF text</x:v>
      </x:c>
    </x:row>
    <x:row r="117">
      <x:c r="A117" s="48" t="str">
        <x:v>UNI-0116</x:v>
      </x:c>
      <x:c r="B117" s="48" t="str">
        <x:v>RED</x:v>
      </x:c>
      <x:c r="C117" s="48" t="str">
        <x:v>English</x:v>
      </x:c>
      <x:c r="D117" s="48" t="n">
        <x:v>18</x:v>
      </x:c>
      <x:c r="E117" s="48" t="str"/>
      <x:c r="F117" s="48" t="str">
        <x:v>Interpretation</x:v>
      </x:c>
      <x:c r="G117" s="48" t="str">
        <x:v>Obligation</x:v>
      </x:c>
      <x:c r="H117" s="48" t="str">
        <x:v>Shared</x:v>
      </x:c>
      <x:c r="I117" s="48" t="n">
        <x:v>0.45</x:v>
      </x:c>
      <x:c r="J117" s="48" t="n">
        <x:v>0.4</x:v>
      </x:c>
      <x:c r="K117" s="48" t="str">
        <x:v>Yes</x:v>
      </x:c>
      <x:c r="L117" s="48" t="str">
        <x:v>PDF text</x:v>
      </x:c>
    </x:row>
    <x:row r="118">
      <x:c r="A118" s="48" t="str">
        <x:v>UNI-0117</x:v>
      </x:c>
      <x:c r="B118" s="48" t="str">
        <x:v>RED</x:v>
      </x:c>
      <x:c r="C118" s="48" t="str">
        <x:v>English</x:v>
      </x:c>
      <x:c r="D118" s="48" t="n">
        <x:v>18</x:v>
      </x:c>
      <x:c r="E118" s="48" t="str"/>
      <x:c r="F118" s="48" t="str">
        <x:v>Communications</x:v>
      </x:c>
      <x:c r="G118" s="48" t="str">
        <x:v>Obligation</x:v>
      </x:c>
      <x:c r="H118" s="48" t="str">
        <x:v>Shared</x:v>
      </x:c>
      <x:c r="I118" s="48" t="n">
        <x:v>0.45</x:v>
      </x:c>
      <x:c r="J118" s="48" t="n">
        <x:v>0.4</x:v>
      </x:c>
      <x:c r="K118" s="48" t="str">
        <x:v>Yes</x:v>
      </x:c>
      <x:c r="L118" s="48" t="str">
        <x:v>PDF text</x:v>
      </x:c>
    </x:row>
    <x:row r="119">
      <x:c r="A119" s="48" t="str">
        <x:v>UNI-0118</x:v>
      </x:c>
      <x:c r="B119" s="48" t="str">
        <x:v>RED</x:v>
      </x:c>
      <x:c r="C119" s="48" t="str">
        <x:v>English</x:v>
      </x:c>
      <x:c r="D119" s="48" t="n">
        <x:v>19</x:v>
      </x:c>
      <x:c r="E119" s="48" t="str"/>
      <x:c r="F119" s="48" t="str">
        <x:v>The Contract shall be governed by the law of the country or other jurisdiction stated in the Contract Data.</x:v>
      </x:c>
      <x:c r="G119" s="48" t="str">
        <x:v>Obligation</x:v>
      </x:c>
      <x:c r="H119" s="48" t="str">
        <x:v>Shared</x:v>
      </x:c>
      <x:c r="I119" s="48" t="n">
        <x:v>0.88</x:v>
      </x:c>
      <x:c r="J119" s="48" t="n">
        <x:v>0.4</x:v>
      </x:c>
      <x:c r="K119" s="48" t="str">
        <x:v>Yes</x:v>
      </x:c>
      <x:c r="L119" s="48" t="str">
        <x:v>PDF text</x:v>
      </x:c>
    </x:row>
    <x:row r="120">
      <x:c r="A120" s="48" t="str">
        <x:v>UNI-0119</x:v>
      </x:c>
      <x:c r="B120" s="48" t="str">
        <x:v>RED</x:v>
      </x:c>
      <x:c r="C120" s="48" t="str">
        <x:v>English</x:v>
      </x:c>
      <x:c r="D120" s="48" t="n">
        <x:v>19</x:v>
      </x:c>
      <x:c r="E120" s="48" t="str"/>
      <x:c r="F120" s="48" t="str">
        <x:v>The ruling language of the Contract shall be that stated in the Contract Data.</x:v>
      </x:c>
      <x:c r="G120" s="48" t="str">
        <x:v>Obligation</x:v>
      </x:c>
      <x:c r="H120" s="48" t="str">
        <x:v>Shared</x:v>
      </x:c>
      <x:c r="I120" s="48" t="n">
        <x:v>0.88</x:v>
      </x:c>
      <x:c r="J120" s="48" t="n">
        <x:v>0.4</x:v>
      </x:c>
      <x:c r="K120" s="48" t="str">
        <x:v>Yes</x:v>
      </x:c>
      <x:c r="L120" s="48" t="str">
        <x:v>PDF text</x:v>
      </x:c>
    </x:row>
    <x:row r="121">
      <x:c r="A121" s="48" t="str">
        <x:v>UNI-0120</x:v>
      </x:c>
      <x:c r="B121" s="48" t="str">
        <x:v>RED</x:v>
      </x:c>
      <x:c r="C121" s="48" t="str">
        <x:v>English</x:v>
      </x:c>
      <x:c r="D121" s="48" t="n">
        <x:v>19</x:v>
      </x:c>
      <x:c r="E121" s="48" t="str"/>
      <x:c r="F121" s="48" t="str">
        <x:v>The language for communications shall be that stated in the Contract Data.</x:v>
      </x:c>
      <x:c r="G121" s="48" t="str">
        <x:v>Obligation</x:v>
      </x:c>
      <x:c r="H121" s="48" t="str">
        <x:v>Shared</x:v>
      </x:c>
      <x:c r="I121" s="48" t="n">
        <x:v>0.88</x:v>
      </x:c>
      <x:c r="J121" s="48" t="n">
        <x:v>0.4</x:v>
      </x:c>
      <x:c r="K121" s="48" t="str">
        <x:v>Yes</x:v>
      </x:c>
      <x:c r="L121" s="48" t="str">
        <x:v>PDF text</x:v>
      </x:c>
    </x:row>
    <x:row r="122">
      <x:c r="A122" s="48" t="str">
        <x:v>UNI-0121</x:v>
      </x:c>
      <x:c r="B122" s="48" t="str">
        <x:v>RED</x:v>
      </x:c>
      <x:c r="C122" s="48" t="str">
        <x:v>English</x:v>
      </x:c>
      <x:c r="D122" s="48" t="n">
        <x:v>19</x:v>
      </x:c>
      <x:c r="E122" s="48" t="str"/>
      <x:c r="F122" s="48" t="str">
        <x:v>If no language is stated there, the language for communications shall be the ruling language of the Contract.</x:v>
      </x:c>
      <x:c r="G122" s="48" t="str">
        <x:v>Obligation</x:v>
      </x:c>
      <x:c r="H122" s="48" t="str">
        <x:v>Shared</x:v>
      </x:c>
      <x:c r="I122" s="48" t="n">
        <x:v>0.88</x:v>
      </x:c>
      <x:c r="J122" s="48" t="n">
        <x:v>0.4</x:v>
      </x:c>
      <x:c r="K122" s="48" t="str">
        <x:v>Yes</x:v>
      </x:c>
      <x:c r="L122" s="48" t="str">
        <x:v>PDF text</x:v>
      </x:c>
    </x:row>
    <x:row r="123">
      <x:c r="A123" s="48" t="str">
        <x:v>UNI-0122</x:v>
      </x:c>
      <x:c r="B123" s="48" t="str">
        <x:v>RED</x:v>
      </x:c>
      <x:c r="C123" s="48" t="str">
        <x:v>English</x:v>
      </x:c>
      <x:c r="D123" s="48" t="n">
        <x:v>19</x:v>
      </x:c>
      <x:c r="E123" s="48" t="str"/>
      <x:c r="F123" s="48" t="str">
        <x:v>The documents forming the Contract are to be taken as mutually explanatory of one</x:v>
      </x:c>
      <x:c r="G123" s="48" t="str">
        <x:v>Obligation</x:v>
      </x:c>
      <x:c r="H123" s="48" t="str">
        <x:v>Shared</x:v>
      </x:c>
      <x:c r="I123" s="48" t="n">
        <x:v>0.45</x:v>
      </x:c>
      <x:c r="J123" s="48" t="n">
        <x:v>0.4</x:v>
      </x:c>
      <x:c r="K123" s="48" t="str">
        <x:v>Yes</x:v>
      </x:c>
      <x:c r="L123" s="48" t="str">
        <x:v>PDF text</x:v>
      </x:c>
    </x:row>
    <x:row r="124">
      <x:c r="A124" s="48" t="str">
        <x:v>UNI-0123</x:v>
      </x:c>
      <x:c r="B124" s="48" t="str">
        <x:v>RED</x:v>
      </x:c>
      <x:c r="C124" s="48" t="str">
        <x:v>English</x:v>
      </x:c>
      <x:c r="D124" s="48" t="n">
        <x:v>19</x:v>
      </x:c>
      <x:c r="E124" s="48" t="str"/>
      <x:c r="F124" s="48" t="str">
        <x:v>another.</x:v>
      </x:c>
      <x:c r="G124" s="48" t="str">
        <x:v>Obligation</x:v>
      </x:c>
      <x:c r="H124" s="48" t="str">
        <x:v>Shared</x:v>
      </x:c>
      <x:c r="I124" s="48" t="n">
        <x:v>0.45</x:v>
      </x:c>
      <x:c r="J124" s="48" t="n">
        <x:v>0.4</x:v>
      </x:c>
      <x:c r="K124" s="48" t="str">
        <x:v>Yes</x:v>
      </x:c>
      <x:c r="L124" s="48" t="str">
        <x:v>PDF text</x:v>
      </x:c>
    </x:row>
    <x:row r="125">
      <x:c r="A125" s="48" t="str">
        <x:v>UNI-0124</x:v>
      </x:c>
      <x:c r="B125" s="48" t="str">
        <x:v>RED</x:v>
      </x:c>
      <x:c r="C125" s="48" t="str">
        <x:v>English</x:v>
      </x:c>
      <x:c r="D125" s="48" t="n">
        <x:v>19</x:v>
      </x:c>
      <x:c r="E125" s="48" t="str"/>
      <x:c r="F125" s="48" t="str">
        <x:v>For the purposes of interpretation, the priority of the documents shall be in accordance with the following sequence: (a) the Contract Agreement (if any), (b) the Letter of Acceptance, (c) the Letter of Tender, (d) the Particular Conditions - Part A, (e) the Particular Conditions - Part B, (f) these General Conditions, (g) the Specification, (h) the Drawings, and (i) the Schedules and any other documents forming part of the Contract.</x:v>
      </x:c>
      <x:c r="G125" s="48" t="str">
        <x:v>Obligation</x:v>
      </x:c>
      <x:c r="H125" s="48" t="str">
        <x:v>Shared</x:v>
      </x:c>
      <x:c r="I125" s="48" t="n">
        <x:v>0.88</x:v>
      </x:c>
      <x:c r="J125" s="48" t="n">
        <x:v>0.4</x:v>
      </x:c>
      <x:c r="K125" s="48" t="str">
        <x:v>Yes</x:v>
      </x:c>
      <x:c r="L125" s="48" t="str">
        <x:v>PDF text</x:v>
      </x:c>
    </x:row>
    <x:row r="126">
      <x:c r="A126" s="48" t="str">
        <x:v>UNI-0125</x:v>
      </x:c>
      <x:c r="B126" s="48" t="str">
        <x:v>RED</x:v>
      </x:c>
      <x:c r="C126" s="48" t="str">
        <x:v>English</x:v>
      </x:c>
      <x:c r="D126" s="48" t="n">
        <x:v>19</x:v>
      </x:c>
      <x:c r="E126" s="48" t="str"/>
      <x:c r="F126" s="48" t="str">
        <x:v>If an ambiguity or discrepancy is found in the documents, the Engineer shall issue any necessary clarification or instruction.</x:v>
      </x:c>
      <x:c r="G126" s="48" t="str">
        <x:v>Obligation</x:v>
      </x:c>
      <x:c r="H126" s="48" t="str">
        <x:v>Shared</x:v>
      </x:c>
      <x:c r="I126" s="48" t="n">
        <x:v>0.88</x:v>
      </x:c>
      <x:c r="J126" s="48" t="n">
        <x:v>0.4</x:v>
      </x:c>
      <x:c r="K126" s="48" t="str">
        <x:v>Yes</x:v>
      </x:c>
      <x:c r="L126" s="48" t="str">
        <x:v>PDF text</x:v>
      </x:c>
    </x:row>
    <x:row r="127">
      <x:c r="A127" s="48" t="str">
        <x:v>UNI-0126</x:v>
      </x:c>
      <x:c r="B127" s="48" t="str">
        <x:v>RED</x:v>
      </x:c>
      <x:c r="C127" s="48" t="str">
        <x:v>English</x:v>
      </x:c>
      <x:c r="D127" s="48" t="n">
        <x:v>19</x:v>
      </x:c>
      <x:c r="E127" s="48" t="str"/>
      <x:c r="F127" s="48" t="str">
        <x:v>The Parties shall enter into a Contract Agreement within 28 days after the Contractor receives the Letter of Acceptance, unless they agree otherwise.</x:v>
      </x:c>
      <x:c r="G127" s="48" t="str">
        <x:v>Obligation</x:v>
      </x:c>
      <x:c r="H127" s="48" t="str">
        <x:v>Shared</x:v>
      </x:c>
      <x:c r="I127" s="48" t="n">
        <x:v>0.88</x:v>
      </x:c>
      <x:c r="J127" s="48" t="n">
        <x:v>0.93</x:v>
      </x:c>
      <x:c r="K127" s="48" t="str">
        <x:v>No</x:v>
      </x:c>
      <x:c r="L127" s="48" t="str">
        <x:v>PDF text</x:v>
      </x:c>
    </x:row>
    <x:row r="128">
      <x:c r="A128" s="48" t="str">
        <x:v>UNI-0127</x:v>
      </x:c>
      <x:c r="B128" s="48" t="str">
        <x:v>RED</x:v>
      </x:c>
      <x:c r="C128" s="48" t="str">
        <x:v>English</x:v>
      </x:c>
      <x:c r="D128" s="48" t="n">
        <x:v>19</x:v>
      </x:c>
      <x:c r="E128" s="48" t="str"/>
      <x:c r="F128" s="48" t="str">
        <x:v>The Contract Agreement shall be based upon the form annexed to the Particular Conditions.</x:v>
      </x:c>
      <x:c r="G128" s="48" t="str">
        <x:v>Obligation</x:v>
      </x:c>
      <x:c r="H128" s="48" t="str">
        <x:v>Shared</x:v>
      </x:c>
      <x:c r="I128" s="48" t="n">
        <x:v>0.88</x:v>
      </x:c>
      <x:c r="J128" s="48" t="n">
        <x:v>0.4</x:v>
      </x:c>
      <x:c r="K128" s="48" t="str">
        <x:v>Yes</x:v>
      </x:c>
      <x:c r="L128" s="48" t="str">
        <x:v>PDF text</x:v>
      </x:c>
    </x:row>
    <x:row r="129">
      <x:c r="A129" s="48" t="str">
        <x:v>UNI-0128</x:v>
      </x:c>
      <x:c r="B129" s="48" t="str">
        <x:v>RED</x:v>
      </x:c>
      <x:c r="C129" s="48" t="str">
        <x:v>English</x:v>
      </x:c>
      <x:c r="D129" s="48" t="n">
        <x:v>19</x:v>
      </x:c>
      <x:c r="E129" s="48" t="str"/>
      <x:c r="F129" s="48" t="str">
        <x:v>The costs of stamp duties and similar charges (if any) imposed by law in connection with entry into the Contract Agreement shall be borne by the Employer.</x:v>
      </x:c>
      <x:c r="G129" s="48" t="str">
        <x:v>Obligation</x:v>
      </x:c>
      <x:c r="H129" s="48" t="str">
        <x:v>Employer</x:v>
      </x:c>
      <x:c r="I129" s="48" t="n">
        <x:v>0.88</x:v>
      </x:c>
      <x:c r="J129" s="48" t="n">
        <x:v>0.68</x:v>
      </x:c>
      <x:c r="K129" s="48" t="str">
        <x:v>Yes</x:v>
      </x:c>
      <x:c r="L129" s="48" t="str">
        <x:v>PDF text</x:v>
      </x:c>
    </x:row>
    <x:row r="130">
      <x:c r="A130" s="48" t="str">
        <x:v>UNI-0129</x:v>
      </x:c>
      <x:c r="B130" s="48" t="str">
        <x:v>RED</x:v>
      </x:c>
      <x:c r="C130" s="48" t="str">
        <x:v>English</x:v>
      </x:c>
      <x:c r="D130" s="48" t="n">
        <x:v>19</x:v>
      </x:c>
      <x:c r="E130" s="48" t="str"/>
      <x:c r="F130" s="48" t="str">
        <x:v>Neither Party shall assign the whole or any part of the Contract or any benefit or interest in or under the Contract.</x:v>
      </x:c>
      <x:c r="G130" s="48" t="str">
        <x:v>Obligation</x:v>
      </x:c>
      <x:c r="H130" s="48" t="str">
        <x:v>Shared</x:v>
      </x:c>
      <x:c r="I130" s="48" t="n">
        <x:v>0.88</x:v>
      </x:c>
      <x:c r="J130" s="48" t="n">
        <x:v>0.4</x:v>
      </x:c>
      <x:c r="K130" s="48" t="str">
        <x:v>Yes</x:v>
      </x:c>
      <x:c r="L130" s="48" t="str">
        <x:v>PDF text</x:v>
      </x:c>
    </x:row>
    <x:row r="131">
      <x:c r="A131" s="48" t="str">
        <x:v>UNI-0130</x:v>
      </x:c>
      <x:c r="B131" s="48" t="str">
        <x:v>RED</x:v>
      </x:c>
      <x:c r="C131" s="48" t="str">
        <x:v>English</x:v>
      </x:c>
      <x:c r="D131" s="48" t="n">
        <x:v>19</x:v>
      </x:c>
      <x:c r="E131" s="48" t="str"/>
      <x:c r="F131" s="48" t="str">
        <x:v>However, either Party: (a) may assign the whole or any part with the prior agreement of the other Party, at the sole discretion of such other Party, and (b) may, as security in favour of a bank or financial institution, assign its right to any moneys due, or to become due, under the Contract.</x:v>
      </x:c>
      <x:c r="G131" s="48" t="str">
        <x:v>Right</x:v>
      </x:c>
      <x:c r="H131" s="48" t="str">
        <x:v>Shared</x:v>
      </x:c>
      <x:c r="I131" s="48" t="n">
        <x:v>0.78</x:v>
      </x:c>
      <x:c r="J131" s="48" t="n">
        <x:v>0.93</x:v>
      </x:c>
      <x:c r="K131" s="48" t="str">
        <x:v>No</x:v>
      </x:c>
      <x:c r="L131" s="48" t="str">
        <x:v>PDF text</x:v>
      </x:c>
    </x:row>
    <x:row r="132">
      <x:c r="A132" s="48" t="str">
        <x:v>UNI-0131</x:v>
      </x:c>
      <x:c r="B132" s="48" t="str">
        <x:v>RED</x:v>
      </x:c>
      <x:c r="C132" s="48" t="str">
        <x:v>English</x:v>
      </x:c>
      <x:c r="D132" s="48" t="n">
        <x:v>19</x:v>
      </x:c>
      <x:c r="E132" s="48" t="str"/>
      <x:c r="F132" s="48" t="str">
        <x:v>The Specification and Drawings shall be in the custody and care of the Employer.</x:v>
      </x:c>
      <x:c r="G132" s="48" t="str">
        <x:v>Obligation</x:v>
      </x:c>
      <x:c r="H132" s="48" t="str">
        <x:v>Employer</x:v>
      </x:c>
      <x:c r="I132" s="48" t="n">
        <x:v>0.88</x:v>
      </x:c>
      <x:c r="J132" s="48" t="n">
        <x:v>0.68</x:v>
      </x:c>
      <x:c r="K132" s="48" t="str">
        <x:v>Yes</x:v>
      </x:c>
      <x:c r="L132" s="48" t="str">
        <x:v>PDF text</x:v>
      </x:c>
    </x:row>
    <x:row r="133">
      <x:c r="A133" s="48" t="str">
        <x:v>UNI-0132</x:v>
      </x:c>
      <x:c r="B133" s="48" t="str">
        <x:v>RED</x:v>
      </x:c>
      <x:c r="C133" s="48" t="str">
        <x:v>English</x:v>
      </x:c>
      <x:c r="D133" s="48" t="n">
        <x:v>19</x:v>
      </x:c>
      <x:c r="E133" s="48" t="str"/>
      <x:c r="F133" s="48" t="str">
        <x:v>Unless otherwise stated in the Contract, two copies of the Contract and of each</x:v>
      </x:c>
      <x:c r="G133" s="48" t="str">
        <x:v>Obligation</x:v>
      </x:c>
      <x:c r="H133" s="48" t="str">
        <x:v>Shared</x:v>
      </x:c>
      <x:c r="I133" s="48" t="n">
        <x:v>0.45</x:v>
      </x:c>
      <x:c r="J133" s="48" t="n">
        <x:v>0.4</x:v>
      </x:c>
      <x:c r="K133" s="48" t="str">
        <x:v>Yes</x:v>
      </x:c>
      <x:c r="L133" s="48" t="str">
        <x:v>PDF text</x:v>
      </x:c>
    </x:row>
    <x:row r="134">
      <x:c r="A134" s="48" t="str">
        <x:v>UNI-0133</x:v>
      </x:c>
      <x:c r="B134" s="48" t="str">
        <x:v>RED</x:v>
      </x:c>
      <x:c r="C134" s="48" t="str">
        <x:v>English</x:v>
      </x:c>
      <x:c r="D134" s="48" t="n">
        <x:v>19</x:v>
      </x:c>
      <x:c r="E134" s="48" t="str"/>
      <x:c r="F134" s="48" t="str">
        <x:v>subsequent Drawing shall be supplied to the Contractor, who may make or request further copies at the cost of the Contractor.</x:v>
      </x:c>
      <x:c r="G134" s="48" t="str">
        <x:v>Obligation</x:v>
      </x:c>
      <x:c r="H134" s="48" t="str">
        <x:v>Contractor</x:v>
      </x:c>
      <x:c r="I134" s="48" t="n">
        <x:v>0.88</x:v>
      </x:c>
      <x:c r="J134" s="48" t="n">
        <x:v>0.68</x:v>
      </x:c>
      <x:c r="K134" s="48" t="str">
        <x:v>Yes</x:v>
      </x:c>
      <x:c r="L134" s="48" t="str">
        <x:v>PDF text</x:v>
      </x:c>
    </x:row>
    <x:row r="135">
      <x:c r="A135" s="48" t="str">
        <x:v>UNI-0134</x:v>
      </x:c>
      <x:c r="B135" s="48" t="str">
        <x:v>RED</x:v>
      </x:c>
      <x:c r="C135" s="48" t="str">
        <x:v>English</x:v>
      </x:c>
      <x:c r="D135" s="48" t="n">
        <x:v>19</x:v>
      </x:c>
      <x:c r="E135" s="48" t="str"/>
      <x:c r="F135" s="48" t="str">
        <x:v>Each of the Contractor’s Documents shall be in the custody and care of the</x:v>
      </x:c>
      <x:c r="G135" s="48" t="str">
        <x:v>Obligation</x:v>
      </x:c>
      <x:c r="H135" s="48" t="str">
        <x:v>Contractor</x:v>
      </x:c>
      <x:c r="I135" s="48" t="n">
        <x:v>0.88</x:v>
      </x:c>
      <x:c r="J135" s="48" t="n">
        <x:v>0.68</x:v>
      </x:c>
      <x:c r="K135" s="48" t="str">
        <x:v>Yes</x:v>
      </x:c>
      <x:c r="L135" s="48" t="str">
        <x:v>PDF text</x:v>
      </x:c>
    </x:row>
    <x:row r="136">
      <x:c r="A136" s="48" t="str">
        <x:v>UNI-0135</x:v>
      </x:c>
      <x:c r="B136" s="48" t="str">
        <x:v>RED</x:v>
      </x:c>
      <x:c r="C136" s="48" t="str">
        <x:v>English</x:v>
      </x:c>
      <x:c r="D136" s="48" t="n">
        <x:v>19</x:v>
      </x:c>
      <x:c r="E136" s="48" t="str"/>
      <x:c r="F136" s="48" t="str">
        <x:v>Contractor, unless and until taken over by the Employer.</x:v>
      </x:c>
      <x:c r="G136" s="48" t="str">
        <x:v>Obligation</x:v>
      </x:c>
      <x:c r="H136" s="48" t="str">
        <x:v>Shared</x:v>
      </x:c>
      <x:c r="I136" s="48" t="n">
        <x:v>0.45</x:v>
      </x:c>
      <x:c r="J136" s="48" t="n">
        <x:v>0.6</x:v>
      </x:c>
      <x:c r="K136" s="48" t="str">
        <x:v>Yes</x:v>
      </x:c>
      <x:c r="L136" s="48" t="str">
        <x:v>PDF text</x:v>
      </x:c>
    </x:row>
    <x:row r="137">
      <x:c r="A137" s="48" t="str">
        <x:v>UNI-0136</x:v>
      </x:c>
      <x:c r="B137" s="48" t="str">
        <x:v>RED</x:v>
      </x:c>
      <x:c r="C137" s="48" t="str">
        <x:v>English</x:v>
      </x:c>
      <x:c r="D137" s="48" t="n">
        <x:v>19</x:v>
      </x:c>
      <x:c r="E137" s="48" t="str"/>
      <x:c r="F137" s="48" t="str">
        <x:v>Unless otherwise stated in the Contract, the Contractor shall supply to the Engineer six copies of each of the Contractor’s Documents.</x:v>
      </x:c>
      <x:c r="G137" s="48" t="str">
        <x:v>Obligation</x:v>
      </x:c>
      <x:c r="H137" s="48" t="str">
        <x:v>Contractor</x:v>
      </x:c>
      <x:c r="I137" s="48" t="n">
        <x:v>0.88</x:v>
      </x:c>
      <x:c r="J137" s="48" t="n">
        <x:v>0.92</x:v>
      </x:c>
      <x:c r="K137" s="48" t="str">
        <x:v>No</x:v>
      </x:c>
      <x:c r="L137" s="48" t="str">
        <x:v>PDF text</x:v>
      </x:c>
    </x:row>
    <x:row r="138">
      <x:c r="A138" s="48" t="str">
        <x:v>UNI-0137</x:v>
      </x:c>
      <x:c r="B138" s="48" t="str">
        <x:v>RED</x:v>
      </x:c>
      <x:c r="C138" s="48" t="str">
        <x:v>English</x:v>
      </x:c>
      <x:c r="D138" s="48" t="n">
        <x:v>19</x:v>
      </x:c>
      <x:c r="E138" s="48" t="str"/>
      <x:c r="F138" s="48" t="str">
        <x:v>The Contractor shall keep, on the Site, a copy of the Contract, publications named in the Specification, the Contractor’s Documents (if any), the Drawings and Variations 1.4</x:v>
      </x:c>
      <x:c r="G138" s="48" t="str">
        <x:v>Obligation</x:v>
      </x:c>
      <x:c r="H138" s="48" t="str">
        <x:v>Contractor</x:v>
      </x:c>
      <x:c r="I138" s="48" t="n">
        <x:v>0.88</x:v>
      </x:c>
      <x:c r="J138" s="48" t="n">
        <x:v>0.92</x:v>
      </x:c>
      <x:c r="K138" s="48" t="str">
        <x:v>No</x:v>
      </x:c>
      <x:c r="L138" s="48" t="str">
        <x:v>PDF text</x:v>
      </x:c>
    </x:row>
    <x:row r="139">
      <x:c r="A139" s="48" t="str">
        <x:v>UNI-0138</x:v>
      </x:c>
      <x:c r="B139" s="48" t="str">
        <x:v>RED</x:v>
      </x:c>
      <x:c r="C139" s="48" t="str">
        <x:v>English</x:v>
      </x:c>
      <x:c r="D139" s="48" t="n">
        <x:v>19</x:v>
      </x:c>
      <x:c r="E139" s="48" t="str"/>
      <x:c r="F139" s="48" t="str">
        <x:v>Law and Language</x:v>
      </x:c>
      <x:c r="G139" s="48" t="str">
        <x:v>Obligation</x:v>
      </x:c>
      <x:c r="H139" s="48" t="str">
        <x:v>Shared</x:v>
      </x:c>
      <x:c r="I139" s="48" t="n">
        <x:v>0.45</x:v>
      </x:c>
      <x:c r="J139" s="48" t="n">
        <x:v>0.4</x:v>
      </x:c>
      <x:c r="K139" s="48" t="str">
        <x:v>Yes</x:v>
      </x:c>
      <x:c r="L139" s="48" t="str">
        <x:v>PDF text</x:v>
      </x:c>
    </x:row>
    <x:row r="140">
      <x:c r="A140" s="48" t="str">
        <x:v>UNI-0139</x:v>
      </x:c>
      <x:c r="B140" s="48" t="str">
        <x:v>RED</x:v>
      </x:c>
      <x:c r="C140" s="48" t="str">
        <x:v>English</x:v>
      </x:c>
      <x:c r="D140" s="48" t="n">
        <x:v>19</x:v>
      </x:c>
      <x:c r="E140" s="48" t="str"/>
      <x:c r="F140" s="48" t="str">
        <x:v>Priority of Documents</x:v>
      </x:c>
      <x:c r="G140" s="48" t="str">
        <x:v>Obligation</x:v>
      </x:c>
      <x:c r="H140" s="48" t="str">
        <x:v>Shared</x:v>
      </x:c>
      <x:c r="I140" s="48" t="n">
        <x:v>0.45</x:v>
      </x:c>
      <x:c r="J140" s="48" t="n">
        <x:v>0.4</x:v>
      </x:c>
      <x:c r="K140" s="48" t="str">
        <x:v>Yes</x:v>
      </x:c>
      <x:c r="L140" s="48" t="str">
        <x:v>PDF text</x:v>
      </x:c>
    </x:row>
    <x:row r="141">
      <x:c r="A141" s="48" t="str">
        <x:v>UNI-0140</x:v>
      </x:c>
      <x:c r="B141" s="48" t="str">
        <x:v>RED</x:v>
      </x:c>
      <x:c r="C141" s="48" t="str">
        <x:v>English</x:v>
      </x:c>
      <x:c r="D141" s="48" t="n">
        <x:v>19</x:v>
      </x:c>
      <x:c r="E141" s="48" t="str"/>
      <x:c r="F141" s="48" t="str">
        <x:v>Contract Agreement</x:v>
      </x:c>
      <x:c r="G141" s="48" t="str">
        <x:v>Obligation</x:v>
      </x:c>
      <x:c r="H141" s="48" t="str">
        <x:v>Shared</x:v>
      </x:c>
      <x:c r="I141" s="48" t="n">
        <x:v>0.45</x:v>
      </x:c>
      <x:c r="J141" s="48" t="n">
        <x:v>0.4</x:v>
      </x:c>
      <x:c r="K141" s="48" t="str">
        <x:v>Yes</x:v>
      </x:c>
      <x:c r="L141" s="48" t="str">
        <x:v>PDF text</x:v>
      </x:c>
    </x:row>
    <x:row r="142">
      <x:c r="A142" s="48" t="str">
        <x:v>UNI-0141</x:v>
      </x:c>
      <x:c r="B142" s="48" t="str">
        <x:v>RED</x:v>
      </x:c>
      <x:c r="C142" s="48" t="str">
        <x:v>English</x:v>
      </x:c>
      <x:c r="D142" s="48" t="n">
        <x:v>19</x:v>
      </x:c>
      <x:c r="E142" s="48" t="str"/>
      <x:c r="F142" s="48" t="str">
        <x:v>Assignment</x:v>
      </x:c>
      <x:c r="G142" s="48" t="str">
        <x:v>Obligation</x:v>
      </x:c>
      <x:c r="H142" s="48" t="str">
        <x:v>Shared</x:v>
      </x:c>
      <x:c r="I142" s="48" t="n">
        <x:v>0.45</x:v>
      </x:c>
      <x:c r="J142" s="48" t="n">
        <x:v>0.4</x:v>
      </x:c>
      <x:c r="K142" s="48" t="str">
        <x:v>Yes</x:v>
      </x:c>
      <x:c r="L142" s="48" t="str">
        <x:v>PDF text</x:v>
      </x:c>
    </x:row>
    <x:row r="143">
      <x:c r="A143" s="48" t="str">
        <x:v>UNI-0142</x:v>
      </x:c>
      <x:c r="B143" s="48" t="str">
        <x:v>RED</x:v>
      </x:c>
      <x:c r="C143" s="48" t="str">
        <x:v>English</x:v>
      </x:c>
      <x:c r="D143" s="48" t="n">
        <x:v>19</x:v>
      </x:c>
      <x:c r="E143" s="48" t="str"/>
      <x:c r="F143" s="48" t="str">
        <x:v>Care and Supply of</x:v>
      </x:c>
      <x:c r="G143" s="48" t="str">
        <x:v>Obligation</x:v>
      </x:c>
      <x:c r="H143" s="48" t="str">
        <x:v>Shared</x:v>
      </x:c>
      <x:c r="I143" s="48" t="n">
        <x:v>0.45</x:v>
      </x:c>
      <x:c r="J143" s="48" t="n">
        <x:v>0.4</x:v>
      </x:c>
      <x:c r="K143" s="48" t="str">
        <x:v>Yes</x:v>
      </x:c>
      <x:c r="L143" s="48" t="str">
        <x:v>PDF text</x:v>
      </x:c>
    </x:row>
    <x:row r="144">
      <x:c r="A144" s="48" t="str">
        <x:v>UNI-0143</x:v>
      </x:c>
      <x:c r="B144" s="48" t="str">
        <x:v>RED</x:v>
      </x:c>
      <x:c r="C144" s="48" t="str">
        <x:v>English</x:v>
      </x:c>
      <x:c r="D144" s="48" t="n">
        <x:v>19</x:v>
      </x:c>
      <x:c r="E144" s="48" t="str"/>
      <x:c r="F144" s="48" t="str">
        <x:v>Documents</x:v>
      </x:c>
      <x:c r="G144" s="48" t="str">
        <x:v>Obligation</x:v>
      </x:c>
      <x:c r="H144" s="48" t="str">
        <x:v>Shared</x:v>
      </x:c>
      <x:c r="I144" s="48" t="n">
        <x:v>0.45</x:v>
      </x:c>
      <x:c r="J144" s="48" t="n">
        <x:v>0.4</x:v>
      </x:c>
      <x:c r="K144" s="48" t="str">
        <x:v>Yes</x:v>
      </x:c>
      <x:c r="L144" s="48" t="str">
        <x:v>PDF text</x:v>
      </x:c>
    </x:row>
    <x:row r="145">
      <x:c r="A145" s="48" t="str">
        <x:v>UNI-0144</x:v>
      </x:c>
      <x:c r="B145" s="48" t="str">
        <x:v>RED</x:v>
      </x:c>
      <x:c r="C145" s="48" t="str">
        <x:v>English</x:v>
      </x:c>
      <x:c r="D145" s="48" t="n">
        <x:v>20</x:v>
      </x:c>
      <x:c r="E145" s="48" t="str"/>
      <x:c r="F145" s="48" t="str">
        <x:v>and other communications given under the Contract.</x:v>
      </x:c>
      <x:c r="G145" s="48" t="str">
        <x:v>Obligation</x:v>
      </x:c>
      <x:c r="H145" s="48" t="str">
        <x:v>Shared</x:v>
      </x:c>
      <x:c r="I145" s="48" t="n">
        <x:v>0.45</x:v>
      </x:c>
      <x:c r="J145" s="48" t="n">
        <x:v>0.4</x:v>
      </x:c>
      <x:c r="K145" s="48" t="str">
        <x:v>Yes</x:v>
      </x:c>
      <x:c r="L145" s="48" t="str">
        <x:v>PDF text</x:v>
      </x:c>
    </x:row>
    <x:row r="146">
      <x:c r="A146" s="48" t="str">
        <x:v>UNI-0145</x:v>
      </x:c>
      <x:c r="B146" s="48" t="str">
        <x:v>RED</x:v>
      </x:c>
      <x:c r="C146" s="48" t="str">
        <x:v>English</x:v>
      </x:c>
      <x:c r="D146" s="48" t="n">
        <x:v>20</x:v>
      </x:c>
      <x:c r="E146" s="48" t="str"/>
      <x:c r="F146" s="48" t="str">
        <x:v>The Employer’s Personnel shall have the right of access to all these documents at all reasonable times.</x:v>
      </x:c>
      <x:c r="G146" s="48" t="str">
        <x:v>Obligation</x:v>
      </x:c>
      <x:c r="H146" s="48" t="str">
        <x:v>Employer</x:v>
      </x:c>
      <x:c r="I146" s="48" t="n">
        <x:v>0.88</x:v>
      </x:c>
      <x:c r="J146" s="48" t="n">
        <x:v>0.68</x:v>
      </x:c>
      <x:c r="K146" s="48" t="str">
        <x:v>Yes</x:v>
      </x:c>
      <x:c r="L146" s="48" t="str">
        <x:v>PDF text</x:v>
      </x:c>
    </x:row>
    <x:row r="147">
      <x:c r="A147" s="48" t="str">
        <x:v>UNI-0146</x:v>
      </x:c>
      <x:c r="B147" s="48" t="str">
        <x:v>RED</x:v>
      </x:c>
      <x:c r="C147" s="48" t="str">
        <x:v>English</x:v>
      </x:c>
      <x:c r="D147" s="48" t="n">
        <x:v>20</x:v>
      </x:c>
      <x:c r="E147" s="48" t="str"/>
      <x:c r="F147" s="48" t="str">
        <x:v>If a Party becomes aware of an error or defect in a document which was prepared for use in executing the Works, the Party shall promptly give notice to the other Party of such error or defect.</x:v>
      </x:c>
      <x:c r="G147" s="48" t="str">
        <x:v>Risk</x:v>
      </x:c>
      <x:c r="H147" s="48" t="str">
        <x:v>Shared</x:v>
      </x:c>
      <x:c r="I147" s="48" t="n">
        <x:v>0.78</x:v>
      </x:c>
      <x:c r="J147" s="48" t="n">
        <x:v>0.4</x:v>
      </x:c>
      <x:c r="K147" s="48" t="str">
        <x:v>Yes</x:v>
      </x:c>
      <x:c r="L147" s="48" t="str">
        <x:v>PDF text</x:v>
      </x:c>
    </x:row>
    <x:row r="148">
      <x:c r="A148" s="48" t="str">
        <x:v>UNI-0147</x:v>
      </x:c>
      <x:c r="B148" s="48" t="str">
        <x:v>RED</x:v>
      </x:c>
      <x:c r="C148" s="48" t="str">
        <x:v>English</x:v>
      </x:c>
      <x:c r="D148" s="48" t="n">
        <x:v>20</x:v>
      </x:c>
      <x:c r="E148" s="48" t="str"/>
      <x:c r="F148" s="48" t="str">
        <x:v>The Contractor shall give notice to the Engineer whenever the Works are likely to be delayed or disrupted if any necessary drawing or instruction is not issued to the Contractor within a particular time, which shall be reasonable.</x:v>
      </x:c>
      <x:c r="G148" s="48" t="str">
        <x:v>Obligation</x:v>
      </x:c>
      <x:c r="H148" s="48" t="str">
        <x:v>Contractor</x:v>
      </x:c>
      <x:c r="I148" s="48" t="n">
        <x:v>0.88</x:v>
      </x:c>
      <x:c r="J148" s="48" t="n">
        <x:v>0.92</x:v>
      </x:c>
      <x:c r="K148" s="48" t="str">
        <x:v>No</x:v>
      </x:c>
      <x:c r="L148" s="48" t="str">
        <x:v>PDF text</x:v>
      </x:c>
    </x:row>
    <x:row r="149">
      <x:c r="A149" s="48" t="str">
        <x:v>UNI-0148</x:v>
      </x:c>
      <x:c r="B149" s="48" t="str">
        <x:v>RED</x:v>
      </x:c>
      <x:c r="C149" s="48" t="str">
        <x:v>English</x:v>
      </x:c>
      <x:c r="D149" s="48" t="n">
        <x:v>20</x:v>
      </x:c>
      <x:c r="E149" s="48" t="str"/>
      <x:c r="F149" s="48" t="str">
        <x:v>The notice shall include details of the necessary drawing or instruction, details of why and by when it should be issued, and details of the nature and amount of the delay or disruption likely to be suffered if it is late.</x:v>
      </x:c>
      <x:c r="G149" s="48" t="str">
        <x:v>Risk</x:v>
      </x:c>
      <x:c r="H149" s="48" t="str">
        <x:v>Shared</x:v>
      </x:c>
      <x:c r="I149" s="48" t="n">
        <x:v>0.78</x:v>
      </x:c>
      <x:c r="J149" s="48" t="n">
        <x:v>0.4</x:v>
      </x:c>
      <x:c r="K149" s="48" t="str">
        <x:v>Yes</x:v>
      </x:c>
      <x:c r="L149" s="48" t="str">
        <x:v>PDF text</x:v>
      </x:c>
    </x:row>
    <x:row r="150">
      <x:c r="A150" s="48" t="str">
        <x:v>UNI-0149</x:v>
      </x:c>
      <x:c r="B150" s="48" t="str">
        <x:v>RED</x:v>
      </x:c>
      <x:c r="C150" s="48" t="str">
        <x:v>English</x:v>
      </x:c>
      <x:c r="D150" s="48" t="n">
        <x:v>20</x:v>
      </x:c>
      <x:c r="E150" s="48" t="str"/>
      <x:c r="F150" s="48" t="str">
        <x:v>If the Contractor suffers delay and/or incurs Cost as a result of a failure of the Engineer to issue the notified drawing or instruction within a time which is reasonable and is specified in the notice with supporting details, the Contractor shall give a further notice to the Engineer and shall be entitled subject to Sub-Clause 20.1 [Contractor’s Claims] to: (a) an extension of time for any such delay, if completion is or will be delayed, under Sub-Clause 8.4 [Extension of Time for Completion], and (a) payment of any such Cost plus profit, which shall be included in the Contract Price.</x:v>
      </x:c>
      <x:c r="G150" s="48" t="str">
        <x:v>Risk</x:v>
      </x:c>
      <x:c r="H150" s="48" t="str">
        <x:v>Contractor</x:v>
      </x:c>
      <x:c r="I150" s="48" t="n">
        <x:v>0.78</x:v>
      </x:c>
      <x:c r="J150" s="48" t="n">
        <x:v>0.92</x:v>
      </x:c>
      <x:c r="K150" s="48" t="str">
        <x:v>No</x:v>
      </x:c>
      <x:c r="L150" s="48" t="str">
        <x:v>PDF text</x:v>
      </x:c>
    </x:row>
    <x:row r="151">
      <x:c r="A151" s="48" t="str">
        <x:v>UNI-0150</x:v>
      </x:c>
      <x:c r="B151" s="48" t="str">
        <x:v>RED</x:v>
      </x:c>
      <x:c r="C151" s="48" t="str">
        <x:v>English</x:v>
      </x:c>
      <x:c r="D151" s="48" t="n">
        <x:v>20</x:v>
      </x:c>
      <x:c r="E151" s="48" t="str"/>
      <x:c r="F151" s="48" t="str">
        <x:v>After receiving this further notice, the Engineer shall proceed in accordance with SubClause 3.5 [Determinations] to agree or determine these matters.</x:v>
      </x:c>
      <x:c r="G151" s="48" t="str">
        <x:v>Obligation</x:v>
      </x:c>
      <x:c r="H151" s="48" t="str">
        <x:v>Shared</x:v>
      </x:c>
      <x:c r="I151" s="48" t="n">
        <x:v>0.88</x:v>
      </x:c>
      <x:c r="J151" s="48" t="n">
        <x:v>0.4</x:v>
      </x:c>
      <x:c r="K151" s="48" t="str">
        <x:v>Yes</x:v>
      </x:c>
      <x:c r="L151" s="48" t="str">
        <x:v>PDF text</x:v>
      </x:c>
    </x:row>
    <x:row r="152">
      <x:c r="A152" s="48" t="str">
        <x:v>UNI-0151</x:v>
      </x:c>
      <x:c r="B152" s="48" t="str">
        <x:v>RED</x:v>
      </x:c>
      <x:c r="C152" s="48" t="str">
        <x:v>English</x:v>
      </x:c>
      <x:c r="D152" s="48" t="n">
        <x:v>20</x:v>
      </x:c>
      <x:c r="E152" s="48" t="str"/>
      <x:c r="F152" s="48" t="str">
        <x:v>However, if and to the extent that the Engineer’s failure was caused by any error or delay by the Contractor, including an error in, or delay in the submission of, any of the</x:v>
      </x:c>
      <x:c r="G152" s="48" t="str">
        <x:v>Risk</x:v>
      </x:c>
      <x:c r="H152" s="48" t="str">
        <x:v>Contractor</x:v>
      </x:c>
      <x:c r="I152" s="48" t="n">
        <x:v>0.78</x:v>
      </x:c>
      <x:c r="J152" s="48" t="n">
        <x:v>0.68</x:v>
      </x:c>
      <x:c r="K152" s="48" t="str">
        <x:v>Yes</x:v>
      </x:c>
      <x:c r="L152" s="48" t="str">
        <x:v>PDF text</x:v>
      </x:c>
    </x:row>
    <x:row r="153">
      <x:c r="A153" s="48" t="str">
        <x:v>UNI-0152</x:v>
      </x:c>
      <x:c r="B153" s="48" t="str">
        <x:v>RED</x:v>
      </x:c>
      <x:c r="C153" s="48" t="str">
        <x:v>English</x:v>
      </x:c>
      <x:c r="D153" s="48" t="n">
        <x:v>20</x:v>
      </x:c>
      <x:c r="E153" s="48" t="str"/>
      <x:c r="F153" s="48" t="str">
        <x:v>Contractor’s Documents, the Contractor shall not be entitled to such extension of</x:v>
      </x:c>
      <x:c r="G153" s="48" t="str">
        <x:v>Obligation</x:v>
      </x:c>
      <x:c r="H153" s="48" t="str">
        <x:v>Contractor</x:v>
      </x:c>
      <x:c r="I153" s="48" t="n">
        <x:v>0.88</x:v>
      </x:c>
      <x:c r="J153" s="48" t="n">
        <x:v>0.92</x:v>
      </x:c>
      <x:c r="K153" s="48" t="str">
        <x:v>No</x:v>
      </x:c>
      <x:c r="L153" s="48" t="str">
        <x:v>PDF text</x:v>
      </x:c>
    </x:row>
    <x:row r="154">
      <x:c r="A154" s="48" t="str">
        <x:v>UNI-0153</x:v>
      </x:c>
      <x:c r="B154" s="48" t="str">
        <x:v>RED</x:v>
      </x:c>
      <x:c r="C154" s="48" t="str">
        <x:v>English</x:v>
      </x:c>
      <x:c r="D154" s="48" t="n">
        <x:v>20</x:v>
      </x:c>
      <x:c r="E154" s="48" t="str"/>
      <x:c r="F154" s="48" t="str">
        <x:v>time, Cost or profit.</x:v>
      </x:c>
      <x:c r="G154" s="48" t="str">
        <x:v>Obligation</x:v>
      </x:c>
      <x:c r="H154" s="48" t="str">
        <x:v>Shared</x:v>
      </x:c>
      <x:c r="I154" s="48" t="n">
        <x:v>0.45</x:v>
      </x:c>
      <x:c r="J154" s="48" t="n">
        <x:v>0.4</x:v>
      </x:c>
      <x:c r="K154" s="48" t="str">
        <x:v>Yes</x:v>
      </x:c>
      <x:c r="L154" s="48" t="str">
        <x:v>PDF text</x:v>
      </x:c>
    </x:row>
    <x:row r="155">
      <x:c r="A155" s="48" t="str">
        <x:v>UNI-0154</x:v>
      </x:c>
      <x:c r="B155" s="48" t="str">
        <x:v>RED</x:v>
      </x:c>
      <x:c r="C155" s="48" t="str">
        <x:v>English</x:v>
      </x:c>
      <x:c r="D155" s="48" t="n">
        <x:v>20</x:v>
      </x:c>
      <x:c r="E155" s="48" t="str"/>
      <x:c r="F155" s="48" t="str">
        <x:v>The Contractor shall be deemed (by signing the Contract) to give to the Employer a non-terminable transferable non-exclusive royalty-free licence to copy, use and communicate the Contractor’s Documents, including making and using modifications of them.</x:v>
      </x:c>
      <x:c r="G155" s="48" t="str">
        <x:v>Obligation</x:v>
      </x:c>
      <x:c r="H155" s="48" t="str">
        <x:v>Contractor</x:v>
      </x:c>
      <x:c r="I155" s="48" t="n">
        <x:v>0.88</x:v>
      </x:c>
      <x:c r="J155" s="48" t="n">
        <x:v>0.92</x:v>
      </x:c>
      <x:c r="K155" s="48" t="str">
        <x:v>No</x:v>
      </x:c>
      <x:c r="L155" s="48" t="str">
        <x:v>PDF text</x:v>
      </x:c>
    </x:row>
    <x:row r="156">
      <x:c r="A156" s="48" t="str">
        <x:v>UNI-0155</x:v>
      </x:c>
      <x:c r="B156" s="48" t="str">
        <x:v>RED</x:v>
      </x:c>
      <x:c r="C156" s="48" t="str">
        <x:v>English</x:v>
      </x:c>
      <x:c r="D156" s="48" t="n">
        <x:v>20</x:v>
      </x:c>
      <x:c r="E156" s="48" t="str"/>
      <x:c r="F156" s="48" t="str">
        <x:v>This licence shall: (a) apply throughout the actual or intended working life (whichever is longer) of the relevant parts of the Works, (b) entitle any person in proper possession of the relevant part of the Works to copy, use and communicate the Contractor’s Documents for the purposes of completing, operating, maintaining, altering, adjusting, repairing and demolishing the Works, and (c) in the case of Contractor’s Documents which are in the form of computer programs and other software, permit their use on any computer on the Site and other places as envisaged by the Contract, including replacements of any computers supplied by the Contractor.</x:v>
      </x:c>
      <x:c r="G156" s="48" t="str">
        <x:v>Obligation</x:v>
      </x:c>
      <x:c r="H156" s="48" t="str">
        <x:v>Contractor</x:v>
      </x:c>
      <x:c r="I156" s="48" t="n">
        <x:v>0.88</x:v>
      </x:c>
      <x:c r="J156" s="48" t="n">
        <x:v>0.68</x:v>
      </x:c>
      <x:c r="K156" s="48" t="str">
        <x:v>Yes</x:v>
      </x:c>
      <x:c r="L156" s="48" t="str">
        <x:v>PDF text</x:v>
      </x:c>
    </x:row>
    <x:row r="157">
      <x:c r="A157" s="48" t="str">
        <x:v>UNI-0156</x:v>
      </x:c>
      <x:c r="B157" s="48" t="str">
        <x:v>RED</x:v>
      </x:c>
      <x:c r="C157" s="48" t="str">
        <x:v>English</x:v>
      </x:c>
      <x:c r="D157" s="48" t="n">
        <x:v>20</x:v>
      </x:c>
      <x:c r="E157" s="48" t="str"/>
      <x:c r="F157" s="48" t="str">
        <x:v>The Contractor’s Documents and other design documents made by (or on behalf of)</x:v>
      </x:c>
      <x:c r="G157" s="48" t="str">
        <x:v>Obligation</x:v>
      </x:c>
      <x:c r="H157" s="48" t="str">
        <x:v>Contractor</x:v>
      </x:c>
      <x:c r="I157" s="48" t="n">
        <x:v>0.45</x:v>
      </x:c>
      <x:c r="J157" s="48" t="n">
        <x:v>0.68</x:v>
      </x:c>
      <x:c r="K157" s="48" t="str">
        <x:v>Yes</x:v>
      </x:c>
      <x:c r="L157" s="48" t="str">
        <x:v>PDF text</x:v>
      </x:c>
    </x:row>
    <x:row r="158">
      <x:c r="A158" s="48" t="str">
        <x:v>UNI-0157</x:v>
      </x:c>
      <x:c r="B158" s="48" t="str">
        <x:v>RED</x:v>
      </x:c>
      <x:c r="C158" s="48" t="str">
        <x:v>English</x:v>
      </x:c>
      <x:c r="D158" s="48" t="n">
        <x:v>20</x:v>
      </x:c>
      <x:c r="E158" s="48" t="str"/>
      <x:c r="F158" s="48" t="str">
        <x:v>the Contractor shall not, without the Contractor’s consent, be used, copied or 1.9</x:v>
      </x:c>
      <x:c r="G158" s="48" t="str">
        <x:v>Obligation</x:v>
      </x:c>
      <x:c r="H158" s="48" t="str">
        <x:v>Contractor</x:v>
      </x:c>
      <x:c r="I158" s="48" t="n">
        <x:v>0.88</x:v>
      </x:c>
      <x:c r="J158" s="48" t="n">
        <x:v>0.92</x:v>
      </x:c>
      <x:c r="K158" s="48" t="str">
        <x:v>No</x:v>
      </x:c>
      <x:c r="L158" s="48" t="str">
        <x:v>PDF text</x:v>
      </x:c>
    </x:row>
    <x:row r="159">
      <x:c r="A159" s="48" t="str">
        <x:v>UNI-0158</x:v>
      </x:c>
      <x:c r="B159" s="48" t="str">
        <x:v>RED</x:v>
      </x:c>
      <x:c r="C159" s="48" t="str">
        <x:v>English</x:v>
      </x:c>
      <x:c r="D159" s="48" t="n">
        <x:v>20</x:v>
      </x:c>
      <x:c r="E159" s="48" t="str"/>
      <x:c r="F159" s="48" t="str">
        <x:v>Delayed Drawings or</x:v>
      </x:c>
      <x:c r="G159" s="48" t="str">
        <x:v>Obligation</x:v>
      </x:c>
      <x:c r="H159" s="48" t="str">
        <x:v>Shared</x:v>
      </x:c>
      <x:c r="I159" s="48" t="n">
        <x:v>0.45</x:v>
      </x:c>
      <x:c r="J159" s="48" t="n">
        <x:v>0.4</x:v>
      </x:c>
      <x:c r="K159" s="48" t="str">
        <x:v>Yes</x:v>
      </x:c>
      <x:c r="L159" s="48" t="str">
        <x:v>PDF text</x:v>
      </x:c>
    </x:row>
    <x:row r="160">
      <x:c r="A160" s="48" t="str">
        <x:v>UNI-0159</x:v>
      </x:c>
      <x:c r="B160" s="48" t="str">
        <x:v>RED</x:v>
      </x:c>
      <x:c r="C160" s="48" t="str">
        <x:v>English</x:v>
      </x:c>
      <x:c r="D160" s="48" t="n">
        <x:v>20</x:v>
      </x:c>
      <x:c r="E160" s="48" t="str"/>
      <x:c r="F160" s="48" t="str">
        <x:v>Instructions</x:v>
      </x:c>
      <x:c r="G160" s="48" t="str">
        <x:v>Obligation</x:v>
      </x:c>
      <x:c r="H160" s="48" t="str">
        <x:v>Shared</x:v>
      </x:c>
      <x:c r="I160" s="48" t="n">
        <x:v>0.45</x:v>
      </x:c>
      <x:c r="J160" s="48" t="n">
        <x:v>0.4</x:v>
      </x:c>
      <x:c r="K160" s="48" t="str">
        <x:v>Yes</x:v>
      </x:c>
      <x:c r="L160" s="48" t="str">
        <x:v>PDF text</x:v>
      </x:c>
    </x:row>
    <x:row r="161">
      <x:c r="A161" s="48" t="str">
        <x:v>UNI-0160</x:v>
      </x:c>
      <x:c r="B161" s="48" t="str">
        <x:v>RED</x:v>
      </x:c>
      <x:c r="C161" s="48" t="str">
        <x:v>English</x:v>
      </x:c>
      <x:c r="D161" s="48" t="n">
        <x:v>20</x:v>
      </x:c>
      <x:c r="E161" s="48" t="str"/>
      <x:c r="F161" s="48" t="str">
        <x:v>Employer’s Use of</x:v>
      </x:c>
      <x:c r="G161" s="48" t="str">
        <x:v>Obligation</x:v>
      </x:c>
      <x:c r="H161" s="48" t="str">
        <x:v>Employer</x:v>
      </x:c>
      <x:c r="I161" s="48" t="n">
        <x:v>0.45</x:v>
      </x:c>
      <x:c r="J161" s="48" t="n">
        <x:v>0.68</x:v>
      </x:c>
      <x:c r="K161" s="48" t="str">
        <x:v>Yes</x:v>
      </x:c>
      <x:c r="L161" s="48" t="str">
        <x:v>PDF text</x:v>
      </x:c>
    </x:row>
    <x:row r="162">
      <x:c r="A162" s="48" t="str">
        <x:v>UNI-0161</x:v>
      </x:c>
      <x:c r="B162" s="48" t="str">
        <x:v>RED</x:v>
      </x:c>
      <x:c r="C162" s="48" t="str">
        <x:v>English</x:v>
      </x:c>
      <x:c r="D162" s="48" t="n">
        <x:v>20</x:v>
      </x:c>
      <x:c r="E162" s="48" t="str"/>
      <x:c r="F162" s="48" t="str">
        <x:v>Contractor’s Documents</x:v>
      </x:c>
      <x:c r="G162" s="48" t="str">
        <x:v>Obligation</x:v>
      </x:c>
      <x:c r="H162" s="48" t="str">
        <x:v>Contractor</x:v>
      </x:c>
      <x:c r="I162" s="48" t="n">
        <x:v>0.45</x:v>
      </x:c>
      <x:c r="J162" s="48" t="n">
        <x:v>0.68</x:v>
      </x:c>
      <x:c r="K162" s="48" t="str">
        <x:v>Yes</x:v>
      </x:c>
      <x:c r="L162" s="48" t="str">
        <x:v>PDF text</x:v>
      </x:c>
    </x:row>
    <x:row r="163">
      <x:c r="A163" s="48" t="str">
        <x:v>UNI-0162</x:v>
      </x:c>
      <x:c r="B163" s="48" t="str">
        <x:v>RED</x:v>
      </x:c>
      <x:c r="C163" s="48" t="str">
        <x:v>English</x:v>
      </x:c>
      <x:c r="D163" s="48" t="n">
        <x:v>21</x:v>
      </x:c>
      <x:c r="E163" s="48" t="str"/>
      <x:c r="F163" s="48" t="str">
        <x:v>communicated to a third party by (or on behalf of) the Employer for purposes other than those permitted under this Sub-Clause.</x:v>
      </x:c>
      <x:c r="G163" s="48" t="str">
        <x:v>Obligation</x:v>
      </x:c>
      <x:c r="H163" s="48" t="str">
        <x:v>Employer</x:v>
      </x:c>
      <x:c r="I163" s="48" t="n">
        <x:v>0.45</x:v>
      </x:c>
      <x:c r="J163" s="48" t="n">
        <x:v>0.68</x:v>
      </x:c>
      <x:c r="K163" s="48" t="str">
        <x:v>Yes</x:v>
      </x:c>
      <x:c r="L163" s="48" t="str">
        <x:v>PDF text</x:v>
      </x:c>
    </x:row>
    <x:row r="164">
      <x:c r="A164" s="48" t="str">
        <x:v>UNI-0163</x:v>
      </x:c>
      <x:c r="B164" s="48" t="str">
        <x:v>RED</x:v>
      </x:c>
      <x:c r="C164" s="48" t="str">
        <x:v>English</x:v>
      </x:c>
      <x:c r="D164" s="48" t="n">
        <x:v>21</x:v>
      </x:c>
      <x:c r="E164" s="48" t="str"/>
      <x:c r="F164" s="48" t="str">
        <x:v>The Contractor may, at his cost, copy, use, and obtain communication of these documents for the purposes of the Contract.</x:v>
      </x:c>
      <x:c r="G164" s="48" t="str">
        <x:v>Obligation</x:v>
      </x:c>
      <x:c r="H164" s="48" t="str">
        <x:v>Contractor</x:v>
      </x:c>
      <x:c r="I164" s="48" t="n">
        <x:v>0.45</x:v>
      </x:c>
      <x:c r="J164" s="48" t="n">
        <x:v>0.68</x:v>
      </x:c>
      <x:c r="K164" s="48" t="str">
        <x:v>Yes</x:v>
      </x:c>
      <x:c r="L164" s="48" t="str">
        <x:v>PDF text</x:v>
      </x:c>
    </x:row>
    <x:row r="165">
      <x:c r="A165" s="48" t="str">
        <x:v>UNI-0164</x:v>
      </x:c>
      <x:c r="B165" s="48" t="str">
        <x:v>RED</x:v>
      </x:c>
      <x:c r="C165" s="48" t="str">
        <x:v>English</x:v>
      </x:c>
      <x:c r="D165" s="48" t="n">
        <x:v>21</x:v>
      </x:c>
      <x:c r="E165" s="48" t="str"/>
      <x:c r="F165" s="48" t="str">
        <x:v>They shall not, without the Employer’s consent, be copied, used or communicated to a third party by the Contractor, except as necessary for the purposes of the Contract.</x:v>
      </x:c>
      <x:c r="G165" s="48" t="str">
        <x:v>Obligation</x:v>
      </x:c>
      <x:c r="H165" s="48" t="str">
        <x:v>Shared</x:v>
      </x:c>
      <x:c r="I165" s="48" t="n">
        <x:v>0.88</x:v>
      </x:c>
      <x:c r="J165" s="48" t="n">
        <x:v>0.6</x:v>
      </x:c>
      <x:c r="K165" s="48" t="str">
        <x:v>Yes</x:v>
      </x:c>
      <x:c r="L165" s="48" t="str">
        <x:v>PDF text</x:v>
      </x:c>
    </x:row>
    <x:row r="166">
      <x:c r="A166" s="48" t="str">
        <x:v>UNI-0165</x:v>
      </x:c>
      <x:c r="B166" s="48" t="str">
        <x:v>RED</x:v>
      </x:c>
      <x:c r="C166" s="48" t="str">
        <x:v>English</x:v>
      </x:c>
      <x:c r="D166" s="48" t="n">
        <x:v>21</x:v>
      </x:c>
      <x:c r="E166" s="48" t="str"/>
      <x:c r="F166" s="48" t="str">
        <x:v>The Contractor shall disclose all such confidential and other information as the Engineer may reasonably require in order to verify the Contractor’s compliance with the Contract.</x:v>
      </x:c>
      <x:c r="G166" s="48" t="str">
        <x:v>Obligation</x:v>
      </x:c>
      <x:c r="H166" s="48" t="str">
        <x:v>Contractor</x:v>
      </x:c>
      <x:c r="I166" s="48" t="n">
        <x:v>0.88</x:v>
      </x:c>
      <x:c r="J166" s="48" t="n">
        <x:v>0.92</x:v>
      </x:c>
      <x:c r="K166" s="48" t="str">
        <x:v>No</x:v>
      </x:c>
      <x:c r="L166" s="48" t="str">
        <x:v>PDF text</x:v>
      </x:c>
    </x:row>
    <x:row r="167">
      <x:c r="A167" s="48" t="str">
        <x:v>UNI-0166</x:v>
      </x:c>
      <x:c r="B167" s="48" t="str">
        <x:v>RED</x:v>
      </x:c>
      <x:c r="C167" s="48" t="str">
        <x:v>English</x:v>
      </x:c>
      <x:c r="D167" s="48" t="n">
        <x:v>21</x:v>
      </x:c>
      <x:c r="E167" s="48" t="str"/>
      <x:c r="F167" s="48" t="str">
        <x:v>The Contractor shall treat the details of the Contract as private and confidential, except to the extent necessary to carry out the Contractor’s obligations under the Contract or to comply with applicable Laws.</x:v>
      </x:c>
      <x:c r="G167" s="48" t="str">
        <x:v>Obligation</x:v>
      </x:c>
      <x:c r="H167" s="48" t="str">
        <x:v>Contractor</x:v>
      </x:c>
      <x:c r="I167" s="48" t="n">
        <x:v>0.88</x:v>
      </x:c>
      <x:c r="J167" s="48" t="n">
        <x:v>0.92</x:v>
      </x:c>
      <x:c r="K167" s="48" t="str">
        <x:v>No</x:v>
      </x:c>
      <x:c r="L167" s="48" t="str">
        <x:v>PDF text</x:v>
      </x:c>
    </x:row>
    <x:row r="168">
      <x:c r="A168" s="48" t="str">
        <x:v>UNI-0167</x:v>
      </x:c>
      <x:c r="B168" s="48" t="str">
        <x:v>RED</x:v>
      </x:c>
      <x:c r="C168" s="48" t="str">
        <x:v>English</x:v>
      </x:c>
      <x:c r="D168" s="48" t="n">
        <x:v>21</x:v>
      </x:c>
      <x:c r="E168" s="48" t="str"/>
      <x:c r="F168" s="48" t="str">
        <x:v>The Contractor shall not publish or disclose any particulars of the Works without the previous agreement of the Employer.</x:v>
      </x:c>
      <x:c r="G168" s="48" t="str">
        <x:v>Obligation</x:v>
      </x:c>
      <x:c r="H168" s="48" t="str">
        <x:v>Contractor</x:v>
      </x:c>
      <x:c r="I168" s="48" t="n">
        <x:v>0.88</x:v>
      </x:c>
      <x:c r="J168" s="48" t="n">
        <x:v>0.92</x:v>
      </x:c>
      <x:c r="K168" s="48" t="str">
        <x:v>No</x:v>
      </x:c>
      <x:c r="L168" s="48" t="str">
        <x:v>PDF text</x:v>
      </x:c>
    </x:row>
    <x:row r="169">
      <x:c r="A169" s="48" t="str">
        <x:v>UNI-0168</x:v>
      </x:c>
      <x:c r="B169" s="48" t="str">
        <x:v>RED</x:v>
      </x:c>
      <x:c r="C169" s="48" t="str">
        <x:v>English</x:v>
      </x:c>
      <x:c r="D169" s="48" t="n">
        <x:v>21</x:v>
      </x:c>
      <x:c r="E169" s="48" t="str"/>
      <x:c r="F169" s="48" t="str">
        <x:v>However, the Contractor shall be permitted to disclose any publicly available</x:v>
      </x:c>
      <x:c r="G169" s="48" t="str">
        <x:v>Obligation</x:v>
      </x:c>
      <x:c r="H169" s="48" t="str">
        <x:v>Contractor</x:v>
      </x:c>
      <x:c r="I169" s="48" t="n">
        <x:v>0.88</x:v>
      </x:c>
      <x:c r="J169" s="48" t="n">
        <x:v>0.92</x:v>
      </x:c>
      <x:c r="K169" s="48" t="str">
        <x:v>No</x:v>
      </x:c>
      <x:c r="L169" s="48" t="str">
        <x:v>PDF text</x:v>
      </x:c>
    </x:row>
    <x:row r="170">
      <x:c r="A170" s="48" t="str">
        <x:v>UNI-0169</x:v>
      </x:c>
      <x:c r="B170" s="48" t="str">
        <x:v>RED</x:v>
      </x:c>
      <x:c r="C170" s="48" t="str">
        <x:v>English</x:v>
      </x:c>
      <x:c r="D170" s="48" t="n">
        <x:v>21</x:v>
      </x:c>
      <x:c r="E170" s="48" t="str"/>
      <x:c r="F170" s="48" t="str">
        <x:v>information, or information otherwise required to establish his qualifications to compete for other projects.</x:v>
      </x:c>
      <x:c r="G170" s="48" t="str">
        <x:v>Obligation</x:v>
      </x:c>
      <x:c r="H170" s="48" t="str">
        <x:v>Shared</x:v>
      </x:c>
      <x:c r="I170" s="48" t="n">
        <x:v>0.45</x:v>
      </x:c>
      <x:c r="J170" s="48" t="n">
        <x:v>0.4</x:v>
      </x:c>
      <x:c r="K170" s="48" t="str">
        <x:v>Yes</x:v>
      </x:c>
      <x:c r="L170" s="48" t="str">
        <x:v>PDF text</x:v>
      </x:c>
    </x:row>
    <x:row r="171">
      <x:c r="A171" s="48" t="str">
        <x:v>UNI-0170</x:v>
      </x:c>
      <x:c r="B171" s="48" t="str">
        <x:v>RED</x:v>
      </x:c>
      <x:c r="C171" s="48" t="str">
        <x:v>English</x:v>
      </x:c>
      <x:c r="D171" s="48" t="n">
        <x:v>21</x:v>
      </x:c>
      <x:c r="E171" s="48" t="str"/>
      <x:c r="F171" s="48" t="str">
        <x:v>The Contractor shall, in performing the Contract, comply with applicable Laws.</x:v>
      </x:c>
      <x:c r="G171" s="48" t="str">
        <x:v>Obligation</x:v>
      </x:c>
      <x:c r="H171" s="48" t="str">
        <x:v>Contractor</x:v>
      </x:c>
      <x:c r="I171" s="48" t="n">
        <x:v>0.88</x:v>
      </x:c>
      <x:c r="J171" s="48" t="n">
        <x:v>0.92</x:v>
      </x:c>
      <x:c r="K171" s="48" t="str">
        <x:v>No</x:v>
      </x:c>
      <x:c r="L171" s="48" t="str">
        <x:v>PDF text</x:v>
      </x:c>
    </x:row>
    <x:row r="172">
      <x:c r="A172" s="48" t="str">
        <x:v>UNI-0171</x:v>
      </x:c>
      <x:c r="B172" s="48" t="str">
        <x:v>RED</x:v>
      </x:c>
      <x:c r="C172" s="48" t="str">
        <x:v>English</x:v>
      </x:c>
      <x:c r="D172" s="48" t="n">
        <x:v>21</x:v>
      </x:c>
      <x:c r="E172" s="48" t="str"/>
      <x:c r="F172" s="48" t="str">
        <x:v>Unless otherwise stated in the Particular Conditions: (a) the Employer shall have obtained (or shall obtain) the planning, zoning or similar permission for the Permanent Works, and any other permissions described in the Specification as having been (or being) obtained by the Employer; and the</x:v>
      </x:c>
      <x:c r="G172" s="48" t="str">
        <x:v>Obligation</x:v>
      </x:c>
      <x:c r="H172" s="48" t="str">
        <x:v>Employer</x:v>
      </x:c>
      <x:c r="I172" s="48" t="n">
        <x:v>0.88</x:v>
      </x:c>
      <x:c r="J172" s="48" t="n">
        <x:v>0.92</x:v>
      </x:c>
      <x:c r="K172" s="48" t="str">
        <x:v>No</x:v>
      </x:c>
      <x:c r="L172" s="48" t="str">
        <x:v>PDF text</x:v>
      </x:c>
    </x:row>
    <x:row r="173">
      <x:c r="A173" s="48" t="str">
        <x:v>UNI-0172</x:v>
      </x:c>
      <x:c r="B173" s="48" t="str">
        <x:v>RED</x:v>
      </x:c>
      <x:c r="C173" s="48" t="str">
        <x:v>English</x:v>
      </x:c>
      <x:c r="D173" s="48" t="n">
        <x:v>21</x:v>
      </x:c>
      <x:c r="E173" s="48" t="str"/>
      <x:c r="F173" s="48" t="str">
        <x:v>Employer shall indemnify and hold the Contractor harmless against and from</x:v>
      </x:c>
      <x:c r="G173" s="48" t="str">
        <x:v>Obligation</x:v>
      </x:c>
      <x:c r="H173" s="48" t="str">
        <x:v>Shared</x:v>
      </x:c>
      <x:c r="I173" s="48" t="n">
        <x:v>0.88</x:v>
      </x:c>
      <x:c r="J173" s="48" t="n">
        <x:v>0.6</x:v>
      </x:c>
      <x:c r="K173" s="48" t="str">
        <x:v>Yes</x:v>
      </x:c>
      <x:c r="L173" s="48" t="str">
        <x:v>PDF text</x:v>
      </x:c>
    </x:row>
    <x:row r="174">
      <x:c r="A174" s="48" t="str">
        <x:v>UNI-0173</x:v>
      </x:c>
      <x:c r="B174" s="48" t="str">
        <x:v>RED</x:v>
      </x:c>
      <x:c r="C174" s="48" t="str">
        <x:v>English</x:v>
      </x:c>
      <x:c r="D174" s="48" t="n">
        <x:v>21</x:v>
      </x:c>
      <x:c r="E174" s="48" t="str"/>
      <x:c r="F174" s="48" t="str">
        <x:v>the consequences of any failure to do so; and (b) the Contractor shall give all notices, pay all taxes, duties and fees, and obtain all permits, licences and approvals, as required by the Laws in relation to the execution and completion of the Works and the remedying of any defects; and the Contractor shall indemnify and hold the Employer harmless against and from the consequences of any failure to do so.</x:v>
      </x:c>
      <x:c r="G174" s="48" t="str">
        <x:v>Obligation</x:v>
      </x:c>
      <x:c r="H174" s="48" t="str">
        <x:v>Contractor</x:v>
      </x:c>
      <x:c r="I174" s="48" t="n">
        <x:v>0.88</x:v>
      </x:c>
      <x:c r="J174" s="48" t="n">
        <x:v>0.92</x:v>
      </x:c>
      <x:c r="K174" s="48" t="str">
        <x:v>No</x:v>
      </x:c>
      <x:c r="L174" s="48" t="str">
        <x:v>PDF text</x:v>
      </x:c>
    </x:row>
    <x:row r="175">
      <x:c r="A175" s="48" t="str">
        <x:v>UNI-0174</x:v>
      </x:c>
      <x:c r="B175" s="48" t="str">
        <x:v>RED</x:v>
      </x:c>
      <x:c r="C175" s="48" t="str">
        <x:v>English</x:v>
      </x:c>
      <x:c r="D175" s="48" t="n">
        <x:v>21</x:v>
      </x:c>
      <x:c r="E175" s="48" t="str"/>
      <x:c r="F175" s="48" t="str">
        <x:v>If the Contractor constitutes (under applicable Laws) a joint venture, consortium or other unincorporated grouping of two or more persons: (a) these persons shall be deemed to be jointly and severally liable to the Employer for the performance of the Contract; (b) these persons shall notify the Employer of their leader who shall have authority to bind the Contractor and each of these persons; and (c) the Contractor shall not alter its composition or legal status without the prior consent of the Employer.</x:v>
      </x:c>
      <x:c r="G175" s="48" t="str">
        <x:v>Risk</x:v>
      </x:c>
      <x:c r="H175" s="48" t="str">
        <x:v>Contractor</x:v>
      </x:c>
      <x:c r="I175" s="48" t="n">
        <x:v>0.78</x:v>
      </x:c>
      <x:c r="J175" s="48" t="n">
        <x:v>0.92</x:v>
      </x:c>
      <x:c r="K175" s="48" t="str">
        <x:v>No</x:v>
      </x:c>
      <x:c r="L175" s="48" t="str">
        <x:v>PDF text</x:v>
      </x:c>
    </x:row>
    <x:row r="176">
      <x:c r="A176" s="48" t="str">
        <x:v>UNI-0175</x:v>
      </x:c>
      <x:c r="B176" s="48" t="str">
        <x:v>RED</x:v>
      </x:c>
      <x:c r="C176" s="48" t="str">
        <x:v>English</x:v>
      </x:c>
      <x:c r="D176" s="48" t="n">
        <x:v>21</x:v>
      </x:c>
      <x:c r="E176" s="48" t="str"/>
      <x:c r="F176" s="48" t="str">
        <x:v>The Contractor shall permit the Bank and/or persons appointed by the Bank to</x:v>
      </x:c>
      <x:c r="G176" s="48" t="str">
        <x:v>Obligation</x:v>
      </x:c>
      <x:c r="H176" s="48" t="str">
        <x:v>Contractor</x:v>
      </x:c>
      <x:c r="I176" s="48" t="n">
        <x:v>0.88</x:v>
      </x:c>
      <x:c r="J176" s="48" t="n">
        <x:v>0.92</x:v>
      </x:c>
      <x:c r="K176" s="48" t="str">
        <x:v>No</x:v>
      </x:c>
      <x:c r="L176" s="48" t="str">
        <x:v>PDF text</x:v>
      </x:c>
    </x:row>
    <x:row r="177">
      <x:c r="A177" s="48" t="str">
        <x:v>UNI-0176</x:v>
      </x:c>
      <x:c r="B177" s="48" t="str">
        <x:v>RED</x:v>
      </x:c>
      <x:c r="C177" s="48" t="str">
        <x:v>English</x:v>
      </x:c>
      <x:c r="D177" s="48" t="n">
        <x:v>21</x:v>
      </x:c>
      <x:c r="E177" s="48" t="str"/>
      <x:c r="F177" s="48" t="str">
        <x:v>inspect the Site and/or the Contractor's accounts and records relating to the performance of the Contract and to have such accounts and records audited by auditors appointed by the Bank if required by the Bank.</x:v>
      </x:c>
      <x:c r="G177" s="48" t="str">
        <x:v>Obligation</x:v>
      </x:c>
      <x:c r="H177" s="48" t="str">
        <x:v>Contractor</x:v>
      </x:c>
      <x:c r="I177" s="48" t="n">
        <x:v>0.45</x:v>
      </x:c>
      <x:c r="J177" s="48" t="n">
        <x:v>0.68</x:v>
      </x:c>
      <x:c r="K177" s="48" t="str">
        <x:v>Yes</x:v>
      </x:c>
      <x:c r="L177" s="48" t="str">
        <x:v>PDF text</x:v>
      </x:c>
    </x:row>
    <x:row r="178">
      <x:c r="A178" s="48" t="str">
        <x:v>UNI-0177</x:v>
      </x:c>
      <x:c r="B178" s="48" t="str">
        <x:v>RED</x:v>
      </x:c>
      <x:c r="C178" s="48" t="str">
        <x:v>English</x:v>
      </x:c>
      <x:c r="D178" s="48" t="n">
        <x:v>21</x:v>
      </x:c>
      <x:c r="E178" s="48" t="str"/>
      <x:c r="F178" s="48" t="str">
        <x:v>Contractor’s Use of</x:v>
      </x:c>
      <x:c r="G178" s="48" t="str">
        <x:v>Obligation</x:v>
      </x:c>
      <x:c r="H178" s="48" t="str">
        <x:v>Contractor</x:v>
      </x:c>
      <x:c r="I178" s="48" t="n">
        <x:v>0.45</x:v>
      </x:c>
      <x:c r="J178" s="48" t="n">
        <x:v>0.68</x:v>
      </x:c>
      <x:c r="K178" s="48" t="str">
        <x:v>Yes</x:v>
      </x:c>
      <x:c r="L178" s="48" t="str">
        <x:v>PDF text</x:v>
      </x:c>
    </x:row>
    <x:row r="179">
      <x:c r="A179" s="48" t="str">
        <x:v>UNI-0178</x:v>
      </x:c>
      <x:c r="B179" s="48" t="str">
        <x:v>RED</x:v>
      </x:c>
      <x:c r="C179" s="48" t="str">
        <x:v>English</x:v>
      </x:c>
      <x:c r="D179" s="48" t="n">
        <x:v>21</x:v>
      </x:c>
      <x:c r="E179" s="48" t="str"/>
      <x:c r="F179" s="48" t="str">
        <x:v>Employer’s Documents</x:v>
      </x:c>
      <x:c r="G179" s="48" t="str">
        <x:v>Obligation</x:v>
      </x:c>
      <x:c r="H179" s="48" t="str">
        <x:v>Employer</x:v>
      </x:c>
      <x:c r="I179" s="48" t="n">
        <x:v>0.45</x:v>
      </x:c>
      <x:c r="J179" s="48" t="n">
        <x:v>0.68</x:v>
      </x:c>
      <x:c r="K179" s="48" t="str">
        <x:v>Yes</x:v>
      </x:c>
      <x:c r="L179" s="48" t="str">
        <x:v>PDF text</x:v>
      </x:c>
    </x:row>
    <x:row r="180">
      <x:c r="A180" s="48" t="str">
        <x:v>UNI-0179</x:v>
      </x:c>
      <x:c r="B180" s="48" t="str">
        <x:v>RED</x:v>
      </x:c>
      <x:c r="C180" s="48" t="str">
        <x:v>English</x:v>
      </x:c>
      <x:c r="D180" s="48" t="n">
        <x:v>21</x:v>
      </x:c>
      <x:c r="E180" s="48" t="str"/>
      <x:c r="F180" s="48" t="str">
        <x:v>Confidential Details</x:v>
      </x:c>
      <x:c r="G180" s="48" t="str">
        <x:v>Obligation</x:v>
      </x:c>
      <x:c r="H180" s="48" t="str">
        <x:v>Shared</x:v>
      </x:c>
      <x:c r="I180" s="48" t="n">
        <x:v>0.45</x:v>
      </x:c>
      <x:c r="J180" s="48" t="n">
        <x:v>0.4</x:v>
      </x:c>
      <x:c r="K180" s="48" t="str">
        <x:v>Yes</x:v>
      </x:c>
      <x:c r="L180" s="48" t="str">
        <x:v>PDF text</x:v>
      </x:c>
    </x:row>
    <x:row r="181">
      <x:c r="A181" s="48" t="str">
        <x:v>UNI-0180</x:v>
      </x:c>
      <x:c r="B181" s="48" t="str">
        <x:v>RED</x:v>
      </x:c>
      <x:c r="C181" s="48" t="str">
        <x:v>English</x:v>
      </x:c>
      <x:c r="D181" s="48" t="n">
        <x:v>21</x:v>
      </x:c>
      <x:c r="E181" s="48" t="str"/>
      <x:c r="F181" s="48" t="str">
        <x:v>Compliance with Laws</x:v>
      </x:c>
      <x:c r="G181" s="48" t="str">
        <x:v>Obligation</x:v>
      </x:c>
      <x:c r="H181" s="48" t="str">
        <x:v>Shared</x:v>
      </x:c>
      <x:c r="I181" s="48" t="n">
        <x:v>0.45</x:v>
      </x:c>
      <x:c r="J181" s="48" t="n">
        <x:v>0.4</x:v>
      </x:c>
      <x:c r="K181" s="48" t="str">
        <x:v>Yes</x:v>
      </x:c>
      <x:c r="L181" s="48" t="str">
        <x:v>PDF text</x:v>
      </x:c>
    </x:row>
    <x:row r="182">
      <x:c r="A182" s="48" t="str">
        <x:v>UNI-0181</x:v>
      </x:c>
      <x:c r="B182" s="48" t="str">
        <x:v>RED</x:v>
      </x:c>
      <x:c r="C182" s="48" t="str">
        <x:v>English</x:v>
      </x:c>
      <x:c r="D182" s="48" t="n">
        <x:v>21</x:v>
      </x:c>
      <x:c r="E182" s="48" t="str"/>
      <x:c r="F182" s="48" t="str">
        <x:v>Joint and Several</x:v>
      </x:c>
      <x:c r="G182" s="48" t="str">
        <x:v>Obligation</x:v>
      </x:c>
      <x:c r="H182" s="48" t="str">
        <x:v>Shared</x:v>
      </x:c>
      <x:c r="I182" s="48" t="n">
        <x:v>0.45</x:v>
      </x:c>
      <x:c r="J182" s="48" t="n">
        <x:v>0.4</x:v>
      </x:c>
      <x:c r="K182" s="48" t="str">
        <x:v>Yes</x:v>
      </x:c>
      <x:c r="L182" s="48" t="str">
        <x:v>PDF text</x:v>
      </x:c>
    </x:row>
    <x:row r="183">
      <x:c r="A183" s="48" t="str">
        <x:v>UNI-0182</x:v>
      </x:c>
      <x:c r="B183" s="48" t="str">
        <x:v>RED</x:v>
      </x:c>
      <x:c r="C183" s="48" t="str">
        <x:v>English</x:v>
      </x:c>
      <x:c r="D183" s="48" t="n">
        <x:v>21</x:v>
      </x:c>
      <x:c r="E183" s="48" t="str"/>
      <x:c r="F183" s="48" t="str">
        <x:v>Liability</x:v>
      </x:c>
      <x:c r="G183" s="48" t="str">
        <x:v>Risk</x:v>
      </x:c>
      <x:c r="H183" s="48" t="str">
        <x:v>Shared</x:v>
      </x:c>
      <x:c r="I183" s="48" t="n">
        <x:v>0.78</x:v>
      </x:c>
      <x:c r="J183" s="48" t="n">
        <x:v>0.4</x:v>
      </x:c>
      <x:c r="K183" s="48" t="str">
        <x:v>Yes</x:v>
      </x:c>
      <x:c r="L183" s="48" t="str">
        <x:v>PDF text</x:v>
      </x:c>
    </x:row>
    <x:row r="184">
      <x:c r="A184" s="48" t="str">
        <x:v>UNI-0183</x:v>
      </x:c>
      <x:c r="B184" s="48" t="str">
        <x:v>RED</x:v>
      </x:c>
      <x:c r="C184" s="48" t="str">
        <x:v>English</x:v>
      </x:c>
      <x:c r="D184" s="48" t="n">
        <x:v>21</x:v>
      </x:c>
      <x:c r="E184" s="48" t="str"/>
      <x:c r="F184" s="48" t="str">
        <x:v>Inspections and Audit</x:v>
      </x:c>
      <x:c r="G184" s="48" t="str">
        <x:v>Obligation</x:v>
      </x:c>
      <x:c r="H184" s="48" t="str">
        <x:v>Shared</x:v>
      </x:c>
      <x:c r="I184" s="48" t="n">
        <x:v>0.45</x:v>
      </x:c>
      <x:c r="J184" s="48" t="n">
        <x:v>0.4</x:v>
      </x:c>
      <x:c r="K184" s="48" t="str">
        <x:v>Yes</x:v>
      </x:c>
      <x:c r="L184" s="48" t="str">
        <x:v>PDF text</x:v>
      </x:c>
    </x:row>
    <x:row r="185">
      <x:c r="A185" s="48" t="str">
        <x:v>UNI-0184</x:v>
      </x:c>
      <x:c r="B185" s="48" t="str">
        <x:v>RED</x:v>
      </x:c>
      <x:c r="C185" s="48" t="str">
        <x:v>English</x:v>
      </x:c>
      <x:c r="D185" s="48" t="n">
        <x:v>21</x:v>
      </x:c>
      <x:c r="E185" s="48" t="str"/>
      <x:c r="F185" s="48" t="str">
        <x:v>by the Bank</x:v>
      </x:c>
      <x:c r="G185" s="48" t="str">
        <x:v>Obligation</x:v>
      </x:c>
      <x:c r="H185" s="48" t="str">
        <x:v>Shared</x:v>
      </x:c>
      <x:c r="I185" s="48" t="n">
        <x:v>0.45</x:v>
      </x:c>
      <x:c r="J185" s="48" t="n">
        <x:v>0.4</x:v>
      </x:c>
      <x:c r="K185" s="48" t="str">
        <x:v>Yes</x:v>
      </x:c>
      <x:c r="L185" s="48" t="str">
        <x:v>PDF text</x:v>
      </x:c>
    </x:row>
    <x:row r="186">
      <x:c r="A186" s="48" t="str">
        <x:v>UNI-0185</x:v>
      </x:c>
      <x:c r="B186" s="48" t="str">
        <x:v>RED</x:v>
      </x:c>
      <x:c r="C186" s="48" t="str">
        <x:v>English</x:v>
      </x:c>
      <x:c r="D186" s="48" t="n">
        <x:v>22</x:v>
      </x:c>
      <x:c r="E186" s="48" t="str"/>
      <x:c r="F186" s="48" t="str">
        <x:v>The Employer shall give the Contractor right of access to, and possession of, all parts of the Site within the time (or times) stated in the Contract Data.</x:v>
      </x:c>
      <x:c r="G186" s="48" t="str">
        <x:v>Obligation</x:v>
      </x:c>
      <x:c r="H186" s="48" t="str">
        <x:v>Employer</x:v>
      </x:c>
      <x:c r="I186" s="48" t="n">
        <x:v>0.88</x:v>
      </x:c>
      <x:c r="J186" s="48" t="n">
        <x:v>0.92</x:v>
      </x:c>
      <x:c r="K186" s="48" t="str">
        <x:v>No</x:v>
      </x:c>
      <x:c r="L186" s="48" t="str">
        <x:v>PDF text</x:v>
      </x:c>
    </x:row>
    <x:row r="187">
      <x:c r="A187" s="48" t="str">
        <x:v>UNI-0186</x:v>
      </x:c>
      <x:c r="B187" s="48" t="str">
        <x:v>RED</x:v>
      </x:c>
      <x:c r="C187" s="48" t="str">
        <x:v>English</x:v>
      </x:c>
      <x:c r="D187" s="48" t="n">
        <x:v>22</x:v>
      </x:c>
      <x:c r="E187" s="48" t="str"/>
      <x:c r="F187" s="48" t="str">
        <x:v>The right and possession may not be exclusive to the Contractor.</x:v>
      </x:c>
      <x:c r="G187" s="48" t="str">
        <x:v>Right</x:v>
      </x:c>
      <x:c r="H187" s="48" t="str">
        <x:v>Contractor</x:v>
      </x:c>
      <x:c r="I187" s="48" t="n">
        <x:v>0.78</x:v>
      </x:c>
      <x:c r="J187" s="48" t="n">
        <x:v>0.68</x:v>
      </x:c>
      <x:c r="K187" s="48" t="str">
        <x:v>Yes</x:v>
      </x:c>
      <x:c r="L187" s="48" t="str">
        <x:v>PDF text</x:v>
      </x:c>
    </x:row>
    <x:row r="188">
      <x:c r="A188" s="48" t="str">
        <x:v>UNI-0187</x:v>
      </x:c>
      <x:c r="B188" s="48" t="str">
        <x:v>RED</x:v>
      </x:c>
      <x:c r="C188" s="48" t="str">
        <x:v>English</x:v>
      </x:c>
      <x:c r="D188" s="48" t="n">
        <x:v>22</x:v>
      </x:c>
      <x:c r="E188" s="48" t="str"/>
      <x:c r="F188" s="48" t="str">
        <x:v>If, under the Contract, the</x:v>
      </x:c>
      <x:c r="G188" s="48" t="str">
        <x:v>Obligation</x:v>
      </x:c>
      <x:c r="H188" s="48" t="str">
        <x:v>Shared</x:v>
      </x:c>
      <x:c r="I188" s="48" t="n">
        <x:v>0.45</x:v>
      </x:c>
      <x:c r="J188" s="48" t="n">
        <x:v>0.4</x:v>
      </x:c>
      <x:c r="K188" s="48" t="str">
        <x:v>Yes</x:v>
      </x:c>
      <x:c r="L188" s="48" t="str">
        <x:v>PDF text</x:v>
      </x:c>
    </x:row>
    <x:row r="189">
      <x:c r="A189" s="48" t="str">
        <x:v>UNI-0188</x:v>
      </x:c>
      <x:c r="B189" s="48" t="str">
        <x:v>RED</x:v>
      </x:c>
      <x:c r="C189" s="48" t="str">
        <x:v>English</x:v>
      </x:c>
      <x:c r="D189" s="48" t="n">
        <x:v>22</x:v>
      </x:c>
      <x:c r="E189" s="48" t="str"/>
      <x:c r="F189" s="48" t="str">
        <x:v>Employer is required to give (to the Contractor) possession of any foundation,</x:v>
      </x:c>
      <x:c r="G189" s="48" t="str">
        <x:v>Obligation</x:v>
      </x:c>
      <x:c r="H189" s="48" t="str">
        <x:v>Shared</x:v>
      </x:c>
      <x:c r="I189" s="48" t="n">
        <x:v>0.88</x:v>
      </x:c>
      <x:c r="J189" s="48" t="n">
        <x:v>0.6</x:v>
      </x:c>
      <x:c r="K189" s="48" t="str">
        <x:v>Yes</x:v>
      </x:c>
      <x:c r="L189" s="48" t="str">
        <x:v>PDF text</x:v>
      </x:c>
    </x:row>
    <x:row r="190">
      <x:c r="A190" s="48" t="str">
        <x:v>UNI-0189</x:v>
      </x:c>
      <x:c r="B190" s="48" t="str">
        <x:v>RED</x:v>
      </x:c>
      <x:c r="C190" s="48" t="str">
        <x:v>English</x:v>
      </x:c>
      <x:c r="D190" s="48" t="n">
        <x:v>22</x:v>
      </x:c>
      <x:c r="E190" s="48" t="str"/>
      <x:c r="F190" s="48" t="str">
        <x:v>structure, plant or means of access, the Employer shall do so in the time and manner stated in the Specification.</x:v>
      </x:c>
      <x:c r="G190" s="48" t="str">
        <x:v>Obligation</x:v>
      </x:c>
      <x:c r="H190" s="48" t="str">
        <x:v>Employer</x:v>
      </x:c>
      <x:c r="I190" s="48" t="n">
        <x:v>0.88</x:v>
      </x:c>
      <x:c r="J190" s="48" t="n">
        <x:v>0.92</x:v>
      </x:c>
      <x:c r="K190" s="48" t="str">
        <x:v>No</x:v>
      </x:c>
      <x:c r="L190" s="48" t="str">
        <x:v>PDF text</x:v>
      </x:c>
    </x:row>
    <x:row r="191">
      <x:c r="A191" s="48" t="str">
        <x:v>UNI-0190</x:v>
      </x:c>
      <x:c r="B191" s="48" t="str">
        <x:v>RED</x:v>
      </x:c>
      <x:c r="C191" s="48" t="str">
        <x:v>English</x:v>
      </x:c>
      <x:c r="D191" s="48" t="n">
        <x:v>22</x:v>
      </x:c>
      <x:c r="E191" s="48" t="str"/>
      <x:c r="F191" s="48" t="str">
        <x:v>However, the Employer may withhold any such right or possession until the Performance Security has been received.</x:v>
      </x:c>
      <x:c r="G191" s="48" t="str">
        <x:v>Right</x:v>
      </x:c>
      <x:c r="H191" s="48" t="str">
        <x:v>Employer</x:v>
      </x:c>
      <x:c r="I191" s="48" t="n">
        <x:v>0.78</x:v>
      </x:c>
      <x:c r="J191" s="48" t="n">
        <x:v>0.92</x:v>
      </x:c>
      <x:c r="K191" s="48" t="str">
        <x:v>No</x:v>
      </x:c>
      <x:c r="L191" s="48" t="str">
        <x:v>PDF text</x:v>
      </x:c>
    </x:row>
    <x:row r="192">
      <x:c r="A192" s="48" t="str">
        <x:v>UNI-0191</x:v>
      </x:c>
      <x:c r="B192" s="48" t="str">
        <x:v>RED</x:v>
      </x:c>
      <x:c r="C192" s="48" t="str">
        <x:v>English</x:v>
      </x:c>
      <x:c r="D192" s="48" t="n">
        <x:v>22</x:v>
      </x:c>
      <x:c r="E192" s="48" t="str"/>
      <x:c r="F192" s="48" t="str">
        <x:v>If no such time is stated in the Contract Data, the Employer shall give the Contractor right of access to, and possession of, the Site within such times as may be required to enable the Contractor to proceed in accordance with the programme submitted under Sub-Clause 8.3 [Programme].</x:v>
      </x:c>
      <x:c r="G192" s="48" t="str">
        <x:v>Obligation</x:v>
      </x:c>
      <x:c r="H192" s="48" t="str">
        <x:v>Employer</x:v>
      </x:c>
      <x:c r="I192" s="48" t="n">
        <x:v>0.88</x:v>
      </x:c>
      <x:c r="J192" s="48" t="n">
        <x:v>0.92</x:v>
      </x:c>
      <x:c r="K192" s="48" t="str">
        <x:v>No</x:v>
      </x:c>
      <x:c r="L192" s="48" t="str">
        <x:v>PDF text</x:v>
      </x:c>
    </x:row>
    <x:row r="193">
      <x:c r="A193" s="48" t="str">
        <x:v>UNI-0192</x:v>
      </x:c>
      <x:c r="B193" s="48" t="str">
        <x:v>RED</x:v>
      </x:c>
      <x:c r="C193" s="48" t="str">
        <x:v>English</x:v>
      </x:c>
      <x:c r="D193" s="48" t="n">
        <x:v>22</x:v>
      </x:c>
      <x:c r="E193" s="48" t="str"/>
      <x:c r="F193" s="48" t="str">
        <x:v>If the Contractor suffers delay and/or incurs Cost as a result of a failure by the Employer to give any such right or possession within such time, the Contractor shall give notice to the Engineer and shall be entitled subject to Sub-Clause 20.1 [Contractor’s Claims] to: (a) an extension of time for any such delay, if completion is or will be delayed, under Sub-Clause 8.4 [Extension of Time for Completion], and (a) payment of any such Cost plus profit, which shall be included in the Contract Price.</x:v>
      </x:c>
      <x:c r="G193" s="48" t="str">
        <x:v>Risk</x:v>
      </x:c>
      <x:c r="H193" s="48" t="str">
        <x:v>Employer</x:v>
      </x:c>
      <x:c r="I193" s="48" t="n">
        <x:v>0.78</x:v>
      </x:c>
      <x:c r="J193" s="48" t="n">
        <x:v>0.85</x:v>
      </x:c>
      <x:c r="K193" s="48" t="str">
        <x:v>No</x:v>
      </x:c>
      <x:c r="L193" s="48" t="str">
        <x:v>PDF text</x:v>
      </x:c>
    </x:row>
    <x:row r="194">
      <x:c r="A194" s="48" t="str">
        <x:v>UNI-0193</x:v>
      </x:c>
      <x:c r="B194" s="48" t="str">
        <x:v>RED</x:v>
      </x:c>
      <x:c r="C194" s="48" t="str">
        <x:v>English</x:v>
      </x:c>
      <x:c r="D194" s="48" t="n">
        <x:v>22</x:v>
      </x:c>
      <x:c r="E194" s="48" t="str"/>
      <x:c r="F194" s="48" t="str">
        <x:v>After receiving this notice, the Engineer shall proceed in accordance with Sub-Clause</x:v>
      </x:c>
      <x:c r="G194" s="48" t="str">
        <x:v>Obligation</x:v>
      </x:c>
      <x:c r="H194" s="48" t="str">
        <x:v>Shared</x:v>
      </x:c>
      <x:c r="I194" s="48" t="n">
        <x:v>0.88</x:v>
      </x:c>
      <x:c r="J194" s="48" t="n">
        <x:v>0.4</x:v>
      </x:c>
      <x:c r="K194" s="48" t="str">
        <x:v>Yes</x:v>
      </x:c>
      <x:c r="L194" s="48" t="str">
        <x:v>PDF text</x:v>
      </x:c>
    </x:row>
    <x:row r="195">
      <x:c r="A195" s="48" t="str">
        <x:v>UNI-0194</x:v>
      </x:c>
      <x:c r="B195" s="48" t="str">
        <x:v>RED</x:v>
      </x:c>
      <x:c r="C195" s="48" t="str">
        <x:v>English</x:v>
      </x:c>
      <x:c r="D195" s="48" t="n">
        <x:v>22</x:v>
      </x:c>
      <x:c r="E195" s="48" t="str">
        <x:v>3.5</x:v>
      </x:c>
      <x:c r="F195" s="48" t="str">
        <x:v>3.5 [Determinations] to agree or determine these matters.</x:v>
      </x:c>
      <x:c r="G195" s="48" t="str">
        <x:v>Obligation</x:v>
      </x:c>
      <x:c r="H195" s="48" t="str">
        <x:v>Shared</x:v>
      </x:c>
      <x:c r="I195" s="48" t="n">
        <x:v>0.45</x:v>
      </x:c>
      <x:c r="J195" s="48" t="n">
        <x:v>0.4</x:v>
      </x:c>
      <x:c r="K195" s="48" t="str">
        <x:v>Yes</x:v>
      </x:c>
      <x:c r="L195" s="48" t="str">
        <x:v>PDF text</x:v>
      </x:c>
    </x:row>
    <x:row r="196">
      <x:c r="A196" s="48" t="str">
        <x:v>UNI-0195</x:v>
      </x:c>
      <x:c r="B196" s="48" t="str">
        <x:v>RED</x:v>
      </x:c>
      <x:c r="C196" s="48" t="str">
        <x:v>English</x:v>
      </x:c>
      <x:c r="D196" s="48" t="n">
        <x:v>22</x:v>
      </x:c>
      <x:c r="E196" s="48" t="str"/>
      <x:c r="F196" s="48" t="str">
        <x:v>However, if and to the extent that the Employer’s failure was caused by any error or delay by the Contractor, including an error in, or delay in the submission of, any of the</x:v>
      </x:c>
      <x:c r="G196" s="48" t="str">
        <x:v>Risk</x:v>
      </x:c>
      <x:c r="H196" s="48" t="str">
        <x:v>Shared</x:v>
      </x:c>
      <x:c r="I196" s="48" t="n">
        <x:v>0.78</x:v>
      </x:c>
      <x:c r="J196" s="48" t="n">
        <x:v>0.6</x:v>
      </x:c>
      <x:c r="K196" s="48" t="str">
        <x:v>Yes</x:v>
      </x:c>
      <x:c r="L196" s="48" t="str">
        <x:v>PDF text</x:v>
      </x:c>
    </x:row>
    <x:row r="197">
      <x:c r="A197" s="48" t="str">
        <x:v>UNI-0196</x:v>
      </x:c>
      <x:c r="B197" s="48" t="str">
        <x:v>RED</x:v>
      </x:c>
      <x:c r="C197" s="48" t="str">
        <x:v>English</x:v>
      </x:c>
      <x:c r="D197" s="48" t="n">
        <x:v>22</x:v>
      </x:c>
      <x:c r="E197" s="48" t="str"/>
      <x:c r="F197" s="48" t="str">
        <x:v>The Employer shall (where he is in a position to do so) provide reasonable assistance to the Contractor at the request of the Contractor: (a) by obtaining copies of the Laws of the Country which are relevant to the</x:v>
      </x:c>
      <x:c r="G197" s="48" t="str">
        <x:v>Obligation</x:v>
      </x:c>
      <x:c r="H197" s="48" t="str">
        <x:v>Employer</x:v>
      </x:c>
      <x:c r="I197" s="48" t="n">
        <x:v>0.88</x:v>
      </x:c>
      <x:c r="J197" s="48" t="n">
        <x:v>0.92</x:v>
      </x:c>
      <x:c r="K197" s="48" t="str">
        <x:v>No</x:v>
      </x:c>
      <x:c r="L197" s="48" t="str">
        <x:v>PDF text</x:v>
      </x:c>
    </x:row>
    <x:row r="198">
      <x:c r="A198" s="48" t="str">
        <x:v>UNI-0197</x:v>
      </x:c>
      <x:c r="B198" s="48" t="str">
        <x:v>RED</x:v>
      </x:c>
      <x:c r="C198" s="48" t="str">
        <x:v>English</x:v>
      </x:c>
      <x:c r="D198" s="48" t="n">
        <x:v>22</x:v>
      </x:c>
      <x:c r="E198" s="48" t="str"/>
      <x:c r="F198" s="48" t="str">
        <x:v>Contract but are not readily available, and</x:v>
      </x:c>
      <x:c r="G198" s="48" t="str">
        <x:v>Obligation</x:v>
      </x:c>
      <x:c r="H198" s="48" t="str">
        <x:v>Shared</x:v>
      </x:c>
      <x:c r="I198" s="48" t="n">
        <x:v>0.45</x:v>
      </x:c>
      <x:c r="J198" s="48" t="n">
        <x:v>0.4</x:v>
      </x:c>
      <x:c r="K198" s="48" t="str">
        <x:v>Yes</x:v>
      </x:c>
      <x:c r="L198" s="48" t="str">
        <x:v>PDF text</x:v>
      </x:c>
    </x:row>
    <x:row r="199">
      <x:c r="A199" s="48" t="str">
        <x:v>UNI-0198</x:v>
      </x:c>
      <x:c r="B199" s="48" t="str">
        <x:v>RED</x:v>
      </x:c>
      <x:c r="C199" s="48" t="str">
        <x:v>English</x:v>
      </x:c>
      <x:c r="D199" s="48" t="n">
        <x:v>22</x:v>
      </x:c>
      <x:c r="E199" s="48" t="str"/>
      <x:c r="F199" s="48" t="str">
        <x:v>(b) for the Contractor’s applications for any permits, licences or approvals required by the Laws of the Country: (i) which the Contractor is required to obtain under Sub-Clause 1.13 [Compliance with Laws], (ii) for the delivery of Goods, including clearance through customs, and (iii) for the export of Contractor’s Equipment when it is removed from the Site.</x:v>
      </x:c>
      <x:c r="G199" s="48" t="str">
        <x:v>Obligation</x:v>
      </x:c>
      <x:c r="H199" s="48" t="str">
        <x:v>Contractor</x:v>
      </x:c>
      <x:c r="I199" s="48" t="n">
        <x:v>0.88</x:v>
      </x:c>
      <x:c r="J199" s="48" t="n">
        <x:v>0.68</x:v>
      </x:c>
      <x:c r="K199" s="48" t="str">
        <x:v>Yes</x:v>
      </x:c>
      <x:c r="L199" s="48" t="str">
        <x:v>PDF text</x:v>
      </x:c>
    </x:row>
    <x:row r="200">
      <x:c r="A200" s="48" t="str">
        <x:v>UNI-0199</x:v>
      </x:c>
      <x:c r="B200" s="48" t="str">
        <x:v>RED</x:v>
      </x:c>
      <x:c r="C200" s="48" t="str">
        <x:v>English</x:v>
      </x:c>
      <x:c r="D200" s="48" t="n">
        <x:v>22</x:v>
      </x:c>
      <x:c r="E200" s="48" t="str"/>
      <x:c r="F200" s="48" t="str">
        <x:v>The Employer shall be responsible for ensuring that the Employer’s Personnel and the Employer’s other contractors on the Site: (a) co-operate with the Contractor’s efforts under Sub-Clause 4.6 [Co-operation], and (b) take actions similar to those which the Contractor is required to take under subparagraphs (a), (b) and (c) of Sub-Clause 4.8 [Safety Procedures] and under Sub-Clause 4.18 [Protection of the Environment].</x:v>
      </x:c>
      <x:c r="G200" s="48" t="str">
        <x:v>Obligation</x:v>
      </x:c>
      <x:c r="H200" s="48" t="str">
        <x:v>Employer</x:v>
      </x:c>
      <x:c r="I200" s="48" t="n">
        <x:v>0.88</x:v>
      </x:c>
      <x:c r="J200" s="48" t="n">
        <x:v>0.92</x:v>
      </x:c>
      <x:c r="K200" s="48" t="str">
        <x:v>No</x:v>
      </x:c>
      <x:c r="L200" s="48" t="str">
        <x:v>PDF text</x:v>
      </x:c>
    </x:row>
    <x:row r="201">
      <x:c r="A201" s="48" t="str">
        <x:v>UNI-0200</x:v>
      </x:c>
      <x:c r="B201" s="48" t="str">
        <x:v>RED</x:v>
      </x:c>
      <x:c r="C201" s="48" t="str">
        <x:v>English</x:v>
      </x:c>
      <x:c r="D201" s="48" t="n">
        <x:v>22</x:v>
      </x:c>
      <x:c r="E201" s="48" t="str"/>
      <x:c r="F201" s="48" t="str">
        <x:v>Right of Access to</x:v>
      </x:c>
      <x:c r="G201" s="48" t="str">
        <x:v>Obligation</x:v>
      </x:c>
      <x:c r="H201" s="48" t="str">
        <x:v>Shared</x:v>
      </x:c>
      <x:c r="I201" s="48" t="n">
        <x:v>0.45</x:v>
      </x:c>
      <x:c r="J201" s="48" t="n">
        <x:v>0.4</x:v>
      </x:c>
      <x:c r="K201" s="48" t="str">
        <x:v>Yes</x:v>
      </x:c>
      <x:c r="L201" s="48" t="str">
        <x:v>PDF text</x:v>
      </x:c>
    </x:row>
    <x:row r="202">
      <x:c r="A202" s="48" t="str">
        <x:v>UNI-0201</x:v>
      </x:c>
      <x:c r="B202" s="48" t="str">
        <x:v>RED</x:v>
      </x:c>
      <x:c r="C202" s="48" t="str">
        <x:v>English</x:v>
      </x:c>
      <x:c r="D202" s="48" t="n">
        <x:v>22</x:v>
      </x:c>
      <x:c r="E202" s="48" t="str"/>
      <x:c r="F202" s="48" t="str">
        <x:v>the Site 2.2</x:v>
      </x:c>
      <x:c r="G202" s="48" t="str">
        <x:v>Obligation</x:v>
      </x:c>
      <x:c r="H202" s="48" t="str">
        <x:v>Shared</x:v>
      </x:c>
      <x:c r="I202" s="48" t="n">
        <x:v>0.45</x:v>
      </x:c>
      <x:c r="J202" s="48" t="n">
        <x:v>0.4</x:v>
      </x:c>
      <x:c r="K202" s="48" t="str">
        <x:v>Yes</x:v>
      </x:c>
      <x:c r="L202" s="48" t="str">
        <x:v>PDF text</x:v>
      </x:c>
    </x:row>
    <x:row r="203">
      <x:c r="A203" s="48" t="str">
        <x:v>UNI-0202</x:v>
      </x:c>
      <x:c r="B203" s="48" t="str">
        <x:v>RED</x:v>
      </x:c>
      <x:c r="C203" s="48" t="str">
        <x:v>English</x:v>
      </x:c>
      <x:c r="D203" s="48" t="n">
        <x:v>22</x:v>
      </x:c>
      <x:c r="E203" s="48" t="str"/>
      <x:c r="F203" s="48" t="str">
        <x:v>Permits, Licences or</x:v>
      </x:c>
      <x:c r="G203" s="48" t="str">
        <x:v>Obligation</x:v>
      </x:c>
      <x:c r="H203" s="48" t="str">
        <x:v>Shared</x:v>
      </x:c>
      <x:c r="I203" s="48" t="n">
        <x:v>0.45</x:v>
      </x:c>
      <x:c r="J203" s="48" t="n">
        <x:v>0.4</x:v>
      </x:c>
      <x:c r="K203" s="48" t="str">
        <x:v>Yes</x:v>
      </x:c>
      <x:c r="L203" s="48" t="str">
        <x:v>PDF text</x:v>
      </x:c>
    </x:row>
    <x:row r="204">
      <x:c r="A204" s="48" t="str">
        <x:v>UNI-0203</x:v>
      </x:c>
      <x:c r="B204" s="48" t="str">
        <x:v>RED</x:v>
      </x:c>
      <x:c r="C204" s="48" t="str">
        <x:v>English</x:v>
      </x:c>
      <x:c r="D204" s="48" t="n">
        <x:v>22</x:v>
      </x:c>
      <x:c r="E204" s="48" t="str"/>
      <x:c r="F204" s="48" t="str">
        <x:v>Approvals</x:v>
      </x:c>
      <x:c r="G204" s="48" t="str">
        <x:v>Obligation</x:v>
      </x:c>
      <x:c r="H204" s="48" t="str">
        <x:v>Shared</x:v>
      </x:c>
      <x:c r="I204" s="48" t="n">
        <x:v>0.45</x:v>
      </x:c>
      <x:c r="J204" s="48" t="n">
        <x:v>0.4</x:v>
      </x:c>
      <x:c r="K204" s="48" t="str">
        <x:v>Yes</x:v>
      </x:c>
      <x:c r="L204" s="48" t="str">
        <x:v>PDF text</x:v>
      </x:c>
    </x:row>
    <x:row r="205">
      <x:c r="A205" s="48" t="str">
        <x:v>UNI-0204</x:v>
      </x:c>
      <x:c r="B205" s="48" t="str">
        <x:v>RED</x:v>
      </x:c>
      <x:c r="C205" s="48" t="str">
        <x:v>English</x:v>
      </x:c>
      <x:c r="D205" s="48" t="n">
        <x:v>22</x:v>
      </x:c>
      <x:c r="E205" s="48" t="str"/>
      <x:c r="F205" s="48" t="str">
        <x:v>Employer’s Personnel</x:v>
      </x:c>
      <x:c r="G205" s="48" t="str">
        <x:v>Obligation</x:v>
      </x:c>
      <x:c r="H205" s="48" t="str">
        <x:v>Employer</x:v>
      </x:c>
      <x:c r="I205" s="48" t="n">
        <x:v>0.45</x:v>
      </x:c>
      <x:c r="J205" s="48" t="n">
        <x:v>0.68</x:v>
      </x:c>
      <x:c r="K205" s="48" t="str">
        <x:v>Yes</x:v>
      </x:c>
      <x:c r="L205" s="48" t="str">
        <x:v>PDF text</x:v>
      </x:c>
    </x:row>
    <x:row r="206">
      <x:c r="A206" s="48" t="str">
        <x:v>UNI-0205</x:v>
      </x:c>
      <x:c r="B206" s="48" t="str">
        <x:v>RED</x:v>
      </x:c>
      <x:c r="C206" s="48" t="str">
        <x:v>English</x:v>
      </x:c>
      <x:c r="D206" s="48" t="n">
        <x:v>22</x:v>
      </x:c>
      <x:c r="E206" s="48" t="str"/>
      <x:c r="F206" s="48" t="str">
        <x:v>The Employer</x:v>
      </x:c>
      <x:c r="G206" s="48" t="str">
        <x:v>Obligation</x:v>
      </x:c>
      <x:c r="H206" s="48" t="str">
        <x:v>Employer</x:v>
      </x:c>
      <x:c r="I206" s="48" t="n">
        <x:v>0.45</x:v>
      </x:c>
      <x:c r="J206" s="48" t="n">
        <x:v>0.68</x:v>
      </x:c>
      <x:c r="K206" s="48" t="str">
        <x:v>Yes</x:v>
      </x:c>
      <x:c r="L206" s="48" t="str">
        <x:v>PDF text</x:v>
      </x:c>
    </x:row>
    <x:row r="207">
      <x:c r="A207" s="48" t="str">
        <x:v>UNI-0206</x:v>
      </x:c>
      <x:c r="B207" s="48" t="str">
        <x:v>RED</x:v>
      </x:c>
      <x:c r="C207" s="48" t="str">
        <x:v>English</x:v>
      </x:c>
      <x:c r="D207" s="48" t="n">
        <x:v>23</x:v>
      </x:c>
      <x:c r="E207" s="48" t="str"/>
      <x:c r="F207" s="48" t="str">
        <x:v>The Employer shall submit, within 28 days after receiving any request from the Contractor, reasonable evidence that financial arrangements have been made and are being maintained which will enable the Employer to pay the Contract Price (as estimated at that time) in accordance with Clause 14 [Contract Price and Payment].</x:v>
      </x:c>
      <x:c r="G207" s="48" t="str">
        <x:v>Obligation</x:v>
      </x:c>
      <x:c r="H207" s="48" t="str">
        <x:v>Employer</x:v>
      </x:c>
      <x:c r="I207" s="48" t="n">
        <x:v>0.88</x:v>
      </x:c>
      <x:c r="J207" s="48" t="n">
        <x:v>0.92</x:v>
      </x:c>
      <x:c r="K207" s="48" t="str">
        <x:v>No</x:v>
      </x:c>
      <x:c r="L207" s="48" t="str">
        <x:v>PDF text</x:v>
      </x:c>
    </x:row>
    <x:row r="208">
      <x:c r="A208" s="48" t="str">
        <x:v>UNI-0207</x:v>
      </x:c>
      <x:c r="B208" s="48" t="str">
        <x:v>RED</x:v>
      </x:c>
      <x:c r="C208" s="48" t="str">
        <x:v>English</x:v>
      </x:c>
      <x:c r="D208" s="48" t="n">
        <x:v>23</x:v>
      </x:c>
      <x:c r="E208" s="48" t="str"/>
      <x:c r="F208" s="48" t="str">
        <x:v>Before the Employer makes any material change to his financial arrangements, the</x:v>
      </x:c>
      <x:c r="G208" s="48" t="str">
        <x:v>Obligation</x:v>
      </x:c>
      <x:c r="H208" s="48" t="str">
        <x:v>Employer</x:v>
      </x:c>
      <x:c r="I208" s="48" t="n">
        <x:v>0.45</x:v>
      </x:c>
      <x:c r="J208" s="48" t="n">
        <x:v>0.68</x:v>
      </x:c>
      <x:c r="K208" s="48" t="str">
        <x:v>Yes</x:v>
      </x:c>
      <x:c r="L208" s="48" t="str">
        <x:v>PDF text</x:v>
      </x:c>
    </x:row>
    <x:row r="209">
      <x:c r="A209" s="48" t="str">
        <x:v>UNI-0208</x:v>
      </x:c>
      <x:c r="B209" s="48" t="str">
        <x:v>RED</x:v>
      </x:c>
      <x:c r="C209" s="48" t="str">
        <x:v>English</x:v>
      </x:c>
      <x:c r="D209" s="48" t="n">
        <x:v>23</x:v>
      </x:c>
      <x:c r="E209" s="48" t="str"/>
      <x:c r="F209" s="48" t="str">
        <x:v>Employer shall give notice to the Contractor with detailed particulars.</x:v>
      </x:c>
      <x:c r="G209" s="48" t="str">
        <x:v>Obligation</x:v>
      </x:c>
      <x:c r="H209" s="48" t="str">
        <x:v>Shared</x:v>
      </x:c>
      <x:c r="I209" s="48" t="n">
        <x:v>0.88</x:v>
      </x:c>
      <x:c r="J209" s="48" t="n">
        <x:v>0.6</x:v>
      </x:c>
      <x:c r="K209" s="48" t="str">
        <x:v>Yes</x:v>
      </x:c>
      <x:c r="L209" s="48" t="str">
        <x:v>PDF text</x:v>
      </x:c>
    </x:row>
    <x:row r="210">
      <x:c r="A210" s="48" t="str">
        <x:v>UNI-0209</x:v>
      </x:c>
      <x:c r="B210" s="48" t="str">
        <x:v>RED</x:v>
      </x:c>
      <x:c r="C210" s="48" t="str">
        <x:v>English</x:v>
      </x:c>
      <x:c r="D210" s="48" t="n">
        <x:v>23</x:v>
      </x:c>
      <x:c r="E210" s="48" t="str"/>
      <x:c r="F210" s="48" t="str">
        <x:v>In addition, if the Bank has notified to the Borrower that the Bank has suspended</x:v>
      </x:c>
      <x:c r="G210" s="48" t="str">
        <x:v>Obligation</x:v>
      </x:c>
      <x:c r="H210" s="48" t="str">
        <x:v>Shared</x:v>
      </x:c>
      <x:c r="I210" s="48" t="n">
        <x:v>0.45</x:v>
      </x:c>
      <x:c r="J210" s="48" t="n">
        <x:v>0.4</x:v>
      </x:c>
      <x:c r="K210" s="48" t="str">
        <x:v>Yes</x:v>
      </x:c>
      <x:c r="L210" s="48" t="str">
        <x:v>PDF text</x:v>
      </x:c>
    </x:row>
    <x:row r="211">
      <x:c r="A211" s="48" t="str">
        <x:v>UNI-0210</x:v>
      </x:c>
      <x:c r="B211" s="48" t="str">
        <x:v>RED</x:v>
      </x:c>
      <x:c r="C211" s="48" t="str">
        <x:v>English</x:v>
      </x:c>
      <x:c r="D211" s="48" t="n">
        <x:v>23</x:v>
      </x:c>
      <x:c r="E211" s="48" t="str"/>
      <x:c r="F211" s="48" t="str">
        <x:v>disbursements under its loan, which finances in whole or in part the execution of the</x:v>
      </x:c>
      <x:c r="G211" s="48" t="str">
        <x:v>Obligation</x:v>
      </x:c>
      <x:c r="H211" s="48" t="str">
        <x:v>Shared</x:v>
      </x:c>
      <x:c r="I211" s="48" t="n">
        <x:v>0.45</x:v>
      </x:c>
      <x:c r="J211" s="48" t="n">
        <x:v>0.4</x:v>
      </x:c>
      <x:c r="K211" s="48" t="str">
        <x:v>Yes</x:v>
      </x:c>
      <x:c r="L211" s="48" t="str">
        <x:v>PDF text</x:v>
      </x:c>
    </x:row>
    <x:row r="212">
      <x:c r="A212" s="48" t="str">
        <x:v>UNI-0211</x:v>
      </x:c>
      <x:c r="B212" s="48" t="str">
        <x:v>RED</x:v>
      </x:c>
      <x:c r="C212" s="48" t="str">
        <x:v>English</x:v>
      </x:c>
      <x:c r="D212" s="48" t="n">
        <x:v>23</x:v>
      </x:c>
      <x:c r="E212" s="48" t="str"/>
      <x:c r="F212" s="48" t="str">
        <x:v>Works, the Employer shall give notice of such suspension to the Contractor with</x:v>
      </x:c>
      <x:c r="G212" s="48" t="str">
        <x:v>Obligation</x:v>
      </x:c>
      <x:c r="H212" s="48" t="str">
        <x:v>Employer</x:v>
      </x:c>
      <x:c r="I212" s="48" t="n">
        <x:v>0.88</x:v>
      </x:c>
      <x:c r="J212" s="48" t="n">
        <x:v>0.92</x:v>
      </x:c>
      <x:c r="K212" s="48" t="str">
        <x:v>No</x:v>
      </x:c>
      <x:c r="L212" s="48" t="str">
        <x:v>PDF text</x:v>
      </x:c>
    </x:row>
    <x:row r="213">
      <x:c r="A213" s="48" t="str">
        <x:v>UNI-0212</x:v>
      </x:c>
      <x:c r="B213" s="48" t="str">
        <x:v>RED</x:v>
      </x:c>
      <x:c r="C213" s="48" t="str">
        <x:v>English</x:v>
      </x:c>
      <x:c r="D213" s="48" t="n">
        <x:v>23</x:v>
      </x:c>
      <x:c r="E213" s="48" t="str"/>
      <x:c r="F213" s="48" t="str">
        <x:v>detailed particulars, including the date of such notification, with a copy to the Engineer, within 7 days of the Borrower having received the suspension notification from the Bank.</x:v>
      </x:c>
      <x:c r="G213" s="48" t="str">
        <x:v>Obligation</x:v>
      </x:c>
      <x:c r="H213" s="48" t="str">
        <x:v>Shared</x:v>
      </x:c>
      <x:c r="I213" s="48" t="n">
        <x:v>0.45</x:v>
      </x:c>
      <x:c r="J213" s="48" t="n">
        <x:v>0.4</x:v>
      </x:c>
      <x:c r="K213" s="48" t="str">
        <x:v>Yes</x:v>
      </x:c>
      <x:c r="L213" s="48" t="str">
        <x:v>PDF text</x:v>
      </x:c>
    </x:row>
    <x:row r="214">
      <x:c r="A214" s="48" t="str">
        <x:v>UNI-0213</x:v>
      </x:c>
      <x:c r="B214" s="48" t="str">
        <x:v>RED</x:v>
      </x:c>
      <x:c r="C214" s="48" t="str">
        <x:v>English</x:v>
      </x:c>
      <x:c r="D214" s="48" t="n">
        <x:v>23</x:v>
      </x:c>
      <x:c r="E214" s="48" t="str"/>
      <x:c r="F214" s="48" t="str">
        <x:v>If alternative funds will be available in appropriate currencies to the Employer to continue making payments to the Contractor beyond a date 60 days after the date of Bank notification of the suspension, the Employer shall provide reasonable evidence in such notice of the extent to which such funds will be available.</x:v>
      </x:c>
      <x:c r="G214" s="48" t="str">
        <x:v>Obligation</x:v>
      </x:c>
      <x:c r="H214" s="48" t="str">
        <x:v>Employer</x:v>
      </x:c>
      <x:c r="I214" s="48" t="n">
        <x:v>0.88</x:v>
      </x:c>
      <x:c r="J214" s="48" t="n">
        <x:v>0.92</x:v>
      </x:c>
      <x:c r="K214" s="48" t="str">
        <x:v>No</x:v>
      </x:c>
      <x:c r="L214" s="48" t="str">
        <x:v>PDF text</x:v>
      </x:c>
    </x:row>
    <x:row r="215">
      <x:c r="A215" s="48" t="str">
        <x:v>UNI-0214</x:v>
      </x:c>
      <x:c r="B215" s="48" t="str">
        <x:v>RED</x:v>
      </x:c>
      <x:c r="C215" s="48" t="str">
        <x:v>English</x:v>
      </x:c>
      <x:c r="D215" s="48" t="n">
        <x:v>23</x:v>
      </x:c>
      <x:c r="E215" s="48" t="str"/>
      <x:c r="F215" s="48" t="str">
        <x:v>If the Employer considers himself to be entitled to any payment under any Clause of these Conditions or otherwise in connection with the Contract, and/or to any extension of the Defects Notification Period, the Employer or the Engineer shall give notice and particulars to the Contractor.</x:v>
      </x:c>
      <x:c r="G215" s="48" t="str">
        <x:v>Obligation</x:v>
      </x:c>
      <x:c r="H215" s="48" t="str">
        <x:v>Shared</x:v>
      </x:c>
      <x:c r="I215" s="48" t="n">
        <x:v>0.88</x:v>
      </x:c>
      <x:c r="J215" s="48" t="n">
        <x:v>0.6</x:v>
      </x:c>
      <x:c r="K215" s="48" t="str">
        <x:v>Yes</x:v>
      </x:c>
      <x:c r="L215" s="48" t="str">
        <x:v>PDF text</x:v>
      </x:c>
    </x:row>
    <x:row r="216">
      <x:c r="A216" s="48" t="str">
        <x:v>UNI-0215</x:v>
      </x:c>
      <x:c r="B216" s="48" t="str">
        <x:v>RED</x:v>
      </x:c>
      <x:c r="C216" s="48" t="str">
        <x:v>English</x:v>
      </x:c>
      <x:c r="D216" s="48" t="n">
        <x:v>23</x:v>
      </x:c>
      <x:c r="E216" s="48" t="str"/>
      <x:c r="F216" s="48" t="str">
        <x:v>However, notice is not required for payments due under Sub-Clause 4.19 [Electricity, Water and Gas], under Sub-Clause 4.20 [Employer’s Equipment and Free-Issue Material], or for other services requested by the Contractor.</x:v>
      </x:c>
      <x:c r="G216" s="48" t="str">
        <x:v>Obligation</x:v>
      </x:c>
      <x:c r="H216" s="48" t="str">
        <x:v>Shared</x:v>
      </x:c>
      <x:c r="I216" s="48" t="n">
        <x:v>0.55</x:v>
      </x:c>
      <x:c r="J216" s="48" t="n">
        <x:v>0.6</x:v>
      </x:c>
      <x:c r="K216" s="48" t="str">
        <x:v>Yes</x:v>
      </x:c>
      <x:c r="L216" s="48" t="str">
        <x:v>PDF text</x:v>
      </x:c>
    </x:row>
    <x:row r="217">
      <x:c r="A217" s="48" t="str">
        <x:v>UNI-0216</x:v>
      </x:c>
      <x:c r="B217" s="48" t="str">
        <x:v>RED</x:v>
      </x:c>
      <x:c r="C217" s="48" t="str">
        <x:v>English</x:v>
      </x:c>
      <x:c r="D217" s="48" t="n">
        <x:v>23</x:v>
      </x:c>
      <x:c r="E217" s="48" t="str"/>
      <x:c r="F217" s="48" t="str">
        <x:v>The notice shall be given as soon as practicable after the Employer became aware, or should have become aware, of the event or circumstances giving rise to the claim.</x:v>
      </x:c>
      <x:c r="G217" s="48" t="str">
        <x:v>Obligation</x:v>
      </x:c>
      <x:c r="H217" s="48" t="str">
        <x:v>Employer</x:v>
      </x:c>
      <x:c r="I217" s="48" t="n">
        <x:v>0.88</x:v>
      </x:c>
      <x:c r="J217" s="48" t="n">
        <x:v>0.68</x:v>
      </x:c>
      <x:c r="K217" s="48" t="str">
        <x:v>Yes</x:v>
      </x:c>
      <x:c r="L217" s="48" t="str">
        <x:v>PDF text</x:v>
      </x:c>
    </x:row>
    <x:row r="218">
      <x:c r="A218" s="48" t="str">
        <x:v>UNI-0217</x:v>
      </x:c>
      <x:c r="B218" s="48" t="str">
        <x:v>RED</x:v>
      </x:c>
      <x:c r="C218" s="48" t="str">
        <x:v>English</x:v>
      </x:c>
      <x:c r="D218" s="48" t="n">
        <x:v>23</x:v>
      </x:c>
      <x:c r="E218" s="48" t="str"/>
      <x:c r="F218" s="48" t="str">
        <x:v>A notice relating to any extension of the Defects Notification Period shall be given before the expiry of such period.</x:v>
      </x:c>
      <x:c r="G218" s="48" t="str">
        <x:v>Obligation</x:v>
      </x:c>
      <x:c r="H218" s="48" t="str">
        <x:v>Shared</x:v>
      </x:c>
      <x:c r="I218" s="48" t="n">
        <x:v>0.88</x:v>
      </x:c>
      <x:c r="J218" s="48" t="n">
        <x:v>0.4</x:v>
      </x:c>
      <x:c r="K218" s="48" t="str">
        <x:v>Yes</x:v>
      </x:c>
      <x:c r="L218" s="48" t="str">
        <x:v>PDF text</x:v>
      </x:c>
    </x:row>
    <x:row r="219">
      <x:c r="A219" s="48" t="str">
        <x:v>UNI-0218</x:v>
      </x:c>
      <x:c r="B219" s="48" t="str">
        <x:v>RED</x:v>
      </x:c>
      <x:c r="C219" s="48" t="str">
        <x:v>English</x:v>
      </x:c>
      <x:c r="D219" s="48" t="n">
        <x:v>23</x:v>
      </x:c>
      <x:c r="E219" s="48" t="str"/>
      <x:c r="F219" s="48" t="str">
        <x:v>The particulars shall specify the Clause or other basis of the claim, and shall include substantiation of the amount and/or extension to which the Employer considers himself to be entitled in connection with the Contract.</x:v>
      </x:c>
      <x:c r="G219" s="48" t="str">
        <x:v>Obligation</x:v>
      </x:c>
      <x:c r="H219" s="48" t="str">
        <x:v>Employer</x:v>
      </x:c>
      <x:c r="I219" s="48" t="n">
        <x:v>0.88</x:v>
      </x:c>
      <x:c r="J219" s="48" t="n">
        <x:v>0.68</x:v>
      </x:c>
      <x:c r="K219" s="48" t="str">
        <x:v>Yes</x:v>
      </x:c>
      <x:c r="L219" s="48" t="str">
        <x:v>PDF text</x:v>
      </x:c>
    </x:row>
    <x:row r="220">
      <x:c r="A220" s="48" t="str">
        <x:v>UNI-0219</x:v>
      </x:c>
      <x:c r="B220" s="48" t="str">
        <x:v>RED</x:v>
      </x:c>
      <x:c r="C220" s="48" t="str">
        <x:v>English</x:v>
      </x:c>
      <x:c r="D220" s="48" t="n">
        <x:v>23</x:v>
      </x:c>
      <x:c r="E220" s="48" t="str"/>
      <x:c r="F220" s="48" t="str">
        <x:v>The Engineer shall then proceed in accordance with Sub-Clause 3.5 [Determinations] to agree or determine (i) the amount (if any) which the Employer is entitled to be paid by the Contractor, and/or (ii) the extension (if any) of the Defects Notification Period in accordance with Sub-Clause</x:v>
      </x:c>
      <x:c r="G220" s="48" t="str">
        <x:v>Obligation</x:v>
      </x:c>
      <x:c r="H220" s="48" t="str">
        <x:v>Shared</x:v>
      </x:c>
      <x:c r="I220" s="48" t="n">
        <x:v>0.88</x:v>
      </x:c>
      <x:c r="J220" s="48" t="n">
        <x:v>0.6</x:v>
      </x:c>
      <x:c r="K220" s="48" t="str">
        <x:v>Yes</x:v>
      </x:c>
      <x:c r="L220" s="48" t="str">
        <x:v>PDF text</x:v>
      </x:c>
    </x:row>
    <x:row r="221">
      <x:c r="A221" s="48" t="str">
        <x:v>UNI-0220</x:v>
      </x:c>
      <x:c r="B221" s="48" t="str">
        <x:v>RED</x:v>
      </x:c>
      <x:c r="C221" s="48" t="str">
        <x:v>English</x:v>
      </x:c>
      <x:c r="D221" s="48" t="n">
        <x:v>23</x:v>
      </x:c>
      <x:c r="E221" s="48" t="str">
        <x:v>11.3</x:v>
      </x:c>
      <x:c r="F221" s="48" t="str">
        <x:v>11.3 [Extension of Defects Notification Period].</x:v>
      </x:c>
      <x:c r="G221" s="48" t="str">
        <x:v>Obligation</x:v>
      </x:c>
      <x:c r="H221" s="48" t="str">
        <x:v>Shared</x:v>
      </x:c>
      <x:c r="I221" s="48" t="n">
        <x:v>0.45</x:v>
      </x:c>
      <x:c r="J221" s="48" t="n">
        <x:v>0.4</x:v>
      </x:c>
      <x:c r="K221" s="48" t="str">
        <x:v>Yes</x:v>
      </x:c>
      <x:c r="L221" s="48" t="str">
        <x:v>PDF text</x:v>
      </x:c>
    </x:row>
    <x:row r="222">
      <x:c r="A222" s="48" t="str">
        <x:v>UNI-0221</x:v>
      </x:c>
      <x:c r="B222" s="48" t="str">
        <x:v>RED</x:v>
      </x:c>
      <x:c r="C222" s="48" t="str">
        <x:v>English</x:v>
      </x:c>
      <x:c r="D222" s="48" t="n">
        <x:v>23</x:v>
      </x:c>
      <x:c r="E222" s="48" t="str"/>
      <x:c r="F222" s="48" t="str">
        <x:v>This amount may be included as a deduction in the Contract Price and Payment</x:v>
      </x:c>
      <x:c r="G222" s="48" t="str">
        <x:v>Right</x:v>
      </x:c>
      <x:c r="H222" s="48" t="str">
        <x:v>Shared</x:v>
      </x:c>
      <x:c r="I222" s="48" t="n">
        <x:v>0.78</x:v>
      </x:c>
      <x:c r="J222" s="48" t="n">
        <x:v>0.4</x:v>
      </x:c>
      <x:c r="K222" s="48" t="str">
        <x:v>Yes</x:v>
      </x:c>
      <x:c r="L222" s="48" t="str">
        <x:v>PDF text</x:v>
      </x:c>
    </x:row>
    <x:row r="223">
      <x:c r="A223" s="48" t="str">
        <x:v>UNI-0222</x:v>
      </x:c>
      <x:c r="B223" s="48" t="str">
        <x:v>RED</x:v>
      </x:c>
      <x:c r="C223" s="48" t="str">
        <x:v>English</x:v>
      </x:c>
      <x:c r="D223" s="48" t="n">
        <x:v>23</x:v>
      </x:c>
      <x:c r="E223" s="48" t="str"/>
      <x:c r="F223" s="48" t="str">
        <x:v>Certificates.</x:v>
      </x:c>
      <x:c r="G223" s="48" t="str">
        <x:v>Obligation</x:v>
      </x:c>
      <x:c r="H223" s="48" t="str">
        <x:v>Shared</x:v>
      </x:c>
      <x:c r="I223" s="48" t="n">
        <x:v>0.45</x:v>
      </x:c>
      <x:c r="J223" s="48" t="n">
        <x:v>0.4</x:v>
      </x:c>
      <x:c r="K223" s="48" t="str">
        <x:v>Yes</x:v>
      </x:c>
      <x:c r="L223" s="48" t="str">
        <x:v>PDF text</x:v>
      </x:c>
    </x:row>
    <x:row r="224">
      <x:c r="A224" s="48" t="str">
        <x:v>UNI-0223</x:v>
      </x:c>
      <x:c r="B224" s="48" t="str">
        <x:v>RED</x:v>
      </x:c>
      <x:c r="C224" s="48" t="str">
        <x:v>English</x:v>
      </x:c>
      <x:c r="D224" s="48" t="n">
        <x:v>23</x:v>
      </x:c>
      <x:c r="E224" s="48" t="str"/>
      <x:c r="F224" s="48" t="str">
        <x:v>The Employer shall only be entitled to set off against or make any deduction from an amount certified in a Payment Certificate, or to otherwise claim against the Contractor, in accordance with this Sub-Clause.</x:v>
      </x:c>
      <x:c r="G224" s="48" t="str">
        <x:v>Obligation</x:v>
      </x:c>
      <x:c r="H224" s="48" t="str">
        <x:v>Employer</x:v>
      </x:c>
      <x:c r="I224" s="48" t="n">
        <x:v>0.88</x:v>
      </x:c>
      <x:c r="J224" s="48" t="n">
        <x:v>0.92</x:v>
      </x:c>
      <x:c r="K224" s="48" t="str">
        <x:v>No</x:v>
      </x:c>
      <x:c r="L224" s="48" t="str">
        <x:v>PDF text</x:v>
      </x:c>
    </x:row>
    <x:row r="225">
      <x:c r="A225" s="48" t="str">
        <x:v>UNI-0224</x:v>
      </x:c>
      <x:c r="B225" s="48" t="str">
        <x:v>RED</x:v>
      </x:c>
      <x:c r="C225" s="48" t="str">
        <x:v>English</x:v>
      </x:c>
      <x:c r="D225" s="48" t="n">
        <x:v>23</x:v>
      </x:c>
      <x:c r="E225" s="48" t="str"/>
      <x:c r="F225" s="48" t="str">
        <x:v>The Employer shall appoint the Engineer who shall carry out the duties assigned to him in the Contract.</x:v>
      </x:c>
      <x:c r="G225" s="48" t="str">
        <x:v>Obligation</x:v>
      </x:c>
      <x:c r="H225" s="48" t="str">
        <x:v>Employer</x:v>
      </x:c>
      <x:c r="I225" s="48" t="n">
        <x:v>0.88</x:v>
      </x:c>
      <x:c r="J225" s="48" t="n">
        <x:v>0.92</x:v>
      </x:c>
      <x:c r="K225" s="48" t="str">
        <x:v>No</x:v>
      </x:c>
      <x:c r="L225" s="48" t="str">
        <x:v>PDF text</x:v>
      </x:c>
    </x:row>
    <x:row r="226">
      <x:c r="A226" s="48" t="str">
        <x:v>UNI-0225</x:v>
      </x:c>
      <x:c r="B226" s="48" t="str">
        <x:v>RED</x:v>
      </x:c>
      <x:c r="C226" s="48" t="str">
        <x:v>English</x:v>
      </x:c>
      <x:c r="D226" s="48" t="n">
        <x:v>23</x:v>
      </x:c>
      <x:c r="E226" s="48" t="str"/>
      <x:c r="F226" s="48" t="str">
        <x:v>The Engineer’s staff shall include suitably qualified engineers and other professionals who are competent to carry out these duties.</x:v>
      </x:c>
      <x:c r="G226" s="48" t="str">
        <x:v>Obligation</x:v>
      </x:c>
      <x:c r="H226" s="48" t="str">
        <x:v>Shared</x:v>
      </x:c>
      <x:c r="I226" s="48" t="n">
        <x:v>0.88</x:v>
      </x:c>
      <x:c r="J226" s="48" t="n">
        <x:v>0.4</x:v>
      </x:c>
      <x:c r="K226" s="48" t="str">
        <x:v>Yes</x:v>
      </x:c>
      <x:c r="L226" s="48" t="str">
        <x:v>PDF text</x:v>
      </x:c>
    </x:row>
    <x:row r="227">
      <x:c r="A227" s="48" t="str">
        <x:v>UNI-0226</x:v>
      </x:c>
      <x:c r="B227" s="48" t="str">
        <x:v>RED</x:v>
      </x:c>
      <x:c r="C227" s="48" t="str">
        <x:v>English</x:v>
      </x:c>
      <x:c r="D227" s="48" t="n">
        <x:v>23</x:v>
      </x:c>
      <x:c r="E227" s="48" t="str"/>
      <x:c r="F227" s="48" t="str">
        <x:v>The Engineer shall have no authority to amend the Contract.</x:v>
      </x:c>
      <x:c r="G227" s="48" t="str">
        <x:v>Obligation</x:v>
      </x:c>
      <x:c r="H227" s="48" t="str">
        <x:v>Shared</x:v>
      </x:c>
      <x:c r="I227" s="48" t="n">
        <x:v>0.88</x:v>
      </x:c>
      <x:c r="J227" s="48" t="n">
        <x:v>0.4</x:v>
      </x:c>
      <x:c r="K227" s="48" t="str">
        <x:v>Yes</x:v>
      </x:c>
      <x:c r="L227" s="48" t="str">
        <x:v>PDF text</x:v>
      </x:c>
    </x:row>
    <x:row r="228">
      <x:c r="A228" s="48" t="str">
        <x:v>UNI-0227</x:v>
      </x:c>
      <x:c r="B228" s="48" t="str">
        <x:v>RED</x:v>
      </x:c>
      <x:c r="C228" s="48" t="str">
        <x:v>English</x:v>
      </x:c>
      <x:c r="D228" s="48" t="n">
        <x:v>23</x:v>
      </x:c>
      <x:c r="E228" s="48" t="str"/>
      <x:c r="F228" s="48" t="str">
        <x:v>The Engineer may exercise the authority attributable to the Engineer as specified in or necessarily to be implied from the Contract.</x:v>
      </x:c>
      <x:c r="G228" s="48" t="str">
        <x:v>Right</x:v>
      </x:c>
      <x:c r="H228" s="48" t="str">
        <x:v>Shared</x:v>
      </x:c>
      <x:c r="I228" s="48" t="n">
        <x:v>0.78</x:v>
      </x:c>
      <x:c r="J228" s="48" t="n">
        <x:v>0.4</x:v>
      </x:c>
      <x:c r="K228" s="48" t="str">
        <x:v>Yes</x:v>
      </x:c>
      <x:c r="L228" s="48" t="str">
        <x:v>PDF text</x:v>
      </x:c>
    </x:row>
    <x:row r="229">
      <x:c r="A229" s="48" t="str">
        <x:v>UNI-0228</x:v>
      </x:c>
      <x:c r="B229" s="48" t="str">
        <x:v>RED</x:v>
      </x:c>
      <x:c r="C229" s="48" t="str">
        <x:v>English</x:v>
      </x:c>
      <x:c r="D229" s="48" t="n">
        <x:v>23</x:v>
      </x:c>
      <x:c r="E229" s="48" t="str"/>
      <x:c r="F229" s="48" t="str">
        <x:v>If the Engineer is required to obtain the 2.4</x:v>
      </x:c>
      <x:c r="G229" s="48" t="str">
        <x:v>Obligation</x:v>
      </x:c>
      <x:c r="H229" s="48" t="str">
        <x:v>Shared</x:v>
      </x:c>
      <x:c r="I229" s="48" t="n">
        <x:v>0.88</x:v>
      </x:c>
      <x:c r="J229" s="48" t="n">
        <x:v>0.4</x:v>
      </x:c>
      <x:c r="K229" s="48" t="str">
        <x:v>Yes</x:v>
      </x:c>
      <x:c r="L229" s="48" t="str">
        <x:v>PDF text</x:v>
      </x:c>
    </x:row>
    <x:row r="230">
      <x:c r="A230" s="48" t="str">
        <x:v>UNI-0229</x:v>
      </x:c>
      <x:c r="B230" s="48" t="str">
        <x:v>RED</x:v>
      </x:c>
      <x:c r="C230" s="48" t="str">
        <x:v>English</x:v>
      </x:c>
      <x:c r="D230" s="48" t="n">
        <x:v>23</x:v>
      </x:c>
      <x:c r="E230" s="48" t="str"/>
      <x:c r="F230" s="48" t="str">
        <x:v>Employer’s Financial</x:v>
      </x:c>
      <x:c r="G230" s="48" t="str">
        <x:v>Obligation</x:v>
      </x:c>
      <x:c r="H230" s="48" t="str">
        <x:v>Employer</x:v>
      </x:c>
      <x:c r="I230" s="48" t="n">
        <x:v>0.45</x:v>
      </x:c>
      <x:c r="J230" s="48" t="n">
        <x:v>0.68</x:v>
      </x:c>
      <x:c r="K230" s="48" t="str">
        <x:v>Yes</x:v>
      </x:c>
      <x:c r="L230" s="48" t="str">
        <x:v>PDF text</x:v>
      </x:c>
    </x:row>
    <x:row r="231">
      <x:c r="A231" s="48" t="str">
        <x:v>UNI-0230</x:v>
      </x:c>
      <x:c r="B231" s="48" t="str">
        <x:v>RED</x:v>
      </x:c>
      <x:c r="C231" s="48" t="str">
        <x:v>English</x:v>
      </x:c>
      <x:c r="D231" s="48" t="n">
        <x:v>23</x:v>
      </x:c>
      <x:c r="E231" s="48" t="str"/>
      <x:c r="F231" s="48" t="str">
        <x:v>Arrangements</x:v>
      </x:c>
      <x:c r="G231" s="48" t="str">
        <x:v>Obligation</x:v>
      </x:c>
      <x:c r="H231" s="48" t="str">
        <x:v>Shared</x:v>
      </x:c>
      <x:c r="I231" s="48" t="n">
        <x:v>0.45</x:v>
      </x:c>
      <x:c r="J231" s="48" t="n">
        <x:v>0.4</x:v>
      </x:c>
      <x:c r="K231" s="48" t="str">
        <x:v>Yes</x:v>
      </x:c>
      <x:c r="L231" s="48" t="str">
        <x:v>PDF text</x:v>
      </x:c>
    </x:row>
    <x:row r="232">
      <x:c r="A232" s="48" t="str">
        <x:v>UNI-0231</x:v>
      </x:c>
      <x:c r="B232" s="48" t="str">
        <x:v>RED</x:v>
      </x:c>
      <x:c r="C232" s="48" t="str">
        <x:v>English</x:v>
      </x:c>
      <x:c r="D232" s="48" t="n">
        <x:v>23</x:v>
      </x:c>
      <x:c r="E232" s="48" t="str"/>
      <x:c r="F232" s="48" t="str">
        <x:v>Employer’s Claims</x:v>
      </x:c>
      <x:c r="G232" s="48" t="str">
        <x:v>Obligation</x:v>
      </x:c>
      <x:c r="H232" s="48" t="str">
        <x:v>Employer</x:v>
      </x:c>
      <x:c r="I232" s="48" t="n">
        <x:v>0.45</x:v>
      </x:c>
      <x:c r="J232" s="48" t="n">
        <x:v>0.68</x:v>
      </x:c>
      <x:c r="K232" s="48" t="str">
        <x:v>Yes</x:v>
      </x:c>
      <x:c r="L232" s="48" t="str">
        <x:v>PDF text</x:v>
      </x:c>
    </x:row>
    <x:row r="233">
      <x:c r="A233" s="48" t="str">
        <x:v>UNI-0232</x:v>
      </x:c>
      <x:c r="B233" s="48" t="str">
        <x:v>RED</x:v>
      </x:c>
      <x:c r="C233" s="48" t="str">
        <x:v>English</x:v>
      </x:c>
      <x:c r="D233" s="48" t="n">
        <x:v>23</x:v>
      </x:c>
      <x:c r="E233" s="48" t="str"/>
      <x:c r="F233" s="48" t="str">
        <x:v>Engineer’s Duties and</x:v>
      </x:c>
      <x:c r="G233" s="48" t="str">
        <x:v>Obligation</x:v>
      </x:c>
      <x:c r="H233" s="48" t="str">
        <x:v>Shared</x:v>
      </x:c>
      <x:c r="I233" s="48" t="n">
        <x:v>0.45</x:v>
      </x:c>
      <x:c r="J233" s="48" t="n">
        <x:v>0.4</x:v>
      </x:c>
      <x:c r="K233" s="48" t="str">
        <x:v>Yes</x:v>
      </x:c>
      <x:c r="L233" s="48" t="str">
        <x:v>PDF text</x:v>
      </x:c>
    </x:row>
    <x:row r="234">
      <x:c r="A234" s="48" t="str">
        <x:v>UNI-0233</x:v>
      </x:c>
      <x:c r="B234" s="48" t="str">
        <x:v>RED</x:v>
      </x:c>
      <x:c r="C234" s="48" t="str">
        <x:v>English</x:v>
      </x:c>
      <x:c r="D234" s="48" t="n">
        <x:v>23</x:v>
      </x:c>
      <x:c r="E234" s="48" t="str"/>
      <x:c r="F234" s="48" t="str">
        <x:v>Authority 3</x:v>
      </x:c>
      <x:c r="G234" s="48" t="str">
        <x:v>Obligation</x:v>
      </x:c>
      <x:c r="H234" s="48" t="str">
        <x:v>Shared</x:v>
      </x:c>
      <x:c r="I234" s="48" t="n">
        <x:v>0.45</x:v>
      </x:c>
      <x:c r="J234" s="48" t="n">
        <x:v>0.4</x:v>
      </x:c>
      <x:c r="K234" s="48" t="str">
        <x:v>Yes</x:v>
      </x:c>
      <x:c r="L234" s="48" t="str">
        <x:v>PDF text</x:v>
      </x:c>
    </x:row>
    <x:row r="235">
      <x:c r="A235" s="48" t="str">
        <x:v>UNI-0234</x:v>
      </x:c>
      <x:c r="B235" s="48" t="str">
        <x:v>RED</x:v>
      </x:c>
      <x:c r="C235" s="48" t="str">
        <x:v>English</x:v>
      </x:c>
      <x:c r="D235" s="48" t="n">
        <x:v>23</x:v>
      </x:c>
      <x:c r="E235" s="48" t="str"/>
      <x:c r="F235" s="48" t="str">
        <x:v>The Engineer</x:v>
      </x:c>
      <x:c r="G235" s="48" t="str">
        <x:v>Obligation</x:v>
      </x:c>
      <x:c r="H235" s="48" t="str">
        <x:v>Shared</x:v>
      </x:c>
      <x:c r="I235" s="48" t="n">
        <x:v>0.45</x:v>
      </x:c>
      <x:c r="J235" s="48" t="n">
        <x:v>0.4</x:v>
      </x:c>
      <x:c r="K235" s="48" t="str">
        <x:v>Yes</x:v>
      </x:c>
      <x:c r="L235" s="48" t="str">
        <x:v>PDF text</x:v>
      </x:c>
    </x:row>
    <x:row r="236">
      <x:c r="A236" s="48" t="str">
        <x:v>UNI-0235</x:v>
      </x:c>
      <x:c r="B236" s="48" t="str">
        <x:v>RED</x:v>
      </x:c>
      <x:c r="C236" s="48" t="str">
        <x:v>English</x:v>
      </x:c>
      <x:c r="D236" s="48" t="n">
        <x:v>24</x:v>
      </x:c>
      <x:c r="E236" s="48" t="str"/>
      <x:c r="F236" s="48" t="str">
        <x:v>Delegation by the</x:v>
      </x:c>
      <x:c r="G236" s="48" t="str">
        <x:v>Obligation</x:v>
      </x:c>
      <x:c r="H236" s="48" t="str">
        <x:v>Shared</x:v>
      </x:c>
      <x:c r="I236" s="48" t="n">
        <x:v>0.45</x:v>
      </x:c>
      <x:c r="J236" s="48" t="n">
        <x:v>0.4</x:v>
      </x:c>
      <x:c r="K236" s="48" t="str">
        <x:v>Yes</x:v>
      </x:c>
      <x:c r="L236" s="48" t="str">
        <x:v>PDF text</x:v>
      </x:c>
    </x:row>
    <x:row r="237">
      <x:c r="A237" s="48" t="str">
        <x:v>UNI-0236</x:v>
      </x:c>
      <x:c r="B237" s="48" t="str">
        <x:v>RED</x:v>
      </x:c>
      <x:c r="C237" s="48" t="str">
        <x:v>English</x:v>
      </x:c>
      <x:c r="D237" s="48" t="n">
        <x:v>24</x:v>
      </x:c>
      <x:c r="E237" s="48" t="str"/>
      <x:c r="F237" s="48" t="str">
        <x:v>Engineer</x:v>
      </x:c>
      <x:c r="G237" s="48" t="str">
        <x:v>Obligation</x:v>
      </x:c>
      <x:c r="H237" s="48" t="str">
        <x:v>Shared</x:v>
      </x:c>
      <x:c r="I237" s="48" t="n">
        <x:v>0.45</x:v>
      </x:c>
      <x:c r="J237" s="48" t="n">
        <x:v>0.4</x:v>
      </x:c>
      <x:c r="K237" s="48" t="str">
        <x:v>Yes</x:v>
      </x:c>
      <x:c r="L237" s="48" t="str">
        <x:v>PDF text</x:v>
      </x:c>
    </x:row>
    <x:row r="238">
      <x:c r="A238" s="48" t="str">
        <x:v>UNI-0237</x:v>
      </x:c>
      <x:c r="B238" s="48" t="str">
        <x:v>RED</x:v>
      </x:c>
      <x:c r="C238" s="48" t="str">
        <x:v>English</x:v>
      </x:c>
      <x:c r="D238" s="48" t="n">
        <x:v>24</x:v>
      </x:c>
      <x:c r="E238" s="48" t="str"/>
      <x:c r="F238" s="48" t="str">
        <x:v>approval of the Employer before exercising a specified authority, the requirements shall be as stated in the Particular Conditions.</x:v>
      </x:c>
      <x:c r="G238" s="48" t="str">
        <x:v>Obligation</x:v>
      </x:c>
      <x:c r="H238" s="48" t="str">
        <x:v>Employer</x:v>
      </x:c>
      <x:c r="I238" s="48" t="n">
        <x:v>0.88</x:v>
      </x:c>
      <x:c r="J238" s="48" t="n">
        <x:v>0.68</x:v>
      </x:c>
      <x:c r="K238" s="48" t="str">
        <x:v>Yes</x:v>
      </x:c>
      <x:c r="L238" s="48" t="str">
        <x:v>PDF text</x:v>
      </x:c>
    </x:row>
    <x:row r="239">
      <x:c r="A239" s="48" t="str">
        <x:v>UNI-0238</x:v>
      </x:c>
      <x:c r="B239" s="48" t="str">
        <x:v>RED</x:v>
      </x:c>
      <x:c r="C239" s="48" t="str">
        <x:v>English</x:v>
      </x:c>
      <x:c r="D239" s="48" t="n">
        <x:v>24</x:v>
      </x:c>
      <x:c r="E239" s="48" t="str"/>
      <x:c r="F239" s="48" t="str">
        <x:v>The Employer shall promptly inform the Contractor of any change to the authority attributed to the Engineer.</x:v>
      </x:c>
      <x:c r="G239" s="48" t="str">
        <x:v>Obligation</x:v>
      </x:c>
      <x:c r="H239" s="48" t="str">
        <x:v>Employer</x:v>
      </x:c>
      <x:c r="I239" s="48" t="n">
        <x:v>0.88</x:v>
      </x:c>
      <x:c r="J239" s="48" t="n">
        <x:v>0.92</x:v>
      </x:c>
      <x:c r="K239" s="48" t="str">
        <x:v>No</x:v>
      </x:c>
      <x:c r="L239" s="48" t="str">
        <x:v>PDF text</x:v>
      </x:c>
    </x:row>
    <x:row r="240">
      <x:c r="A240" s="48" t="str">
        <x:v>UNI-0239</x:v>
      </x:c>
      <x:c r="B240" s="48" t="str">
        <x:v>RED</x:v>
      </x:c>
      <x:c r="C240" s="48" t="str">
        <x:v>English</x:v>
      </x:c>
      <x:c r="D240" s="48" t="n">
        <x:v>24</x:v>
      </x:c>
      <x:c r="E240" s="48" t="str"/>
      <x:c r="F240" s="48" t="str">
        <x:v>However, whenever the Engineer exercises a specified authority for which the</x:v>
      </x:c>
      <x:c r="G240" s="48" t="str">
        <x:v>Obligation</x:v>
      </x:c>
      <x:c r="H240" s="48" t="str">
        <x:v>Shared</x:v>
      </x:c>
      <x:c r="I240" s="48" t="n">
        <x:v>0.45</x:v>
      </x:c>
      <x:c r="J240" s="48" t="n">
        <x:v>0.4</x:v>
      </x:c>
      <x:c r="K240" s="48" t="str">
        <x:v>Yes</x:v>
      </x:c>
      <x:c r="L240" s="48" t="str">
        <x:v>PDF text</x:v>
      </x:c>
    </x:row>
    <x:row r="241">
      <x:c r="A241" s="48" t="str">
        <x:v>UNI-0240</x:v>
      </x:c>
      <x:c r="B241" s="48" t="str">
        <x:v>RED</x:v>
      </x:c>
      <x:c r="C241" s="48" t="str">
        <x:v>English</x:v>
      </x:c>
      <x:c r="D241" s="48" t="n">
        <x:v>24</x:v>
      </x:c>
      <x:c r="E241" s="48" t="str"/>
      <x:c r="F241" s="48" t="str">
        <x:v>Employer’s approval is required, then (for the purposes of the Contract) the Employer shall be deemed to have given approval.</x:v>
      </x:c>
      <x:c r="G241" s="48" t="str">
        <x:v>Obligation</x:v>
      </x:c>
      <x:c r="H241" s="48" t="str">
        <x:v>Employer</x:v>
      </x:c>
      <x:c r="I241" s="48" t="n">
        <x:v>0.88</x:v>
      </x:c>
      <x:c r="J241" s="48" t="n">
        <x:v>0.92</x:v>
      </x:c>
      <x:c r="K241" s="48" t="str">
        <x:v>No</x:v>
      </x:c>
      <x:c r="L241" s="48" t="str">
        <x:v>PDF text</x:v>
      </x:c>
    </x:row>
    <x:row r="242">
      <x:c r="A242" s="48" t="str">
        <x:v>UNI-0241</x:v>
      </x:c>
      <x:c r="B242" s="48" t="str">
        <x:v>RED</x:v>
      </x:c>
      <x:c r="C242" s="48" t="str">
        <x:v>English</x:v>
      </x:c>
      <x:c r="D242" s="48" t="n">
        <x:v>24</x:v>
      </x:c>
      <x:c r="E242" s="48" t="str"/>
      <x:c r="F242" s="48" t="str">
        <x:v>Except as otherwise stated in these Conditions: (a) whenever carrying out duties or exercising authority, specified in or implied by the Contract, the Engineer shall be deemed to act for the Employer; (b) the Engineer has no authority to relieve either Party of any duties, obligations or responsibilities under the Contract; and (c) any approval, check, certificate, consent, examination, inspection, instruction, notice, proposal, request, test, or similar act by the Engineer (including absence of disapproval) shall not relieve the Contractor from any responsibility he has under the Contract, including responsibility for errors, omissions, discrepancies and non-compliances.</x:v>
      </x:c>
      <x:c r="G242" s="48" t="str">
        <x:v>Obligation</x:v>
      </x:c>
      <x:c r="H242" s="48" t="str">
        <x:v>Shared</x:v>
      </x:c>
      <x:c r="I242" s="48" t="n">
        <x:v>0.88</x:v>
      </x:c>
      <x:c r="J242" s="48" t="n">
        <x:v>0.93</x:v>
      </x:c>
      <x:c r="K242" s="48" t="str">
        <x:v>No</x:v>
      </x:c>
      <x:c r="L242" s="48" t="str">
        <x:v>PDF text</x:v>
      </x:c>
    </x:row>
    <x:row r="243">
      <x:c r="A243" s="48" t="str">
        <x:v>UNI-0242</x:v>
      </x:c>
      <x:c r="B243" s="48" t="str">
        <x:v>RED</x:v>
      </x:c>
      <x:c r="C243" s="48" t="str">
        <x:v>English</x:v>
      </x:c>
      <x:c r="D243" s="48" t="n">
        <x:v>24</x:v>
      </x:c>
      <x:c r="E243" s="48" t="str"/>
      <x:c r="F243" s="48" t="str">
        <x:v>The following provisions shall apply: The Engineer shall obtain the specific approval of the Employer before taking action under the following Sub-Clauses of these Conditions: (a) Sub-Clause 4.12: Agreeing or determining an extension of time and/or additional cost.</x:v>
      </x:c>
      <x:c r="G243" s="48" t="str">
        <x:v>Obligation</x:v>
      </x:c>
      <x:c r="H243" s="48" t="str">
        <x:v>Employer</x:v>
      </x:c>
      <x:c r="I243" s="48" t="n">
        <x:v>0.88</x:v>
      </x:c>
      <x:c r="J243" s="48" t="n">
        <x:v>0.68</x:v>
      </x:c>
      <x:c r="K243" s="48" t="str">
        <x:v>Yes</x:v>
      </x:c>
      <x:c r="L243" s="48" t="str">
        <x:v>PDF text</x:v>
      </x:c>
    </x:row>
    <x:row r="244">
      <x:c r="A244" s="48" t="str">
        <x:v>UNI-0243</x:v>
      </x:c>
      <x:c r="B244" s="48" t="str">
        <x:v>RED</x:v>
      </x:c>
      <x:c r="C244" s="48" t="str">
        <x:v>English</x:v>
      </x:c>
      <x:c r="D244" s="48" t="n">
        <x:v>24</x:v>
      </x:c>
      <x:c r="E244" s="48" t="str"/>
      <x:c r="F244" s="48" t="str">
        <x:v>(b) Sub-Clause 13.1: Instructing a Variation, except; (i) in an emergency situation as determined by the Engineer, or (ii) if such a Variation would increase the Accepted Contract Amount by less than the percentage specified in the Contract Data.</x:v>
      </x:c>
      <x:c r="G244" s="48" t="str">
        <x:v>Obligation</x:v>
      </x:c>
      <x:c r="H244" s="48" t="str">
        <x:v>Shared</x:v>
      </x:c>
      <x:c r="I244" s="48" t="n">
        <x:v>0.55</x:v>
      </x:c>
      <x:c r="J244" s="48" t="n">
        <x:v>0.4</x:v>
      </x:c>
      <x:c r="K244" s="48" t="str">
        <x:v>Yes</x:v>
      </x:c>
      <x:c r="L244" s="48" t="str">
        <x:v>PDF text</x:v>
      </x:c>
    </x:row>
    <x:row r="245">
      <x:c r="A245" s="48" t="str">
        <x:v>UNI-0244</x:v>
      </x:c>
      <x:c r="B245" s="48" t="str">
        <x:v>RED</x:v>
      </x:c>
      <x:c r="C245" s="48" t="str">
        <x:v>English</x:v>
      </x:c>
      <x:c r="D245" s="48" t="n">
        <x:v>24</x:v>
      </x:c>
      <x:c r="E245" s="48" t="str"/>
      <x:c r="F245" s="48" t="str">
        <x:v>(c) Sub-Clause 13.3: Approving a proposal for Variation submitted by the Contractor in accordance with Sub Clause 13.1 or 13.2..</x:v>
      </x:c>
      <x:c r="G245" s="48" t="str">
        <x:v>Obligation</x:v>
      </x:c>
      <x:c r="H245" s="48" t="str">
        <x:v>Contractor</x:v>
      </x:c>
      <x:c r="I245" s="48" t="n">
        <x:v>0.55</x:v>
      </x:c>
      <x:c r="J245" s="48" t="n">
        <x:v>0.68</x:v>
      </x:c>
      <x:c r="K245" s="48" t="str">
        <x:v>Yes</x:v>
      </x:c>
      <x:c r="L245" s="48" t="str">
        <x:v>PDF text</x:v>
      </x:c>
    </x:row>
    <x:row r="246">
      <x:c r="A246" s="48" t="str">
        <x:v>UNI-0245</x:v>
      </x:c>
      <x:c r="B246" s="48" t="str">
        <x:v>RED</x:v>
      </x:c>
      <x:c r="C246" s="48" t="str">
        <x:v>English</x:v>
      </x:c>
      <x:c r="D246" s="48" t="n">
        <x:v>24</x:v>
      </x:c>
      <x:c r="E246" s="48" t="str"/>
      <x:c r="F246" s="48" t="str">
        <x:v>(d) Sub-Clause 13.4: Specifying the amount payable in each of the applicable currencies.</x:v>
      </x:c>
      <x:c r="G246" s="48" t="str">
        <x:v>Obligation</x:v>
      </x:c>
      <x:c r="H246" s="48" t="str">
        <x:v>Shared</x:v>
      </x:c>
      <x:c r="I246" s="48" t="n">
        <x:v>0.45</x:v>
      </x:c>
      <x:c r="J246" s="48" t="n">
        <x:v>0.4</x:v>
      </x:c>
      <x:c r="K246" s="48" t="str">
        <x:v>Yes</x:v>
      </x:c>
      <x:c r="L246" s="48" t="str">
        <x:v>PDF text</x:v>
      </x:c>
    </x:row>
    <x:row r="247">
      <x:c r="A247" s="48" t="str">
        <x:v>UNI-0246</x:v>
      </x:c>
      <x:c r="B247" s="48" t="str">
        <x:v>RED</x:v>
      </x:c>
      <x:c r="C247" s="48" t="str">
        <x:v>English</x:v>
      </x:c>
      <x:c r="D247" s="48" t="n">
        <x:v>24</x:v>
      </x:c>
      <x:c r="E247" s="48" t="str"/>
      <x:c r="F247" s="48" t="str">
        <x:v>Notwithstanding the obligation, as set out above, to obtain approval, if, in the</x:v>
      </x:c>
      <x:c r="G247" s="48" t="str">
        <x:v>Obligation</x:v>
      </x:c>
      <x:c r="H247" s="48" t="str">
        <x:v>Shared</x:v>
      </x:c>
      <x:c r="I247" s="48" t="n">
        <x:v>0.45</x:v>
      </x:c>
      <x:c r="J247" s="48" t="n">
        <x:v>0.4</x:v>
      </x:c>
      <x:c r="K247" s="48" t="str">
        <x:v>Yes</x:v>
      </x:c>
      <x:c r="L247" s="48" t="str">
        <x:v>PDF text</x:v>
      </x:c>
    </x:row>
    <x:row r="248">
      <x:c r="A248" s="48" t="str">
        <x:v>UNI-0247</x:v>
      </x:c>
      <x:c r="B248" s="48" t="str">
        <x:v>RED</x:v>
      </x:c>
      <x:c r="C248" s="48" t="str">
        <x:v>English</x:v>
      </x:c>
      <x:c r="D248" s="48" t="n">
        <x:v>24</x:v>
      </x:c>
      <x:c r="E248" s="48" t="str"/>
      <x:c r="F248" s="48" t="str">
        <x:v>opinion of the Engineer, an emergency occurs affecting the safety of life or of the Works or of adjoining property, he may, without relieving the Contractor of any of his duties and responsibility under the Contract, instruct the</x:v>
      </x:c>
      <x:c r="G248" s="48" t="str">
        <x:v>Obligation</x:v>
      </x:c>
      <x:c r="H248" s="48" t="str">
        <x:v>Contractor</x:v>
      </x:c>
      <x:c r="I248" s="48" t="n">
        <x:v>0.45</x:v>
      </x:c>
      <x:c r="J248" s="48" t="n">
        <x:v>0.68</x:v>
      </x:c>
      <x:c r="K248" s="48" t="str">
        <x:v>Yes</x:v>
      </x:c>
      <x:c r="L248" s="48" t="str">
        <x:v>PDF text</x:v>
      </x:c>
    </x:row>
    <x:row r="249">
      <x:c r="A249" s="48" t="str">
        <x:v>UNI-0248</x:v>
      </x:c>
      <x:c r="B249" s="48" t="str">
        <x:v>RED</x:v>
      </x:c>
      <x:c r="C249" s="48" t="str">
        <x:v>English</x:v>
      </x:c>
      <x:c r="D249" s="48" t="n">
        <x:v>24</x:v>
      </x:c>
      <x:c r="E249" s="48" t="str"/>
      <x:c r="F249" s="48" t="str">
        <x:v>Contractor to execute all such work or to do all such things as may, in the</x:v>
      </x:c>
      <x:c r="G249" s="48" t="str">
        <x:v>Obligation</x:v>
      </x:c>
      <x:c r="H249" s="48" t="str">
        <x:v>Contractor</x:v>
      </x:c>
      <x:c r="I249" s="48" t="n">
        <x:v>0.45</x:v>
      </x:c>
      <x:c r="J249" s="48" t="n">
        <x:v>0.68</x:v>
      </x:c>
      <x:c r="K249" s="48" t="str">
        <x:v>Yes</x:v>
      </x:c>
      <x:c r="L249" s="48" t="str">
        <x:v>PDF text</x:v>
      </x:c>
    </x:row>
    <x:row r="250">
      <x:c r="A250" s="48" t="str">
        <x:v>UNI-0249</x:v>
      </x:c>
      <x:c r="B250" s="48" t="str">
        <x:v>RED</x:v>
      </x:c>
      <x:c r="C250" s="48" t="str">
        <x:v>English</x:v>
      </x:c>
      <x:c r="D250" s="48" t="n">
        <x:v>24</x:v>
      </x:c>
      <x:c r="E250" s="48" t="str"/>
      <x:c r="F250" s="48" t="str">
        <x:v>opinion of the Engineer, be necessary to abate or reduce the risk.</x:v>
      </x:c>
      <x:c r="G250" s="48" t="str">
        <x:v>Obligation</x:v>
      </x:c>
      <x:c r="H250" s="48" t="str">
        <x:v>Shared</x:v>
      </x:c>
      <x:c r="I250" s="48" t="n">
        <x:v>0.45</x:v>
      </x:c>
      <x:c r="J250" s="48" t="n">
        <x:v>0.4</x:v>
      </x:c>
      <x:c r="K250" s="48" t="str">
        <x:v>Yes</x:v>
      </x:c>
      <x:c r="L250" s="48" t="str">
        <x:v>PDF text</x:v>
      </x:c>
    </x:row>
    <x:row r="251">
      <x:c r="A251" s="48" t="str">
        <x:v>UNI-0250</x:v>
      </x:c>
      <x:c r="B251" s="48" t="str">
        <x:v>RED</x:v>
      </x:c>
      <x:c r="C251" s="48" t="str">
        <x:v>English</x:v>
      </x:c>
      <x:c r="D251" s="48" t="n">
        <x:v>24</x:v>
      </x:c>
      <x:c r="E251" s="48" t="str"/>
      <x:c r="F251" s="48" t="str">
        <x:v>Contractor shall forthwith comply, despite the absence of approval of the</x:v>
      </x:c>
      <x:c r="G251" s="48" t="str">
        <x:v>Obligation</x:v>
      </x:c>
      <x:c r="H251" s="48" t="str">
        <x:v>Contractor</x:v>
      </x:c>
      <x:c r="I251" s="48" t="n">
        <x:v>0.88</x:v>
      </x:c>
      <x:c r="J251" s="48" t="n">
        <x:v>0.68</x:v>
      </x:c>
      <x:c r="K251" s="48" t="str">
        <x:v>Yes</x:v>
      </x:c>
      <x:c r="L251" s="48" t="str">
        <x:v>PDF text</x:v>
      </x:c>
    </x:row>
    <x:row r="252">
      <x:c r="A252" s="48" t="str">
        <x:v>UNI-0251</x:v>
      </x:c>
      <x:c r="B252" s="48" t="str">
        <x:v>RED</x:v>
      </x:c>
      <x:c r="C252" s="48" t="str">
        <x:v>English</x:v>
      </x:c>
      <x:c r="D252" s="48" t="n">
        <x:v>24</x:v>
      </x:c>
      <x:c r="E252" s="48" t="str"/>
      <x:c r="F252" s="48" t="str">
        <x:v>Employer, with any such instruction of the Engineer.</x:v>
      </x:c>
      <x:c r="G252" s="48" t="str">
        <x:v>Obligation</x:v>
      </x:c>
      <x:c r="H252" s="48" t="str">
        <x:v>Employer</x:v>
      </x:c>
      <x:c r="I252" s="48" t="n">
        <x:v>0.45</x:v>
      </x:c>
      <x:c r="J252" s="48" t="n">
        <x:v>0.68</x:v>
      </x:c>
      <x:c r="K252" s="48" t="str">
        <x:v>Yes</x:v>
      </x:c>
      <x:c r="L252" s="48" t="str">
        <x:v>PDF text</x:v>
      </x:c>
    </x:row>
    <x:row r="253">
      <x:c r="A253" s="48" t="str">
        <x:v>UNI-0252</x:v>
      </x:c>
      <x:c r="B253" s="48" t="str">
        <x:v>RED</x:v>
      </x:c>
      <x:c r="C253" s="48" t="str">
        <x:v>English</x:v>
      </x:c>
      <x:c r="D253" s="48" t="n">
        <x:v>24</x:v>
      </x:c>
      <x:c r="E253" s="48" t="str"/>
      <x:c r="F253" s="48" t="str">
        <x:v>The Engineer shall determine an addition to the Contract Price, in respect of such instruction, in accordance with Clause 13 and shall notify the Contractor accordingly, with a copy to the Employer.</x:v>
      </x:c>
      <x:c r="G253" s="48" t="str">
        <x:v>Obligation</x:v>
      </x:c>
      <x:c r="H253" s="48" t="str">
        <x:v>Shared</x:v>
      </x:c>
      <x:c r="I253" s="48" t="n">
        <x:v>0.88</x:v>
      </x:c>
      <x:c r="J253" s="48" t="n">
        <x:v>0.6</x:v>
      </x:c>
      <x:c r="K253" s="48" t="str">
        <x:v>Yes</x:v>
      </x:c>
      <x:c r="L253" s="48" t="str">
        <x:v>PDF text</x:v>
      </x:c>
    </x:row>
    <x:row r="254">
      <x:c r="A254" s="48" t="str">
        <x:v>UNI-0253</x:v>
      </x:c>
      <x:c r="B254" s="48" t="str">
        <x:v>RED</x:v>
      </x:c>
      <x:c r="C254" s="48" t="str">
        <x:v>English</x:v>
      </x:c>
      <x:c r="D254" s="48" t="n">
        <x:v>24</x:v>
      </x:c>
      <x:c r="E254" s="48" t="str"/>
      <x:c r="F254" s="48" t="str">
        <x:v>The Engineer may from time to time assign duties and delegate authority to assistants, and may also revoke such assignment or delegation.</x:v>
      </x:c>
      <x:c r="G254" s="48" t="str">
        <x:v>Right</x:v>
      </x:c>
      <x:c r="H254" s="48" t="str">
        <x:v>Shared</x:v>
      </x:c>
      <x:c r="I254" s="48" t="n">
        <x:v>0.78</x:v>
      </x:c>
      <x:c r="J254" s="48" t="n">
        <x:v>0.4</x:v>
      </x:c>
      <x:c r="K254" s="48" t="str">
        <x:v>Yes</x:v>
      </x:c>
      <x:c r="L254" s="48" t="str">
        <x:v>PDF text</x:v>
      </x:c>
    </x:row>
    <x:row r="255">
      <x:c r="A255" s="48" t="str">
        <x:v>UNI-0254</x:v>
      </x:c>
      <x:c r="B255" s="48" t="str">
        <x:v>RED</x:v>
      </x:c>
      <x:c r="C255" s="48" t="str">
        <x:v>English</x:v>
      </x:c>
      <x:c r="D255" s="48" t="n">
        <x:v>24</x:v>
      </x:c>
      <x:c r="E255" s="48" t="str"/>
      <x:c r="F255" s="48" t="str">
        <x:v>These assistants may include a resident engineer, and/or independent inspectors appointed to inspect and/or test items of Plant and/or Materials.</x:v>
      </x:c>
      <x:c r="G255" s="48" t="str">
        <x:v>Right</x:v>
      </x:c>
      <x:c r="H255" s="48" t="str">
        <x:v>Shared</x:v>
      </x:c>
      <x:c r="I255" s="48" t="n">
        <x:v>0.78</x:v>
      </x:c>
      <x:c r="J255" s="48" t="n">
        <x:v>0.4</x:v>
      </x:c>
      <x:c r="K255" s="48" t="str">
        <x:v>Yes</x:v>
      </x:c>
      <x:c r="L255" s="48" t="str">
        <x:v>PDF text</x:v>
      </x:c>
    </x:row>
    <x:row r="256">
      <x:c r="A256" s="48" t="str">
        <x:v>UNI-0255</x:v>
      </x:c>
      <x:c r="B256" s="48" t="str">
        <x:v>RED</x:v>
      </x:c>
      <x:c r="C256" s="48" t="str">
        <x:v>English</x:v>
      </x:c>
      <x:c r="D256" s="48" t="n">
        <x:v>24</x:v>
      </x:c>
      <x:c r="E256" s="48" t="str"/>
      <x:c r="F256" s="48" t="str">
        <x:v>The assignment, delegation or revocation shall be in writing and shall not take effect until copies have been received by both Parties.</x:v>
      </x:c>
      <x:c r="G256" s="48" t="str">
        <x:v>Obligation</x:v>
      </x:c>
      <x:c r="H256" s="48" t="str">
        <x:v>Shared</x:v>
      </x:c>
      <x:c r="I256" s="48" t="n">
        <x:v>0.88</x:v>
      </x:c>
      <x:c r="J256" s="48" t="n">
        <x:v>0.93</x:v>
      </x:c>
      <x:c r="K256" s="48" t="str">
        <x:v>No</x:v>
      </x:c>
      <x:c r="L256" s="48" t="str">
        <x:v>PDF text</x:v>
      </x:c>
    </x:row>
    <x:row r="257">
      <x:c r="A257" s="48" t="str">
        <x:v>UNI-0256</x:v>
      </x:c>
      <x:c r="B257" s="48" t="str">
        <x:v>RED</x:v>
      </x:c>
      <x:c r="C257" s="48" t="str">
        <x:v>English</x:v>
      </x:c>
      <x:c r="D257" s="48" t="n">
        <x:v>24</x:v>
      </x:c>
      <x:c r="E257" s="48" t="str"/>
      <x:c r="F257" s="48" t="str">
        <x:v>However, unless otherwise agreed by both Parties, the Engineer shall not delegate the</x:v>
      </x:c>
      <x:c r="G257" s="48" t="str">
        <x:v>Obligation</x:v>
      </x:c>
      <x:c r="H257" s="48" t="str">
        <x:v>Shared</x:v>
      </x:c>
      <x:c r="I257" s="48" t="n">
        <x:v>0.88</x:v>
      </x:c>
      <x:c r="J257" s="48" t="n">
        <x:v>0.93</x:v>
      </x:c>
      <x:c r="K257" s="48" t="str">
        <x:v>No</x:v>
      </x:c>
      <x:c r="L257" s="48" t="str">
        <x:v>PDF text</x:v>
      </x:c>
    </x:row>
    <x:row r="258">
      <x:c r="A258" s="48" t="str">
        <x:v>UNI-0257</x:v>
      </x:c>
      <x:c r="B258" s="48" t="str">
        <x:v>RED</x:v>
      </x:c>
      <x:c r="C258" s="48" t="str">
        <x:v>English</x:v>
      </x:c>
      <x:c r="D258" s="48" t="n">
        <x:v>25</x:v>
      </x:c>
      <x:c r="E258" s="48" t="str"/>
      <x:c r="F258" s="48" t="str">
        <x:v>authority to determine any matter in accordance with Sub-Clause 3.5 [Determinations].</x:v>
      </x:c>
      <x:c r="G258" s="48" t="str">
        <x:v>Obligation</x:v>
      </x:c>
      <x:c r="H258" s="48" t="str">
        <x:v>Shared</x:v>
      </x:c>
      <x:c r="I258" s="48" t="n">
        <x:v>0.45</x:v>
      </x:c>
      <x:c r="J258" s="48" t="n">
        <x:v>0.4</x:v>
      </x:c>
      <x:c r="K258" s="48" t="str">
        <x:v>Yes</x:v>
      </x:c>
      <x:c r="L258" s="48" t="str">
        <x:v>PDF text</x:v>
      </x:c>
    </x:row>
    <x:row r="259">
      <x:c r="A259" s="48" t="str">
        <x:v>UNI-0258</x:v>
      </x:c>
      <x:c r="B259" s="48" t="str">
        <x:v>RED</x:v>
      </x:c>
      <x:c r="C259" s="48" t="str">
        <x:v>English</x:v>
      </x:c>
      <x:c r="D259" s="48" t="n">
        <x:v>25</x:v>
      </x:c>
      <x:c r="E259" s="48" t="str"/>
      <x:c r="F259" s="48" t="str">
        <x:v>Assistants shall be suitably qualified persons, who are competent to carry out these duties and exercise this authority, and who are fluent in the language for communications defined in Sub-Clause 1.4 [Law and Language].</x:v>
      </x:c>
      <x:c r="G259" s="48" t="str">
        <x:v>Obligation</x:v>
      </x:c>
      <x:c r="H259" s="48" t="str">
        <x:v>Shared</x:v>
      </x:c>
      <x:c r="I259" s="48" t="n">
        <x:v>0.88</x:v>
      </x:c>
      <x:c r="J259" s="48" t="n">
        <x:v>0.4</x:v>
      </x:c>
      <x:c r="K259" s="48" t="str">
        <x:v>Yes</x:v>
      </x:c>
      <x:c r="L259" s="48" t="str">
        <x:v>PDF text</x:v>
      </x:c>
    </x:row>
    <x:row r="260">
      <x:c r="A260" s="48" t="str">
        <x:v>UNI-0259</x:v>
      </x:c>
      <x:c r="B260" s="48" t="str">
        <x:v>RED</x:v>
      </x:c>
      <x:c r="C260" s="48" t="str">
        <x:v>English</x:v>
      </x:c>
      <x:c r="D260" s="48" t="n">
        <x:v>25</x:v>
      </x:c>
      <x:c r="E260" s="48" t="str"/>
      <x:c r="F260" s="48" t="str">
        <x:v>Each assistant, to whom duties have been assigned or authority has been delegated, shall only be authorised to issue instructions to the Contractor to the extent defined by the delegation.</x:v>
      </x:c>
      <x:c r="G260" s="48" t="str">
        <x:v>Obligation</x:v>
      </x:c>
      <x:c r="H260" s="48" t="str">
        <x:v>Contractor</x:v>
      </x:c>
      <x:c r="I260" s="48" t="n">
        <x:v>0.88</x:v>
      </x:c>
      <x:c r="J260" s="48" t="n">
        <x:v>0.68</x:v>
      </x:c>
      <x:c r="K260" s="48" t="str">
        <x:v>Yes</x:v>
      </x:c>
      <x:c r="L260" s="48" t="str">
        <x:v>PDF text</x:v>
      </x:c>
    </x:row>
    <x:row r="261">
      <x:c r="A261" s="48" t="str">
        <x:v>UNI-0260</x:v>
      </x:c>
      <x:c r="B261" s="48" t="str">
        <x:v>RED</x:v>
      </x:c>
      <x:c r="C261" s="48" t="str">
        <x:v>English</x:v>
      </x:c>
      <x:c r="D261" s="48" t="n">
        <x:v>25</x:v>
      </x:c>
      <x:c r="E261" s="48" t="str"/>
      <x:c r="F261" s="48" t="str">
        <x:v>Any approval, check, certificate, consent, examination, inspection, instruction, notice, proposal, request, test, or similar act by an assistant, in accordance with the delegation, shall have the same effect as though the act had been an act of the Engineer.</x:v>
      </x:c>
      <x:c r="G261" s="48" t="str">
        <x:v>Obligation</x:v>
      </x:c>
      <x:c r="H261" s="48" t="str">
        <x:v>Shared</x:v>
      </x:c>
      <x:c r="I261" s="48" t="n">
        <x:v>0.88</x:v>
      </x:c>
      <x:c r="J261" s="48" t="n">
        <x:v>0.4</x:v>
      </x:c>
      <x:c r="K261" s="48" t="str">
        <x:v>Yes</x:v>
      </x:c>
      <x:c r="L261" s="48" t="str">
        <x:v>PDF text</x:v>
      </x:c>
    </x:row>
    <x:row r="262">
      <x:c r="A262" s="48" t="str">
        <x:v>UNI-0261</x:v>
      </x:c>
      <x:c r="B262" s="48" t="str">
        <x:v>RED</x:v>
      </x:c>
      <x:c r="C262" s="48" t="str">
        <x:v>English</x:v>
      </x:c>
      <x:c r="D262" s="48" t="n">
        <x:v>25</x:v>
      </x:c>
      <x:c r="E262" s="48" t="str"/>
      <x:c r="F262" s="48" t="str">
        <x:v>However: (a) any failure to disapprove any work, Plant or Materials shall not constitute approval, and shall therefore not prejudice the right of the Engineer to reject the work, Plant or Materials; (b) if the Contractor questions any determination or instruction of an assistant, the</x:v>
      </x:c>
      <x:c r="G262" s="48" t="str">
        <x:v>Risk</x:v>
      </x:c>
      <x:c r="H262" s="48" t="str">
        <x:v>Contractor</x:v>
      </x:c>
      <x:c r="I262" s="48" t="n">
        <x:v>0.78</x:v>
      </x:c>
      <x:c r="J262" s="48" t="n">
        <x:v>0.68</x:v>
      </x:c>
      <x:c r="K262" s="48" t="str">
        <x:v>Yes</x:v>
      </x:c>
      <x:c r="L262" s="48" t="str">
        <x:v>PDF text</x:v>
      </x:c>
    </x:row>
    <x:row r="263">
      <x:c r="A263" s="48" t="str">
        <x:v>UNI-0262</x:v>
      </x:c>
      <x:c r="B263" s="48" t="str">
        <x:v>RED</x:v>
      </x:c>
      <x:c r="C263" s="48" t="str">
        <x:v>English</x:v>
      </x:c>
      <x:c r="D263" s="48" t="n">
        <x:v>25</x:v>
      </x:c>
      <x:c r="E263" s="48" t="str"/>
      <x:c r="F263" s="48" t="str">
        <x:v>Contractor may refer the matter to the Engineer, who shall promptly confirm,</x:v>
      </x:c>
      <x:c r="G263" s="48" t="str">
        <x:v>Obligation</x:v>
      </x:c>
      <x:c r="H263" s="48" t="str">
        <x:v>Contractor</x:v>
      </x:c>
      <x:c r="I263" s="48" t="n">
        <x:v>0.88</x:v>
      </x:c>
      <x:c r="J263" s="48" t="n">
        <x:v>0.68</x:v>
      </x:c>
      <x:c r="K263" s="48" t="str">
        <x:v>Yes</x:v>
      </x:c>
      <x:c r="L263" s="48" t="str">
        <x:v>PDF text</x:v>
      </x:c>
    </x:row>
    <x:row r="264">
      <x:c r="A264" s="48" t="str">
        <x:v>UNI-0263</x:v>
      </x:c>
      <x:c r="B264" s="48" t="str">
        <x:v>RED</x:v>
      </x:c>
      <x:c r="C264" s="48" t="str">
        <x:v>English</x:v>
      </x:c>
      <x:c r="D264" s="48" t="n">
        <x:v>25</x:v>
      </x:c>
      <x:c r="E264" s="48" t="str"/>
      <x:c r="F264" s="48" t="str">
        <x:v>reverse or vary the determination or instruction.</x:v>
      </x:c>
      <x:c r="G264" s="48" t="str">
        <x:v>Obligation</x:v>
      </x:c>
      <x:c r="H264" s="48" t="str">
        <x:v>Shared</x:v>
      </x:c>
      <x:c r="I264" s="48" t="n">
        <x:v>0.45</x:v>
      </x:c>
      <x:c r="J264" s="48" t="n">
        <x:v>0.4</x:v>
      </x:c>
      <x:c r="K264" s="48" t="str">
        <x:v>Yes</x:v>
      </x:c>
      <x:c r="L264" s="48" t="str">
        <x:v>PDF text</x:v>
      </x:c>
    </x:row>
    <x:row r="265">
      <x:c r="A265" s="48" t="str">
        <x:v>UNI-0264</x:v>
      </x:c>
      <x:c r="B265" s="48" t="str">
        <x:v>RED</x:v>
      </x:c>
      <x:c r="C265" s="48" t="str">
        <x:v>English</x:v>
      </x:c>
      <x:c r="D265" s="48" t="n">
        <x:v>25</x:v>
      </x:c>
      <x:c r="E265" s="48" t="str"/>
      <x:c r="F265" s="48" t="str">
        <x:v>The Engineer may issue to the Contractor (at any time) instructions and additional or modified Drawings which may be necessary for the execution of the Works and the remedying of any defects, all in accordance with the Contract.</x:v>
      </x:c>
      <x:c r="G265" s="48" t="str">
        <x:v>Right</x:v>
      </x:c>
      <x:c r="H265" s="48" t="str">
        <x:v>Contractor</x:v>
      </x:c>
      <x:c r="I265" s="48" t="n">
        <x:v>0.78</x:v>
      </x:c>
      <x:c r="J265" s="48" t="n">
        <x:v>0.68</x:v>
      </x:c>
      <x:c r="K265" s="48" t="str">
        <x:v>Yes</x:v>
      </x:c>
      <x:c r="L265" s="48" t="str">
        <x:v>PDF text</x:v>
      </x:c>
    </x:row>
    <x:row r="266">
      <x:c r="A266" s="48" t="str">
        <x:v>UNI-0265</x:v>
      </x:c>
      <x:c r="B266" s="48" t="str">
        <x:v>RED</x:v>
      </x:c>
      <x:c r="C266" s="48" t="str">
        <x:v>English</x:v>
      </x:c>
      <x:c r="D266" s="48" t="n">
        <x:v>25</x:v>
      </x:c>
      <x:c r="E266" s="48" t="str"/>
      <x:c r="F266" s="48" t="str">
        <x:v>The Contractor shall only take instructions from the Engineer, or from an assistant to whom the appropriate authority has been delegated under this Clause.</x:v>
      </x:c>
      <x:c r="G266" s="48" t="str">
        <x:v>Obligation</x:v>
      </x:c>
      <x:c r="H266" s="48" t="str">
        <x:v>Contractor</x:v>
      </x:c>
      <x:c r="I266" s="48" t="n">
        <x:v>0.88</x:v>
      </x:c>
      <x:c r="J266" s="48" t="n">
        <x:v>0.92</x:v>
      </x:c>
      <x:c r="K266" s="48" t="str">
        <x:v>No</x:v>
      </x:c>
      <x:c r="L266" s="48" t="str">
        <x:v>PDF text</x:v>
      </x:c>
    </x:row>
    <x:row r="267">
      <x:c r="A267" s="48" t="str">
        <x:v>UNI-0266</x:v>
      </x:c>
      <x:c r="B267" s="48" t="str">
        <x:v>RED</x:v>
      </x:c>
      <x:c r="C267" s="48" t="str">
        <x:v>English</x:v>
      </x:c>
      <x:c r="D267" s="48" t="n">
        <x:v>25</x:v>
      </x:c>
      <x:c r="E267" s="48" t="str"/>
      <x:c r="F267" s="48" t="str">
        <x:v>If an instruction constitutes a Variation, Clause 13 [Variations and Adjustments] shall apply.</x:v>
      </x:c>
      <x:c r="G267" s="48" t="str">
        <x:v>Obligation</x:v>
      </x:c>
      <x:c r="H267" s="48" t="str">
        <x:v>Shared</x:v>
      </x:c>
      <x:c r="I267" s="48" t="n">
        <x:v>0.88</x:v>
      </x:c>
      <x:c r="J267" s="48" t="n">
        <x:v>0.4</x:v>
      </x:c>
      <x:c r="K267" s="48" t="str">
        <x:v>Yes</x:v>
      </x:c>
      <x:c r="L267" s="48" t="str">
        <x:v>PDF text</x:v>
      </x:c>
    </x:row>
    <x:row r="268">
      <x:c r="A268" s="48" t="str">
        <x:v>UNI-0267</x:v>
      </x:c>
      <x:c r="B268" s="48" t="str">
        <x:v>RED</x:v>
      </x:c>
      <x:c r="C268" s="48" t="str">
        <x:v>English</x:v>
      </x:c>
      <x:c r="D268" s="48" t="n">
        <x:v>25</x:v>
      </x:c>
      <x:c r="E268" s="48" t="str"/>
      <x:c r="F268" s="48" t="str">
        <x:v>The Contractor shall comply with the instructions given by the Engineer or delegated assistant, on any matter related to the Contract.</x:v>
      </x:c>
      <x:c r="G268" s="48" t="str">
        <x:v>Obligation</x:v>
      </x:c>
      <x:c r="H268" s="48" t="str">
        <x:v>Contractor</x:v>
      </x:c>
      <x:c r="I268" s="48" t="n">
        <x:v>0.88</x:v>
      </x:c>
      <x:c r="J268" s="48" t="n">
        <x:v>0.92</x:v>
      </x:c>
      <x:c r="K268" s="48" t="str">
        <x:v>No</x:v>
      </x:c>
      <x:c r="L268" s="48" t="str">
        <x:v>PDF text</x:v>
      </x:c>
    </x:row>
    <x:row r="269">
      <x:c r="A269" s="48" t="str">
        <x:v>UNI-0268</x:v>
      </x:c>
      <x:c r="B269" s="48" t="str">
        <x:v>RED</x:v>
      </x:c>
      <x:c r="C269" s="48" t="str">
        <x:v>English</x:v>
      </x:c>
      <x:c r="D269" s="48" t="n">
        <x:v>25</x:v>
      </x:c>
      <x:c r="E269" s="48" t="str"/>
      <x:c r="F269" s="48" t="str">
        <x:v>Whenever practicable, their instructions shall be given in writing.</x:v>
      </x:c>
      <x:c r="G269" s="48" t="str">
        <x:v>Obligation</x:v>
      </x:c>
      <x:c r="H269" s="48" t="str">
        <x:v>Shared</x:v>
      </x:c>
      <x:c r="I269" s="48" t="n">
        <x:v>0.88</x:v>
      </x:c>
      <x:c r="J269" s="48" t="n">
        <x:v>0.4</x:v>
      </x:c>
      <x:c r="K269" s="48" t="str">
        <x:v>Yes</x:v>
      </x:c>
      <x:c r="L269" s="48" t="str">
        <x:v>PDF text</x:v>
      </x:c>
    </x:row>
    <x:row r="270">
      <x:c r="A270" s="48" t="str">
        <x:v>UNI-0269</x:v>
      </x:c>
      <x:c r="B270" s="48" t="str">
        <x:v>RED</x:v>
      </x:c>
      <x:c r="C270" s="48" t="str">
        <x:v>English</x:v>
      </x:c>
      <x:c r="D270" s="48" t="n">
        <x:v>25</x:v>
      </x:c>
      <x:c r="E270" s="48" t="str"/>
      <x:c r="F270" s="48" t="str">
        <x:v>If the Engineer or a delegated assistant: (a) gives an oral instruction, (b) receives a written confirmation of the instruction, from (or on behalf of) the</x:v>
      </x:c>
      <x:c r="G270" s="48" t="str">
        <x:v>Obligation</x:v>
      </x:c>
      <x:c r="H270" s="48" t="str">
        <x:v>Shared</x:v>
      </x:c>
      <x:c r="I270" s="48" t="n">
        <x:v>0.45</x:v>
      </x:c>
      <x:c r="J270" s="48" t="n">
        <x:v>0.4</x:v>
      </x:c>
      <x:c r="K270" s="48" t="str">
        <x:v>Yes</x:v>
      </x:c>
      <x:c r="L270" s="48" t="str">
        <x:v>PDF text</x:v>
      </x:c>
    </x:row>
    <x:row r="271">
      <x:c r="A271" s="48" t="str">
        <x:v>UNI-0270</x:v>
      </x:c>
      <x:c r="B271" s="48" t="str">
        <x:v>RED</x:v>
      </x:c>
      <x:c r="C271" s="48" t="str">
        <x:v>English</x:v>
      </x:c>
      <x:c r="D271" s="48" t="n">
        <x:v>25</x:v>
      </x:c>
      <x:c r="E271" s="48" t="str"/>
      <x:c r="F271" s="48" t="str">
        <x:v>Contractor, within two working days after giving the instruction, and</x:v>
      </x:c>
      <x:c r="G271" s="48" t="str">
        <x:v>Obligation</x:v>
      </x:c>
      <x:c r="H271" s="48" t="str">
        <x:v>Contractor</x:v>
      </x:c>
      <x:c r="I271" s="48" t="n">
        <x:v>0.45</x:v>
      </x:c>
      <x:c r="J271" s="48" t="n">
        <x:v>0.68</x:v>
      </x:c>
      <x:c r="K271" s="48" t="str">
        <x:v>Yes</x:v>
      </x:c>
      <x:c r="L271" s="48" t="str">
        <x:v>PDF text</x:v>
      </x:c>
    </x:row>
    <x:row r="272">
      <x:c r="A272" s="48" t="str">
        <x:v>UNI-0271</x:v>
      </x:c>
      <x:c r="B272" s="48" t="str">
        <x:v>RED</x:v>
      </x:c>
      <x:c r="C272" s="48" t="str">
        <x:v>English</x:v>
      </x:c>
      <x:c r="D272" s="48" t="n">
        <x:v>25</x:v>
      </x:c>
      <x:c r="E272" s="48" t="str"/>
      <x:c r="F272" s="48" t="str">
        <x:v>(c) does not reply by issuing a written rejection and/or instruction within two working days after receiving the confirmation, then the confirmation shall constitute the written instruction of the Engineer or delegated assistant (as the case may be).</x:v>
      </x:c>
      <x:c r="G272" s="48" t="str">
        <x:v>Obligation</x:v>
      </x:c>
      <x:c r="H272" s="48" t="str">
        <x:v>Shared</x:v>
      </x:c>
      <x:c r="I272" s="48" t="n">
        <x:v>0.88</x:v>
      </x:c>
      <x:c r="J272" s="48" t="n">
        <x:v>0.4</x:v>
      </x:c>
      <x:c r="K272" s="48" t="str">
        <x:v>Yes</x:v>
      </x:c>
      <x:c r="L272" s="48" t="str">
        <x:v>PDF text</x:v>
      </x:c>
    </x:row>
    <x:row r="273">
      <x:c r="A273" s="48" t="str">
        <x:v>UNI-0272</x:v>
      </x:c>
      <x:c r="B273" s="48" t="str">
        <x:v>RED</x:v>
      </x:c>
      <x:c r="C273" s="48" t="str">
        <x:v>English</x:v>
      </x:c>
      <x:c r="D273" s="48" t="n">
        <x:v>25</x:v>
      </x:c>
      <x:c r="E273" s="48" t="str"/>
      <x:c r="F273" s="48" t="str">
        <x:v>Notwithstanding Sub-Clause 3.1, if the Employer intends to replace the Engineer, the Employer shall, not less than 21 days before the intended date of replacement, give notice to the Contractor of the name, address and relevant experience of the intended replacement Engineer.</x:v>
      </x:c>
      <x:c r="G273" s="48" t="str">
        <x:v>Obligation</x:v>
      </x:c>
      <x:c r="H273" s="48" t="str">
        <x:v>Employer</x:v>
      </x:c>
      <x:c r="I273" s="48" t="n">
        <x:v>0.88</x:v>
      </x:c>
      <x:c r="J273" s="48" t="n">
        <x:v>0.92</x:v>
      </x:c>
      <x:c r="K273" s="48" t="str">
        <x:v>No</x:v>
      </x:c>
      <x:c r="L273" s="48" t="str">
        <x:v>PDF text</x:v>
      </x:c>
    </x:row>
    <x:row r="274">
      <x:c r="A274" s="48" t="str">
        <x:v>UNI-0273</x:v>
      </x:c>
      <x:c r="B274" s="48" t="str">
        <x:v>RED</x:v>
      </x:c>
      <x:c r="C274" s="48" t="str">
        <x:v>English</x:v>
      </x:c>
      <x:c r="D274" s="48" t="n">
        <x:v>25</x:v>
      </x:c>
      <x:c r="E274" s="48" t="str"/>
      <x:c r="F274" s="48" t="str">
        <x:v>If the Contractor considers the intended replacement Engineer to be unsuitable, he has the right to raise reasonable objection against him by notice to the Employer, with supporting particulars, and the Employer shall give full and fair consideration to this objection.</x:v>
      </x:c>
      <x:c r="G274" s="48" t="str">
        <x:v>Obligation</x:v>
      </x:c>
      <x:c r="H274" s="48" t="str">
        <x:v>Employer</x:v>
      </x:c>
      <x:c r="I274" s="48" t="n">
        <x:v>0.88</x:v>
      </x:c>
      <x:c r="J274" s="48" t="n">
        <x:v>0.92</x:v>
      </x:c>
      <x:c r="K274" s="48" t="str">
        <x:v>No</x:v>
      </x:c>
      <x:c r="L274" s="48" t="str">
        <x:v>PDF text</x:v>
      </x:c>
    </x:row>
    <x:row r="275">
      <x:c r="A275" s="48" t="str">
        <x:v>UNI-0274</x:v>
      </x:c>
      <x:c r="B275" s="48" t="str">
        <x:v>RED</x:v>
      </x:c>
      <x:c r="C275" s="48" t="str">
        <x:v>English</x:v>
      </x:c>
      <x:c r="D275" s="48" t="n">
        <x:v>25</x:v>
      </x:c>
      <x:c r="E275" s="48" t="str"/>
      <x:c r="F275" s="48" t="str">
        <x:v>Whenever these Conditions provide that the Engineer shall proceed in accordance</x:v>
      </x:c>
      <x:c r="G275" s="48" t="str">
        <x:v>Obligation</x:v>
      </x:c>
      <x:c r="H275" s="48" t="str">
        <x:v>Shared</x:v>
      </x:c>
      <x:c r="I275" s="48" t="n">
        <x:v>0.88</x:v>
      </x:c>
      <x:c r="J275" s="48" t="n">
        <x:v>0.4</x:v>
      </x:c>
      <x:c r="K275" s="48" t="str">
        <x:v>Yes</x:v>
      </x:c>
      <x:c r="L275" s="48" t="str">
        <x:v>PDF text</x:v>
      </x:c>
    </x:row>
    <x:row r="276">
      <x:c r="A276" s="48" t="str">
        <x:v>UNI-0275</x:v>
      </x:c>
      <x:c r="B276" s="48" t="str">
        <x:v>RED</x:v>
      </x:c>
      <x:c r="C276" s="48" t="str">
        <x:v>English</x:v>
      </x:c>
      <x:c r="D276" s="48" t="n">
        <x:v>25</x:v>
      </x:c>
      <x:c r="E276" s="48" t="str"/>
      <x:c r="F276" s="48" t="str">
        <x:v>with this Sub-Clause 3.5 to agree or determine any matter, the Engineer shall consult with each Party in an endeavour to reach agreement.</x:v>
      </x:c>
      <x:c r="G276" s="48" t="str">
        <x:v>Obligation</x:v>
      </x:c>
      <x:c r="H276" s="48" t="str">
        <x:v>Shared</x:v>
      </x:c>
      <x:c r="I276" s="48" t="n">
        <x:v>0.88</x:v>
      </x:c>
      <x:c r="J276" s="48" t="n">
        <x:v>0.93</x:v>
      </x:c>
      <x:c r="K276" s="48" t="str">
        <x:v>No</x:v>
      </x:c>
      <x:c r="L276" s="48" t="str">
        <x:v>PDF text</x:v>
      </x:c>
    </x:row>
    <x:row r="277">
      <x:c r="A277" s="48" t="str">
        <x:v>UNI-0276</x:v>
      </x:c>
      <x:c r="B277" s="48" t="str">
        <x:v>RED</x:v>
      </x:c>
      <x:c r="C277" s="48" t="str">
        <x:v>English</x:v>
      </x:c>
      <x:c r="D277" s="48" t="n">
        <x:v>25</x:v>
      </x:c>
      <x:c r="E277" s="48" t="str"/>
      <x:c r="F277" s="48" t="str">
        <x:v>If agreement is not achieved, the Engineer shall make a fair determination in accordance with the Contract, taking due regard of all relevant circumstances.</x:v>
      </x:c>
      <x:c r="G277" s="48" t="str">
        <x:v>Obligation</x:v>
      </x:c>
      <x:c r="H277" s="48" t="str">
        <x:v>Shared</x:v>
      </x:c>
      <x:c r="I277" s="48" t="n">
        <x:v>0.88</x:v>
      </x:c>
      <x:c r="J277" s="48" t="n">
        <x:v>0.4</x:v>
      </x:c>
      <x:c r="K277" s="48" t="str">
        <x:v>Yes</x:v>
      </x:c>
      <x:c r="L277" s="48" t="str">
        <x:v>PDF text</x:v>
      </x:c>
    </x:row>
    <x:row r="278">
      <x:c r="A278" s="48" t="str">
        <x:v>UNI-0277</x:v>
      </x:c>
      <x:c r="B278" s="48" t="str">
        <x:v>RED</x:v>
      </x:c>
      <x:c r="C278" s="48" t="str">
        <x:v>English</x:v>
      </x:c>
      <x:c r="D278" s="48" t="n">
        <x:v>25</x:v>
      </x:c>
      <x:c r="E278" s="48" t="str"/>
      <x:c r="F278" s="48" t="str">
        <x:v>Instructions of the</x:v>
      </x:c>
      <x:c r="G278" s="48" t="str">
        <x:v>Obligation</x:v>
      </x:c>
      <x:c r="H278" s="48" t="str">
        <x:v>Shared</x:v>
      </x:c>
      <x:c r="I278" s="48" t="n">
        <x:v>0.45</x:v>
      </x:c>
      <x:c r="J278" s="48" t="n">
        <x:v>0.4</x:v>
      </x:c>
      <x:c r="K278" s="48" t="str">
        <x:v>Yes</x:v>
      </x:c>
      <x:c r="L278" s="48" t="str">
        <x:v>PDF text</x:v>
      </x:c>
    </x:row>
    <x:row r="279">
      <x:c r="A279" s="48" t="str">
        <x:v>UNI-0278</x:v>
      </x:c>
      <x:c r="B279" s="48" t="str">
        <x:v>RED</x:v>
      </x:c>
      <x:c r="C279" s="48" t="str">
        <x:v>English</x:v>
      </x:c>
      <x:c r="D279" s="48" t="n">
        <x:v>25</x:v>
      </x:c>
      <x:c r="E279" s="48" t="str"/>
      <x:c r="F279" s="48" t="str">
        <x:v>Replacement of the</x:v>
      </x:c>
      <x:c r="G279" s="48" t="str">
        <x:v>Obligation</x:v>
      </x:c>
      <x:c r="H279" s="48" t="str">
        <x:v>Shared</x:v>
      </x:c>
      <x:c r="I279" s="48" t="n">
        <x:v>0.45</x:v>
      </x:c>
      <x:c r="J279" s="48" t="n">
        <x:v>0.4</x:v>
      </x:c>
      <x:c r="K279" s="48" t="str">
        <x:v>Yes</x:v>
      </x:c>
      <x:c r="L279" s="48" t="str">
        <x:v>PDF text</x:v>
      </x:c>
    </x:row>
    <x:row r="280">
      <x:c r="A280" s="48" t="str">
        <x:v>UNI-0279</x:v>
      </x:c>
      <x:c r="B280" s="48" t="str">
        <x:v>RED</x:v>
      </x:c>
      <x:c r="C280" s="48" t="str">
        <x:v>English</x:v>
      </x:c>
      <x:c r="D280" s="48" t="n">
        <x:v>25</x:v>
      </x:c>
      <x:c r="E280" s="48" t="str"/>
      <x:c r="F280" s="48" t="str">
        <x:v>Determinations</x:v>
      </x:c>
      <x:c r="G280" s="48" t="str">
        <x:v>Obligation</x:v>
      </x:c>
      <x:c r="H280" s="48" t="str">
        <x:v>Shared</x:v>
      </x:c>
      <x:c r="I280" s="48" t="n">
        <x:v>0.45</x:v>
      </x:c>
      <x:c r="J280" s="48" t="n">
        <x:v>0.4</x:v>
      </x:c>
      <x:c r="K280" s="48" t="str">
        <x:v>Yes</x:v>
      </x:c>
      <x:c r="L280" s="48" t="str">
        <x:v>PDF text</x:v>
      </x:c>
    </x:row>
    <x:row r="281">
      <x:c r="A281" s="48" t="str">
        <x:v>UNI-0280</x:v>
      </x:c>
      <x:c r="B281" s="48" t="str">
        <x:v>RED</x:v>
      </x:c>
      <x:c r="C281" s="48" t="str">
        <x:v>English</x:v>
      </x:c>
      <x:c r="D281" s="48" t="n">
        <x:v>26</x:v>
      </x:c>
      <x:c r="E281" s="48" t="str"/>
      <x:c r="F281" s="48" t="str">
        <x:v>The Engineer shall give notice to both Parties of each agreement or determination, with supporting particulars.</x:v>
      </x:c>
      <x:c r="G281" s="48" t="str">
        <x:v>Obligation</x:v>
      </x:c>
      <x:c r="H281" s="48" t="str">
        <x:v>Shared</x:v>
      </x:c>
      <x:c r="I281" s="48" t="n">
        <x:v>0.88</x:v>
      </x:c>
      <x:c r="J281" s="48" t="n">
        <x:v>0.93</x:v>
      </x:c>
      <x:c r="K281" s="48" t="str">
        <x:v>No</x:v>
      </x:c>
      <x:c r="L281" s="48" t="str">
        <x:v>PDF text</x:v>
      </x:c>
    </x:row>
    <x:row r="282">
      <x:c r="A282" s="48" t="str">
        <x:v>UNI-0281</x:v>
      </x:c>
      <x:c r="B282" s="48" t="str">
        <x:v>RED</x:v>
      </x:c>
      <x:c r="C282" s="48" t="str">
        <x:v>English</x:v>
      </x:c>
      <x:c r="D282" s="48" t="n">
        <x:v>26</x:v>
      </x:c>
      <x:c r="E282" s="48" t="str"/>
      <x:c r="F282" s="48" t="str">
        <x:v>Each Party shall give effect to each agreement or determination unless and until revised under Clause 20 [Claims, Disputes and Arbitration].</x:v>
      </x:c>
      <x:c r="G282" s="48" t="str">
        <x:v>Obligation</x:v>
      </x:c>
      <x:c r="H282" s="48" t="str">
        <x:v>Shared</x:v>
      </x:c>
      <x:c r="I282" s="48" t="n">
        <x:v>0.88</x:v>
      </x:c>
      <x:c r="J282" s="48" t="n">
        <x:v>0.93</x:v>
      </x:c>
      <x:c r="K282" s="48" t="str">
        <x:v>No</x:v>
      </x:c>
      <x:c r="L282" s="48" t="str">
        <x:v>PDF text</x:v>
      </x:c>
    </x:row>
    <x:row r="283">
      <x:c r="A283" s="48" t="str">
        <x:v>UNI-0282</x:v>
      </x:c>
      <x:c r="B283" s="48" t="str">
        <x:v>RED</x:v>
      </x:c>
      <x:c r="C283" s="48" t="str">
        <x:v>English</x:v>
      </x:c>
      <x:c r="D283" s="48" t="n">
        <x:v>26</x:v>
      </x:c>
      <x:c r="E283" s="48" t="str"/>
      <x:c r="F283" s="48" t="str">
        <x:v>The Contractor shall design (to the extent specified in the Contract), execute and complete the Works in accordance with the Contract and with the Engineer’s instructions, and shall remedy any defects in the Works.</x:v>
      </x:c>
      <x:c r="G283" s="48" t="str">
        <x:v>Obligation</x:v>
      </x:c>
      <x:c r="H283" s="48" t="str">
        <x:v>Contractor</x:v>
      </x:c>
      <x:c r="I283" s="48" t="n">
        <x:v>0.88</x:v>
      </x:c>
      <x:c r="J283" s="48" t="n">
        <x:v>0.92</x:v>
      </x:c>
      <x:c r="K283" s="48" t="str">
        <x:v>No</x:v>
      </x:c>
      <x:c r="L283" s="48" t="str">
        <x:v>PDF text</x:v>
      </x:c>
    </x:row>
    <x:row r="284">
      <x:c r="A284" s="48" t="str">
        <x:v>UNI-0283</x:v>
      </x:c>
      <x:c r="B284" s="48" t="str">
        <x:v>RED</x:v>
      </x:c>
      <x:c r="C284" s="48" t="str">
        <x:v>English</x:v>
      </x:c>
      <x:c r="D284" s="48" t="n">
        <x:v>26</x:v>
      </x:c>
      <x:c r="E284" s="48" t="str"/>
      <x:c r="F284" s="48" t="str">
        <x:v>The Contractor shall provide the Plant and Contractor’s Documents specified in the</x:v>
      </x:c>
      <x:c r="G284" s="48" t="str">
        <x:v>Obligation</x:v>
      </x:c>
      <x:c r="H284" s="48" t="str">
        <x:v>Contractor</x:v>
      </x:c>
      <x:c r="I284" s="48" t="n">
        <x:v>0.88</x:v>
      </x:c>
      <x:c r="J284" s="48" t="n">
        <x:v>0.92</x:v>
      </x:c>
      <x:c r="K284" s="48" t="str">
        <x:v>No</x:v>
      </x:c>
      <x:c r="L284" s="48" t="str">
        <x:v>PDF text</x:v>
      </x:c>
    </x:row>
    <x:row r="285">
      <x:c r="A285" s="48" t="str">
        <x:v>UNI-0284</x:v>
      </x:c>
      <x:c r="B285" s="48" t="str">
        <x:v>RED</x:v>
      </x:c>
      <x:c r="C285" s="48" t="str">
        <x:v>English</x:v>
      </x:c>
      <x:c r="D285" s="48" t="n">
        <x:v>26</x:v>
      </x:c>
      <x:c r="E285" s="48" t="str"/>
      <x:c r="F285" s="48" t="str">
        <x:v>Contract, and all Contractor’s Personnel, Goods, consumables and other things and</x:v>
      </x:c>
      <x:c r="G285" s="48" t="str">
        <x:v>Obligation</x:v>
      </x:c>
      <x:c r="H285" s="48" t="str">
        <x:v>Contractor</x:v>
      </x:c>
      <x:c r="I285" s="48" t="n">
        <x:v>0.45</x:v>
      </x:c>
      <x:c r="J285" s="48" t="n">
        <x:v>0.68</x:v>
      </x:c>
      <x:c r="K285" s="48" t="str">
        <x:v>Yes</x:v>
      </x:c>
      <x:c r="L285" s="48" t="str">
        <x:v>PDF text</x:v>
      </x:c>
    </x:row>
    <x:row r="286">
      <x:c r="A286" s="48" t="str">
        <x:v>UNI-0285</x:v>
      </x:c>
      <x:c r="B286" s="48" t="str">
        <x:v>RED</x:v>
      </x:c>
      <x:c r="C286" s="48" t="str">
        <x:v>English</x:v>
      </x:c>
      <x:c r="D286" s="48" t="n">
        <x:v>26</x:v>
      </x:c>
      <x:c r="E286" s="48" t="str"/>
      <x:c r="F286" s="48" t="str">
        <x:v>services, whether of a temporary or permanent nature, required in and for this design, execution, completion and remedying of defects.</x:v>
      </x:c>
      <x:c r="G286" s="48" t="str">
        <x:v>Obligation</x:v>
      </x:c>
      <x:c r="H286" s="48" t="str">
        <x:v>Shared</x:v>
      </x:c>
      <x:c r="I286" s="48" t="n">
        <x:v>0.45</x:v>
      </x:c>
      <x:c r="J286" s="48" t="n">
        <x:v>0.4</x:v>
      </x:c>
      <x:c r="K286" s="48" t="str">
        <x:v>Yes</x:v>
      </x:c>
      <x:c r="L286" s="48" t="str">
        <x:v>PDF text</x:v>
      </x:c>
    </x:row>
    <x:row r="287">
      <x:c r="A287" s="48" t="str">
        <x:v>UNI-0286</x:v>
      </x:c>
      <x:c r="B287" s="48" t="str">
        <x:v>RED</x:v>
      </x:c>
      <x:c r="C287" s="48" t="str">
        <x:v>English</x:v>
      </x:c>
      <x:c r="D287" s="48" t="n">
        <x:v>26</x:v>
      </x:c>
      <x:c r="E287" s="48" t="str"/>
      <x:c r="F287" s="48" t="str">
        <x:v>All equipment, material, and services to be incorporated in or required for the Works shall have their origin in any eligible source country as defined by the Bank.</x:v>
      </x:c>
      <x:c r="G287" s="48" t="str">
        <x:v>Obligation</x:v>
      </x:c>
      <x:c r="H287" s="48" t="str">
        <x:v>Shared</x:v>
      </x:c>
      <x:c r="I287" s="48" t="n">
        <x:v>0.88</x:v>
      </x:c>
      <x:c r="J287" s="48" t="n">
        <x:v>0.4</x:v>
      </x:c>
      <x:c r="K287" s="48" t="str">
        <x:v>Yes</x:v>
      </x:c>
      <x:c r="L287" s="48" t="str">
        <x:v>PDF text</x:v>
      </x:c>
    </x:row>
    <x:row r="288">
      <x:c r="A288" s="48" t="str">
        <x:v>UNI-0287</x:v>
      </x:c>
      <x:c r="B288" s="48" t="str">
        <x:v>RED</x:v>
      </x:c>
      <x:c r="C288" s="48" t="str">
        <x:v>English</x:v>
      </x:c>
      <x:c r="D288" s="48" t="n">
        <x:v>26</x:v>
      </x:c>
      <x:c r="E288" s="48" t="str"/>
      <x:c r="F288" s="48" t="str">
        <x:v>The Contractor shall be responsible for the adequacy, stability and safety of all Site operations and of all methods of construction.</x:v>
      </x:c>
      <x:c r="G288" s="48" t="str">
        <x:v>Obligation</x:v>
      </x:c>
      <x:c r="H288" s="48" t="str">
        <x:v>Contractor</x:v>
      </x:c>
      <x:c r="I288" s="48" t="n">
        <x:v>0.88</x:v>
      </x:c>
      <x:c r="J288" s="48" t="n">
        <x:v>0.92</x:v>
      </x:c>
      <x:c r="K288" s="48" t="str">
        <x:v>No</x:v>
      </x:c>
      <x:c r="L288" s="48" t="str">
        <x:v>PDF text</x:v>
      </x:c>
    </x:row>
    <x:row r="289">
      <x:c r="A289" s="48" t="str">
        <x:v>UNI-0288</x:v>
      </x:c>
      <x:c r="B289" s="48" t="str">
        <x:v>RED</x:v>
      </x:c>
      <x:c r="C289" s="48" t="str">
        <x:v>English</x:v>
      </x:c>
      <x:c r="D289" s="48" t="n">
        <x:v>26</x:v>
      </x:c>
      <x:c r="E289" s="48" t="str"/>
      <x:c r="F289" s="48" t="str">
        <x:v>Except to the extent specified in the</x:v>
      </x:c>
      <x:c r="G289" s="48" t="str">
        <x:v>Obligation</x:v>
      </x:c>
      <x:c r="H289" s="48" t="str">
        <x:v>Shared</x:v>
      </x:c>
      <x:c r="I289" s="48" t="n">
        <x:v>0.45</x:v>
      </x:c>
      <x:c r="J289" s="48" t="n">
        <x:v>0.4</x:v>
      </x:c>
      <x:c r="K289" s="48" t="str">
        <x:v>Yes</x:v>
      </x:c>
      <x:c r="L289" s="48" t="str">
        <x:v>PDF text</x:v>
      </x:c>
    </x:row>
    <x:row r="290">
      <x:c r="A290" s="48" t="str">
        <x:v>UNI-0289</x:v>
      </x:c>
      <x:c r="B290" s="48" t="str">
        <x:v>RED</x:v>
      </x:c>
      <x:c r="C290" s="48" t="str">
        <x:v>English</x:v>
      </x:c>
      <x:c r="D290" s="48" t="n">
        <x:v>26</x:v>
      </x:c>
      <x:c r="E290" s="48" t="str"/>
      <x:c r="F290" s="48" t="str">
        <x:v>Contract, the Contractor (i) shall be responsible for all Contractor’s Documents,</x:v>
      </x:c>
      <x:c r="G290" s="48" t="str">
        <x:v>Obligation</x:v>
      </x:c>
      <x:c r="H290" s="48" t="str">
        <x:v>Contractor</x:v>
      </x:c>
      <x:c r="I290" s="48" t="n">
        <x:v>0.88</x:v>
      </x:c>
      <x:c r="J290" s="48" t="n">
        <x:v>0.68</x:v>
      </x:c>
      <x:c r="K290" s="48" t="str">
        <x:v>Yes</x:v>
      </x:c>
      <x:c r="L290" s="48" t="str">
        <x:v>PDF text</x:v>
      </x:c>
    </x:row>
    <x:row r="291">
      <x:c r="A291" s="48" t="str">
        <x:v>UNI-0290</x:v>
      </x:c>
      <x:c r="B291" s="48" t="str">
        <x:v>RED</x:v>
      </x:c>
      <x:c r="C291" s="48" t="str">
        <x:v>English</x:v>
      </x:c>
      <x:c r="D291" s="48" t="n">
        <x:v>26</x:v>
      </x:c>
      <x:c r="E291" s="48" t="str"/>
      <x:c r="F291" s="48" t="str">
        <x:v>Temporary Works, and such design of each item of Plant and Materials as is required for the item to be in accordance with the Contract, and (ii) shall not otherwise be responsible for the design or specification of the Permanent Works.</x:v>
      </x:c>
      <x:c r="G291" s="48" t="str">
        <x:v>Obligation</x:v>
      </x:c>
      <x:c r="H291" s="48" t="str">
        <x:v>Shared</x:v>
      </x:c>
      <x:c r="I291" s="48" t="n">
        <x:v>0.88</x:v>
      </x:c>
      <x:c r="J291" s="48" t="n">
        <x:v>0.4</x:v>
      </x:c>
      <x:c r="K291" s="48" t="str">
        <x:v>Yes</x:v>
      </x:c>
      <x:c r="L291" s="48" t="str">
        <x:v>PDF text</x:v>
      </x:c>
    </x:row>
    <x:row r="292">
      <x:c r="A292" s="48" t="str">
        <x:v>UNI-0291</x:v>
      </x:c>
      <x:c r="B292" s="48" t="str">
        <x:v>RED</x:v>
      </x:c>
      <x:c r="C292" s="48" t="str">
        <x:v>English</x:v>
      </x:c>
      <x:c r="D292" s="48" t="n">
        <x:v>26</x:v>
      </x:c>
      <x:c r="E292" s="48" t="str"/>
      <x:c r="F292" s="48" t="str">
        <x:v>The Contractor shall, whenever required by the Engineer, submit details of the</x:v>
      </x:c>
      <x:c r="G292" s="48" t="str">
        <x:v>Obligation</x:v>
      </x:c>
      <x:c r="H292" s="48" t="str">
        <x:v>Contractor</x:v>
      </x:c>
      <x:c r="I292" s="48" t="n">
        <x:v>0.88</x:v>
      </x:c>
      <x:c r="J292" s="48" t="n">
        <x:v>0.92</x:v>
      </x:c>
      <x:c r="K292" s="48" t="str">
        <x:v>No</x:v>
      </x:c>
      <x:c r="L292" s="48" t="str">
        <x:v>PDF text</x:v>
      </x:c>
    </x:row>
    <x:row r="293">
      <x:c r="A293" s="48" t="str">
        <x:v>UNI-0292</x:v>
      </x:c>
      <x:c r="B293" s="48" t="str">
        <x:v>RED</x:v>
      </x:c>
      <x:c r="C293" s="48" t="str">
        <x:v>English</x:v>
      </x:c>
      <x:c r="D293" s="48" t="n">
        <x:v>26</x:v>
      </x:c>
      <x:c r="E293" s="48" t="str"/>
      <x:c r="F293" s="48" t="str">
        <x:v>arrangements and methods which the Contractor proposes to adopt for the execution of the Works.</x:v>
      </x:c>
      <x:c r="G293" s="48" t="str">
        <x:v>Obligation</x:v>
      </x:c>
      <x:c r="H293" s="48" t="str">
        <x:v>Contractor</x:v>
      </x:c>
      <x:c r="I293" s="48" t="n">
        <x:v>0.45</x:v>
      </x:c>
      <x:c r="J293" s="48" t="n">
        <x:v>0.68</x:v>
      </x:c>
      <x:c r="K293" s="48" t="str">
        <x:v>Yes</x:v>
      </x:c>
      <x:c r="L293" s="48" t="str">
        <x:v>PDF text</x:v>
      </x:c>
    </x:row>
    <x:row r="294">
      <x:c r="A294" s="48" t="str">
        <x:v>UNI-0293</x:v>
      </x:c>
      <x:c r="B294" s="48" t="str">
        <x:v>RED</x:v>
      </x:c>
      <x:c r="C294" s="48" t="str">
        <x:v>English</x:v>
      </x:c>
      <x:c r="D294" s="48" t="n">
        <x:v>26</x:v>
      </x:c>
      <x:c r="E294" s="48" t="str"/>
      <x:c r="F294" s="48" t="str">
        <x:v>No significant alteration to these arrangements and methods shall be made without this having previously been notified to the Engineer.</x:v>
      </x:c>
      <x:c r="G294" s="48" t="str">
        <x:v>Obligation</x:v>
      </x:c>
      <x:c r="H294" s="48" t="str">
        <x:v>Shared</x:v>
      </x:c>
      <x:c r="I294" s="48" t="n">
        <x:v>0.88</x:v>
      </x:c>
      <x:c r="J294" s="48" t="n">
        <x:v>0.4</x:v>
      </x:c>
      <x:c r="K294" s="48" t="str">
        <x:v>Yes</x:v>
      </x:c>
      <x:c r="L294" s="48" t="str">
        <x:v>PDF text</x:v>
      </x:c>
    </x:row>
    <x:row r="295">
      <x:c r="A295" s="48" t="str">
        <x:v>UNI-0294</x:v>
      </x:c>
      <x:c r="B295" s="48" t="str">
        <x:v>RED</x:v>
      </x:c>
      <x:c r="C295" s="48" t="str">
        <x:v>English</x:v>
      </x:c>
      <x:c r="D295" s="48" t="n">
        <x:v>26</x:v>
      </x:c>
      <x:c r="E295" s="48" t="str"/>
      <x:c r="F295" s="48" t="str">
        <x:v>If the Contract specifies that the Contractor shall design any part of the Permanent Works, then unless otherwise stated in the Particular Conditions: (a) the Contractor shall submit to the Engineer the Contractor’s Documents for this part in accordance with the procedures specified in the Contract; (b) these Contractor’s Documents shall be in accordance with the Specification and Drawings, shall be written in the language for communications defined in Sub-Clause 1.4 [Law and Language], and shall include additional information required by the Engineer to add to the Drawings for co-ordination of each Party’s designs; (c) the Contractor shall be responsible for this part and it shall, when the Works are completed, be fit for such purposes for which the part is intended as are specified in the Contract; and (d) prior to the commencement of the Tests on Completion, the Contractor shall submit to the Engineer the “as-built” documents and operation and maintenance manuals in accordance with the Specification and in sufficient detail for the Employer to operate, maintain, dismantle, reassemble, adjust and repair this part of the Works.</x:v>
      </x:c>
      <x:c r="G295" s="48" t="str">
        <x:v>Obligation</x:v>
      </x:c>
      <x:c r="H295" s="48" t="str">
        <x:v>Shared</x:v>
      </x:c>
      <x:c r="I295" s="48" t="n">
        <x:v>0.88</x:v>
      </x:c>
      <x:c r="J295" s="48" t="n">
        <x:v>0.93</x:v>
      </x:c>
      <x:c r="K295" s="48" t="str">
        <x:v>No</x:v>
      </x:c>
      <x:c r="L295" s="48" t="str">
        <x:v>PDF text</x:v>
      </x:c>
    </x:row>
    <x:row r="296">
      <x:c r="A296" s="48" t="str">
        <x:v>UNI-0295</x:v>
      </x:c>
      <x:c r="B296" s="48" t="str">
        <x:v>RED</x:v>
      </x:c>
      <x:c r="C296" s="48" t="str">
        <x:v>English</x:v>
      </x:c>
      <x:c r="D296" s="48" t="n">
        <x:v>26</x:v>
      </x:c>
      <x:c r="E296" s="48" t="str"/>
      <x:c r="F296" s="48" t="str">
        <x:v>Such part shall not be considered to be completed for the purposes of taking-over under Sub-Clause 10.1 [Taking Over of the Works and Sections] until these documents and manuals have been submitted to the Engineer.</x:v>
      </x:c>
      <x:c r="G296" s="48" t="str">
        <x:v>Obligation</x:v>
      </x:c>
      <x:c r="H296" s="48" t="str">
        <x:v>Shared</x:v>
      </x:c>
      <x:c r="I296" s="48" t="n">
        <x:v>0.88</x:v>
      </x:c>
      <x:c r="J296" s="48" t="n">
        <x:v>0.4</x:v>
      </x:c>
      <x:c r="K296" s="48" t="str">
        <x:v>Yes</x:v>
      </x:c>
      <x:c r="L296" s="48" t="str">
        <x:v>PDF text</x:v>
      </x:c>
    </x:row>
    <x:row r="297">
      <x:c r="A297" s="48" t="str">
        <x:v>UNI-0296</x:v>
      </x:c>
      <x:c r="B297" s="48" t="str">
        <x:v>RED</x:v>
      </x:c>
      <x:c r="C297" s="48" t="str">
        <x:v>English</x:v>
      </x:c>
      <x:c r="D297" s="48" t="n">
        <x:v>26</x:v>
      </x:c>
      <x:c r="E297" s="48" t="str"/>
      <x:c r="F297" s="48" t="str">
        <x:v>Contractor’s General</x:v>
      </x:c>
      <x:c r="G297" s="48" t="str">
        <x:v>Obligation</x:v>
      </x:c>
      <x:c r="H297" s="48" t="str">
        <x:v>Contractor</x:v>
      </x:c>
      <x:c r="I297" s="48" t="n">
        <x:v>0.45</x:v>
      </x:c>
      <x:c r="J297" s="48" t="n">
        <x:v>0.68</x:v>
      </x:c>
      <x:c r="K297" s="48" t="str">
        <x:v>Yes</x:v>
      </x:c>
      <x:c r="L297" s="48" t="str">
        <x:v>PDF text</x:v>
      </x:c>
    </x:row>
    <x:row r="298">
      <x:c r="A298" s="48" t="str">
        <x:v>UNI-0297</x:v>
      </x:c>
      <x:c r="B298" s="48" t="str">
        <x:v>RED</x:v>
      </x:c>
      <x:c r="C298" s="48" t="str">
        <x:v>English</x:v>
      </x:c>
      <x:c r="D298" s="48" t="n">
        <x:v>26</x:v>
      </x:c>
      <x:c r="E298" s="48" t="str"/>
      <x:c r="F298" s="48" t="str">
        <x:v>Obligations 4</x:v>
      </x:c>
      <x:c r="G298" s="48" t="str">
        <x:v>Obligation</x:v>
      </x:c>
      <x:c r="H298" s="48" t="str">
        <x:v>Shared</x:v>
      </x:c>
      <x:c r="I298" s="48" t="n">
        <x:v>0.45</x:v>
      </x:c>
      <x:c r="J298" s="48" t="n">
        <x:v>0.4</x:v>
      </x:c>
      <x:c r="K298" s="48" t="str">
        <x:v>Yes</x:v>
      </x:c>
      <x:c r="L298" s="48" t="str">
        <x:v>PDF text</x:v>
      </x:c>
    </x:row>
    <x:row r="299">
      <x:c r="A299" s="48" t="str">
        <x:v>UNI-0298</x:v>
      </x:c>
      <x:c r="B299" s="48" t="str">
        <x:v>RED</x:v>
      </x:c>
      <x:c r="C299" s="48" t="str">
        <x:v>English</x:v>
      </x:c>
      <x:c r="D299" s="48" t="n">
        <x:v>26</x:v>
      </x:c>
      <x:c r="E299" s="48" t="str"/>
      <x:c r="F299" s="48" t="str">
        <x:v>The Contractor</x:v>
      </x:c>
      <x:c r="G299" s="48" t="str">
        <x:v>Obligation</x:v>
      </x:c>
      <x:c r="H299" s="48" t="str">
        <x:v>Contractor</x:v>
      </x:c>
      <x:c r="I299" s="48" t="n">
        <x:v>0.45</x:v>
      </x:c>
      <x:c r="J299" s="48" t="n">
        <x:v>0.68</x:v>
      </x:c>
      <x:c r="K299" s="48" t="str">
        <x:v>Yes</x:v>
      </x:c>
      <x:c r="L299" s="48" t="str">
        <x:v>PDF text</x:v>
      </x:c>
    </x:row>
    <x:row r="300">
      <x:c r="A300" s="48" t="str">
        <x:v>UNI-0299</x:v>
      </x:c>
      <x:c r="B300" s="48" t="str">
        <x:v>RED</x:v>
      </x:c>
      <x:c r="C300" s="48" t="str">
        <x:v>English</x:v>
      </x:c>
      <x:c r="D300" s="48" t="n">
        <x:v>27</x:v>
      </x:c>
      <x:c r="E300" s="48" t="str"/>
      <x:c r="F300" s="48" t="str">
        <x:v>The Contractor shall obtain (at his cost) a Performance Security for proper</x:v>
      </x:c>
      <x:c r="G300" s="48" t="str">
        <x:v>Obligation</x:v>
      </x:c>
      <x:c r="H300" s="48" t="str">
        <x:v>Contractor</x:v>
      </x:c>
      <x:c r="I300" s="48" t="n">
        <x:v>0.88</x:v>
      </x:c>
      <x:c r="J300" s="48" t="n">
        <x:v>0.92</x:v>
      </x:c>
      <x:c r="K300" s="48" t="str">
        <x:v>No</x:v>
      </x:c>
      <x:c r="L300" s="48" t="str">
        <x:v>PDF text</x:v>
      </x:c>
    </x:row>
    <x:row r="301">
      <x:c r="A301" s="48" t="str">
        <x:v>UNI-0300</x:v>
      </x:c>
      <x:c r="B301" s="48" t="str">
        <x:v>RED</x:v>
      </x:c>
      <x:c r="C301" s="48" t="str">
        <x:v>English</x:v>
      </x:c>
      <x:c r="D301" s="48" t="n">
        <x:v>27</x:v>
      </x:c>
      <x:c r="E301" s="48" t="str"/>
      <x:c r="F301" s="48" t="str">
        <x:v>performance, in the form, amount and currencies stated in the Contract Data.</x:v>
      </x:c>
      <x:c r="G301" s="48" t="str">
        <x:v>Obligation</x:v>
      </x:c>
      <x:c r="H301" s="48" t="str">
        <x:v>Shared</x:v>
      </x:c>
      <x:c r="I301" s="48" t="n">
        <x:v>0.45</x:v>
      </x:c>
      <x:c r="J301" s="48" t="n">
        <x:v>0.4</x:v>
      </x:c>
      <x:c r="K301" s="48" t="str">
        <x:v>Yes</x:v>
      </x:c>
      <x:c r="L301" s="48" t="str">
        <x:v>PDF text</x:v>
      </x:c>
    </x:row>
    <x:row r="302">
      <x:c r="A302" s="48" t="str">
        <x:v>UNI-0301</x:v>
      </x:c>
      <x:c r="B302" s="48" t="str">
        <x:v>RED</x:v>
      </x:c>
      <x:c r="C302" s="48" t="str">
        <x:v>English</x:v>
      </x:c>
      <x:c r="D302" s="48" t="n">
        <x:v>27</x:v>
      </x:c>
      <x:c r="E302" s="48" t="str"/>
      <x:c r="F302" s="48" t="str">
        <x:v>If an amount is not stated in the Contract Data, this Sub-Clause shall not apply.</x:v>
      </x:c>
      <x:c r="G302" s="48" t="str">
        <x:v>Obligation</x:v>
      </x:c>
      <x:c r="H302" s="48" t="str">
        <x:v>Shared</x:v>
      </x:c>
      <x:c r="I302" s="48" t="n">
        <x:v>0.88</x:v>
      </x:c>
      <x:c r="J302" s="48" t="n">
        <x:v>0.4</x:v>
      </x:c>
      <x:c r="K302" s="48" t="str">
        <x:v>Yes</x:v>
      </x:c>
      <x:c r="L302" s="48" t="str">
        <x:v>PDF text</x:v>
      </x:c>
    </x:row>
    <x:row r="303">
      <x:c r="A303" s="48" t="str">
        <x:v>UNI-0302</x:v>
      </x:c>
      <x:c r="B303" s="48" t="str">
        <x:v>RED</x:v>
      </x:c>
      <x:c r="C303" s="48" t="str">
        <x:v>English</x:v>
      </x:c>
      <x:c r="D303" s="48" t="n">
        <x:v>27</x:v>
      </x:c>
      <x:c r="E303" s="48" t="str"/>
      <x:c r="F303" s="48" t="str">
        <x:v>The Contractor shall deliver the Performance Security to the Employer within 28 days after receiving the Letter of Acceptance, and shall send a copy to the Engineer.</x:v>
      </x:c>
      <x:c r="G303" s="48" t="str">
        <x:v>Obligation</x:v>
      </x:c>
      <x:c r="H303" s="48" t="str">
        <x:v>Contractor</x:v>
      </x:c>
      <x:c r="I303" s="48" t="n">
        <x:v>0.88</x:v>
      </x:c>
      <x:c r="J303" s="48" t="n">
        <x:v>0.92</x:v>
      </x:c>
      <x:c r="K303" s="48" t="str">
        <x:v>No</x:v>
      </x:c>
      <x:c r="L303" s="48" t="str">
        <x:v>PDF text</x:v>
      </x:c>
    </x:row>
    <x:row r="304">
      <x:c r="A304" s="48" t="str">
        <x:v>UNI-0303</x:v>
      </x:c>
      <x:c r="B304" s="48" t="str">
        <x:v>RED</x:v>
      </x:c>
      <x:c r="C304" s="48" t="str">
        <x:v>English</x:v>
      </x:c>
      <x:c r="D304" s="48" t="n">
        <x:v>27</x:v>
      </x:c>
      <x:c r="E304" s="48" t="str"/>
      <x:c r="F304" s="48" t="str">
        <x:v>The Performance Security shall be issued by an entity and from within a country (or other jurisdiction) approved by the Employer, and shall be in the form annexed to the Particular Conditions or in another form approved by the Employer.</x:v>
      </x:c>
      <x:c r="G304" s="48" t="str">
        <x:v>Obligation</x:v>
      </x:c>
      <x:c r="H304" s="48" t="str">
        <x:v>Employer</x:v>
      </x:c>
      <x:c r="I304" s="48" t="n">
        <x:v>0.88</x:v>
      </x:c>
      <x:c r="J304" s="48" t="n">
        <x:v>0.68</x:v>
      </x:c>
      <x:c r="K304" s="48" t="str">
        <x:v>Yes</x:v>
      </x:c>
      <x:c r="L304" s="48" t="str">
        <x:v>PDF text</x:v>
      </x:c>
    </x:row>
    <x:row r="305">
      <x:c r="A305" s="48" t="str">
        <x:v>UNI-0304</x:v>
      </x:c>
      <x:c r="B305" s="48" t="str">
        <x:v>RED</x:v>
      </x:c>
      <x:c r="C305" s="48" t="str">
        <x:v>English</x:v>
      </x:c>
      <x:c r="D305" s="48" t="n">
        <x:v>27</x:v>
      </x:c>
      <x:c r="E305" s="48" t="str"/>
      <x:c r="F305" s="48" t="str">
        <x:v>The Contractor shall ensure that the Performance Security is valid and enforceable until the Contractor has executed and completed the Works and remedied any defects.</x:v>
      </x:c>
      <x:c r="G305" s="48" t="str">
        <x:v>Obligation</x:v>
      </x:c>
      <x:c r="H305" s="48" t="str">
        <x:v>Contractor</x:v>
      </x:c>
      <x:c r="I305" s="48" t="n">
        <x:v>0.88</x:v>
      </x:c>
      <x:c r="J305" s="48" t="n">
        <x:v>0.92</x:v>
      </x:c>
      <x:c r="K305" s="48" t="str">
        <x:v>No</x:v>
      </x:c>
      <x:c r="L305" s="48" t="str">
        <x:v>PDF text</x:v>
      </x:c>
    </x:row>
    <x:row r="306">
      <x:c r="A306" s="48" t="str">
        <x:v>UNI-0305</x:v>
      </x:c>
      <x:c r="B306" s="48" t="str">
        <x:v>RED</x:v>
      </x:c>
      <x:c r="C306" s="48" t="str">
        <x:v>English</x:v>
      </x:c>
      <x:c r="D306" s="48" t="n">
        <x:v>27</x:v>
      </x:c>
      <x:c r="E306" s="48" t="str"/>
      <x:c r="F306" s="48" t="str">
        <x:v>If the terms of the Performance Security specify its expiry date, and the Contractor has not become entitled to receive the Performance Certificate by the date 28 days prior to the expiry date, the Contractor shall extend the validity of the</x:v>
      </x:c>
      <x:c r="G306" s="48" t="str">
        <x:v>Obligation</x:v>
      </x:c>
      <x:c r="H306" s="48" t="str">
        <x:v>Contractor</x:v>
      </x:c>
      <x:c r="I306" s="48" t="n">
        <x:v>0.88</x:v>
      </x:c>
      <x:c r="J306" s="48" t="n">
        <x:v>0.92</x:v>
      </x:c>
      <x:c r="K306" s="48" t="str">
        <x:v>No</x:v>
      </x:c>
      <x:c r="L306" s="48" t="str">
        <x:v>PDF text</x:v>
      </x:c>
    </x:row>
    <x:row r="307">
      <x:c r="A307" s="48" t="str">
        <x:v>UNI-0306</x:v>
      </x:c>
      <x:c r="B307" s="48" t="str">
        <x:v>RED</x:v>
      </x:c>
      <x:c r="C307" s="48" t="str">
        <x:v>English</x:v>
      </x:c>
      <x:c r="D307" s="48" t="n">
        <x:v>27</x:v>
      </x:c>
      <x:c r="E307" s="48" t="str"/>
      <x:c r="F307" s="48" t="str">
        <x:v>Performance Security until the Works have been completed and any defects have</x:v>
      </x:c>
      <x:c r="G307" s="48" t="str">
        <x:v>Obligation</x:v>
      </x:c>
      <x:c r="H307" s="48" t="str">
        <x:v>Shared</x:v>
      </x:c>
      <x:c r="I307" s="48" t="n">
        <x:v>0.45</x:v>
      </x:c>
      <x:c r="J307" s="48" t="n">
        <x:v>0.4</x:v>
      </x:c>
      <x:c r="K307" s="48" t="str">
        <x:v>Yes</x:v>
      </x:c>
      <x:c r="L307" s="48" t="str">
        <x:v>PDF text</x:v>
      </x:c>
    </x:row>
    <x:row r="308">
      <x:c r="A308" s="48" t="str">
        <x:v>UNI-0307</x:v>
      </x:c>
      <x:c r="B308" s="48" t="str">
        <x:v>RED</x:v>
      </x:c>
      <x:c r="C308" s="48" t="str">
        <x:v>English</x:v>
      </x:c>
      <x:c r="D308" s="48" t="n">
        <x:v>27</x:v>
      </x:c>
      <x:c r="E308" s="48" t="str"/>
      <x:c r="F308" s="48" t="str">
        <x:v>been remedied.</x:v>
      </x:c>
      <x:c r="G308" s="48" t="str">
        <x:v>Obligation</x:v>
      </x:c>
      <x:c r="H308" s="48" t="str">
        <x:v>Shared</x:v>
      </x:c>
      <x:c r="I308" s="48" t="n">
        <x:v>0.45</x:v>
      </x:c>
      <x:c r="J308" s="48" t="n">
        <x:v>0.4</x:v>
      </x:c>
      <x:c r="K308" s="48" t="str">
        <x:v>Yes</x:v>
      </x:c>
      <x:c r="L308" s="48" t="str">
        <x:v>PDF text</x:v>
      </x:c>
    </x:row>
    <x:row r="309">
      <x:c r="A309" s="48" t="str">
        <x:v>UNI-0308</x:v>
      </x:c>
      <x:c r="B309" s="48" t="str">
        <x:v>RED</x:v>
      </x:c>
      <x:c r="C309" s="48" t="str">
        <x:v>English</x:v>
      </x:c>
      <x:c r="D309" s="48" t="n">
        <x:v>27</x:v>
      </x:c>
      <x:c r="E309" s="48" t="str"/>
      <x:c r="F309" s="48" t="str">
        <x:v>The Employer shall not make a claim under the Performance Security, except for amounts to which the Employer is entitled under the Contract.</x:v>
      </x:c>
      <x:c r="G309" s="48" t="str">
        <x:v>Obligation</x:v>
      </x:c>
      <x:c r="H309" s="48" t="str">
        <x:v>Employer</x:v>
      </x:c>
      <x:c r="I309" s="48" t="n">
        <x:v>0.88</x:v>
      </x:c>
      <x:c r="J309" s="48" t="n">
        <x:v>0.92</x:v>
      </x:c>
      <x:c r="K309" s="48" t="str">
        <x:v>No</x:v>
      </x:c>
      <x:c r="L309" s="48" t="str">
        <x:v>PDF text</x:v>
      </x:c>
    </x:row>
    <x:row r="310">
      <x:c r="A310" s="48" t="str">
        <x:v>UNI-0309</x:v>
      </x:c>
      <x:c r="B310" s="48" t="str">
        <x:v>RED</x:v>
      </x:c>
      <x:c r="C310" s="48" t="str">
        <x:v>English</x:v>
      </x:c>
      <x:c r="D310" s="48" t="n">
        <x:v>27</x:v>
      </x:c>
      <x:c r="E310" s="48" t="str"/>
      <x:c r="F310" s="48" t="str">
        <x:v>The Employer shall indemnify and hold the Contractor harmless against and from all damages, losses and expenses (including legal fees and expenses) resulting from a claim under the Performance Security to the extent to which the Employer was not entitled to make the claim.</x:v>
      </x:c>
      <x:c r="G310" s="48" t="str">
        <x:v>Obligation</x:v>
      </x:c>
      <x:c r="H310" s="48" t="str">
        <x:v>Employer</x:v>
      </x:c>
      <x:c r="I310" s="48" t="n">
        <x:v>0.88</x:v>
      </x:c>
      <x:c r="J310" s="48" t="n">
        <x:v>0.92</x:v>
      </x:c>
      <x:c r="K310" s="48" t="str">
        <x:v>No</x:v>
      </x:c>
      <x:c r="L310" s="48" t="str">
        <x:v>PDF text</x:v>
      </x:c>
    </x:row>
    <x:row r="311">
      <x:c r="A311" s="48" t="str">
        <x:v>UNI-0310</x:v>
      </x:c>
      <x:c r="B311" s="48" t="str">
        <x:v>RED</x:v>
      </x:c>
      <x:c r="C311" s="48" t="str">
        <x:v>English</x:v>
      </x:c>
      <x:c r="D311" s="48" t="n">
        <x:v>27</x:v>
      </x:c>
      <x:c r="E311" s="48" t="str"/>
      <x:c r="F311" s="48" t="str">
        <x:v>The Employer shall return the Performance Security to the Contractor within 21 days after receiving a copy of the Performance Certificate.</x:v>
      </x:c>
      <x:c r="G311" s="48" t="str">
        <x:v>Obligation</x:v>
      </x:c>
      <x:c r="H311" s="48" t="str">
        <x:v>Employer</x:v>
      </x:c>
      <x:c r="I311" s="48" t="n">
        <x:v>0.88</x:v>
      </x:c>
      <x:c r="J311" s="48" t="n">
        <x:v>0.92</x:v>
      </x:c>
      <x:c r="K311" s="48" t="str">
        <x:v>No</x:v>
      </x:c>
      <x:c r="L311" s="48" t="str">
        <x:v>PDF text</x:v>
      </x:c>
    </x:row>
    <x:row r="312">
      <x:c r="A312" s="48" t="str">
        <x:v>UNI-0311</x:v>
      </x:c>
      <x:c r="B312" s="48" t="str">
        <x:v>RED</x:v>
      </x:c>
      <x:c r="C312" s="48" t="str">
        <x:v>English</x:v>
      </x:c>
      <x:c r="D312" s="48" t="n">
        <x:v>27</x:v>
      </x:c>
      <x:c r="E312" s="48" t="str"/>
      <x:c r="F312" s="48" t="str">
        <x:v>Without limitation to the provisions of the rest of this Sub-Clause, whenever the Engineer determines an addition or a reduction to the Contract Price as a result of a change in cost and/or legislation or as a result of a Variation amounting to more than 25 percent of the portion of the Contract Price payable in a specific currency, the Contractor shall at the Engineer’s request promptly increase, or may decrease, as the case may be, the value of the Performance Security in that currency by an equal percentage.</x:v>
      </x:c>
      <x:c r="G312" s="48" t="str">
        <x:v>Obligation</x:v>
      </x:c>
      <x:c r="H312" s="48" t="str">
        <x:v>Contractor</x:v>
      </x:c>
      <x:c r="I312" s="48" t="n">
        <x:v>0.88</x:v>
      </x:c>
      <x:c r="J312" s="48" t="n">
        <x:v>0.92</x:v>
      </x:c>
      <x:c r="K312" s="48" t="str">
        <x:v>No</x:v>
      </x:c>
      <x:c r="L312" s="48" t="str">
        <x:v>PDF text</x:v>
      </x:c>
    </x:row>
    <x:row r="313">
      <x:c r="A313" s="48" t="str">
        <x:v>UNI-0312</x:v>
      </x:c>
      <x:c r="B313" s="48" t="str">
        <x:v>RED</x:v>
      </x:c>
      <x:c r="C313" s="48" t="str">
        <x:v>English</x:v>
      </x:c>
      <x:c r="D313" s="48" t="n">
        <x:v>27</x:v>
      </x:c>
      <x:c r="E313" s="48" t="str"/>
      <x:c r="F313" s="48" t="str">
        <x:v>The Contractor shall appoint the Contractor’s Representative and shall give him all authority necessary to act on the Contractor’s behalf under the Contract.</x:v>
      </x:c>
      <x:c r="G313" s="48" t="str">
        <x:v>Obligation</x:v>
      </x:c>
      <x:c r="H313" s="48" t="str">
        <x:v>Contractor</x:v>
      </x:c>
      <x:c r="I313" s="48" t="n">
        <x:v>0.88</x:v>
      </x:c>
      <x:c r="J313" s="48" t="n">
        <x:v>0.92</x:v>
      </x:c>
      <x:c r="K313" s="48" t="str">
        <x:v>No</x:v>
      </x:c>
      <x:c r="L313" s="48" t="str">
        <x:v>PDF text</x:v>
      </x:c>
    </x:row>
    <x:row r="314">
      <x:c r="A314" s="48" t="str">
        <x:v>UNI-0313</x:v>
      </x:c>
      <x:c r="B314" s="48" t="str">
        <x:v>RED</x:v>
      </x:c>
      <x:c r="C314" s="48" t="str">
        <x:v>English</x:v>
      </x:c>
      <x:c r="D314" s="48" t="n">
        <x:v>27</x:v>
      </x:c>
      <x:c r="E314" s="48" t="str"/>
      <x:c r="F314" s="48" t="str">
        <x:v>Unless the Contractor’s Representative is named in the Contract, the Contractor shall, prior to the Commencement Date, submit to the Engineer for consent the name and particulars of the person the Contractor proposes to appoint as Contractor’s Representative.</x:v>
      </x:c>
      <x:c r="G314" s="48" t="str">
        <x:v>Obligation</x:v>
      </x:c>
      <x:c r="H314" s="48" t="str">
        <x:v>Contractor</x:v>
      </x:c>
      <x:c r="I314" s="48" t="n">
        <x:v>0.88</x:v>
      </x:c>
      <x:c r="J314" s="48" t="n">
        <x:v>0.92</x:v>
      </x:c>
      <x:c r="K314" s="48" t="str">
        <x:v>No</x:v>
      </x:c>
      <x:c r="L314" s="48" t="str">
        <x:v>PDF text</x:v>
      </x:c>
    </x:row>
    <x:row r="315">
      <x:c r="A315" s="48" t="str">
        <x:v>UNI-0314</x:v>
      </x:c>
      <x:c r="B315" s="48" t="str">
        <x:v>RED</x:v>
      </x:c>
      <x:c r="C315" s="48" t="str">
        <x:v>English</x:v>
      </x:c>
      <x:c r="D315" s="48" t="n">
        <x:v>27</x:v>
      </x:c>
      <x:c r="E315" s="48" t="str"/>
      <x:c r="F315" s="48" t="str">
        <x:v>If consent is withheld or subsequently revoked, or if the appointed person fails to act as Contractor’s Representative, the Contractor shall similarly submit the name and particulars of another suitable person for such appointment.</x:v>
      </x:c>
      <x:c r="G315" s="48" t="str">
        <x:v>Obligation</x:v>
      </x:c>
      <x:c r="H315" s="48" t="str">
        <x:v>Contractor</x:v>
      </x:c>
      <x:c r="I315" s="48" t="n">
        <x:v>0.88</x:v>
      </x:c>
      <x:c r="J315" s="48" t="n">
        <x:v>0.92</x:v>
      </x:c>
      <x:c r="K315" s="48" t="str">
        <x:v>No</x:v>
      </x:c>
      <x:c r="L315" s="48" t="str">
        <x:v>PDF text</x:v>
      </x:c>
    </x:row>
    <x:row r="316">
      <x:c r="A316" s="48" t="str">
        <x:v>UNI-0315</x:v>
      </x:c>
      <x:c r="B316" s="48" t="str">
        <x:v>RED</x:v>
      </x:c>
      <x:c r="C316" s="48" t="str">
        <x:v>English</x:v>
      </x:c>
      <x:c r="D316" s="48" t="n">
        <x:v>27</x:v>
      </x:c>
      <x:c r="E316" s="48" t="str"/>
      <x:c r="F316" s="48" t="str">
        <x:v>The Contractor shall not, without the prior consent of the Engineer, revoke the</x:v>
      </x:c>
      <x:c r="G316" s="48" t="str">
        <x:v>Obligation</x:v>
      </x:c>
      <x:c r="H316" s="48" t="str">
        <x:v>Contractor</x:v>
      </x:c>
      <x:c r="I316" s="48" t="n">
        <x:v>0.88</x:v>
      </x:c>
      <x:c r="J316" s="48" t="n">
        <x:v>0.92</x:v>
      </x:c>
      <x:c r="K316" s="48" t="str">
        <x:v>No</x:v>
      </x:c>
      <x:c r="L316" s="48" t="str">
        <x:v>PDF text</x:v>
      </x:c>
    </x:row>
    <x:row r="317">
      <x:c r="A317" s="48" t="str">
        <x:v>UNI-0316</x:v>
      </x:c>
      <x:c r="B317" s="48" t="str">
        <x:v>RED</x:v>
      </x:c>
      <x:c r="C317" s="48" t="str">
        <x:v>English</x:v>
      </x:c>
      <x:c r="D317" s="48" t="n">
        <x:v>27</x:v>
      </x:c>
      <x:c r="E317" s="48" t="str"/>
      <x:c r="F317" s="48" t="str">
        <x:v>appointment of the Contractor’s Representative or appoint a replacement.</x:v>
      </x:c>
      <x:c r="G317" s="48" t="str">
        <x:v>Obligation</x:v>
      </x:c>
      <x:c r="H317" s="48" t="str">
        <x:v>Contractor</x:v>
      </x:c>
      <x:c r="I317" s="48" t="n">
        <x:v>0.45</x:v>
      </x:c>
      <x:c r="J317" s="48" t="n">
        <x:v>0.68</x:v>
      </x:c>
      <x:c r="K317" s="48" t="str">
        <x:v>Yes</x:v>
      </x:c>
      <x:c r="L317" s="48" t="str">
        <x:v>PDF text</x:v>
      </x:c>
    </x:row>
    <x:row r="318">
      <x:c r="A318" s="48" t="str">
        <x:v>UNI-0317</x:v>
      </x:c>
      <x:c r="B318" s="48" t="str">
        <x:v>RED</x:v>
      </x:c>
      <x:c r="C318" s="48" t="str">
        <x:v>English</x:v>
      </x:c>
      <x:c r="D318" s="48" t="n">
        <x:v>27</x:v>
      </x:c>
      <x:c r="E318" s="48" t="str"/>
      <x:c r="F318" s="48" t="str">
        <x:v>The whole time of the Contractor’s Representative shall be given to directing the</x:v>
      </x:c>
      <x:c r="G318" s="48" t="str">
        <x:v>Obligation</x:v>
      </x:c>
      <x:c r="H318" s="48" t="str">
        <x:v>Contractor</x:v>
      </x:c>
      <x:c r="I318" s="48" t="n">
        <x:v>0.88</x:v>
      </x:c>
      <x:c r="J318" s="48" t="n">
        <x:v>0.68</x:v>
      </x:c>
      <x:c r="K318" s="48" t="str">
        <x:v>Yes</x:v>
      </x:c>
      <x:c r="L318" s="48" t="str">
        <x:v>PDF text</x:v>
      </x:c>
    </x:row>
    <x:row r="319">
      <x:c r="A319" s="48" t="str">
        <x:v>UNI-0318</x:v>
      </x:c>
      <x:c r="B319" s="48" t="str">
        <x:v>RED</x:v>
      </x:c>
      <x:c r="C319" s="48" t="str">
        <x:v>English</x:v>
      </x:c>
      <x:c r="D319" s="48" t="n">
        <x:v>27</x:v>
      </x:c>
      <x:c r="E319" s="48" t="str"/>
      <x:c r="F319" s="48" t="str">
        <x:v>Contractor’s performance of the Contract.</x:v>
      </x:c>
      <x:c r="G319" s="48" t="str">
        <x:v>Obligation</x:v>
      </x:c>
      <x:c r="H319" s="48" t="str">
        <x:v>Contractor</x:v>
      </x:c>
      <x:c r="I319" s="48" t="n">
        <x:v>0.45</x:v>
      </x:c>
      <x:c r="J319" s="48" t="n">
        <x:v>0.68</x:v>
      </x:c>
      <x:c r="K319" s="48" t="str">
        <x:v>Yes</x:v>
      </x:c>
      <x:c r="L319" s="48" t="str">
        <x:v>PDF text</x:v>
      </x:c>
    </x:row>
    <x:row r="320">
      <x:c r="A320" s="48" t="str">
        <x:v>UNI-0319</x:v>
      </x:c>
      <x:c r="B320" s="48" t="str">
        <x:v>RED</x:v>
      </x:c>
      <x:c r="C320" s="48" t="str">
        <x:v>English</x:v>
      </x:c>
      <x:c r="D320" s="48" t="n">
        <x:v>27</x:v>
      </x:c>
      <x:c r="E320" s="48" t="str"/>
      <x:c r="F320" s="48" t="str">
        <x:v>If the Contractor’s Representative is to be temporarily absent from the Site during the execution of the Works, a suitable replacement person shall be appointed, subject to the Engineer’s prior consent, and the Engineer shall be notified accordingly.</x:v>
      </x:c>
      <x:c r="G320" s="48" t="str">
        <x:v>Obligation</x:v>
      </x:c>
      <x:c r="H320" s="48" t="str">
        <x:v>Contractor</x:v>
      </x:c>
      <x:c r="I320" s="48" t="n">
        <x:v>0.88</x:v>
      </x:c>
      <x:c r="J320" s="48" t="n">
        <x:v>0.68</x:v>
      </x:c>
      <x:c r="K320" s="48" t="str">
        <x:v>Yes</x:v>
      </x:c>
      <x:c r="L320" s="48" t="str">
        <x:v>PDF text</x:v>
      </x:c>
    </x:row>
    <x:row r="321">
      <x:c r="A321" s="48" t="str">
        <x:v>UNI-0320</x:v>
      </x:c>
      <x:c r="B321" s="48" t="str">
        <x:v>RED</x:v>
      </x:c>
      <x:c r="C321" s="48" t="str">
        <x:v>English</x:v>
      </x:c>
      <x:c r="D321" s="48" t="n">
        <x:v>27</x:v>
      </x:c>
      <x:c r="E321" s="48" t="str"/>
      <x:c r="F321" s="48" t="str">
        <x:v>The Contractor’s Representative shall, on behalf of the Contractor, receive instructions under Sub-Clause 3.3 [Instructions of the Engineer].</x:v>
      </x:c>
      <x:c r="G321" s="48" t="str">
        <x:v>Obligation</x:v>
      </x:c>
      <x:c r="H321" s="48" t="str">
        <x:v>Contractor</x:v>
      </x:c>
      <x:c r="I321" s="48" t="n">
        <x:v>0.88</x:v>
      </x:c>
      <x:c r="J321" s="48" t="n">
        <x:v>0.68</x:v>
      </x:c>
      <x:c r="K321" s="48" t="str">
        <x:v>Yes</x:v>
      </x:c>
      <x:c r="L321" s="48" t="str">
        <x:v>PDF text</x:v>
      </x:c>
    </x:row>
    <x:row r="322">
      <x:c r="A322" s="48" t="str">
        <x:v>UNI-0321</x:v>
      </x:c>
      <x:c r="B322" s="48" t="str">
        <x:v>RED</x:v>
      </x:c>
      <x:c r="C322" s="48" t="str">
        <x:v>English</x:v>
      </x:c>
      <x:c r="D322" s="48" t="n">
        <x:v>27</x:v>
      </x:c>
      <x:c r="E322" s="48" t="str"/>
      <x:c r="F322" s="48" t="str">
        <x:v>Performance Security</x:v>
      </x:c>
      <x:c r="G322" s="48" t="str">
        <x:v>Obligation</x:v>
      </x:c>
      <x:c r="H322" s="48" t="str">
        <x:v>Shared</x:v>
      </x:c>
      <x:c r="I322" s="48" t="n">
        <x:v>0.45</x:v>
      </x:c>
      <x:c r="J322" s="48" t="n">
        <x:v>0.4</x:v>
      </x:c>
      <x:c r="K322" s="48" t="str">
        <x:v>Yes</x:v>
      </x:c>
      <x:c r="L322" s="48" t="str">
        <x:v>PDF text</x:v>
      </x:c>
    </x:row>
    <x:row r="323">
      <x:c r="A323" s="48" t="str">
        <x:v>UNI-0322</x:v>
      </x:c>
      <x:c r="B323" s="48" t="str">
        <x:v>RED</x:v>
      </x:c>
      <x:c r="C323" s="48" t="str">
        <x:v>English</x:v>
      </x:c>
      <x:c r="D323" s="48" t="n">
        <x:v>27</x:v>
      </x:c>
      <x:c r="E323" s="48" t="str"/>
      <x:c r="F323" s="48" t="str">
        <x:v>Contractor’s</x:v>
      </x:c>
      <x:c r="G323" s="48" t="str">
        <x:v>Obligation</x:v>
      </x:c>
      <x:c r="H323" s="48" t="str">
        <x:v>Contractor</x:v>
      </x:c>
      <x:c r="I323" s="48" t="n">
        <x:v>0.45</x:v>
      </x:c>
      <x:c r="J323" s="48" t="n">
        <x:v>0.68</x:v>
      </x:c>
      <x:c r="K323" s="48" t="str">
        <x:v>Yes</x:v>
      </x:c>
      <x:c r="L323" s="48" t="str">
        <x:v>PDF text</x:v>
      </x:c>
    </x:row>
    <x:row r="324">
      <x:c r="A324" s="48" t="str">
        <x:v>UNI-0323</x:v>
      </x:c>
      <x:c r="B324" s="48" t="str">
        <x:v>RED</x:v>
      </x:c>
      <x:c r="C324" s="48" t="str">
        <x:v>English</x:v>
      </x:c>
      <x:c r="D324" s="48" t="n">
        <x:v>27</x:v>
      </x:c>
      <x:c r="E324" s="48" t="str"/>
      <x:c r="F324" s="48" t="str">
        <x:v>Representative</x:v>
      </x:c>
      <x:c r="G324" s="48" t="str">
        <x:v>Obligation</x:v>
      </x:c>
      <x:c r="H324" s="48" t="str">
        <x:v>Shared</x:v>
      </x:c>
      <x:c r="I324" s="48" t="n">
        <x:v>0.45</x:v>
      </x:c>
      <x:c r="J324" s="48" t="n">
        <x:v>0.4</x:v>
      </x:c>
      <x:c r="K324" s="48" t="str">
        <x:v>Yes</x:v>
      </x:c>
      <x:c r="L324" s="48" t="str">
        <x:v>PDF text</x:v>
      </x:c>
    </x:row>
    <x:row r="325">
      <x:c r="A325" s="48" t="str">
        <x:v>UNI-0324</x:v>
      </x:c>
      <x:c r="B325" s="48" t="str">
        <x:v>RED</x:v>
      </x:c>
      <x:c r="C325" s="48" t="str">
        <x:v>English</x:v>
      </x:c>
      <x:c r="D325" s="48" t="n">
        <x:v>28</x:v>
      </x:c>
      <x:c r="E325" s="48" t="str"/>
      <x:c r="F325" s="48" t="str">
        <x:v>The Contractor’s Representative may delegate any powers, functions and authority to any competent person, and may at any time revoke the delegation.</x:v>
      </x:c>
      <x:c r="G325" s="48" t="str">
        <x:v>Right</x:v>
      </x:c>
      <x:c r="H325" s="48" t="str">
        <x:v>Contractor</x:v>
      </x:c>
      <x:c r="I325" s="48" t="n">
        <x:v>0.78</x:v>
      </x:c>
      <x:c r="J325" s="48" t="n">
        <x:v>0.68</x:v>
      </x:c>
      <x:c r="K325" s="48" t="str">
        <x:v>Yes</x:v>
      </x:c>
      <x:c r="L325" s="48" t="str">
        <x:v>PDF text</x:v>
      </x:c>
    </x:row>
    <x:row r="326">
      <x:c r="A326" s="48" t="str">
        <x:v>UNI-0325</x:v>
      </x:c>
      <x:c r="B326" s="48" t="str">
        <x:v>RED</x:v>
      </x:c>
      <x:c r="C326" s="48" t="str">
        <x:v>English</x:v>
      </x:c>
      <x:c r="D326" s="48" t="n">
        <x:v>28</x:v>
      </x:c>
      <x:c r="E326" s="48" t="str"/>
      <x:c r="F326" s="48" t="str">
        <x:v>Any delegation or revocation shall not take effect until the Engineer has received prior notice signed by the Contractor’s Representative, naming the person and specifying the powers, functions and authority being delegated or revoked.</x:v>
      </x:c>
      <x:c r="G326" s="48" t="str">
        <x:v>Obligation</x:v>
      </x:c>
      <x:c r="H326" s="48" t="str">
        <x:v>Contractor</x:v>
      </x:c>
      <x:c r="I326" s="48" t="n">
        <x:v>0.88</x:v>
      </x:c>
      <x:c r="J326" s="48" t="n">
        <x:v>0.68</x:v>
      </x:c>
      <x:c r="K326" s="48" t="str">
        <x:v>Yes</x:v>
      </x:c>
      <x:c r="L326" s="48" t="str">
        <x:v>PDF text</x:v>
      </x:c>
    </x:row>
    <x:row r="327">
      <x:c r="A327" s="48" t="str">
        <x:v>UNI-0326</x:v>
      </x:c>
      <x:c r="B327" s="48" t="str">
        <x:v>RED</x:v>
      </x:c>
      <x:c r="C327" s="48" t="str">
        <x:v>English</x:v>
      </x:c>
      <x:c r="D327" s="48" t="n">
        <x:v>28</x:v>
      </x:c>
      <x:c r="E327" s="48" t="str"/>
      <x:c r="F327" s="48" t="str">
        <x:v>The Contractor’s Representative shall be fluent in the language for communications defined in Sub-Clause 1.4 [Law and Language].</x:v>
      </x:c>
      <x:c r="G327" s="48" t="str">
        <x:v>Obligation</x:v>
      </x:c>
      <x:c r="H327" s="48" t="str">
        <x:v>Contractor</x:v>
      </x:c>
      <x:c r="I327" s="48" t="n">
        <x:v>0.88</x:v>
      </x:c>
      <x:c r="J327" s="48" t="n">
        <x:v>0.68</x:v>
      </x:c>
      <x:c r="K327" s="48" t="str">
        <x:v>Yes</x:v>
      </x:c>
      <x:c r="L327" s="48" t="str">
        <x:v>PDF text</x:v>
      </x:c>
    </x:row>
    <x:row r="328">
      <x:c r="A328" s="48" t="str">
        <x:v>UNI-0327</x:v>
      </x:c>
      <x:c r="B328" s="48" t="str">
        <x:v>RED</x:v>
      </x:c>
      <x:c r="C328" s="48" t="str">
        <x:v>English</x:v>
      </x:c>
      <x:c r="D328" s="48" t="n">
        <x:v>28</x:v>
      </x:c>
      <x:c r="E328" s="48" t="str"/>
      <x:c r="F328" s="48" t="str">
        <x:v>If the Contractor’s Representative’s delegates are not fluent in the said language, the Contractor shall make competent interpreters available during all working hours in a number deemed sufficient by the Engineer.</x:v>
      </x:c>
      <x:c r="G328" s="48" t="str">
        <x:v>Obligation</x:v>
      </x:c>
      <x:c r="H328" s="48" t="str">
        <x:v>Contractor</x:v>
      </x:c>
      <x:c r="I328" s="48" t="n">
        <x:v>0.88</x:v>
      </x:c>
      <x:c r="J328" s="48" t="n">
        <x:v>0.92</x:v>
      </x:c>
      <x:c r="K328" s="48" t="str">
        <x:v>No</x:v>
      </x:c>
      <x:c r="L328" s="48" t="str">
        <x:v>PDF text</x:v>
      </x:c>
    </x:row>
    <x:row r="329">
      <x:c r="A329" s="48" t="str">
        <x:v>UNI-0328</x:v>
      </x:c>
      <x:c r="B329" s="48" t="str">
        <x:v>RED</x:v>
      </x:c>
      <x:c r="C329" s="48" t="str">
        <x:v>English</x:v>
      </x:c>
      <x:c r="D329" s="48" t="n">
        <x:v>28</x:v>
      </x:c>
      <x:c r="E329" s="48" t="str"/>
      <x:c r="F329" s="48" t="str">
        <x:v>The Contractor shall not subcontract the whole of the Works.</x:v>
      </x:c>
      <x:c r="G329" s="48" t="str">
        <x:v>Obligation</x:v>
      </x:c>
      <x:c r="H329" s="48" t="str">
        <x:v>Contractor</x:v>
      </x:c>
      <x:c r="I329" s="48" t="n">
        <x:v>0.88</x:v>
      </x:c>
      <x:c r="J329" s="48" t="n">
        <x:v>0.92</x:v>
      </x:c>
      <x:c r="K329" s="48" t="str">
        <x:v>No</x:v>
      </x:c>
      <x:c r="L329" s="48" t="str">
        <x:v>PDF text</x:v>
      </x:c>
    </x:row>
    <x:row r="330">
      <x:c r="A330" s="48" t="str">
        <x:v>UNI-0329</x:v>
      </x:c>
      <x:c r="B330" s="48" t="str">
        <x:v>RED</x:v>
      </x:c>
      <x:c r="C330" s="48" t="str">
        <x:v>English</x:v>
      </x:c>
      <x:c r="D330" s="48" t="n">
        <x:v>28</x:v>
      </x:c>
      <x:c r="E330" s="48" t="str"/>
      <x:c r="F330" s="48" t="str">
        <x:v>The Contractor shall be responsible for the acts or defaults of any Subcontractor, his agents or employees, as if they were the acts or defaults of the Contractor.</x:v>
      </x:c>
      <x:c r="G330" s="48" t="str">
        <x:v>Obligation</x:v>
      </x:c>
      <x:c r="H330" s="48" t="str">
        <x:v>Contractor</x:v>
      </x:c>
      <x:c r="I330" s="48" t="n">
        <x:v>0.88</x:v>
      </x:c>
      <x:c r="J330" s="48" t="n">
        <x:v>0.92</x:v>
      </x:c>
      <x:c r="K330" s="48" t="str">
        <x:v>No</x:v>
      </x:c>
      <x:c r="L330" s="48" t="str">
        <x:v>PDF text</x:v>
      </x:c>
    </x:row>
    <x:row r="331">
      <x:c r="A331" s="48" t="str">
        <x:v>UNI-0330</x:v>
      </x:c>
      <x:c r="B331" s="48" t="str">
        <x:v>RED</x:v>
      </x:c>
      <x:c r="C331" s="48" t="str">
        <x:v>English</x:v>
      </x:c>
      <x:c r="D331" s="48" t="n">
        <x:v>28</x:v>
      </x:c>
      <x:c r="E331" s="48" t="str"/>
      <x:c r="F331" s="48" t="str">
        <x:v>Unless otherwise stated in the Particular Conditions: (a) the Contractor shall not be required to obtain consent to suppliers solely of</x:v>
      </x:c>
      <x:c r="G331" s="48" t="str">
        <x:v>Obligation</x:v>
      </x:c>
      <x:c r="H331" s="48" t="str">
        <x:v>Contractor</x:v>
      </x:c>
      <x:c r="I331" s="48" t="n">
        <x:v>0.88</x:v>
      </x:c>
      <x:c r="J331" s="48" t="n">
        <x:v>0.92</x:v>
      </x:c>
      <x:c r="K331" s="48" t="str">
        <x:v>No</x:v>
      </x:c>
      <x:c r="L331" s="48" t="str">
        <x:v>PDF text</x:v>
      </x:c>
    </x:row>
    <x:row r="332">
      <x:c r="A332" s="48" t="str">
        <x:v>UNI-0331</x:v>
      </x:c>
      <x:c r="B332" s="48" t="str">
        <x:v>RED</x:v>
      </x:c>
      <x:c r="C332" s="48" t="str">
        <x:v>English</x:v>
      </x:c>
      <x:c r="D332" s="48" t="n">
        <x:v>28</x:v>
      </x:c>
      <x:c r="E332" s="48" t="str"/>
      <x:c r="F332" s="48" t="str">
        <x:v>Materials, or to a subcontract for which the Subcontractor is named in the</x:v>
      </x:c>
      <x:c r="G332" s="48" t="str">
        <x:v>Obligation</x:v>
      </x:c>
      <x:c r="H332" s="48" t="str">
        <x:v>Shared</x:v>
      </x:c>
      <x:c r="I332" s="48" t="n">
        <x:v>0.45</x:v>
      </x:c>
      <x:c r="J332" s="48" t="n">
        <x:v>0.4</x:v>
      </x:c>
      <x:c r="K332" s="48" t="str">
        <x:v>Yes</x:v>
      </x:c>
      <x:c r="L332" s="48" t="str">
        <x:v>PDF text</x:v>
      </x:c>
    </x:row>
    <x:row r="333">
      <x:c r="A333" s="48" t="str">
        <x:v>UNI-0332</x:v>
      </x:c>
      <x:c r="B333" s="48" t="str">
        <x:v>RED</x:v>
      </x:c>
      <x:c r="C333" s="48" t="str">
        <x:v>English</x:v>
      </x:c>
      <x:c r="D333" s="48" t="n">
        <x:v>28</x:v>
      </x:c>
      <x:c r="E333" s="48" t="str"/>
      <x:c r="F333" s="48" t="str">
        <x:v>Contract; (b) the prior consent of the Engineer shall be obtained to other proposed Subcontractors; (c) the Contractor shall give the Engineer not less than 28 days’ notice of the intended date of the commencement of each Subcontractor’s work, and of the commencement of such work on the Site; and (d) each subcontract shall include provisions which would entitle the Employer to require the subcontract to be assigned to the Employer under Sub-Clause 4.5 [Assignment of Benefit of Subcontract] (if or when applicable) or in the event of termination under Sub-Clause 15.2 [Termination by Employer].</x:v>
      </x:c>
      <x:c r="G333" s="48" t="str">
        <x:v>Obligation</x:v>
      </x:c>
      <x:c r="H333" s="48" t="str">
        <x:v>Contractor</x:v>
      </x:c>
      <x:c r="I333" s="48" t="n">
        <x:v>0.88</x:v>
      </x:c>
      <x:c r="J333" s="48" t="n">
        <x:v>0.92</x:v>
      </x:c>
      <x:c r="K333" s="48" t="str">
        <x:v>No</x:v>
      </x:c>
      <x:c r="L333" s="48" t="str">
        <x:v>PDF text</x:v>
      </x:c>
    </x:row>
    <x:row r="334">
      <x:c r="A334" s="48" t="str">
        <x:v>UNI-0333</x:v>
      </x:c>
      <x:c r="B334" s="48" t="str">
        <x:v>RED</x:v>
      </x:c>
      <x:c r="C334" s="48" t="str">
        <x:v>English</x:v>
      </x:c>
      <x:c r="D334" s="48" t="n">
        <x:v>28</x:v>
      </x:c>
      <x:c r="E334" s="48" t="str"/>
      <x:c r="F334" s="48" t="str">
        <x:v>The Contractor shall ensure that the requirements imposed on the Contractor by SubClause 1.12 [Confidential Details] apply equally to each Subcontractor.</x:v>
      </x:c>
      <x:c r="G334" s="48" t="str">
        <x:v>Obligation</x:v>
      </x:c>
      <x:c r="H334" s="48" t="str">
        <x:v>Contractor</x:v>
      </x:c>
      <x:c r="I334" s="48" t="n">
        <x:v>0.88</x:v>
      </x:c>
      <x:c r="J334" s="48" t="n">
        <x:v>0.92</x:v>
      </x:c>
      <x:c r="K334" s="48" t="str">
        <x:v>No</x:v>
      </x:c>
      <x:c r="L334" s="48" t="str">
        <x:v>PDF text</x:v>
      </x:c>
    </x:row>
    <x:row r="335">
      <x:c r="A335" s="48" t="str">
        <x:v>UNI-0334</x:v>
      </x:c>
      <x:c r="B335" s="48" t="str">
        <x:v>RED</x:v>
      </x:c>
      <x:c r="C335" s="48" t="str">
        <x:v>English</x:v>
      </x:c>
      <x:c r="D335" s="48" t="n">
        <x:v>28</x:v>
      </x:c>
      <x:c r="E335" s="48" t="str"/>
      <x:c r="F335" s="48" t="str">
        <x:v>Where practicable, the Contractor shall give fair and reasonable opportunity for</x:v>
      </x:c>
      <x:c r="G335" s="48" t="str">
        <x:v>Obligation</x:v>
      </x:c>
      <x:c r="H335" s="48" t="str">
        <x:v>Contractor</x:v>
      </x:c>
      <x:c r="I335" s="48" t="n">
        <x:v>0.88</x:v>
      </x:c>
      <x:c r="J335" s="48" t="n">
        <x:v>0.92</x:v>
      </x:c>
      <x:c r="K335" s="48" t="str">
        <x:v>No</x:v>
      </x:c>
      <x:c r="L335" s="48" t="str">
        <x:v>PDF text</x:v>
      </x:c>
    </x:row>
    <x:row r="336">
      <x:c r="A336" s="48" t="str">
        <x:v>UNI-0335</x:v>
      </x:c>
      <x:c r="B336" s="48" t="str">
        <x:v>RED</x:v>
      </x:c>
      <x:c r="C336" s="48" t="str">
        <x:v>English</x:v>
      </x:c>
      <x:c r="D336" s="48" t="n">
        <x:v>28</x:v>
      </x:c>
      <x:c r="E336" s="48" t="str"/>
      <x:c r="F336" s="48" t="str">
        <x:v>contractors from the Country to be appointed as Subcontractors.</x:v>
      </x:c>
      <x:c r="G336" s="48" t="str">
        <x:v>Obligation</x:v>
      </x:c>
      <x:c r="H336" s="48" t="str">
        <x:v>Shared</x:v>
      </x:c>
      <x:c r="I336" s="48" t="n">
        <x:v>0.45</x:v>
      </x:c>
      <x:c r="J336" s="48" t="n">
        <x:v>0.4</x:v>
      </x:c>
      <x:c r="K336" s="48" t="str">
        <x:v>Yes</x:v>
      </x:c>
      <x:c r="L336" s="48" t="str">
        <x:v>PDF text</x:v>
      </x:c>
    </x:row>
    <x:row r="337">
      <x:c r="A337" s="48" t="str">
        <x:v>UNI-0336</x:v>
      </x:c>
      <x:c r="B337" s="48" t="str">
        <x:v>RED</x:v>
      </x:c>
      <x:c r="C337" s="48" t="str">
        <x:v>English</x:v>
      </x:c>
      <x:c r="D337" s="48" t="n">
        <x:v>28</x:v>
      </x:c>
      <x:c r="E337" s="48" t="str"/>
      <x:c r="F337" s="48" t="str">
        <x:v>If a Subcontractor’s obligations extend beyond the expiry date of the relevant Defects Notification Period and the Engineer, prior to this date, instructs the Contractor to assign the benefit of such obligations to the Employer, then the Contractor shall do so.</x:v>
      </x:c>
      <x:c r="G337" s="48" t="str">
        <x:v>Obligation</x:v>
      </x:c>
      <x:c r="H337" s="48" t="str">
        <x:v>Contractor</x:v>
      </x:c>
      <x:c r="I337" s="48" t="n">
        <x:v>0.88</x:v>
      </x:c>
      <x:c r="J337" s="48" t="n">
        <x:v>0.92</x:v>
      </x:c>
      <x:c r="K337" s="48" t="str">
        <x:v>No</x:v>
      </x:c>
      <x:c r="L337" s="48" t="str">
        <x:v>PDF text</x:v>
      </x:c>
    </x:row>
    <x:row r="338">
      <x:c r="A338" s="48" t="str">
        <x:v>UNI-0337</x:v>
      </x:c>
      <x:c r="B338" s="48" t="str">
        <x:v>RED</x:v>
      </x:c>
      <x:c r="C338" s="48" t="str">
        <x:v>English</x:v>
      </x:c>
      <x:c r="D338" s="48" t="n">
        <x:v>28</x:v>
      </x:c>
      <x:c r="E338" s="48" t="str"/>
      <x:c r="F338" s="48" t="str">
        <x:v>Unless otherwise stated in the assignment, the Contractor shall have no liability to the Employer for the work carried out by the Subcontractor after the assignment takes effect.</x:v>
      </x:c>
      <x:c r="G338" s="48" t="str">
        <x:v>Risk</x:v>
      </x:c>
      <x:c r="H338" s="48" t="str">
        <x:v>Contractor</x:v>
      </x:c>
      <x:c r="I338" s="48" t="n">
        <x:v>0.78</x:v>
      </x:c>
      <x:c r="J338" s="48" t="n">
        <x:v>0.92</x:v>
      </x:c>
      <x:c r="K338" s="48" t="str">
        <x:v>No</x:v>
      </x:c>
      <x:c r="L338" s="48" t="str">
        <x:v>PDF text</x:v>
      </x:c>
    </x:row>
    <x:row r="339">
      <x:c r="A339" s="48" t="str">
        <x:v>UNI-0338</x:v>
      </x:c>
      <x:c r="B339" s="48" t="str">
        <x:v>RED</x:v>
      </x:c>
      <x:c r="C339" s="48" t="str">
        <x:v>English</x:v>
      </x:c>
      <x:c r="D339" s="48" t="n">
        <x:v>28</x:v>
      </x:c>
      <x:c r="E339" s="48" t="str"/>
      <x:c r="F339" s="48" t="str">
        <x:v>The Contractor shall, as specified in the Contract or as instructed by the Engineer, allow appropriate opportunities for carrying out work to: (a) the Employer’s Personnel, (b) any other contractors employed by the Employer, and (c) the personnel of any legally constituted public authorities, who may be employed in the execution on or near the Site of any work not included in the Contract.</x:v>
      </x:c>
      <x:c r="G339" s="48" t="str">
        <x:v>Obligation</x:v>
      </x:c>
      <x:c r="H339" s="48" t="str">
        <x:v>Contractor</x:v>
      </x:c>
      <x:c r="I339" s="48" t="n">
        <x:v>0.88</x:v>
      </x:c>
      <x:c r="J339" s="48" t="n">
        <x:v>0.92</x:v>
      </x:c>
      <x:c r="K339" s="48" t="str">
        <x:v>No</x:v>
      </x:c>
      <x:c r="L339" s="48" t="str">
        <x:v>PDF text</x:v>
      </x:c>
    </x:row>
    <x:row r="340">
      <x:c r="A340" s="48" t="str">
        <x:v>UNI-0339</x:v>
      </x:c>
      <x:c r="B340" s="48" t="str">
        <x:v>RED</x:v>
      </x:c>
      <x:c r="C340" s="48" t="str">
        <x:v>English</x:v>
      </x:c>
      <x:c r="D340" s="48" t="n">
        <x:v>28</x:v>
      </x:c>
      <x:c r="E340" s="48" t="str"/>
      <x:c r="F340" s="48" t="str">
        <x:v>Subcontractors</x:v>
      </x:c>
      <x:c r="G340" s="48" t="str">
        <x:v>Obligation</x:v>
      </x:c>
      <x:c r="H340" s="48" t="str">
        <x:v>Shared</x:v>
      </x:c>
      <x:c r="I340" s="48" t="n">
        <x:v>0.45</x:v>
      </x:c>
      <x:c r="J340" s="48" t="n">
        <x:v>0.4</x:v>
      </x:c>
      <x:c r="K340" s="48" t="str">
        <x:v>Yes</x:v>
      </x:c>
      <x:c r="L340" s="48" t="str">
        <x:v>PDF text</x:v>
      </x:c>
    </x:row>
    <x:row r="341">
      <x:c r="A341" s="48" t="str">
        <x:v>UNI-0340</x:v>
      </x:c>
      <x:c r="B341" s="48" t="str">
        <x:v>RED</x:v>
      </x:c>
      <x:c r="C341" s="48" t="str">
        <x:v>English</x:v>
      </x:c>
      <x:c r="D341" s="48" t="n">
        <x:v>28</x:v>
      </x:c>
      <x:c r="E341" s="48" t="str"/>
      <x:c r="F341" s="48" t="str">
        <x:v>Assignment of Benefit</x:v>
      </x:c>
      <x:c r="G341" s="48" t="str">
        <x:v>Obligation</x:v>
      </x:c>
      <x:c r="H341" s="48" t="str">
        <x:v>Shared</x:v>
      </x:c>
      <x:c r="I341" s="48" t="n">
        <x:v>0.45</x:v>
      </x:c>
      <x:c r="J341" s="48" t="n">
        <x:v>0.4</x:v>
      </x:c>
      <x:c r="K341" s="48" t="str">
        <x:v>Yes</x:v>
      </x:c>
      <x:c r="L341" s="48" t="str">
        <x:v>PDF text</x:v>
      </x:c>
    </x:row>
    <x:row r="342">
      <x:c r="A342" s="48" t="str">
        <x:v>UNI-0341</x:v>
      </x:c>
      <x:c r="B342" s="48" t="str">
        <x:v>RED</x:v>
      </x:c>
      <x:c r="C342" s="48" t="str">
        <x:v>English</x:v>
      </x:c>
      <x:c r="D342" s="48" t="n">
        <x:v>28</x:v>
      </x:c>
      <x:c r="E342" s="48" t="str"/>
      <x:c r="F342" s="48" t="str">
        <x:v>of Subcontract 4.6</x:v>
      </x:c>
      <x:c r="G342" s="48" t="str">
        <x:v>Obligation</x:v>
      </x:c>
      <x:c r="H342" s="48" t="str">
        <x:v>Shared</x:v>
      </x:c>
      <x:c r="I342" s="48" t="n">
        <x:v>0.45</x:v>
      </x:c>
      <x:c r="J342" s="48" t="n">
        <x:v>0.4</x:v>
      </x:c>
      <x:c r="K342" s="48" t="str">
        <x:v>Yes</x:v>
      </x:c>
      <x:c r="L342" s="48" t="str">
        <x:v>PDF text</x:v>
      </x:c>
    </x:row>
    <x:row r="343">
      <x:c r="A343" s="48" t="str">
        <x:v>UNI-0342</x:v>
      </x:c>
      <x:c r="B343" s="48" t="str">
        <x:v>RED</x:v>
      </x:c>
      <x:c r="C343" s="48" t="str">
        <x:v>English</x:v>
      </x:c>
      <x:c r="D343" s="48" t="n">
        <x:v>28</x:v>
      </x:c>
      <x:c r="E343" s="48" t="str"/>
      <x:c r="F343" s="48" t="str">
        <x:v>Co-operation</x:v>
      </x:c>
      <x:c r="G343" s="48" t="str">
        <x:v>Obligation</x:v>
      </x:c>
      <x:c r="H343" s="48" t="str">
        <x:v>Shared</x:v>
      </x:c>
      <x:c r="I343" s="48" t="n">
        <x:v>0.45</x:v>
      </x:c>
      <x:c r="J343" s="48" t="n">
        <x:v>0.4</x:v>
      </x:c>
      <x:c r="K343" s="48" t="str">
        <x:v>Yes</x:v>
      </x:c>
      <x:c r="L343" s="48" t="str">
        <x:v>PDF text</x:v>
      </x:c>
    </x:row>
    <x:row r="344">
      <x:c r="A344" s="48" t="str">
        <x:v>UNI-0343</x:v>
      </x:c>
      <x:c r="B344" s="48" t="str">
        <x:v>RED</x:v>
      </x:c>
      <x:c r="C344" s="48" t="str">
        <x:v>English</x:v>
      </x:c>
      <x:c r="D344" s="48" t="n">
        <x:v>29</x:v>
      </x:c>
      <x:c r="E344" s="48" t="str"/>
      <x:c r="F344" s="48" t="str">
        <x:v>Any such instruction shall constitute a Variation if and to the extent that it causes the Contractor to incur Unforeseeable Cost.</x:v>
      </x:c>
      <x:c r="G344" s="48" t="str">
        <x:v>Risk</x:v>
      </x:c>
      <x:c r="H344" s="48" t="str">
        <x:v>Contractor</x:v>
      </x:c>
      <x:c r="I344" s="48" t="n">
        <x:v>0.78</x:v>
      </x:c>
      <x:c r="J344" s="48" t="n">
        <x:v>0.68</x:v>
      </x:c>
      <x:c r="K344" s="48" t="str">
        <x:v>Yes</x:v>
      </x:c>
      <x:c r="L344" s="48" t="str">
        <x:v>PDF text</x:v>
      </x:c>
    </x:row>
    <x:row r="345">
      <x:c r="A345" s="48" t="str">
        <x:v>UNI-0344</x:v>
      </x:c>
      <x:c r="B345" s="48" t="str">
        <x:v>RED</x:v>
      </x:c>
      <x:c r="C345" s="48" t="str">
        <x:v>English</x:v>
      </x:c>
      <x:c r="D345" s="48" t="n">
        <x:v>29</x:v>
      </x:c>
      <x:c r="E345" s="48" t="str"/>
      <x:c r="F345" s="48" t="str">
        <x:v>Services for these personnel and other contractors may include the use of Contractor’s Equipment, Temporary Works or access arrangements which are the responsibility of the Contractor.</x:v>
      </x:c>
      <x:c r="G345" s="48" t="str">
        <x:v>Right</x:v>
      </x:c>
      <x:c r="H345" s="48" t="str">
        <x:v>Contractor</x:v>
      </x:c>
      <x:c r="I345" s="48" t="n">
        <x:v>0.78</x:v>
      </x:c>
      <x:c r="J345" s="48" t="n">
        <x:v>0.68</x:v>
      </x:c>
      <x:c r="K345" s="48" t="str">
        <x:v>Yes</x:v>
      </x:c>
      <x:c r="L345" s="48" t="str">
        <x:v>PDF text</x:v>
      </x:c>
    </x:row>
    <x:row r="346">
      <x:c r="A346" s="48" t="str">
        <x:v>UNI-0345</x:v>
      </x:c>
      <x:c r="B346" s="48" t="str">
        <x:v>RED</x:v>
      </x:c>
      <x:c r="C346" s="48" t="str">
        <x:v>English</x:v>
      </x:c>
      <x:c r="D346" s="48" t="n">
        <x:v>29</x:v>
      </x:c>
      <x:c r="E346" s="48" t="str"/>
      <x:c r="F346" s="48" t="str">
        <x:v>If, under the Contract, the Employer is required to give to the Contractor possession of any foundation, structure, plant or means of access in accordance with Contractor’s Documents, the Contractor shall submit such documents to the Engineer in the time and manner stated in the Specification.</x:v>
      </x:c>
      <x:c r="G346" s="48" t="str">
        <x:v>Obligation</x:v>
      </x:c>
      <x:c r="H346" s="48" t="str">
        <x:v>Contractor</x:v>
      </x:c>
      <x:c r="I346" s="48" t="n">
        <x:v>0.88</x:v>
      </x:c>
      <x:c r="J346" s="48" t="n">
        <x:v>0.92</x:v>
      </x:c>
      <x:c r="K346" s="48" t="str">
        <x:v>No</x:v>
      </x:c>
      <x:c r="L346" s="48" t="str">
        <x:v>PDF text</x:v>
      </x:c>
    </x:row>
    <x:row r="347">
      <x:c r="A347" s="48" t="str">
        <x:v>UNI-0346</x:v>
      </x:c>
      <x:c r="B347" s="48" t="str">
        <x:v>RED</x:v>
      </x:c>
      <x:c r="C347" s="48" t="str">
        <x:v>English</x:v>
      </x:c>
      <x:c r="D347" s="48" t="n">
        <x:v>29</x:v>
      </x:c>
      <x:c r="E347" s="48" t="str"/>
      <x:c r="F347" s="48" t="str">
        <x:v>The Contractor shall set out the Works in relation to original points, lines and levels of reference specified in the Contract or notified by the Engineer.</x:v>
      </x:c>
      <x:c r="G347" s="48" t="str">
        <x:v>Obligation</x:v>
      </x:c>
      <x:c r="H347" s="48" t="str">
        <x:v>Contractor</x:v>
      </x:c>
      <x:c r="I347" s="48" t="n">
        <x:v>0.88</x:v>
      </x:c>
      <x:c r="J347" s="48" t="n">
        <x:v>0.92</x:v>
      </x:c>
      <x:c r="K347" s="48" t="str">
        <x:v>No</x:v>
      </x:c>
      <x:c r="L347" s="48" t="str">
        <x:v>PDF text</x:v>
      </x:c>
    </x:row>
    <x:row r="348">
      <x:c r="A348" s="48" t="str">
        <x:v>UNI-0347</x:v>
      </x:c>
      <x:c r="B348" s="48" t="str">
        <x:v>RED</x:v>
      </x:c>
      <x:c r="C348" s="48" t="str">
        <x:v>English</x:v>
      </x:c>
      <x:c r="D348" s="48" t="n">
        <x:v>29</x:v>
      </x:c>
      <x:c r="E348" s="48" t="str"/>
      <x:c r="F348" s="48" t="str">
        <x:v>The Contractor shall be responsible for the correct positioning of all parts of the Works, and shall rectify any error in the positions, levels, dimensions or alignment of the Works.</x:v>
      </x:c>
      <x:c r="G348" s="48" t="str">
        <x:v>Obligation</x:v>
      </x:c>
      <x:c r="H348" s="48" t="str">
        <x:v>Contractor</x:v>
      </x:c>
      <x:c r="I348" s="48" t="n">
        <x:v>0.88</x:v>
      </x:c>
      <x:c r="J348" s="48" t="n">
        <x:v>0.92</x:v>
      </x:c>
      <x:c r="K348" s="48" t="str">
        <x:v>No</x:v>
      </x:c>
      <x:c r="L348" s="48" t="str">
        <x:v>PDF text</x:v>
      </x:c>
    </x:row>
    <x:row r="349">
      <x:c r="A349" s="48" t="str">
        <x:v>UNI-0348</x:v>
      </x:c>
      <x:c r="B349" s="48" t="str">
        <x:v>RED</x:v>
      </x:c>
      <x:c r="C349" s="48" t="str">
        <x:v>English</x:v>
      </x:c>
      <x:c r="D349" s="48" t="n">
        <x:v>29</x:v>
      </x:c>
      <x:c r="E349" s="48" t="str"/>
      <x:c r="F349" s="48" t="str">
        <x:v>The Employer shall be responsible for any errors in these specified or notified items of reference, but the Contractor shall use reasonable efforts to verify their accuracy before they are used.</x:v>
      </x:c>
      <x:c r="G349" s="48" t="str">
        <x:v>Obligation</x:v>
      </x:c>
      <x:c r="H349" s="48" t="str">
        <x:v>Contractor</x:v>
      </x:c>
      <x:c r="I349" s="48" t="n">
        <x:v>0.88</x:v>
      </x:c>
      <x:c r="J349" s="48" t="n">
        <x:v>0.92</x:v>
      </x:c>
      <x:c r="K349" s="48" t="str">
        <x:v>No</x:v>
      </x:c>
      <x:c r="L349" s="48" t="str">
        <x:v>PDF text</x:v>
      </x:c>
    </x:row>
    <x:row r="350">
      <x:c r="A350" s="48" t="str">
        <x:v>UNI-0349</x:v>
      </x:c>
      <x:c r="B350" s="48" t="str">
        <x:v>RED</x:v>
      </x:c>
      <x:c r="C350" s="48" t="str">
        <x:v>English</x:v>
      </x:c>
      <x:c r="D350" s="48" t="n">
        <x:v>29</x:v>
      </x:c>
      <x:c r="E350" s="48" t="str"/>
      <x:c r="F350" s="48" t="str">
        <x:v>If the Contractor suffers delay and/or incurs Cost from executing work which was</x:v>
      </x:c>
      <x:c r="G350" s="48" t="str">
        <x:v>Risk</x:v>
      </x:c>
      <x:c r="H350" s="48" t="str">
        <x:v>Contractor</x:v>
      </x:c>
      <x:c r="I350" s="48" t="n">
        <x:v>0.78</x:v>
      </x:c>
      <x:c r="J350" s="48" t="n">
        <x:v>0.68</x:v>
      </x:c>
      <x:c r="K350" s="48" t="str">
        <x:v>Yes</x:v>
      </x:c>
      <x:c r="L350" s="48" t="str">
        <x:v>PDF text</x:v>
      </x:c>
    </x:row>
    <x:row r="351">
      <x:c r="A351" s="48" t="str">
        <x:v>UNI-0350</x:v>
      </x:c>
      <x:c r="B351" s="48" t="str">
        <x:v>RED</x:v>
      </x:c>
      <x:c r="C351" s="48" t="str">
        <x:v>English</x:v>
      </x:c>
      <x:c r="D351" s="48" t="n">
        <x:v>29</x:v>
      </x:c>
      <x:c r="E351" s="48" t="str"/>
      <x:c r="F351" s="48" t="str">
        <x:v>necessitated by an error in these items of reference, and an experienced contractor could not reasonably have discovered such error and avoided this delay and/or Cost, the Contractor shall give notice to the Engineer and shall be entitled subject to SubClause 20.1 [Contractor’s Claims] to: (a) an extension of time for any such delay, if completion is or will be delayed, under Sub-Clause 8.4 [Extension of Time for Completion], and (b) payment of any such Cost plus profit, which shall be included in the Contract Price.</x:v>
      </x:c>
      <x:c r="G351" s="48" t="str">
        <x:v>Risk</x:v>
      </x:c>
      <x:c r="H351" s="48" t="str">
        <x:v>Contractor</x:v>
      </x:c>
      <x:c r="I351" s="48" t="n">
        <x:v>0.78</x:v>
      </x:c>
      <x:c r="J351" s="48" t="n">
        <x:v>0.92</x:v>
      </x:c>
      <x:c r="K351" s="48" t="str">
        <x:v>No</x:v>
      </x:c>
      <x:c r="L351" s="48" t="str">
        <x:v>PDF text</x:v>
      </x:c>
    </x:row>
    <x:row r="352">
      <x:c r="A352" s="48" t="str">
        <x:v>UNI-0351</x:v>
      </x:c>
      <x:c r="B352" s="48" t="str">
        <x:v>RED</x:v>
      </x:c>
      <x:c r="C352" s="48" t="str">
        <x:v>English</x:v>
      </x:c>
      <x:c r="D352" s="48" t="n">
        <x:v>29</x:v>
      </x:c>
      <x:c r="E352" s="48" t="str">
        <x:v>3.5</x:v>
      </x:c>
      <x:c r="F352" s="48" t="str">
        <x:v>3.5 [Determinations] to agree or determine (i) whether and (if so) to what extent the</x:v>
      </x:c>
      <x:c r="G352" s="48" t="str">
        <x:v>Obligation</x:v>
      </x:c>
      <x:c r="H352" s="48" t="str">
        <x:v>Shared</x:v>
      </x:c>
      <x:c r="I352" s="48" t="n">
        <x:v>0.45</x:v>
      </x:c>
      <x:c r="J352" s="48" t="n">
        <x:v>0.4</x:v>
      </x:c>
      <x:c r="K352" s="48" t="str">
        <x:v>Yes</x:v>
      </x:c>
      <x:c r="L352" s="48" t="str">
        <x:v>PDF text</x:v>
      </x:c>
    </x:row>
    <x:row r="353">
      <x:c r="A353" s="48" t="str">
        <x:v>UNI-0352</x:v>
      </x:c>
      <x:c r="B353" s="48" t="str">
        <x:v>RED</x:v>
      </x:c>
      <x:c r="C353" s="48" t="str">
        <x:v>English</x:v>
      </x:c>
      <x:c r="D353" s="48" t="n">
        <x:v>29</x:v>
      </x:c>
      <x:c r="E353" s="48" t="str"/>
      <x:c r="F353" s="48" t="str">
        <x:v>error could not reasonably have been discovered, and (ii) the matters described in sub-paragraphs (a) and (b) above related to this extent.</x:v>
      </x:c>
      <x:c r="G353" s="48" t="str">
        <x:v>Obligation</x:v>
      </x:c>
      <x:c r="H353" s="48" t="str">
        <x:v>Shared</x:v>
      </x:c>
      <x:c r="I353" s="48" t="n">
        <x:v>0.45</x:v>
      </x:c>
      <x:c r="J353" s="48" t="n">
        <x:v>0.4</x:v>
      </x:c>
      <x:c r="K353" s="48" t="str">
        <x:v>Yes</x:v>
      </x:c>
      <x:c r="L353" s="48" t="str">
        <x:v>PDF text</x:v>
      </x:c>
    </x:row>
    <x:row r="354">
      <x:c r="A354" s="48" t="str">
        <x:v>UNI-0353</x:v>
      </x:c>
      <x:c r="B354" s="48" t="str">
        <x:v>RED</x:v>
      </x:c>
      <x:c r="C354" s="48" t="str">
        <x:v>English</x:v>
      </x:c>
      <x:c r="D354" s="48" t="n">
        <x:v>29</x:v>
      </x:c>
      <x:c r="E354" s="48" t="str"/>
      <x:c r="F354" s="48" t="str">
        <x:v>The Contractor shall: (a) comply with all applicable safety regulations, (b) take care for the safety of all persons entitled to be on the Site, (c) use reasonable efforts to keep the Site and Works clear of unnecessary obstruction so as to avoid danger to these persons, (d) provide fencing, lighting, guarding and watching of the Works until completion and taking over under Clause 10 [Employer’s Taking Over], and (e) provide any Temporary Works (including roadways, footways, guards and fences) which may be necessary, because of the execution of the Works, for the use and protection of the public and of owners and occupiers of adjacent land.</x:v>
      </x:c>
      <x:c r="G354" s="48" t="str">
        <x:v>Obligation</x:v>
      </x:c>
      <x:c r="H354" s="48" t="str">
        <x:v>Contractor</x:v>
      </x:c>
      <x:c r="I354" s="48" t="n">
        <x:v>0.88</x:v>
      </x:c>
      <x:c r="J354" s="48" t="n">
        <x:v>0.92</x:v>
      </x:c>
      <x:c r="K354" s="48" t="str">
        <x:v>No</x:v>
      </x:c>
      <x:c r="L354" s="48" t="str">
        <x:v>PDF text</x:v>
      </x:c>
    </x:row>
    <x:row r="355">
      <x:c r="A355" s="48" t="str">
        <x:v>UNI-0354</x:v>
      </x:c>
      <x:c r="B355" s="48" t="str">
        <x:v>RED</x:v>
      </x:c>
      <x:c r="C355" s="48" t="str">
        <x:v>English</x:v>
      </x:c>
      <x:c r="D355" s="48" t="n">
        <x:v>29</x:v>
      </x:c>
      <x:c r="E355" s="48" t="str"/>
      <x:c r="F355" s="48" t="str">
        <x:v>The Contractor shall institute a quality assurance system to demonstrate compliance with the requirements of the Contract.</x:v>
      </x:c>
      <x:c r="G355" s="48" t="str">
        <x:v>Obligation</x:v>
      </x:c>
      <x:c r="H355" s="48" t="str">
        <x:v>Contractor</x:v>
      </x:c>
      <x:c r="I355" s="48" t="n">
        <x:v>0.88</x:v>
      </x:c>
      <x:c r="J355" s="48" t="n">
        <x:v>0.92</x:v>
      </x:c>
      <x:c r="K355" s="48" t="str">
        <x:v>No</x:v>
      </x:c>
      <x:c r="L355" s="48" t="str">
        <x:v>PDF text</x:v>
      </x:c>
    </x:row>
    <x:row r="356">
      <x:c r="A356" s="48" t="str">
        <x:v>UNI-0355</x:v>
      </x:c>
      <x:c r="B356" s="48" t="str">
        <x:v>RED</x:v>
      </x:c>
      <x:c r="C356" s="48" t="str">
        <x:v>English</x:v>
      </x:c>
      <x:c r="D356" s="48" t="n">
        <x:v>29</x:v>
      </x:c>
      <x:c r="E356" s="48" t="str"/>
      <x:c r="F356" s="48" t="str">
        <x:v>The system shall be in accordance with the details stated in the Contract.</x:v>
      </x:c>
      <x:c r="G356" s="48" t="str">
        <x:v>Obligation</x:v>
      </x:c>
      <x:c r="H356" s="48" t="str">
        <x:v>Shared</x:v>
      </x:c>
      <x:c r="I356" s="48" t="n">
        <x:v>0.88</x:v>
      </x:c>
      <x:c r="J356" s="48" t="n">
        <x:v>0.4</x:v>
      </x:c>
      <x:c r="K356" s="48" t="str">
        <x:v>Yes</x:v>
      </x:c>
      <x:c r="L356" s="48" t="str">
        <x:v>PDF text</x:v>
      </x:c>
    </x:row>
    <x:row r="357">
      <x:c r="A357" s="48" t="str">
        <x:v>UNI-0356</x:v>
      </x:c>
      <x:c r="B357" s="48" t="str">
        <x:v>RED</x:v>
      </x:c>
      <x:c r="C357" s="48" t="str">
        <x:v>English</x:v>
      </x:c>
      <x:c r="D357" s="48" t="n">
        <x:v>29</x:v>
      </x:c>
      <x:c r="E357" s="48" t="str"/>
      <x:c r="F357" s="48" t="str">
        <x:v>The Engineer shall be entitled to audit any aspect of the system.</x:v>
      </x:c>
      <x:c r="G357" s="48" t="str">
        <x:v>Obligation</x:v>
      </x:c>
      <x:c r="H357" s="48" t="str">
        <x:v>Shared</x:v>
      </x:c>
      <x:c r="I357" s="48" t="n">
        <x:v>0.88</x:v>
      </x:c>
      <x:c r="J357" s="48" t="n">
        <x:v>0.4</x:v>
      </x:c>
      <x:c r="K357" s="48" t="str">
        <x:v>Yes</x:v>
      </x:c>
      <x:c r="L357" s="48" t="str">
        <x:v>PDF text</x:v>
      </x:c>
    </x:row>
    <x:row r="358">
      <x:c r="A358" s="48" t="str">
        <x:v>UNI-0357</x:v>
      </x:c>
      <x:c r="B358" s="48" t="str">
        <x:v>RED</x:v>
      </x:c>
      <x:c r="C358" s="48" t="str">
        <x:v>English</x:v>
      </x:c>
      <x:c r="D358" s="48" t="n">
        <x:v>29</x:v>
      </x:c>
      <x:c r="E358" s="48" t="str"/>
      <x:c r="F358" s="48" t="str">
        <x:v>Details of all procedures and compliance documents shall be submitted to the Engineer for information before each design and execution stage is commenced.</x:v>
      </x:c>
      <x:c r="G358" s="48" t="str">
        <x:v>Obligation</x:v>
      </x:c>
      <x:c r="H358" s="48" t="str">
        <x:v>Shared</x:v>
      </x:c>
      <x:c r="I358" s="48" t="n">
        <x:v>0.88</x:v>
      </x:c>
      <x:c r="J358" s="48" t="n">
        <x:v>0.4</x:v>
      </x:c>
      <x:c r="K358" s="48" t="str">
        <x:v>Yes</x:v>
      </x:c>
      <x:c r="L358" s="48" t="str">
        <x:v>PDF text</x:v>
      </x:c>
    </x:row>
    <x:row r="359">
      <x:c r="A359" s="48" t="str">
        <x:v>UNI-0358</x:v>
      </x:c>
      <x:c r="B359" s="48" t="str">
        <x:v>RED</x:v>
      </x:c>
      <x:c r="C359" s="48" t="str">
        <x:v>English</x:v>
      </x:c>
      <x:c r="D359" s="48" t="n">
        <x:v>29</x:v>
      </x:c>
      <x:c r="E359" s="48" t="str"/>
      <x:c r="F359" s="48" t="str">
        <x:v>When any 4.7</x:v>
      </x:c>
      <x:c r="G359" s="48" t="str">
        <x:v>Obligation</x:v>
      </x:c>
      <x:c r="H359" s="48" t="str">
        <x:v>Shared</x:v>
      </x:c>
      <x:c r="I359" s="48" t="n">
        <x:v>0.45</x:v>
      </x:c>
      <x:c r="J359" s="48" t="n">
        <x:v>0.4</x:v>
      </x:c>
      <x:c r="K359" s="48" t="str">
        <x:v>Yes</x:v>
      </x:c>
      <x:c r="L359" s="48" t="str">
        <x:v>PDF text</x:v>
      </x:c>
    </x:row>
    <x:row r="360">
      <x:c r="A360" s="48" t="str">
        <x:v>UNI-0359</x:v>
      </x:c>
      <x:c r="B360" s="48" t="str">
        <x:v>RED</x:v>
      </x:c>
      <x:c r="C360" s="48" t="str">
        <x:v>English</x:v>
      </x:c>
      <x:c r="D360" s="48" t="n">
        <x:v>29</x:v>
      </x:c>
      <x:c r="E360" s="48" t="str"/>
      <x:c r="F360" s="48" t="str">
        <x:v>Setting Out</x:v>
      </x:c>
      <x:c r="G360" s="48" t="str">
        <x:v>Obligation</x:v>
      </x:c>
      <x:c r="H360" s="48" t="str">
        <x:v>Shared</x:v>
      </x:c>
      <x:c r="I360" s="48" t="n">
        <x:v>0.45</x:v>
      </x:c>
      <x:c r="J360" s="48" t="n">
        <x:v>0.4</x:v>
      </x:c>
      <x:c r="K360" s="48" t="str">
        <x:v>Yes</x:v>
      </x:c>
      <x:c r="L360" s="48" t="str">
        <x:v>PDF text</x:v>
      </x:c>
    </x:row>
    <x:row r="361">
      <x:c r="A361" s="48" t="str">
        <x:v>UNI-0360</x:v>
      </x:c>
      <x:c r="B361" s="48" t="str">
        <x:v>RED</x:v>
      </x:c>
      <x:c r="C361" s="48" t="str">
        <x:v>English</x:v>
      </x:c>
      <x:c r="D361" s="48" t="n">
        <x:v>29</x:v>
      </x:c>
      <x:c r="E361" s="48" t="str"/>
      <x:c r="F361" s="48" t="str">
        <x:v>Safety Procedures</x:v>
      </x:c>
      <x:c r="G361" s="48" t="str">
        <x:v>Obligation</x:v>
      </x:c>
      <x:c r="H361" s="48" t="str">
        <x:v>Shared</x:v>
      </x:c>
      <x:c r="I361" s="48" t="n">
        <x:v>0.45</x:v>
      </x:c>
      <x:c r="J361" s="48" t="n">
        <x:v>0.4</x:v>
      </x:c>
      <x:c r="K361" s="48" t="str">
        <x:v>Yes</x:v>
      </x:c>
      <x:c r="L361" s="48" t="str">
        <x:v>PDF text</x:v>
      </x:c>
    </x:row>
    <x:row r="362">
      <x:c r="A362" s="48" t="str">
        <x:v>UNI-0361</x:v>
      </x:c>
      <x:c r="B362" s="48" t="str">
        <x:v>RED</x:v>
      </x:c>
      <x:c r="C362" s="48" t="str">
        <x:v>English</x:v>
      </x:c>
      <x:c r="D362" s="48" t="n">
        <x:v>29</x:v>
      </x:c>
      <x:c r="E362" s="48" t="str"/>
      <x:c r="F362" s="48" t="str">
        <x:v>Quality Assurance</x:v>
      </x:c>
      <x:c r="G362" s="48" t="str">
        <x:v>Obligation</x:v>
      </x:c>
      <x:c r="H362" s="48" t="str">
        <x:v>Shared</x:v>
      </x:c>
      <x:c r="I362" s="48" t="n">
        <x:v>0.45</x:v>
      </x:c>
      <x:c r="J362" s="48" t="n">
        <x:v>0.4</x:v>
      </x:c>
      <x:c r="K362" s="48" t="str">
        <x:v>Yes</x:v>
      </x:c>
      <x:c r="L362" s="48" t="str">
        <x:v>PDF text</x:v>
      </x:c>
    </x:row>
    <x:row r="363">
      <x:c r="A363" s="48" t="str">
        <x:v>UNI-0362</x:v>
      </x:c>
      <x:c r="B363" s="48" t="str">
        <x:v>RED</x:v>
      </x:c>
      <x:c r="C363" s="48" t="str">
        <x:v>English</x:v>
      </x:c>
      <x:c r="D363" s="48" t="n">
        <x:v>30</x:v>
      </x:c>
      <x:c r="E363" s="48" t="str"/>
      <x:c r="F363" s="48" t="str">
        <x:v>document of a technical nature is issued to the Engineer, evidence of the prior approval by the Contractor himself shall be apparent on the document itself.</x:v>
      </x:c>
      <x:c r="G363" s="48" t="str">
        <x:v>Obligation</x:v>
      </x:c>
      <x:c r="H363" s="48" t="str">
        <x:v>Contractor</x:v>
      </x:c>
      <x:c r="I363" s="48" t="n">
        <x:v>0.88</x:v>
      </x:c>
      <x:c r="J363" s="48" t="n">
        <x:v>0.68</x:v>
      </x:c>
      <x:c r="K363" s="48" t="str">
        <x:v>Yes</x:v>
      </x:c>
      <x:c r="L363" s="48" t="str">
        <x:v>PDF text</x:v>
      </x:c>
    </x:row>
    <x:row r="364">
      <x:c r="A364" s="48" t="str">
        <x:v>UNI-0363</x:v>
      </x:c>
      <x:c r="B364" s="48" t="str">
        <x:v>RED</x:v>
      </x:c>
      <x:c r="C364" s="48" t="str">
        <x:v>English</x:v>
      </x:c>
      <x:c r="D364" s="48" t="n">
        <x:v>30</x:v>
      </x:c>
      <x:c r="E364" s="48" t="str"/>
      <x:c r="F364" s="48" t="str">
        <x:v>Compliance with the quality assurance system shall not relieve the Contractor of any of his duties, obligations or responsibilities under the Contract.</x:v>
      </x:c>
      <x:c r="G364" s="48" t="str">
        <x:v>Obligation</x:v>
      </x:c>
      <x:c r="H364" s="48" t="str">
        <x:v>Contractor</x:v>
      </x:c>
      <x:c r="I364" s="48" t="n">
        <x:v>0.88</x:v>
      </x:c>
      <x:c r="J364" s="48" t="n">
        <x:v>0.68</x:v>
      </x:c>
      <x:c r="K364" s="48" t="str">
        <x:v>Yes</x:v>
      </x:c>
      <x:c r="L364" s="48" t="str">
        <x:v>PDF text</x:v>
      </x:c>
    </x:row>
    <x:row r="365">
      <x:c r="A365" s="48" t="str">
        <x:v>UNI-0364</x:v>
      </x:c>
      <x:c r="B365" s="48" t="str">
        <x:v>RED</x:v>
      </x:c>
      <x:c r="C365" s="48" t="str">
        <x:v>English</x:v>
      </x:c>
      <x:c r="D365" s="48" t="n">
        <x:v>30</x:v>
      </x:c>
      <x:c r="E365" s="48" t="str"/>
      <x:c r="F365" s="48" t="str">
        <x:v>The Employer shall have made available to the Contractor for his information, prior to the Base Date, all relevant data in the Employer’s possession on sub-surface and hydrological conditions at the Site, including environmental aspects.</x:v>
      </x:c>
      <x:c r="G365" s="48" t="str">
        <x:v>Obligation</x:v>
      </x:c>
      <x:c r="H365" s="48" t="str">
        <x:v>Employer</x:v>
      </x:c>
      <x:c r="I365" s="48" t="n">
        <x:v>0.88</x:v>
      </x:c>
      <x:c r="J365" s="48" t="n">
        <x:v>0.92</x:v>
      </x:c>
      <x:c r="K365" s="48" t="str">
        <x:v>No</x:v>
      </x:c>
      <x:c r="L365" s="48" t="str">
        <x:v>PDF text</x:v>
      </x:c>
    </x:row>
    <x:row r="366">
      <x:c r="A366" s="48" t="str">
        <x:v>UNI-0365</x:v>
      </x:c>
      <x:c r="B366" s="48" t="str">
        <x:v>RED</x:v>
      </x:c>
      <x:c r="C366" s="48" t="str">
        <x:v>English</x:v>
      </x:c>
      <x:c r="D366" s="48" t="n">
        <x:v>30</x:v>
      </x:c>
      <x:c r="E366" s="48" t="str"/>
      <x:c r="F366" s="48" t="str">
        <x:v>The Employer shall similarly make available to the Contractor all such data which come into the Employer’s possession after the Base Date.</x:v>
      </x:c>
      <x:c r="G366" s="48" t="str">
        <x:v>Obligation</x:v>
      </x:c>
      <x:c r="H366" s="48" t="str">
        <x:v>Employer</x:v>
      </x:c>
      <x:c r="I366" s="48" t="n">
        <x:v>0.88</x:v>
      </x:c>
      <x:c r="J366" s="48" t="n">
        <x:v>0.92</x:v>
      </x:c>
      <x:c r="K366" s="48" t="str">
        <x:v>No</x:v>
      </x:c>
      <x:c r="L366" s="48" t="str">
        <x:v>PDF text</x:v>
      </x:c>
    </x:row>
    <x:row r="367">
      <x:c r="A367" s="48" t="str">
        <x:v>UNI-0366</x:v>
      </x:c>
      <x:c r="B367" s="48" t="str">
        <x:v>RED</x:v>
      </x:c>
      <x:c r="C367" s="48" t="str">
        <x:v>English</x:v>
      </x:c>
      <x:c r="D367" s="48" t="n">
        <x:v>30</x:v>
      </x:c>
      <x:c r="E367" s="48" t="str"/>
      <x:c r="F367" s="48" t="str">
        <x:v>The Contractor shall be responsible for interpreting all such data.</x:v>
      </x:c>
      <x:c r="G367" s="48" t="str">
        <x:v>Obligation</x:v>
      </x:c>
      <x:c r="H367" s="48" t="str">
        <x:v>Contractor</x:v>
      </x:c>
      <x:c r="I367" s="48" t="n">
        <x:v>0.88</x:v>
      </x:c>
      <x:c r="J367" s="48" t="n">
        <x:v>0.92</x:v>
      </x:c>
      <x:c r="K367" s="48" t="str">
        <x:v>No</x:v>
      </x:c>
      <x:c r="L367" s="48" t="str">
        <x:v>PDF text</x:v>
      </x:c>
    </x:row>
    <x:row r="368">
      <x:c r="A368" s="48" t="str">
        <x:v>UNI-0367</x:v>
      </x:c>
      <x:c r="B368" s="48" t="str">
        <x:v>RED</x:v>
      </x:c>
      <x:c r="C368" s="48" t="str">
        <x:v>English</x:v>
      </x:c>
      <x:c r="D368" s="48" t="n">
        <x:v>30</x:v>
      </x:c>
      <x:c r="E368" s="48" t="str"/>
      <x:c r="F368" s="48" t="str">
        <x:v>To the extent which was practicable (taking account of cost and time), the Contractor shall be deemed to have obtained all necessary information as to risks, contingencies and other circumstances which may influence or affect the Tender or Works.</x:v>
      </x:c>
      <x:c r="G368" s="48" t="str">
        <x:v>Obligation</x:v>
      </x:c>
      <x:c r="H368" s="48" t="str">
        <x:v>Contractor</x:v>
      </x:c>
      <x:c r="I368" s="48" t="n">
        <x:v>0.88</x:v>
      </x:c>
      <x:c r="J368" s="48" t="n">
        <x:v>0.92</x:v>
      </x:c>
      <x:c r="K368" s="48" t="str">
        <x:v>No</x:v>
      </x:c>
      <x:c r="L368" s="48" t="str">
        <x:v>PDF text</x:v>
      </x:c>
    </x:row>
    <x:row r="369">
      <x:c r="A369" s="48" t="str">
        <x:v>UNI-0368</x:v>
      </x:c>
      <x:c r="B369" s="48" t="str">
        <x:v>RED</x:v>
      </x:c>
      <x:c r="C369" s="48" t="str">
        <x:v>English</x:v>
      </x:c>
      <x:c r="D369" s="48" t="n">
        <x:v>30</x:v>
      </x:c>
      <x:c r="E369" s="48" t="str"/>
      <x:c r="F369" s="48" t="str">
        <x:v>To the same extent, the Contractor shall be deemed to have inspected and examined the Site, its surroundings, the above data and other available information, and to have been satisfied before submitting the Tender as to all relevant matters, including (without limitation): (a) the form and nature of the Site, including sub-surface conditions, (b) the hydrological and climatic conditions, (c) the extent and nature of the work and Goods necessary for the execution and completion of the Works and the remedying of any defects, (d) the Laws, procedures and labour practices of the Country, and (e) the Contractor’s requirements for access, accommodation, facilities, personnel, power, transport, water and other services.</x:v>
      </x:c>
      <x:c r="G369" s="48" t="str">
        <x:v>Obligation</x:v>
      </x:c>
      <x:c r="H369" s="48" t="str">
        <x:v>Contractor</x:v>
      </x:c>
      <x:c r="I369" s="48" t="n">
        <x:v>0.88</x:v>
      </x:c>
      <x:c r="J369" s="48" t="n">
        <x:v>0.92</x:v>
      </x:c>
      <x:c r="K369" s="48" t="str">
        <x:v>No</x:v>
      </x:c>
      <x:c r="L369" s="48" t="str">
        <x:v>PDF text</x:v>
      </x:c>
    </x:row>
    <x:row r="370">
      <x:c r="A370" s="48" t="str">
        <x:v>UNI-0369</x:v>
      </x:c>
      <x:c r="B370" s="48" t="str">
        <x:v>RED</x:v>
      </x:c>
      <x:c r="C370" s="48" t="str">
        <x:v>English</x:v>
      </x:c>
      <x:c r="D370" s="48" t="n">
        <x:v>30</x:v>
      </x:c>
      <x:c r="E370" s="48" t="str"/>
      <x:c r="F370" s="48" t="str">
        <x:v>The Contractor shall be deemed to: (a) have satisfied himself as to the correctness and sufficiency of the Accepted</x:v>
      </x:c>
      <x:c r="G370" s="48" t="str">
        <x:v>Obligation</x:v>
      </x:c>
      <x:c r="H370" s="48" t="str">
        <x:v>Contractor</x:v>
      </x:c>
      <x:c r="I370" s="48" t="n">
        <x:v>0.88</x:v>
      </x:c>
      <x:c r="J370" s="48" t="n">
        <x:v>0.92</x:v>
      </x:c>
      <x:c r="K370" s="48" t="str">
        <x:v>No</x:v>
      </x:c>
      <x:c r="L370" s="48" t="str">
        <x:v>PDF text</x:v>
      </x:c>
    </x:row>
    <x:row r="371">
      <x:c r="A371" s="48" t="str">
        <x:v>UNI-0370</x:v>
      </x:c>
      <x:c r="B371" s="48" t="str">
        <x:v>RED</x:v>
      </x:c>
      <x:c r="C371" s="48" t="str">
        <x:v>English</x:v>
      </x:c>
      <x:c r="D371" s="48" t="n">
        <x:v>30</x:v>
      </x:c>
      <x:c r="E371" s="48" t="str"/>
      <x:c r="F371" s="48" t="str">
        <x:v>Contract Amount, and</x:v>
      </x:c>
      <x:c r="G371" s="48" t="str">
        <x:v>Obligation</x:v>
      </x:c>
      <x:c r="H371" s="48" t="str">
        <x:v>Shared</x:v>
      </x:c>
      <x:c r="I371" s="48" t="n">
        <x:v>0.45</x:v>
      </x:c>
      <x:c r="J371" s="48" t="n">
        <x:v>0.4</x:v>
      </x:c>
      <x:c r="K371" s="48" t="str">
        <x:v>Yes</x:v>
      </x:c>
      <x:c r="L371" s="48" t="str">
        <x:v>PDF text</x:v>
      </x:c>
    </x:row>
    <x:row r="372">
      <x:c r="A372" s="48" t="str">
        <x:v>UNI-0371</x:v>
      </x:c>
      <x:c r="B372" s="48" t="str">
        <x:v>RED</x:v>
      </x:c>
      <x:c r="C372" s="48" t="str">
        <x:v>English</x:v>
      </x:c>
      <x:c r="D372" s="48" t="n">
        <x:v>30</x:v>
      </x:c>
      <x:c r="E372" s="48" t="str"/>
      <x:c r="F372" s="48" t="str">
        <x:v>(b) have based the Accepted Contract Amount on the data, interpretations, necessary information, inspections, examinations and satisfaction as to all relevant matters referred to in Sub-Clause 4.10 [Site Data].</x:v>
      </x:c>
      <x:c r="G372" s="48" t="str">
        <x:v>Obligation</x:v>
      </x:c>
      <x:c r="H372" s="48" t="str">
        <x:v>Shared</x:v>
      </x:c>
      <x:c r="I372" s="48" t="n">
        <x:v>0.45</x:v>
      </x:c>
      <x:c r="J372" s="48" t="n">
        <x:v>0.4</x:v>
      </x:c>
      <x:c r="K372" s="48" t="str">
        <x:v>Yes</x:v>
      </x:c>
      <x:c r="L372" s="48" t="str">
        <x:v>PDF text</x:v>
      </x:c>
    </x:row>
    <x:row r="373">
      <x:c r="A373" s="48" t="str">
        <x:v>UNI-0372</x:v>
      </x:c>
      <x:c r="B373" s="48" t="str">
        <x:v>RED</x:v>
      </x:c>
      <x:c r="C373" s="48" t="str">
        <x:v>English</x:v>
      </x:c>
      <x:c r="D373" s="48" t="n">
        <x:v>30</x:v>
      </x:c>
      <x:c r="E373" s="48" t="str"/>
      <x:c r="F373" s="48" t="str">
        <x:v>Unless otherwise stated in the Contract, the Accepted Contract Amount covers all the Contractor’s obligations under the Contract (including those under Provisional Sums, if any) and all things necessary for the proper execution and completion of the Works and the remedying of any defects.</x:v>
      </x:c>
      <x:c r="G373" s="48" t="str">
        <x:v>Obligation</x:v>
      </x:c>
      <x:c r="H373" s="48" t="str">
        <x:v>Contractor</x:v>
      </x:c>
      <x:c r="I373" s="48" t="n">
        <x:v>0.45</x:v>
      </x:c>
      <x:c r="J373" s="48" t="n">
        <x:v>0.68</x:v>
      </x:c>
      <x:c r="K373" s="48" t="str">
        <x:v>Yes</x:v>
      </x:c>
      <x:c r="L373" s="48" t="str">
        <x:v>PDF text</x:v>
      </x:c>
    </x:row>
    <x:row r="374">
      <x:c r="A374" s="48" t="str">
        <x:v>UNI-0373</x:v>
      </x:c>
      <x:c r="B374" s="48" t="str">
        <x:v>RED</x:v>
      </x:c>
      <x:c r="C374" s="48" t="str">
        <x:v>English</x:v>
      </x:c>
      <x:c r="D374" s="48" t="n">
        <x:v>30</x:v>
      </x:c>
      <x:c r="E374" s="48" t="str"/>
      <x:c r="F374" s="48" t="str">
        <x:v>In this Sub-Clause, “physical conditions” means natural physical conditions and manmade and other physical obstructions and pollutants, which the Contractor encounters at the Site when executing the Works, including sub-surface and hydrological conditions but excluding climatic conditions.</x:v>
      </x:c>
      <x:c r="G374" s="48" t="str">
        <x:v>Definition</x:v>
      </x:c>
      <x:c r="H374" s="48" t="str"/>
      <x:c r="I374" s="48" t="n">
        <x:v>0.97</x:v>
      </x:c>
      <x:c r="J374" s="48" t="n">
        <x:v>0.99</x:v>
      </x:c>
      <x:c r="K374" s="48" t="str">
        <x:v>No</x:v>
      </x:c>
      <x:c r="L374" s="48" t="str">
        <x:v>PDF text</x:v>
      </x:c>
    </x:row>
    <x:row r="375">
      <x:c r="A375" s="48" t="str">
        <x:v>UNI-0374</x:v>
      </x:c>
      <x:c r="B375" s="48" t="str">
        <x:v>RED</x:v>
      </x:c>
      <x:c r="C375" s="48" t="str">
        <x:v>English</x:v>
      </x:c>
      <x:c r="D375" s="48" t="n">
        <x:v>30</x:v>
      </x:c>
      <x:c r="E375" s="48" t="str"/>
      <x:c r="F375" s="48" t="str">
        <x:v>If the Contractor encounters adverse physical conditions which he considers to have been Unforeseeable, the Contractor shall give notice to the Engineer as soon as practicable.</x:v>
      </x:c>
      <x:c r="G375" s="48" t="str">
        <x:v>Risk</x:v>
      </x:c>
      <x:c r="H375" s="48" t="str">
        <x:v>Contractor</x:v>
      </x:c>
      <x:c r="I375" s="48" t="n">
        <x:v>0.78</x:v>
      </x:c>
      <x:c r="J375" s="48" t="n">
        <x:v>0.92</x:v>
      </x:c>
      <x:c r="K375" s="48" t="str">
        <x:v>No</x:v>
      </x:c>
      <x:c r="L375" s="48" t="str">
        <x:v>PDF text</x:v>
      </x:c>
    </x:row>
    <x:row r="376">
      <x:c r="A376" s="48" t="str">
        <x:v>UNI-0375</x:v>
      </x:c>
      <x:c r="B376" s="48" t="str">
        <x:v>RED</x:v>
      </x:c>
      <x:c r="C376" s="48" t="str">
        <x:v>English</x:v>
      </x:c>
      <x:c r="D376" s="48" t="n">
        <x:v>30</x:v>
      </x:c>
      <x:c r="E376" s="48" t="str"/>
      <x:c r="F376" s="48" t="str">
        <x:v>This notice shall describe the physical conditions, so that they can be inspected by the Engineer, and shall set out the reasons why the Contractor considers them to be 4.10</x:v>
      </x:c>
      <x:c r="G376" s="48" t="str">
        <x:v>Obligation</x:v>
      </x:c>
      <x:c r="H376" s="48" t="str">
        <x:v>Contractor</x:v>
      </x:c>
      <x:c r="I376" s="48" t="n">
        <x:v>0.88</x:v>
      </x:c>
      <x:c r="J376" s="48" t="n">
        <x:v>0.68</x:v>
      </x:c>
      <x:c r="K376" s="48" t="str">
        <x:v>Yes</x:v>
      </x:c>
      <x:c r="L376" s="48" t="str">
        <x:v>PDF text</x:v>
      </x:c>
    </x:row>
    <x:row r="377">
      <x:c r="A377" s="48" t="str">
        <x:v>UNI-0376</x:v>
      </x:c>
      <x:c r="B377" s="48" t="str">
        <x:v>RED</x:v>
      </x:c>
      <x:c r="C377" s="48" t="str">
        <x:v>English</x:v>
      </x:c>
      <x:c r="D377" s="48" t="n">
        <x:v>30</x:v>
      </x:c>
      <x:c r="E377" s="48" t="str"/>
      <x:c r="F377" s="48" t="str">
        <x:v>Site Data</x:v>
      </x:c>
      <x:c r="G377" s="48" t="str">
        <x:v>Obligation</x:v>
      </x:c>
      <x:c r="H377" s="48" t="str">
        <x:v>Shared</x:v>
      </x:c>
      <x:c r="I377" s="48" t="n">
        <x:v>0.45</x:v>
      </x:c>
      <x:c r="J377" s="48" t="n">
        <x:v>0.4</x:v>
      </x:c>
      <x:c r="K377" s="48" t="str">
        <x:v>Yes</x:v>
      </x:c>
      <x:c r="L377" s="48" t="str">
        <x:v>PDF text</x:v>
      </x:c>
    </x:row>
    <x:row r="378">
      <x:c r="A378" s="48" t="str">
        <x:v>UNI-0377</x:v>
      </x:c>
      <x:c r="B378" s="48" t="str">
        <x:v>RED</x:v>
      </x:c>
      <x:c r="C378" s="48" t="str">
        <x:v>English</x:v>
      </x:c>
      <x:c r="D378" s="48" t="n">
        <x:v>30</x:v>
      </x:c>
      <x:c r="E378" s="48" t="str"/>
      <x:c r="F378" s="48" t="str">
        <x:v>Sufficiency of the</x:v>
      </x:c>
      <x:c r="G378" s="48" t="str">
        <x:v>Obligation</x:v>
      </x:c>
      <x:c r="H378" s="48" t="str">
        <x:v>Shared</x:v>
      </x:c>
      <x:c r="I378" s="48" t="n">
        <x:v>0.45</x:v>
      </x:c>
      <x:c r="J378" s="48" t="n">
        <x:v>0.4</x:v>
      </x:c>
      <x:c r="K378" s="48" t="str">
        <x:v>Yes</x:v>
      </x:c>
      <x:c r="L378" s="48" t="str">
        <x:v>PDF text</x:v>
      </x:c>
    </x:row>
    <x:row r="379">
      <x:c r="A379" s="48" t="str">
        <x:v>UNI-0378</x:v>
      </x:c>
      <x:c r="B379" s="48" t="str">
        <x:v>RED</x:v>
      </x:c>
      <x:c r="C379" s="48" t="str">
        <x:v>English</x:v>
      </x:c>
      <x:c r="D379" s="48" t="n">
        <x:v>30</x:v>
      </x:c>
      <x:c r="E379" s="48" t="str"/>
      <x:c r="F379" s="48" t="str">
        <x:v>Accepted Contract</x:v>
      </x:c>
      <x:c r="G379" s="48" t="str">
        <x:v>Obligation</x:v>
      </x:c>
      <x:c r="H379" s="48" t="str">
        <x:v>Shared</x:v>
      </x:c>
      <x:c r="I379" s="48" t="n">
        <x:v>0.45</x:v>
      </x:c>
      <x:c r="J379" s="48" t="n">
        <x:v>0.4</x:v>
      </x:c>
      <x:c r="K379" s="48" t="str">
        <x:v>Yes</x:v>
      </x:c>
      <x:c r="L379" s="48" t="str">
        <x:v>PDF text</x:v>
      </x:c>
    </x:row>
    <x:row r="380">
      <x:c r="A380" s="48" t="str">
        <x:v>UNI-0379</x:v>
      </x:c>
      <x:c r="B380" s="48" t="str">
        <x:v>RED</x:v>
      </x:c>
      <x:c r="C380" s="48" t="str">
        <x:v>English</x:v>
      </x:c>
      <x:c r="D380" s="48" t="n">
        <x:v>30</x:v>
      </x:c>
      <x:c r="E380" s="48" t="str"/>
      <x:c r="F380" s="48" t="str">
        <x:v>Unforeseeable Physical</x:v>
      </x:c>
      <x:c r="G380" s="48" t="str">
        <x:v>Obligation</x:v>
      </x:c>
      <x:c r="H380" s="48" t="str">
        <x:v>Shared</x:v>
      </x:c>
      <x:c r="I380" s="48" t="n">
        <x:v>0.45</x:v>
      </x:c>
      <x:c r="J380" s="48" t="n">
        <x:v>0.4</x:v>
      </x:c>
      <x:c r="K380" s="48" t="str">
        <x:v>Yes</x:v>
      </x:c>
      <x:c r="L380" s="48" t="str">
        <x:v>PDF text</x:v>
      </x:c>
    </x:row>
    <x:row r="381">
      <x:c r="A381" s="48" t="str">
        <x:v>UNI-0380</x:v>
      </x:c>
      <x:c r="B381" s="48" t="str">
        <x:v>RED</x:v>
      </x:c>
      <x:c r="C381" s="48" t="str">
        <x:v>English</x:v>
      </x:c>
      <x:c r="D381" s="48" t="n">
        <x:v>30</x:v>
      </x:c>
      <x:c r="E381" s="48" t="str"/>
      <x:c r="F381" s="48" t="str">
        <x:v>Conditions</x:v>
      </x:c>
      <x:c r="G381" s="48" t="str">
        <x:v>Obligation</x:v>
      </x:c>
      <x:c r="H381" s="48" t="str">
        <x:v>Shared</x:v>
      </x:c>
      <x:c r="I381" s="48" t="n">
        <x:v>0.45</x:v>
      </x:c>
      <x:c r="J381" s="48" t="n">
        <x:v>0.4</x:v>
      </x:c>
      <x:c r="K381" s="48" t="str">
        <x:v>Yes</x:v>
      </x:c>
      <x:c r="L381" s="48" t="str">
        <x:v>PDF text</x:v>
      </x:c>
    </x:row>
    <x:row r="382">
      <x:c r="A382" s="48" t="str">
        <x:v>UNI-0381</x:v>
      </x:c>
      <x:c r="B382" s="48" t="str">
        <x:v>RED</x:v>
      </x:c>
      <x:c r="C382" s="48" t="str">
        <x:v>English</x:v>
      </x:c>
      <x:c r="D382" s="48" t="n">
        <x:v>31</x:v>
      </x:c>
      <x:c r="E382" s="48" t="str"/>
      <x:c r="F382" s="48" t="str">
        <x:v>Unforeseeable.</x:v>
      </x:c>
      <x:c r="G382" s="48" t="str">
        <x:v>Obligation</x:v>
      </x:c>
      <x:c r="H382" s="48" t="str">
        <x:v>Shared</x:v>
      </x:c>
      <x:c r="I382" s="48" t="n">
        <x:v>0.45</x:v>
      </x:c>
      <x:c r="J382" s="48" t="n">
        <x:v>0.4</x:v>
      </x:c>
      <x:c r="K382" s="48" t="str">
        <x:v>Yes</x:v>
      </x:c>
      <x:c r="L382" s="48" t="str">
        <x:v>PDF text</x:v>
      </x:c>
    </x:row>
    <x:row r="383">
      <x:c r="A383" s="48" t="str">
        <x:v>UNI-0382</x:v>
      </x:c>
      <x:c r="B383" s="48" t="str">
        <x:v>RED</x:v>
      </x:c>
      <x:c r="C383" s="48" t="str">
        <x:v>English</x:v>
      </x:c>
      <x:c r="D383" s="48" t="n">
        <x:v>31</x:v>
      </x:c>
      <x:c r="E383" s="48" t="str"/>
      <x:c r="F383" s="48" t="str">
        <x:v>The Contractor shall continue executing the Works, using such proper and reasonable measures as are appropriate for the physical conditions, and shall comply with any instructions which the Engineer may give.</x:v>
      </x:c>
      <x:c r="G383" s="48" t="str">
        <x:v>Obligation</x:v>
      </x:c>
      <x:c r="H383" s="48" t="str">
        <x:v>Contractor</x:v>
      </x:c>
      <x:c r="I383" s="48" t="n">
        <x:v>0.88</x:v>
      </x:c>
      <x:c r="J383" s="48" t="n">
        <x:v>0.92</x:v>
      </x:c>
      <x:c r="K383" s="48" t="str">
        <x:v>No</x:v>
      </x:c>
      <x:c r="L383" s="48" t="str">
        <x:v>PDF text</x:v>
      </x:c>
    </x:row>
    <x:row r="384">
      <x:c r="A384" s="48" t="str">
        <x:v>UNI-0383</x:v>
      </x:c>
      <x:c r="B384" s="48" t="str">
        <x:v>RED</x:v>
      </x:c>
      <x:c r="C384" s="48" t="str">
        <x:v>English</x:v>
      </x:c>
      <x:c r="D384" s="48" t="n">
        <x:v>31</x:v>
      </x:c>
      <x:c r="E384" s="48" t="str"/>
      <x:c r="F384" s="48" t="str">
        <x:v>If and to the extent that the Contractor encounters physical conditions which are</x:v>
      </x:c>
      <x:c r="G384" s="48" t="str">
        <x:v>Obligation</x:v>
      </x:c>
      <x:c r="H384" s="48" t="str">
        <x:v>Contractor</x:v>
      </x:c>
      <x:c r="I384" s="48" t="n">
        <x:v>0.45</x:v>
      </x:c>
      <x:c r="J384" s="48" t="n">
        <x:v>0.68</x:v>
      </x:c>
      <x:c r="K384" s="48" t="str">
        <x:v>Yes</x:v>
      </x:c>
      <x:c r="L384" s="48" t="str">
        <x:v>PDF text</x:v>
      </x:c>
    </x:row>
    <x:row r="385">
      <x:c r="A385" s="48" t="str">
        <x:v>UNI-0384</x:v>
      </x:c>
      <x:c r="B385" s="48" t="str">
        <x:v>RED</x:v>
      </x:c>
      <x:c r="C385" s="48" t="str">
        <x:v>English</x:v>
      </x:c>
      <x:c r="D385" s="48" t="n">
        <x:v>31</x:v>
      </x:c>
      <x:c r="E385" s="48" t="str"/>
      <x:c r="F385" s="48" t="str">
        <x:v>Unforeseeable, gives such a notice, and suffers delay and/or incurs Cost due to these conditions, the Contractor shall be entitled subject to Sub-Clause 20.1 [Contractor’s Claims] to: (a) an extension of time for any such delay, if completion is or will be delayed, under Sub-Clause 8.4 [Extension of Time for Completion], and (b) payment of any such Cost, which shall be included in the Contract Price.</x:v>
      </x:c>
      <x:c r="G385" s="48" t="str">
        <x:v>Risk</x:v>
      </x:c>
      <x:c r="H385" s="48" t="str">
        <x:v>Contractor</x:v>
      </x:c>
      <x:c r="I385" s="48" t="n">
        <x:v>0.78</x:v>
      </x:c>
      <x:c r="J385" s="48" t="n">
        <x:v>0.92</x:v>
      </x:c>
      <x:c r="K385" s="48" t="str">
        <x:v>No</x:v>
      </x:c>
      <x:c r="L385" s="48" t="str">
        <x:v>PDF text</x:v>
      </x:c>
    </x:row>
    <x:row r="386">
      <x:c r="A386" s="48" t="str">
        <x:v>UNI-0385</x:v>
      </x:c>
      <x:c r="B386" s="48" t="str">
        <x:v>RED</x:v>
      </x:c>
      <x:c r="C386" s="48" t="str">
        <x:v>English</x:v>
      </x:c>
      <x:c r="D386" s="48" t="n">
        <x:v>31</x:v>
      </x:c>
      <x:c r="E386" s="48" t="str"/>
      <x:c r="F386" s="48" t="str">
        <x:v>After receiving such notice and inspecting and/or investigating these physical</x:v>
      </x:c>
      <x:c r="G386" s="48" t="str">
        <x:v>Obligation</x:v>
      </x:c>
      <x:c r="H386" s="48" t="str">
        <x:v>Shared</x:v>
      </x:c>
      <x:c r="I386" s="48" t="n">
        <x:v>0.55</x:v>
      </x:c>
      <x:c r="J386" s="48" t="n">
        <x:v>0.4</x:v>
      </x:c>
      <x:c r="K386" s="48" t="str">
        <x:v>Yes</x:v>
      </x:c>
      <x:c r="L386" s="48" t="str">
        <x:v>PDF text</x:v>
      </x:c>
    </x:row>
    <x:row r="387">
      <x:c r="A387" s="48" t="str">
        <x:v>UNI-0386</x:v>
      </x:c>
      <x:c r="B387" s="48" t="str">
        <x:v>RED</x:v>
      </x:c>
      <x:c r="C387" s="48" t="str">
        <x:v>English</x:v>
      </x:c>
      <x:c r="D387" s="48" t="n">
        <x:v>31</x:v>
      </x:c>
      <x:c r="E387" s="48" t="str"/>
      <x:c r="F387" s="48" t="str">
        <x:v>conditions, the Engineer shall proceed in accordance with Sub-Clause 3.5 [Determinations] to agree or determine (i) whether and (if so) to what extent these physical conditions were Unforeseeable, and (ii) the matters described in subparagraphs (a) and (b) above related to this extent.</x:v>
      </x:c>
      <x:c r="G387" s="48" t="str">
        <x:v>Risk</x:v>
      </x:c>
      <x:c r="H387" s="48" t="str">
        <x:v>Shared</x:v>
      </x:c>
      <x:c r="I387" s="48" t="n">
        <x:v>0.78</x:v>
      </x:c>
      <x:c r="J387" s="48" t="n">
        <x:v>0.4</x:v>
      </x:c>
      <x:c r="K387" s="48" t="str">
        <x:v>Yes</x:v>
      </x:c>
      <x:c r="L387" s="48" t="str">
        <x:v>PDF text</x:v>
      </x:c>
    </x:row>
    <x:row r="388">
      <x:c r="A388" s="48" t="str">
        <x:v>UNI-0387</x:v>
      </x:c>
      <x:c r="B388" s="48" t="str">
        <x:v>RED</x:v>
      </x:c>
      <x:c r="C388" s="48" t="str">
        <x:v>English</x:v>
      </x:c>
      <x:c r="D388" s="48" t="n">
        <x:v>31</x:v>
      </x:c>
      <x:c r="E388" s="48" t="str"/>
      <x:c r="F388" s="48" t="str">
        <x:v>However, before additional Cost is finally agreed or determined under sub-paragraph (ii), the Engineer may also review whether other physical conditions in similar parts of the Works (if any) were more favourable than could reasonably have been foreseen when the Contractor submitted the Tender.</x:v>
      </x:c>
      <x:c r="G388" s="48" t="str">
        <x:v>Right</x:v>
      </x:c>
      <x:c r="H388" s="48" t="str">
        <x:v>Contractor</x:v>
      </x:c>
      <x:c r="I388" s="48" t="n">
        <x:v>0.78</x:v>
      </x:c>
      <x:c r="J388" s="48" t="n">
        <x:v>0.68</x:v>
      </x:c>
      <x:c r="K388" s="48" t="str">
        <x:v>Yes</x:v>
      </x:c>
      <x:c r="L388" s="48" t="str">
        <x:v>PDF text</x:v>
      </x:c>
    </x:row>
    <x:row r="389">
      <x:c r="A389" s="48" t="str">
        <x:v>UNI-0388</x:v>
      </x:c>
      <x:c r="B389" s="48" t="str">
        <x:v>RED</x:v>
      </x:c>
      <x:c r="C389" s="48" t="str">
        <x:v>English</x:v>
      </x:c>
      <x:c r="D389" s="48" t="n">
        <x:v>31</x:v>
      </x:c>
      <x:c r="E389" s="48" t="str"/>
      <x:c r="F389" s="48" t="str">
        <x:v>If and to the extent that these more favourable conditions were encountered, the Engineer may proceed in accordance with Sub-Clause 3.5 [Determinations] to agree or determine the reductions in Cost which were due to these conditions, which may be included (as deductions) in the Contract Price and Payment Certificates.</x:v>
      </x:c>
      <x:c r="G389" s="48" t="str">
        <x:v>Right</x:v>
      </x:c>
      <x:c r="H389" s="48" t="str">
        <x:v>Shared</x:v>
      </x:c>
      <x:c r="I389" s="48" t="n">
        <x:v>0.78</x:v>
      </x:c>
      <x:c r="J389" s="48" t="n">
        <x:v>0.4</x:v>
      </x:c>
      <x:c r="K389" s="48" t="str">
        <x:v>Yes</x:v>
      </x:c>
      <x:c r="L389" s="48" t="str">
        <x:v>PDF text</x:v>
      </x:c>
    </x:row>
    <x:row r="390">
      <x:c r="A390" s="48" t="str">
        <x:v>UNI-0389</x:v>
      </x:c>
      <x:c r="B390" s="48" t="str">
        <x:v>RED</x:v>
      </x:c>
      <x:c r="C390" s="48" t="str">
        <x:v>English</x:v>
      </x:c>
      <x:c r="D390" s="48" t="n">
        <x:v>31</x:v>
      </x:c>
      <x:c r="E390" s="48" t="str"/>
      <x:c r="F390" s="48" t="str">
        <x:v>However, the net effect of all adjustments under sub-paragraph (b) and all these reductions, for all the physical conditions encountered in similar parts of the Works, shall not result in a net reduction in the Contract Price.</x:v>
      </x:c>
      <x:c r="G390" s="48" t="str">
        <x:v>Obligation</x:v>
      </x:c>
      <x:c r="H390" s="48" t="str">
        <x:v>Shared</x:v>
      </x:c>
      <x:c r="I390" s="48" t="n">
        <x:v>0.88</x:v>
      </x:c>
      <x:c r="J390" s="48" t="n">
        <x:v>0.4</x:v>
      </x:c>
      <x:c r="K390" s="48" t="str">
        <x:v>Yes</x:v>
      </x:c>
      <x:c r="L390" s="48" t="str">
        <x:v>PDF text</x:v>
      </x:c>
    </x:row>
    <x:row r="391">
      <x:c r="A391" s="48" t="str">
        <x:v>UNI-0390</x:v>
      </x:c>
      <x:c r="B391" s="48" t="str">
        <x:v>RED</x:v>
      </x:c>
      <x:c r="C391" s="48" t="str">
        <x:v>English</x:v>
      </x:c>
      <x:c r="D391" s="48" t="n">
        <x:v>31</x:v>
      </x:c>
      <x:c r="E391" s="48" t="str"/>
      <x:c r="F391" s="48" t="str">
        <x:v>The Engineer may take account of any evidence of the physical conditions foreseen</x:v>
      </x:c>
      <x:c r="G391" s="48" t="str">
        <x:v>Right</x:v>
      </x:c>
      <x:c r="H391" s="48" t="str">
        <x:v>Shared</x:v>
      </x:c>
      <x:c r="I391" s="48" t="n">
        <x:v>0.78</x:v>
      </x:c>
      <x:c r="J391" s="48" t="n">
        <x:v>0.4</x:v>
      </x:c>
      <x:c r="K391" s="48" t="str">
        <x:v>Yes</x:v>
      </x:c>
      <x:c r="L391" s="48" t="str">
        <x:v>PDF text</x:v>
      </x:c>
    </x:row>
    <x:row r="392">
      <x:c r="A392" s="48" t="str">
        <x:v>UNI-0391</x:v>
      </x:c>
      <x:c r="B392" s="48" t="str">
        <x:v>RED</x:v>
      </x:c>
      <x:c r="C392" s="48" t="str">
        <x:v>English</x:v>
      </x:c>
      <x:c r="D392" s="48" t="n">
        <x:v>31</x:v>
      </x:c>
      <x:c r="E392" s="48" t="str"/>
      <x:c r="F392" s="48" t="str">
        <x:v>by the Contractor when submitting the Tender, which may be made available by the Contractor, but shall not be bound by any such evidence.</x:v>
      </x:c>
      <x:c r="G392" s="48" t="str">
        <x:v>Obligation</x:v>
      </x:c>
      <x:c r="H392" s="48" t="str">
        <x:v>Contractor</x:v>
      </x:c>
      <x:c r="I392" s="48" t="n">
        <x:v>0.88</x:v>
      </x:c>
      <x:c r="J392" s="48" t="n">
        <x:v>0.68</x:v>
      </x:c>
      <x:c r="K392" s="48" t="str">
        <x:v>Yes</x:v>
      </x:c>
      <x:c r="L392" s="48" t="str">
        <x:v>PDF text</x:v>
      </x:c>
    </x:row>
    <x:row r="393">
      <x:c r="A393" s="48" t="str">
        <x:v>UNI-0392</x:v>
      </x:c>
      <x:c r="B393" s="48" t="str">
        <x:v>RED</x:v>
      </x:c>
      <x:c r="C393" s="48" t="str">
        <x:v>English</x:v>
      </x:c>
      <x:c r="D393" s="48" t="n">
        <x:v>31</x:v>
      </x:c>
      <x:c r="E393" s="48" t="str"/>
      <x:c r="F393" s="48" t="str">
        <x:v>The Contractor shall bear all costs and charges for special and/or temporary rightsof-way which he may require, including those for access to the Site.</x:v>
      </x:c>
      <x:c r="G393" s="48" t="str">
        <x:v>Obligation</x:v>
      </x:c>
      <x:c r="H393" s="48" t="str">
        <x:v>Contractor</x:v>
      </x:c>
      <x:c r="I393" s="48" t="n">
        <x:v>0.88</x:v>
      </x:c>
      <x:c r="J393" s="48" t="n">
        <x:v>0.92</x:v>
      </x:c>
      <x:c r="K393" s="48" t="str">
        <x:v>No</x:v>
      </x:c>
      <x:c r="L393" s="48" t="str">
        <x:v>PDF text</x:v>
      </x:c>
    </x:row>
    <x:row r="394">
      <x:c r="A394" s="48" t="str">
        <x:v>UNI-0393</x:v>
      </x:c>
      <x:c r="B394" s="48" t="str">
        <x:v>RED</x:v>
      </x:c>
      <x:c r="C394" s="48" t="str">
        <x:v>English</x:v>
      </x:c>
      <x:c r="D394" s="48" t="n">
        <x:v>31</x:v>
      </x:c>
      <x:c r="E394" s="48" t="str"/>
      <x:c r="F394" s="48" t="str">
        <x:v>The Contractor shall also obtain, at his risk and cost, any additional facilities outside the Site which he may require for the purposes of the Works.</x:v>
      </x:c>
      <x:c r="G394" s="48" t="str">
        <x:v>Risk</x:v>
      </x:c>
      <x:c r="H394" s="48" t="str">
        <x:v>Contractor</x:v>
      </x:c>
      <x:c r="I394" s="48" t="n">
        <x:v>0.78</x:v>
      </x:c>
      <x:c r="J394" s="48" t="n">
        <x:v>0.92</x:v>
      </x:c>
      <x:c r="K394" s="48" t="str">
        <x:v>No</x:v>
      </x:c>
      <x:c r="L394" s="48" t="str">
        <x:v>PDF text</x:v>
      </x:c>
    </x:row>
    <x:row r="395">
      <x:c r="A395" s="48" t="str">
        <x:v>UNI-0394</x:v>
      </x:c>
      <x:c r="B395" s="48" t="str">
        <x:v>RED</x:v>
      </x:c>
      <x:c r="C395" s="48" t="str">
        <x:v>English</x:v>
      </x:c>
      <x:c r="D395" s="48" t="n">
        <x:v>31</x:v>
      </x:c>
      <x:c r="E395" s="48" t="str"/>
      <x:c r="F395" s="48" t="str">
        <x:v>The Contractor shall not interfere unnecessarily or improperly with: (a) the convenience of the public, or (b) the access to and use and occupation of all roads and footpaths, irrespective of whether they are public or in the possession of the Employer or of others.</x:v>
      </x:c>
      <x:c r="G395" s="48" t="str">
        <x:v>Obligation</x:v>
      </x:c>
      <x:c r="H395" s="48" t="str">
        <x:v>Contractor</x:v>
      </x:c>
      <x:c r="I395" s="48" t="n">
        <x:v>0.88</x:v>
      </x:c>
      <x:c r="J395" s="48" t="n">
        <x:v>0.92</x:v>
      </x:c>
      <x:c r="K395" s="48" t="str">
        <x:v>No</x:v>
      </x:c>
      <x:c r="L395" s="48" t="str">
        <x:v>PDF text</x:v>
      </x:c>
    </x:row>
    <x:row r="396">
      <x:c r="A396" s="48" t="str">
        <x:v>UNI-0395</x:v>
      </x:c>
      <x:c r="B396" s="48" t="str">
        <x:v>RED</x:v>
      </x:c>
      <x:c r="C396" s="48" t="str">
        <x:v>English</x:v>
      </x:c>
      <x:c r="D396" s="48" t="n">
        <x:v>31</x:v>
      </x:c>
      <x:c r="E396" s="48" t="str"/>
      <x:c r="F396" s="48" t="str">
        <x:v>The Contractor shall indemnify and hold the Employer harmless against and from all damages, losses and expenses (including legal fees and expenses) resulting from any such unnecessary or improper interference.</x:v>
      </x:c>
      <x:c r="G396" s="48" t="str">
        <x:v>Obligation</x:v>
      </x:c>
      <x:c r="H396" s="48" t="str">
        <x:v>Contractor</x:v>
      </x:c>
      <x:c r="I396" s="48" t="n">
        <x:v>0.88</x:v>
      </x:c>
      <x:c r="J396" s="48" t="n">
        <x:v>0.92</x:v>
      </x:c>
      <x:c r="K396" s="48" t="str">
        <x:v>No</x:v>
      </x:c>
      <x:c r="L396" s="48" t="str">
        <x:v>PDF text</x:v>
      </x:c>
    </x:row>
    <x:row r="397">
      <x:c r="A397" s="48" t="str">
        <x:v>UNI-0396</x:v>
      </x:c>
      <x:c r="B397" s="48" t="str">
        <x:v>RED</x:v>
      </x:c>
      <x:c r="C397" s="48" t="str">
        <x:v>English</x:v>
      </x:c>
      <x:c r="D397" s="48" t="n">
        <x:v>31</x:v>
      </x:c>
      <x:c r="E397" s="48" t="str"/>
      <x:c r="F397" s="48" t="str">
        <x:v>The Contractor shall be deemed to have been satisfied as to the suitability and availability of access routes to the Site.</x:v>
      </x:c>
      <x:c r="G397" s="48" t="str">
        <x:v>Obligation</x:v>
      </x:c>
      <x:c r="H397" s="48" t="str">
        <x:v>Contractor</x:v>
      </x:c>
      <x:c r="I397" s="48" t="n">
        <x:v>0.88</x:v>
      </x:c>
      <x:c r="J397" s="48" t="n">
        <x:v>0.92</x:v>
      </x:c>
      <x:c r="K397" s="48" t="str">
        <x:v>No</x:v>
      </x:c>
      <x:c r="L397" s="48" t="str">
        <x:v>PDF text</x:v>
      </x:c>
    </x:row>
    <x:row r="398">
      <x:c r="A398" s="48" t="str">
        <x:v>UNI-0397</x:v>
      </x:c>
      <x:c r="B398" s="48" t="str">
        <x:v>RED</x:v>
      </x:c>
      <x:c r="C398" s="48" t="str">
        <x:v>English</x:v>
      </x:c>
      <x:c r="D398" s="48" t="n">
        <x:v>31</x:v>
      </x:c>
      <x:c r="E398" s="48" t="str"/>
      <x:c r="F398" s="48" t="str">
        <x:v>The Contractor shall use reasonable efforts to prevent any 4.13</x:v>
      </x:c>
      <x:c r="G398" s="48" t="str">
        <x:v>Obligation</x:v>
      </x:c>
      <x:c r="H398" s="48" t="str">
        <x:v>Contractor</x:v>
      </x:c>
      <x:c r="I398" s="48" t="n">
        <x:v>0.88</x:v>
      </x:c>
      <x:c r="J398" s="48" t="n">
        <x:v>0.92</x:v>
      </x:c>
      <x:c r="K398" s="48" t="str">
        <x:v>No</x:v>
      </x:c>
      <x:c r="L398" s="48" t="str">
        <x:v>PDF text</x:v>
      </x:c>
    </x:row>
    <x:row r="399">
      <x:c r="A399" s="48" t="str">
        <x:v>UNI-0398</x:v>
      </x:c>
      <x:c r="B399" s="48" t="str">
        <x:v>RED</x:v>
      </x:c>
      <x:c r="C399" s="48" t="str">
        <x:v>English</x:v>
      </x:c>
      <x:c r="D399" s="48" t="n">
        <x:v>31</x:v>
      </x:c>
      <x:c r="E399" s="48" t="str"/>
      <x:c r="F399" s="48" t="str">
        <x:v>Rights of Way and</x:v>
      </x:c>
      <x:c r="G399" s="48" t="str">
        <x:v>Obligation</x:v>
      </x:c>
      <x:c r="H399" s="48" t="str">
        <x:v>Shared</x:v>
      </x:c>
      <x:c r="I399" s="48" t="n">
        <x:v>0.45</x:v>
      </x:c>
      <x:c r="J399" s="48" t="n">
        <x:v>0.4</x:v>
      </x:c>
      <x:c r="K399" s="48" t="str">
        <x:v>Yes</x:v>
      </x:c>
      <x:c r="L399" s="48" t="str">
        <x:v>PDF text</x:v>
      </x:c>
    </x:row>
    <x:row r="400">
      <x:c r="A400" s="48" t="str">
        <x:v>UNI-0399</x:v>
      </x:c>
      <x:c r="B400" s="48" t="str">
        <x:v>RED</x:v>
      </x:c>
      <x:c r="C400" s="48" t="str">
        <x:v>English</x:v>
      </x:c>
      <x:c r="D400" s="48" t="n">
        <x:v>31</x:v>
      </x:c>
      <x:c r="E400" s="48" t="str"/>
      <x:c r="F400" s="48" t="str">
        <x:v>Facilities</x:v>
      </x:c>
      <x:c r="G400" s="48" t="str">
        <x:v>Obligation</x:v>
      </x:c>
      <x:c r="H400" s="48" t="str">
        <x:v>Shared</x:v>
      </x:c>
      <x:c r="I400" s="48" t="n">
        <x:v>0.45</x:v>
      </x:c>
      <x:c r="J400" s="48" t="n">
        <x:v>0.4</x:v>
      </x:c>
      <x:c r="K400" s="48" t="str">
        <x:v>Yes</x:v>
      </x:c>
      <x:c r="L400" s="48" t="str">
        <x:v>PDF text</x:v>
      </x:c>
    </x:row>
    <x:row r="401">
      <x:c r="A401" s="48" t="str">
        <x:v>UNI-0400</x:v>
      </x:c>
      <x:c r="B401" s="48" t="str">
        <x:v>RED</x:v>
      </x:c>
      <x:c r="C401" s="48" t="str">
        <x:v>English</x:v>
      </x:c>
      <x:c r="D401" s="48" t="n">
        <x:v>31</x:v>
      </x:c>
      <x:c r="E401" s="48" t="str"/>
      <x:c r="F401" s="48" t="str">
        <x:v>Avoidance of</x:v>
      </x:c>
      <x:c r="G401" s="48" t="str">
        <x:v>Obligation</x:v>
      </x:c>
      <x:c r="H401" s="48" t="str">
        <x:v>Shared</x:v>
      </x:c>
      <x:c r="I401" s="48" t="n">
        <x:v>0.45</x:v>
      </x:c>
      <x:c r="J401" s="48" t="n">
        <x:v>0.4</x:v>
      </x:c>
      <x:c r="K401" s="48" t="str">
        <x:v>Yes</x:v>
      </x:c>
      <x:c r="L401" s="48" t="str">
        <x:v>PDF text</x:v>
      </x:c>
    </x:row>
    <x:row r="402">
      <x:c r="A402" s="48" t="str">
        <x:v>UNI-0401</x:v>
      </x:c>
      <x:c r="B402" s="48" t="str">
        <x:v>RED</x:v>
      </x:c>
      <x:c r="C402" s="48" t="str">
        <x:v>English</x:v>
      </x:c>
      <x:c r="D402" s="48" t="n">
        <x:v>31</x:v>
      </x:c>
      <x:c r="E402" s="48" t="str"/>
      <x:c r="F402" s="48" t="str">
        <x:v>Interference</x:v>
      </x:c>
      <x:c r="G402" s="48" t="str">
        <x:v>Obligation</x:v>
      </x:c>
      <x:c r="H402" s="48" t="str">
        <x:v>Shared</x:v>
      </x:c>
      <x:c r="I402" s="48" t="n">
        <x:v>0.45</x:v>
      </x:c>
      <x:c r="J402" s="48" t="n">
        <x:v>0.4</x:v>
      </x:c>
      <x:c r="K402" s="48" t="str">
        <x:v>Yes</x:v>
      </x:c>
      <x:c r="L402" s="48" t="str">
        <x:v>PDF text</x:v>
      </x:c>
    </x:row>
    <x:row r="403">
      <x:c r="A403" s="48" t="str">
        <x:v>UNI-0402</x:v>
      </x:c>
      <x:c r="B403" s="48" t="str">
        <x:v>RED</x:v>
      </x:c>
      <x:c r="C403" s="48" t="str">
        <x:v>English</x:v>
      </x:c>
      <x:c r="D403" s="48" t="n">
        <x:v>31</x:v>
      </x:c>
      <x:c r="E403" s="48" t="str"/>
      <x:c r="F403" s="48" t="str">
        <x:v>Access Route</x:v>
      </x:c>
      <x:c r="G403" s="48" t="str">
        <x:v>Obligation</x:v>
      </x:c>
      <x:c r="H403" s="48" t="str">
        <x:v>Shared</x:v>
      </x:c>
      <x:c r="I403" s="48" t="n">
        <x:v>0.45</x:v>
      </x:c>
      <x:c r="J403" s="48" t="n">
        <x:v>0.4</x:v>
      </x:c>
      <x:c r="K403" s="48" t="str">
        <x:v>Yes</x:v>
      </x:c>
      <x:c r="L403" s="48" t="str">
        <x:v>PDF text</x:v>
      </x:c>
    </x:row>
    <x:row r="404">
      <x:c r="A404" s="48" t="str">
        <x:v>UNI-0403</x:v>
      </x:c>
      <x:c r="B404" s="48" t="str">
        <x:v>RED</x:v>
      </x:c>
      <x:c r="C404" s="48" t="str">
        <x:v>English</x:v>
      </x:c>
      <x:c r="D404" s="48" t="n">
        <x:v>32</x:v>
      </x:c>
      <x:c r="E404" s="48" t="str"/>
      <x:c r="F404" s="48" t="str">
        <x:v>road or bridge from being damaged by the Contractor’s traffic or by the Contractor’s Personnel.</x:v>
      </x:c>
      <x:c r="G404" s="48" t="str">
        <x:v>Obligation</x:v>
      </x:c>
      <x:c r="H404" s="48" t="str">
        <x:v>Contractor</x:v>
      </x:c>
      <x:c r="I404" s="48" t="n">
        <x:v>0.45</x:v>
      </x:c>
      <x:c r="J404" s="48" t="n">
        <x:v>0.68</x:v>
      </x:c>
      <x:c r="K404" s="48" t="str">
        <x:v>Yes</x:v>
      </x:c>
      <x:c r="L404" s="48" t="str">
        <x:v>PDF text</x:v>
      </x:c>
    </x:row>
    <x:row r="405">
      <x:c r="A405" s="48" t="str">
        <x:v>UNI-0404</x:v>
      </x:c>
      <x:c r="B405" s="48" t="str">
        <x:v>RED</x:v>
      </x:c>
      <x:c r="C405" s="48" t="str">
        <x:v>English</x:v>
      </x:c>
      <x:c r="D405" s="48" t="n">
        <x:v>32</x:v>
      </x:c>
      <x:c r="E405" s="48" t="str"/>
      <x:c r="F405" s="48" t="str">
        <x:v>These efforts shall include the proper use of appropriate vehicles and routes.</x:v>
      </x:c>
      <x:c r="G405" s="48" t="str">
        <x:v>Obligation</x:v>
      </x:c>
      <x:c r="H405" s="48" t="str">
        <x:v>Shared</x:v>
      </x:c>
      <x:c r="I405" s="48" t="n">
        <x:v>0.88</x:v>
      </x:c>
      <x:c r="J405" s="48" t="n">
        <x:v>0.4</x:v>
      </x:c>
      <x:c r="K405" s="48" t="str">
        <x:v>Yes</x:v>
      </x:c>
      <x:c r="L405" s="48" t="str">
        <x:v>PDF text</x:v>
      </x:c>
    </x:row>
    <x:row r="406">
      <x:c r="A406" s="48" t="str">
        <x:v>UNI-0405</x:v>
      </x:c>
      <x:c r="B406" s="48" t="str">
        <x:v>RED</x:v>
      </x:c>
      <x:c r="C406" s="48" t="str">
        <x:v>English</x:v>
      </x:c>
      <x:c r="D406" s="48" t="n">
        <x:v>32</x:v>
      </x:c>
      <x:c r="E406" s="48" t="str"/>
      <x:c r="F406" s="48" t="str">
        <x:v>Except as otherwise stated in these Conditions: (a) the Contractor shall (as between the Parties) be responsible for any maintenance which may be required for his use of access routes; (b) the Contractor shall provide all necessary signs or directions along access routes, and shall obtain any permission which may be required from the relevant authorities for his use of routes, signs and directions; (c) the Employer shall not be responsible for any claims which may arise from the use or otherwise of any access route; (d) the Employer does not guarantee the suitability or availability of particular access routes; and (e)</x:v>
      </x:c>
      <x:c r="G406" s="48" t="str">
        <x:v>Obligation</x:v>
      </x:c>
      <x:c r="H406" s="48" t="str">
        <x:v>Shared</x:v>
      </x:c>
      <x:c r="I406" s="48" t="n">
        <x:v>0.88</x:v>
      </x:c>
      <x:c r="J406" s="48" t="n">
        <x:v>0.93</x:v>
      </x:c>
      <x:c r="K406" s="48" t="str">
        <x:v>No</x:v>
      </x:c>
      <x:c r="L406" s="48" t="str">
        <x:v>PDF text</x:v>
      </x:c>
    </x:row>
    <x:row r="407">
      <x:c r="A407" s="48" t="str">
        <x:v>UNI-0406</x:v>
      </x:c>
      <x:c r="B407" s="48" t="str">
        <x:v>RED</x:v>
      </x:c>
      <x:c r="C407" s="48" t="str">
        <x:v>English</x:v>
      </x:c>
      <x:c r="D407" s="48" t="n">
        <x:v>32</x:v>
      </x:c>
      <x:c r="E407" s="48" t="str"/>
      <x:c r="F407" s="48" t="str">
        <x:v>Costs due to non-suitability or non-availability, for the use required by the</x:v>
      </x:c>
      <x:c r="G407" s="48" t="str">
        <x:v>Obligation</x:v>
      </x:c>
      <x:c r="H407" s="48" t="str">
        <x:v>Shared</x:v>
      </x:c>
      <x:c r="I407" s="48" t="n">
        <x:v>0.45</x:v>
      </x:c>
      <x:c r="J407" s="48" t="n">
        <x:v>0.4</x:v>
      </x:c>
      <x:c r="K407" s="48" t="str">
        <x:v>Yes</x:v>
      </x:c>
      <x:c r="L407" s="48" t="str">
        <x:v>PDF text</x:v>
      </x:c>
    </x:row>
    <x:row r="408">
      <x:c r="A408" s="48" t="str">
        <x:v>UNI-0407</x:v>
      </x:c>
      <x:c r="B408" s="48" t="str">
        <x:v>RED</x:v>
      </x:c>
      <x:c r="C408" s="48" t="str">
        <x:v>English</x:v>
      </x:c>
      <x:c r="D408" s="48" t="n">
        <x:v>32</x:v>
      </x:c>
      <x:c r="E408" s="48" t="str"/>
      <x:c r="F408" s="48" t="str">
        <x:v>Contractor, of access routes shall be borne by the Contractor.</x:v>
      </x:c>
      <x:c r="G408" s="48" t="str">
        <x:v>Obligation</x:v>
      </x:c>
      <x:c r="H408" s="48" t="str">
        <x:v>Contractor</x:v>
      </x:c>
      <x:c r="I408" s="48" t="n">
        <x:v>0.88</x:v>
      </x:c>
      <x:c r="J408" s="48" t="n">
        <x:v>0.68</x:v>
      </x:c>
      <x:c r="K408" s="48" t="str">
        <x:v>Yes</x:v>
      </x:c>
      <x:c r="L408" s="48" t="str">
        <x:v>PDF text</x:v>
      </x:c>
    </x:row>
    <x:row r="409">
      <x:c r="A409" s="48" t="str">
        <x:v>UNI-0408</x:v>
      </x:c>
      <x:c r="B409" s="48" t="str">
        <x:v>RED</x:v>
      </x:c>
      <x:c r="C409" s="48" t="str">
        <x:v>English</x:v>
      </x:c>
      <x:c r="D409" s="48" t="n">
        <x:v>32</x:v>
      </x:c>
      <x:c r="E409" s="48" t="str"/>
      <x:c r="F409" s="48" t="str">
        <x:v>Unless otherwise stated in the Particular Conditions: (a) the Contractor shall give the Engineer not less than 21 days’ notice of the date on which any Plant or a major item of other Goods will be delivered to the Site; (b) the Contractor shall be responsible for packing, loading, transporting, receiving, unloading, storing and protecting all Goods and other things required for the Works; and (c) the Contractor shall indemnify and hold the Employer harmless against and from all damages, losses and expenses (including legal fees and expenses) resulting from the transport of Goods, and shall negotiate and pay all claims arising from their transport.</x:v>
      </x:c>
      <x:c r="G409" s="48" t="str">
        <x:v>Obligation</x:v>
      </x:c>
      <x:c r="H409" s="48" t="str">
        <x:v>Contractor</x:v>
      </x:c>
      <x:c r="I409" s="48" t="n">
        <x:v>0.88</x:v>
      </x:c>
      <x:c r="J409" s="48" t="n">
        <x:v>0.92</x:v>
      </x:c>
      <x:c r="K409" s="48" t="str">
        <x:v>No</x:v>
      </x:c>
      <x:c r="L409" s="48" t="str">
        <x:v>PDF text</x:v>
      </x:c>
    </x:row>
    <x:row r="410">
      <x:c r="A410" s="48" t="str">
        <x:v>UNI-0409</x:v>
      </x:c>
      <x:c r="B410" s="48" t="str">
        <x:v>RED</x:v>
      </x:c>
      <x:c r="C410" s="48" t="str">
        <x:v>English</x:v>
      </x:c>
      <x:c r="D410" s="48" t="n">
        <x:v>32</x:v>
      </x:c>
      <x:c r="E410" s="48" t="str"/>
      <x:c r="F410" s="48" t="str">
        <x:v>The Contractor shall be responsible for all Contractor’s Equipment.</x:v>
      </x:c>
      <x:c r="G410" s="48" t="str">
        <x:v>Obligation</x:v>
      </x:c>
      <x:c r="H410" s="48" t="str">
        <x:v>Contractor</x:v>
      </x:c>
      <x:c r="I410" s="48" t="n">
        <x:v>0.88</x:v>
      </x:c>
      <x:c r="J410" s="48" t="n">
        <x:v>0.92</x:v>
      </x:c>
      <x:c r="K410" s="48" t="str">
        <x:v>No</x:v>
      </x:c>
      <x:c r="L410" s="48" t="str">
        <x:v>PDF text</x:v>
      </x:c>
    </x:row>
    <x:row r="411">
      <x:c r="A411" s="48" t="str">
        <x:v>UNI-0410</x:v>
      </x:c>
      <x:c r="B411" s="48" t="str">
        <x:v>RED</x:v>
      </x:c>
      <x:c r="C411" s="48" t="str">
        <x:v>English</x:v>
      </x:c>
      <x:c r="D411" s="48" t="n">
        <x:v>32</x:v>
      </x:c>
      <x:c r="E411" s="48" t="str"/>
      <x:c r="F411" s="48" t="str">
        <x:v>When brought on to the Site, Contractor’s Equipment shall be deemed to be exclusively intended for the execution of the Works.</x:v>
      </x:c>
      <x:c r="G411" s="48" t="str">
        <x:v>Obligation</x:v>
      </x:c>
      <x:c r="H411" s="48" t="str">
        <x:v>Contractor</x:v>
      </x:c>
      <x:c r="I411" s="48" t="n">
        <x:v>0.88</x:v>
      </x:c>
      <x:c r="J411" s="48" t="n">
        <x:v>0.68</x:v>
      </x:c>
      <x:c r="K411" s="48" t="str">
        <x:v>Yes</x:v>
      </x:c>
      <x:c r="L411" s="48" t="str">
        <x:v>PDF text</x:v>
      </x:c>
    </x:row>
    <x:row r="412">
      <x:c r="A412" s="48" t="str">
        <x:v>UNI-0411</x:v>
      </x:c>
      <x:c r="B412" s="48" t="str">
        <x:v>RED</x:v>
      </x:c>
      <x:c r="C412" s="48" t="str">
        <x:v>English</x:v>
      </x:c>
      <x:c r="D412" s="48" t="n">
        <x:v>32</x:v>
      </x:c>
      <x:c r="E412" s="48" t="str"/>
      <x:c r="F412" s="48" t="str">
        <x:v>The Contractor shall not remove from the Site any major items of Contractor’s Equipment without the consent of the Engineer.</x:v>
      </x:c>
      <x:c r="G412" s="48" t="str">
        <x:v>Obligation</x:v>
      </x:c>
      <x:c r="H412" s="48" t="str">
        <x:v>Contractor</x:v>
      </x:c>
      <x:c r="I412" s="48" t="n">
        <x:v>0.88</x:v>
      </x:c>
      <x:c r="J412" s="48" t="n">
        <x:v>0.92</x:v>
      </x:c>
      <x:c r="K412" s="48" t="str">
        <x:v>No</x:v>
      </x:c>
      <x:c r="L412" s="48" t="str">
        <x:v>PDF text</x:v>
      </x:c>
    </x:row>
    <x:row r="413">
      <x:c r="A413" s="48" t="str">
        <x:v>UNI-0412</x:v>
      </x:c>
      <x:c r="B413" s="48" t="str">
        <x:v>RED</x:v>
      </x:c>
      <x:c r="C413" s="48" t="str">
        <x:v>English</x:v>
      </x:c>
      <x:c r="D413" s="48" t="n">
        <x:v>32</x:v>
      </x:c>
      <x:c r="E413" s="48" t="str"/>
      <x:c r="F413" s="48" t="str">
        <x:v>However, consent shall not be required for vehicles transporting Goods or Contractor’s Personnel off Site.</x:v>
      </x:c>
      <x:c r="G413" s="48" t="str">
        <x:v>Obligation</x:v>
      </x:c>
      <x:c r="H413" s="48" t="str">
        <x:v>Contractor</x:v>
      </x:c>
      <x:c r="I413" s="48" t="n">
        <x:v>0.88</x:v>
      </x:c>
      <x:c r="J413" s="48" t="n">
        <x:v>0.68</x:v>
      </x:c>
      <x:c r="K413" s="48" t="str">
        <x:v>Yes</x:v>
      </x:c>
      <x:c r="L413" s="48" t="str">
        <x:v>PDF text</x:v>
      </x:c>
    </x:row>
    <x:row r="414">
      <x:c r="A414" s="48" t="str">
        <x:v>UNI-0413</x:v>
      </x:c>
      <x:c r="B414" s="48" t="str">
        <x:v>RED</x:v>
      </x:c>
      <x:c r="C414" s="48" t="str">
        <x:v>English</x:v>
      </x:c>
      <x:c r="D414" s="48" t="n">
        <x:v>32</x:v>
      </x:c>
      <x:c r="E414" s="48" t="str"/>
      <x:c r="F414" s="48" t="str">
        <x:v>The Contractor shall take all reasonable steps to protect the environment (both on and off the Site) and to limit damage and nuisance to people and property resulting from pollution, noise and other results of his operations.</x:v>
      </x:c>
      <x:c r="G414" s="48" t="str">
        <x:v>Obligation</x:v>
      </x:c>
      <x:c r="H414" s="48" t="str">
        <x:v>Contractor</x:v>
      </x:c>
      <x:c r="I414" s="48" t="n">
        <x:v>0.88</x:v>
      </x:c>
      <x:c r="J414" s="48" t="n">
        <x:v>0.92</x:v>
      </x:c>
      <x:c r="K414" s="48" t="str">
        <x:v>No</x:v>
      </x:c>
      <x:c r="L414" s="48" t="str">
        <x:v>PDF text</x:v>
      </x:c>
    </x:row>
    <x:row r="415">
      <x:c r="A415" s="48" t="str">
        <x:v>UNI-0414</x:v>
      </x:c>
      <x:c r="B415" s="48" t="str">
        <x:v>RED</x:v>
      </x:c>
      <x:c r="C415" s="48" t="str">
        <x:v>English</x:v>
      </x:c>
      <x:c r="D415" s="48" t="n">
        <x:v>32</x:v>
      </x:c>
      <x:c r="E415" s="48" t="str"/>
      <x:c r="F415" s="48" t="str">
        <x:v>The Contractor shall ensure that emissions, surface discharges and effluent from the Contractor’s activities shall not exceed the values stated in the Specification or prescribed by applicable Laws.</x:v>
      </x:c>
      <x:c r="G415" s="48" t="str">
        <x:v>Obligation</x:v>
      </x:c>
      <x:c r="H415" s="48" t="str">
        <x:v>Contractor</x:v>
      </x:c>
      <x:c r="I415" s="48" t="n">
        <x:v>0.88</x:v>
      </x:c>
      <x:c r="J415" s="48" t="n">
        <x:v>0.92</x:v>
      </x:c>
      <x:c r="K415" s="48" t="str">
        <x:v>No</x:v>
      </x:c>
      <x:c r="L415" s="48" t="str">
        <x:v>PDF text</x:v>
      </x:c>
    </x:row>
    <x:row r="416">
      <x:c r="A416" s="48" t="str">
        <x:v>UNI-0415</x:v>
      </x:c>
      <x:c r="B416" s="48" t="str">
        <x:v>RED</x:v>
      </x:c>
      <x:c r="C416" s="48" t="str">
        <x:v>English</x:v>
      </x:c>
      <x:c r="D416" s="48" t="n">
        <x:v>32</x:v>
      </x:c>
      <x:c r="E416" s="48" t="str"/>
      <x:c r="F416" s="48" t="str">
        <x:v>The Contractor shall, except as stated below, be responsible for the provision of all power, water and other services he may require.</x:v>
      </x:c>
      <x:c r="G416" s="48" t="str">
        <x:v>Obligation</x:v>
      </x:c>
      <x:c r="H416" s="48" t="str">
        <x:v>Contractor</x:v>
      </x:c>
      <x:c r="I416" s="48" t="n">
        <x:v>0.88</x:v>
      </x:c>
      <x:c r="J416" s="48" t="n">
        <x:v>0.92</x:v>
      </x:c>
      <x:c r="K416" s="48" t="str">
        <x:v>No</x:v>
      </x:c>
      <x:c r="L416" s="48" t="str">
        <x:v>PDF text</x:v>
      </x:c>
    </x:row>
    <x:row r="417">
      <x:c r="A417" s="48" t="str">
        <x:v>UNI-0416</x:v>
      </x:c>
      <x:c r="B417" s="48" t="str">
        <x:v>RED</x:v>
      </x:c>
      <x:c r="C417" s="48" t="str">
        <x:v>English</x:v>
      </x:c>
      <x:c r="D417" s="48" t="n">
        <x:v>32</x:v>
      </x:c>
      <x:c r="E417" s="48" t="str"/>
      <x:c r="F417" s="48" t="str">
        <x:v>The Contractor shall be entitled to use for the purposes of the Works such supplies of electricity, water, gas and other services as may be available on the Site and of which details and prices are given in the Specification.</x:v>
      </x:c>
      <x:c r="G417" s="48" t="str">
        <x:v>Obligation</x:v>
      </x:c>
      <x:c r="H417" s="48" t="str">
        <x:v>Contractor</x:v>
      </x:c>
      <x:c r="I417" s="48" t="n">
        <x:v>0.88</x:v>
      </x:c>
      <x:c r="J417" s="48" t="n">
        <x:v>0.92</x:v>
      </x:c>
      <x:c r="K417" s="48" t="str">
        <x:v>No</x:v>
      </x:c>
      <x:c r="L417" s="48" t="str">
        <x:v>PDF text</x:v>
      </x:c>
    </x:row>
    <x:row r="418">
      <x:c r="A418" s="48" t="str">
        <x:v>UNI-0417</x:v>
      </x:c>
      <x:c r="B418" s="48" t="str">
        <x:v>RED</x:v>
      </x:c>
      <x:c r="C418" s="48" t="str">
        <x:v>English</x:v>
      </x:c>
      <x:c r="D418" s="48" t="n">
        <x:v>32</x:v>
      </x:c>
      <x:c r="E418" s="48" t="str"/>
      <x:c r="F418" s="48" t="str">
        <x:v>The Contractor shall, at his risk and cost, provide any apparatus necessary for his use of these services and for measuring the quantities consumed.</x:v>
      </x:c>
      <x:c r="G418" s="48" t="str">
        <x:v>Risk</x:v>
      </x:c>
      <x:c r="H418" s="48" t="str">
        <x:v>Contractor</x:v>
      </x:c>
      <x:c r="I418" s="48" t="n">
        <x:v>0.78</x:v>
      </x:c>
      <x:c r="J418" s="48" t="n">
        <x:v>0.92</x:v>
      </x:c>
      <x:c r="K418" s="48" t="str">
        <x:v>No</x:v>
      </x:c>
      <x:c r="L418" s="48" t="str">
        <x:v>PDF text</x:v>
      </x:c>
    </x:row>
    <x:row r="419">
      <x:c r="A419" s="48" t="str">
        <x:v>UNI-0418</x:v>
      </x:c>
      <x:c r="B419" s="48" t="str">
        <x:v>RED</x:v>
      </x:c>
      <x:c r="C419" s="48" t="str">
        <x:v>English</x:v>
      </x:c>
      <x:c r="D419" s="48" t="n">
        <x:v>32</x:v>
      </x:c>
      <x:c r="E419" s="48" t="str"/>
      <x:c r="F419" s="48" t="str">
        <x:v>Transport of Goods</x:v>
      </x:c>
      <x:c r="G419" s="48" t="str">
        <x:v>Obligation</x:v>
      </x:c>
      <x:c r="H419" s="48" t="str">
        <x:v>Shared</x:v>
      </x:c>
      <x:c r="I419" s="48" t="n">
        <x:v>0.45</x:v>
      </x:c>
      <x:c r="J419" s="48" t="n">
        <x:v>0.4</x:v>
      </x:c>
      <x:c r="K419" s="48" t="str">
        <x:v>Yes</x:v>
      </x:c>
      <x:c r="L419" s="48" t="str">
        <x:v>PDF text</x:v>
      </x:c>
    </x:row>
    <x:row r="420">
      <x:c r="A420" s="48" t="str">
        <x:v>UNI-0419</x:v>
      </x:c>
      <x:c r="B420" s="48" t="str">
        <x:v>RED</x:v>
      </x:c>
      <x:c r="C420" s="48" t="str">
        <x:v>English</x:v>
      </x:c>
      <x:c r="D420" s="48" t="n">
        <x:v>32</x:v>
      </x:c>
      <x:c r="E420" s="48" t="str"/>
      <x:c r="F420" s="48" t="str">
        <x:v>Equipment</x:v>
      </x:c>
      <x:c r="G420" s="48" t="str">
        <x:v>Obligation</x:v>
      </x:c>
      <x:c r="H420" s="48" t="str">
        <x:v>Shared</x:v>
      </x:c>
      <x:c r="I420" s="48" t="n">
        <x:v>0.45</x:v>
      </x:c>
      <x:c r="J420" s="48" t="n">
        <x:v>0.4</x:v>
      </x:c>
      <x:c r="K420" s="48" t="str">
        <x:v>Yes</x:v>
      </x:c>
      <x:c r="L420" s="48" t="str">
        <x:v>PDF text</x:v>
      </x:c>
    </x:row>
    <x:row r="421">
      <x:c r="A421" s="48" t="str">
        <x:v>UNI-0420</x:v>
      </x:c>
      <x:c r="B421" s="48" t="str">
        <x:v>RED</x:v>
      </x:c>
      <x:c r="C421" s="48" t="str">
        <x:v>English</x:v>
      </x:c>
      <x:c r="D421" s="48" t="n">
        <x:v>32</x:v>
      </x:c>
      <x:c r="E421" s="48" t="str"/>
      <x:c r="F421" s="48" t="str">
        <x:v>Protection of the</x:v>
      </x:c>
      <x:c r="G421" s="48" t="str">
        <x:v>Obligation</x:v>
      </x:c>
      <x:c r="H421" s="48" t="str">
        <x:v>Shared</x:v>
      </x:c>
      <x:c r="I421" s="48" t="n">
        <x:v>0.45</x:v>
      </x:c>
      <x:c r="J421" s="48" t="n">
        <x:v>0.4</x:v>
      </x:c>
      <x:c r="K421" s="48" t="str">
        <x:v>Yes</x:v>
      </x:c>
      <x:c r="L421" s="48" t="str">
        <x:v>PDF text</x:v>
      </x:c>
    </x:row>
    <x:row r="422">
      <x:c r="A422" s="48" t="str">
        <x:v>UNI-0421</x:v>
      </x:c>
      <x:c r="B422" s="48" t="str">
        <x:v>RED</x:v>
      </x:c>
      <x:c r="C422" s="48" t="str">
        <x:v>English</x:v>
      </x:c>
      <x:c r="D422" s="48" t="n">
        <x:v>32</x:v>
      </x:c>
      <x:c r="E422" s="48" t="str"/>
      <x:c r="F422" s="48" t="str">
        <x:v>Environment</x:v>
      </x:c>
      <x:c r="G422" s="48" t="str">
        <x:v>Obligation</x:v>
      </x:c>
      <x:c r="H422" s="48" t="str">
        <x:v>Shared</x:v>
      </x:c>
      <x:c r="I422" s="48" t="n">
        <x:v>0.45</x:v>
      </x:c>
      <x:c r="J422" s="48" t="n">
        <x:v>0.4</x:v>
      </x:c>
      <x:c r="K422" s="48" t="str">
        <x:v>Yes</x:v>
      </x:c>
      <x:c r="L422" s="48" t="str">
        <x:v>PDF text</x:v>
      </x:c>
    </x:row>
    <x:row r="423">
      <x:c r="A423" s="48" t="str">
        <x:v>UNI-0422</x:v>
      </x:c>
      <x:c r="B423" s="48" t="str">
        <x:v>RED</x:v>
      </x:c>
      <x:c r="C423" s="48" t="str">
        <x:v>English</x:v>
      </x:c>
      <x:c r="D423" s="48" t="n">
        <x:v>32</x:v>
      </x:c>
      <x:c r="E423" s="48" t="str"/>
      <x:c r="F423" s="48" t="str">
        <x:v>Electricity, Water and</x:v>
      </x:c>
      <x:c r="G423" s="48" t="str">
        <x:v>Obligation</x:v>
      </x:c>
      <x:c r="H423" s="48" t="str">
        <x:v>Shared</x:v>
      </x:c>
      <x:c r="I423" s="48" t="n">
        <x:v>0.45</x:v>
      </x:c>
      <x:c r="J423" s="48" t="n">
        <x:v>0.4</x:v>
      </x:c>
      <x:c r="K423" s="48" t="str">
        <x:v>Yes</x:v>
      </x:c>
      <x:c r="L423" s="48" t="str">
        <x:v>PDF text</x:v>
      </x:c>
    </x:row>
    <x:row r="424">
      <x:c r="A424" s="48" t="str">
        <x:v>UNI-0423</x:v>
      </x:c>
      <x:c r="B424" s="48" t="str">
        <x:v>RED</x:v>
      </x:c>
      <x:c r="C424" s="48" t="str">
        <x:v>English</x:v>
      </x:c>
      <x:c r="D424" s="48" t="n">
        <x:v>33</x:v>
      </x:c>
      <x:c r="E424" s="48" t="str"/>
      <x:c r="F424" s="48" t="str">
        <x:v>The quantities consumed and the amounts due (at these prices) for such services shall be agreed or determined by the Engineer in accordance with Sub-Clause 2.5 [Employer’s Claims] and Sub-Clause 3.5 [Determinations].</x:v>
      </x:c>
      <x:c r="G424" s="48" t="str">
        <x:v>Obligation</x:v>
      </x:c>
      <x:c r="H424" s="48" t="str">
        <x:v>Employer</x:v>
      </x:c>
      <x:c r="I424" s="48" t="n">
        <x:v>0.88</x:v>
      </x:c>
      <x:c r="J424" s="48" t="n">
        <x:v>0.68</x:v>
      </x:c>
      <x:c r="K424" s="48" t="str">
        <x:v>Yes</x:v>
      </x:c>
      <x:c r="L424" s="48" t="str">
        <x:v>PDF text</x:v>
      </x:c>
    </x:row>
    <x:row r="425">
      <x:c r="A425" s="48" t="str">
        <x:v>UNI-0424</x:v>
      </x:c>
      <x:c r="B425" s="48" t="str">
        <x:v>RED</x:v>
      </x:c>
      <x:c r="C425" s="48" t="str">
        <x:v>English</x:v>
      </x:c>
      <x:c r="D425" s="48" t="n">
        <x:v>33</x:v>
      </x:c>
      <x:c r="E425" s="48" t="str"/>
      <x:c r="F425" s="48" t="str">
        <x:v>The Contractor shall pay these amounts to the Employer.</x:v>
      </x:c>
      <x:c r="G425" s="48" t="str">
        <x:v>Obligation</x:v>
      </x:c>
      <x:c r="H425" s="48" t="str">
        <x:v>Contractor</x:v>
      </x:c>
      <x:c r="I425" s="48" t="n">
        <x:v>0.88</x:v>
      </x:c>
      <x:c r="J425" s="48" t="n">
        <x:v>0.92</x:v>
      </x:c>
      <x:c r="K425" s="48" t="str">
        <x:v>No</x:v>
      </x:c>
      <x:c r="L425" s="48" t="str">
        <x:v>PDF text</x:v>
      </x:c>
    </x:row>
    <x:row r="426">
      <x:c r="A426" s="48" t="str">
        <x:v>UNI-0425</x:v>
      </x:c>
      <x:c r="B426" s="48" t="str">
        <x:v>RED</x:v>
      </x:c>
      <x:c r="C426" s="48" t="str">
        <x:v>English</x:v>
      </x:c>
      <x:c r="D426" s="48" t="n">
        <x:v>33</x:v>
      </x:c>
      <x:c r="E426" s="48" t="str"/>
      <x:c r="F426" s="48" t="str">
        <x:v>The Employer shall make the Employer’s Equipment (if any) available for the use of the Contractor in the execution of the Works in accordance with the details, arrangements and prices stated in the Specification.</x:v>
      </x:c>
      <x:c r="G426" s="48" t="str">
        <x:v>Obligation</x:v>
      </x:c>
      <x:c r="H426" s="48" t="str">
        <x:v>Employer</x:v>
      </x:c>
      <x:c r="I426" s="48" t="n">
        <x:v>0.88</x:v>
      </x:c>
      <x:c r="J426" s="48" t="n">
        <x:v>0.92</x:v>
      </x:c>
      <x:c r="K426" s="48" t="str">
        <x:v>No</x:v>
      </x:c>
      <x:c r="L426" s="48" t="str">
        <x:v>PDF text</x:v>
      </x:c>
    </x:row>
    <x:row r="427">
      <x:c r="A427" s="48" t="str">
        <x:v>UNI-0426</x:v>
      </x:c>
      <x:c r="B427" s="48" t="str">
        <x:v>RED</x:v>
      </x:c>
      <x:c r="C427" s="48" t="str">
        <x:v>English</x:v>
      </x:c>
      <x:c r="D427" s="48" t="n">
        <x:v>33</x:v>
      </x:c>
      <x:c r="E427" s="48" t="str"/>
      <x:c r="F427" s="48" t="str">
        <x:v>Unless otherwise stated in the Specification: (a) the Employer shall be responsible for the Employer’s Equipment, except that (b) the Contractor shall be responsible for each item of Employer’s Equipment whilst any of the Contractor’s Personnel is operating it, driving it, directing it or in possession or control of it.</x:v>
      </x:c>
      <x:c r="G427" s="48" t="str">
        <x:v>Obligation</x:v>
      </x:c>
      <x:c r="H427" s="48" t="str">
        <x:v>Contractor</x:v>
      </x:c>
      <x:c r="I427" s="48" t="n">
        <x:v>0.88</x:v>
      </x:c>
      <x:c r="J427" s="48" t="n">
        <x:v>0.92</x:v>
      </x:c>
      <x:c r="K427" s="48" t="str">
        <x:v>No</x:v>
      </x:c>
      <x:c r="L427" s="48" t="str">
        <x:v>PDF text</x:v>
      </x:c>
    </x:row>
    <x:row r="428">
      <x:c r="A428" s="48" t="str">
        <x:v>UNI-0427</x:v>
      </x:c>
      <x:c r="B428" s="48" t="str">
        <x:v>RED</x:v>
      </x:c>
      <x:c r="C428" s="48" t="str">
        <x:v>English</x:v>
      </x:c>
      <x:c r="D428" s="48" t="n">
        <x:v>33</x:v>
      </x:c>
      <x:c r="E428" s="48" t="str"/>
      <x:c r="F428" s="48" t="str">
        <x:v>The appropriate quantities and the amounts due (at such stated prices) for the use of</x:v>
      </x:c>
      <x:c r="G428" s="48" t="str">
        <x:v>Obligation</x:v>
      </x:c>
      <x:c r="H428" s="48" t="str">
        <x:v>Shared</x:v>
      </x:c>
      <x:c r="I428" s="48" t="n">
        <x:v>0.45</x:v>
      </x:c>
      <x:c r="J428" s="48" t="n">
        <x:v>0.4</x:v>
      </x:c>
      <x:c r="K428" s="48" t="str">
        <x:v>Yes</x:v>
      </x:c>
      <x:c r="L428" s="48" t="str">
        <x:v>PDF text</x:v>
      </x:c>
    </x:row>
    <x:row r="429">
      <x:c r="A429" s="48" t="str">
        <x:v>UNI-0428</x:v>
      </x:c>
      <x:c r="B429" s="48" t="str">
        <x:v>RED</x:v>
      </x:c>
      <x:c r="C429" s="48" t="str">
        <x:v>English</x:v>
      </x:c>
      <x:c r="D429" s="48" t="n">
        <x:v>33</x:v>
      </x:c>
      <x:c r="E429" s="48" t="str"/>
      <x:c r="F429" s="48" t="str">
        <x:v>Employer’s Equipment shall be agreed or determined by the Engineer in accordance</x:v>
      </x:c>
      <x:c r="G429" s="48" t="str">
        <x:v>Obligation</x:v>
      </x:c>
      <x:c r="H429" s="48" t="str">
        <x:v>Employer</x:v>
      </x:c>
      <x:c r="I429" s="48" t="n">
        <x:v>0.88</x:v>
      </x:c>
      <x:c r="J429" s="48" t="n">
        <x:v>0.68</x:v>
      </x:c>
      <x:c r="K429" s="48" t="str">
        <x:v>Yes</x:v>
      </x:c>
      <x:c r="L429" s="48" t="str">
        <x:v>PDF text</x:v>
      </x:c>
    </x:row>
    <x:row r="430">
      <x:c r="A430" s="48" t="str">
        <x:v>UNI-0429</x:v>
      </x:c>
      <x:c r="B430" s="48" t="str">
        <x:v>RED</x:v>
      </x:c>
      <x:c r="C430" s="48" t="str">
        <x:v>English</x:v>
      </x:c>
      <x:c r="D430" s="48" t="n">
        <x:v>33</x:v>
      </x:c>
      <x:c r="E430" s="48" t="str"/>
      <x:c r="F430" s="48" t="str">
        <x:v>with Sub-Clause 2.5 [Employer’s Claims] and Sub-Clause 3.5 [Determinations].</x:v>
      </x:c>
      <x:c r="G430" s="48" t="str">
        <x:v>Obligation</x:v>
      </x:c>
      <x:c r="H430" s="48" t="str">
        <x:v>Employer</x:v>
      </x:c>
      <x:c r="I430" s="48" t="n">
        <x:v>0.45</x:v>
      </x:c>
      <x:c r="J430" s="48" t="n">
        <x:v>0.68</x:v>
      </x:c>
      <x:c r="K430" s="48" t="str">
        <x:v>Yes</x:v>
      </x:c>
      <x:c r="L430" s="48" t="str">
        <x:v>PDF text</x:v>
      </x:c>
    </x:row>
    <x:row r="431">
      <x:c r="A431" s="48" t="str">
        <x:v>UNI-0430</x:v>
      </x:c>
      <x:c r="B431" s="48" t="str">
        <x:v>RED</x:v>
      </x:c>
      <x:c r="C431" s="48" t="str">
        <x:v>English</x:v>
      </x:c>
      <x:c r="D431" s="48" t="n">
        <x:v>33</x:v>
      </x:c>
      <x:c r="E431" s="48" t="str"/>
      <x:c r="F431" s="48" t="str">
        <x:v>The Employer shall supply, free of charge, the “free-issue materials” (if any) in accordance with the details stated in the Specification.</x:v>
      </x:c>
      <x:c r="G431" s="48" t="str">
        <x:v>Obligation</x:v>
      </x:c>
      <x:c r="H431" s="48" t="str">
        <x:v>Employer</x:v>
      </x:c>
      <x:c r="I431" s="48" t="n">
        <x:v>0.88</x:v>
      </x:c>
      <x:c r="J431" s="48" t="n">
        <x:v>0.92</x:v>
      </x:c>
      <x:c r="K431" s="48" t="str">
        <x:v>No</x:v>
      </x:c>
      <x:c r="L431" s="48" t="str">
        <x:v>PDF text</x:v>
      </x:c>
    </x:row>
    <x:row r="432">
      <x:c r="A432" s="48" t="str">
        <x:v>UNI-0431</x:v>
      </x:c>
      <x:c r="B432" s="48" t="str">
        <x:v>RED</x:v>
      </x:c>
      <x:c r="C432" s="48" t="str">
        <x:v>English</x:v>
      </x:c>
      <x:c r="D432" s="48" t="n">
        <x:v>33</x:v>
      </x:c>
      <x:c r="E432" s="48" t="str"/>
      <x:c r="F432" s="48" t="str">
        <x:v>The Employer shall, at his risk and cost, provide these materials at the time and place specified in the Contract.</x:v>
      </x:c>
      <x:c r="G432" s="48" t="str">
        <x:v>Risk</x:v>
      </x:c>
      <x:c r="H432" s="48" t="str">
        <x:v>Employer</x:v>
      </x:c>
      <x:c r="I432" s="48" t="n">
        <x:v>0.78</x:v>
      </x:c>
      <x:c r="J432" s="48" t="n">
        <x:v>0.92</x:v>
      </x:c>
      <x:c r="K432" s="48" t="str">
        <x:v>No</x:v>
      </x:c>
      <x:c r="L432" s="48" t="str">
        <x:v>PDF text</x:v>
      </x:c>
    </x:row>
    <x:row r="433">
      <x:c r="A433" s="48" t="str">
        <x:v>UNI-0432</x:v>
      </x:c>
      <x:c r="B433" s="48" t="str">
        <x:v>RED</x:v>
      </x:c>
      <x:c r="C433" s="48" t="str">
        <x:v>English</x:v>
      </x:c>
      <x:c r="D433" s="48" t="n">
        <x:v>33</x:v>
      </x:c>
      <x:c r="E433" s="48" t="str"/>
      <x:c r="F433" s="48" t="str">
        <x:v>The Contractor shall then visually inspect them, and shall promptly give notice to the Engineer of any shortage, defect or default in these materials.</x:v>
      </x:c>
      <x:c r="G433" s="48" t="str">
        <x:v>Obligation</x:v>
      </x:c>
      <x:c r="H433" s="48" t="str">
        <x:v>Contractor</x:v>
      </x:c>
      <x:c r="I433" s="48" t="n">
        <x:v>0.88</x:v>
      </x:c>
      <x:c r="J433" s="48" t="n">
        <x:v>0.92</x:v>
      </x:c>
      <x:c r="K433" s="48" t="str">
        <x:v>No</x:v>
      </x:c>
      <x:c r="L433" s="48" t="str">
        <x:v>PDF text</x:v>
      </x:c>
    </x:row>
    <x:row r="434">
      <x:c r="A434" s="48" t="str">
        <x:v>UNI-0433</x:v>
      </x:c>
      <x:c r="B434" s="48" t="str">
        <x:v>RED</x:v>
      </x:c>
      <x:c r="C434" s="48" t="str">
        <x:v>English</x:v>
      </x:c>
      <x:c r="D434" s="48" t="n">
        <x:v>33</x:v>
      </x:c>
      <x:c r="E434" s="48" t="str"/>
      <x:c r="F434" s="48" t="str">
        <x:v>Unless otherwise agreed by both Parties, the Employer shall immediately rectify the notified shortage, defect or default.</x:v>
      </x:c>
      <x:c r="G434" s="48" t="str">
        <x:v>Obligation</x:v>
      </x:c>
      <x:c r="H434" s="48" t="str">
        <x:v>Shared</x:v>
      </x:c>
      <x:c r="I434" s="48" t="n">
        <x:v>0.88</x:v>
      </x:c>
      <x:c r="J434" s="48" t="n">
        <x:v>0.93</x:v>
      </x:c>
      <x:c r="K434" s="48" t="str">
        <x:v>No</x:v>
      </x:c>
      <x:c r="L434" s="48" t="str">
        <x:v>PDF text</x:v>
      </x:c>
    </x:row>
    <x:row r="435">
      <x:c r="A435" s="48" t="str">
        <x:v>UNI-0434</x:v>
      </x:c>
      <x:c r="B435" s="48" t="str">
        <x:v>RED</x:v>
      </x:c>
      <x:c r="C435" s="48" t="str">
        <x:v>English</x:v>
      </x:c>
      <x:c r="D435" s="48" t="n">
        <x:v>33</x:v>
      </x:c>
      <x:c r="E435" s="48" t="str"/>
      <x:c r="F435" s="48" t="str">
        <x:v>After this visual inspection, the free-issue materials shall come under the care, custody and control of the Contractor.</x:v>
      </x:c>
      <x:c r="G435" s="48" t="str">
        <x:v>Obligation</x:v>
      </x:c>
      <x:c r="H435" s="48" t="str">
        <x:v>Contractor</x:v>
      </x:c>
      <x:c r="I435" s="48" t="n">
        <x:v>0.88</x:v>
      </x:c>
      <x:c r="J435" s="48" t="n">
        <x:v>0.68</x:v>
      </x:c>
      <x:c r="K435" s="48" t="str">
        <x:v>Yes</x:v>
      </x:c>
      <x:c r="L435" s="48" t="str">
        <x:v>PDF text</x:v>
      </x:c>
    </x:row>
    <x:row r="436">
      <x:c r="A436" s="48" t="str">
        <x:v>UNI-0435</x:v>
      </x:c>
      <x:c r="B436" s="48" t="str">
        <x:v>RED</x:v>
      </x:c>
      <x:c r="C436" s="48" t="str">
        <x:v>English</x:v>
      </x:c>
      <x:c r="D436" s="48" t="n">
        <x:v>33</x:v>
      </x:c>
      <x:c r="E436" s="48" t="str"/>
      <x:c r="F436" s="48" t="str">
        <x:v>The Contractor’s obligations of inspection, care, custody and control shall not relieve the Employer of liability for any shortage, defect or default not apparent from a visual inspection.</x:v>
      </x:c>
      <x:c r="G436" s="48" t="str">
        <x:v>Risk</x:v>
      </x:c>
      <x:c r="H436" s="48" t="str">
        <x:v>Shared</x:v>
      </x:c>
      <x:c r="I436" s="48" t="n">
        <x:v>0.78</x:v>
      </x:c>
      <x:c r="J436" s="48" t="n">
        <x:v>0.6</x:v>
      </x:c>
      <x:c r="K436" s="48" t="str">
        <x:v>Yes</x:v>
      </x:c>
      <x:c r="L436" s="48" t="str">
        <x:v>PDF text</x:v>
      </x:c>
    </x:row>
    <x:row r="437">
      <x:c r="A437" s="48" t="str">
        <x:v>UNI-0436</x:v>
      </x:c>
      <x:c r="B437" s="48" t="str">
        <x:v>RED</x:v>
      </x:c>
      <x:c r="C437" s="48" t="str">
        <x:v>English</x:v>
      </x:c>
      <x:c r="D437" s="48" t="n">
        <x:v>33</x:v>
      </x:c>
      <x:c r="E437" s="48" t="str"/>
      <x:c r="F437" s="48" t="str">
        <x:v>Unless otherwise stated in the Particular Conditions, monthly progress reports shall be prepared by the Contractor and submitted to the Engineer in six copies.</x:v>
      </x:c>
      <x:c r="G437" s="48" t="str">
        <x:v>Obligation</x:v>
      </x:c>
      <x:c r="H437" s="48" t="str">
        <x:v>Contractor</x:v>
      </x:c>
      <x:c r="I437" s="48" t="n">
        <x:v>0.88</x:v>
      </x:c>
      <x:c r="J437" s="48" t="n">
        <x:v>0.68</x:v>
      </x:c>
      <x:c r="K437" s="48" t="str">
        <x:v>Yes</x:v>
      </x:c>
      <x:c r="L437" s="48" t="str">
        <x:v>PDF text</x:v>
      </x:c>
    </x:row>
    <x:row r="438">
      <x:c r="A438" s="48" t="str">
        <x:v>UNI-0437</x:v>
      </x:c>
      <x:c r="B438" s="48" t="str">
        <x:v>RED</x:v>
      </x:c>
      <x:c r="C438" s="48" t="str">
        <x:v>English</x:v>
      </x:c>
      <x:c r="D438" s="48" t="n">
        <x:v>33</x:v>
      </x:c>
      <x:c r="E438" s="48" t="str"/>
      <x:c r="F438" s="48" t="str">
        <x:v>The first report shall cover the period up to the end of the first calendar month following the Commencement Date.</x:v>
      </x:c>
      <x:c r="G438" s="48" t="str">
        <x:v>Obligation</x:v>
      </x:c>
      <x:c r="H438" s="48" t="str">
        <x:v>Shared</x:v>
      </x:c>
      <x:c r="I438" s="48" t="n">
        <x:v>0.88</x:v>
      </x:c>
      <x:c r="J438" s="48" t="n">
        <x:v>0.4</x:v>
      </x:c>
      <x:c r="K438" s="48" t="str">
        <x:v>Yes</x:v>
      </x:c>
      <x:c r="L438" s="48" t="str">
        <x:v>PDF text</x:v>
      </x:c>
    </x:row>
    <x:row r="439">
      <x:c r="A439" s="48" t="str">
        <x:v>UNI-0438</x:v>
      </x:c>
      <x:c r="B439" s="48" t="str">
        <x:v>RED</x:v>
      </x:c>
      <x:c r="C439" s="48" t="str">
        <x:v>English</x:v>
      </x:c>
      <x:c r="D439" s="48" t="n">
        <x:v>33</x:v>
      </x:c>
      <x:c r="E439" s="48" t="str"/>
      <x:c r="F439" s="48" t="str">
        <x:v>Reports shall be submitted monthly thereafter, each within 7 days after the last day of the period to which it relates.</x:v>
      </x:c>
      <x:c r="G439" s="48" t="str">
        <x:v>Obligation</x:v>
      </x:c>
      <x:c r="H439" s="48" t="str">
        <x:v>Shared</x:v>
      </x:c>
      <x:c r="I439" s="48" t="n">
        <x:v>0.88</x:v>
      </x:c>
      <x:c r="J439" s="48" t="n">
        <x:v>0.4</x:v>
      </x:c>
      <x:c r="K439" s="48" t="str">
        <x:v>Yes</x:v>
      </x:c>
      <x:c r="L439" s="48" t="str">
        <x:v>PDF text</x:v>
      </x:c>
    </x:row>
    <x:row r="440">
      <x:c r="A440" s="48" t="str">
        <x:v>UNI-0439</x:v>
      </x:c>
      <x:c r="B440" s="48" t="str">
        <x:v>RED</x:v>
      </x:c>
      <x:c r="C440" s="48" t="str">
        <x:v>English</x:v>
      </x:c>
      <x:c r="D440" s="48" t="n">
        <x:v>33</x:v>
      </x:c>
      <x:c r="E440" s="48" t="str"/>
      <x:c r="F440" s="48" t="str">
        <x:v>Reporting shall continue until the Contractor has completed all work which is known to be outstanding at the completion date stated in the Taking-Over Certificate for the Works.</x:v>
      </x:c>
      <x:c r="G440" s="48" t="str">
        <x:v>Obligation</x:v>
      </x:c>
      <x:c r="H440" s="48" t="str">
        <x:v>Contractor</x:v>
      </x:c>
      <x:c r="I440" s="48" t="n">
        <x:v>0.88</x:v>
      </x:c>
      <x:c r="J440" s="48" t="n">
        <x:v>0.68</x:v>
      </x:c>
      <x:c r="K440" s="48" t="str">
        <x:v>Yes</x:v>
      </x:c>
      <x:c r="L440" s="48" t="str">
        <x:v>PDF text</x:v>
      </x:c>
    </x:row>
    <x:row r="441">
      <x:c r="A441" s="48" t="str">
        <x:v>UNI-0440</x:v>
      </x:c>
      <x:c r="B441" s="48" t="str">
        <x:v>RED</x:v>
      </x:c>
      <x:c r="C441" s="48" t="str">
        <x:v>English</x:v>
      </x:c>
      <x:c r="D441" s="48" t="n">
        <x:v>33</x:v>
      </x:c>
      <x:c r="E441" s="48" t="str"/>
      <x:c r="F441" s="48" t="str">
        <x:v>Each report shall include: (a) charts and detailed descriptions of progress, including each stage of design (if any), Contractor’s Documents, procurement, manufacture, delivery to Site, construction, erection and testing; and including these stages for work by each nominated Subcontractor (as defined in Clause 5 [Nominated Subcontractors]), (b) photographs showing the status of manufacture and of progress on the Site; (c) for the manufacture of each main item of Plant and Materials, the name of the manufacturer, manufacture location, percentage progress, and the actual or expected dates of: (i) commencement of manufacture, (ii)</x:v>
      </x:c>
      <x:c r="G441" s="48" t="str">
        <x:v>Obligation</x:v>
      </x:c>
      <x:c r="H441" s="48" t="str">
        <x:v>Contractor</x:v>
      </x:c>
      <x:c r="I441" s="48" t="n">
        <x:v>0.88</x:v>
      </x:c>
      <x:c r="J441" s="48" t="n">
        <x:v>0.68</x:v>
      </x:c>
      <x:c r="K441" s="48" t="str">
        <x:v>Yes</x:v>
      </x:c>
      <x:c r="L441" s="48" t="str">
        <x:v>PDF text</x:v>
      </x:c>
    </x:row>
    <x:row r="442">
      <x:c r="A442" s="48" t="str">
        <x:v>UNI-0441</x:v>
      </x:c>
      <x:c r="B442" s="48" t="str">
        <x:v>RED</x:v>
      </x:c>
      <x:c r="C442" s="48" t="str">
        <x:v>English</x:v>
      </x:c>
      <x:c r="D442" s="48" t="n">
        <x:v>33</x:v>
      </x:c>
      <x:c r="E442" s="48" t="str"/>
      <x:c r="F442" s="48" t="str">
        <x:v>Contractor’s inspections,</x:v>
      </x:c>
      <x:c r="G442" s="48" t="str">
        <x:v>Obligation</x:v>
      </x:c>
      <x:c r="H442" s="48" t="str">
        <x:v>Contractor</x:v>
      </x:c>
      <x:c r="I442" s="48" t="n">
        <x:v>0.45</x:v>
      </x:c>
      <x:c r="J442" s="48" t="n">
        <x:v>0.68</x:v>
      </x:c>
      <x:c r="K442" s="48" t="str">
        <x:v>Yes</x:v>
      </x:c>
      <x:c r="L442" s="48" t="str">
        <x:v>PDF text</x:v>
      </x:c>
    </x:row>
    <x:row r="443">
      <x:c r="A443" s="48" t="str">
        <x:v>UNI-0442</x:v>
      </x:c>
      <x:c r="B443" s="48" t="str">
        <x:v>RED</x:v>
      </x:c>
      <x:c r="C443" s="48" t="str">
        <x:v>English</x:v>
      </x:c>
      <x:c r="D443" s="48" t="n">
        <x:v>33</x:v>
      </x:c>
      <x:c r="E443" s="48" t="str"/>
      <x:c r="F443" s="48" t="str">
        <x:v>(iii) tests, and (iv) shipment and arrival at the Site; 4.20</x:v>
      </x:c>
      <x:c r="G443" s="48" t="str">
        <x:v>Obligation</x:v>
      </x:c>
      <x:c r="H443" s="48" t="str">
        <x:v>Shared</x:v>
      </x:c>
      <x:c r="I443" s="48" t="n">
        <x:v>0.45</x:v>
      </x:c>
      <x:c r="J443" s="48" t="n">
        <x:v>0.4</x:v>
      </x:c>
      <x:c r="K443" s="48" t="str">
        <x:v>Yes</x:v>
      </x:c>
      <x:c r="L443" s="48" t="str">
        <x:v>PDF text</x:v>
      </x:c>
    </x:row>
    <x:row r="444">
      <x:c r="A444" s="48" t="str">
        <x:v>UNI-0443</x:v>
      </x:c>
      <x:c r="B444" s="48" t="str">
        <x:v>RED</x:v>
      </x:c>
      <x:c r="C444" s="48" t="str">
        <x:v>English</x:v>
      </x:c>
      <x:c r="D444" s="48" t="n">
        <x:v>33</x:v>
      </x:c>
      <x:c r="E444" s="48" t="str"/>
      <x:c r="F444" s="48" t="str">
        <x:v>Employer’s Equipment</x:v>
      </x:c>
      <x:c r="G444" s="48" t="str">
        <x:v>Obligation</x:v>
      </x:c>
      <x:c r="H444" s="48" t="str">
        <x:v>Employer</x:v>
      </x:c>
      <x:c r="I444" s="48" t="n">
        <x:v>0.45</x:v>
      </x:c>
      <x:c r="J444" s="48" t="n">
        <x:v>0.68</x:v>
      </x:c>
      <x:c r="K444" s="48" t="str">
        <x:v>Yes</x:v>
      </x:c>
      <x:c r="L444" s="48" t="str">
        <x:v>PDF text</x:v>
      </x:c>
    </x:row>
    <x:row r="445">
      <x:c r="A445" s="48" t="str">
        <x:v>UNI-0444</x:v>
      </x:c>
      <x:c r="B445" s="48" t="str">
        <x:v>RED</x:v>
      </x:c>
      <x:c r="C445" s="48" t="str">
        <x:v>English</x:v>
      </x:c>
      <x:c r="D445" s="48" t="n">
        <x:v>33</x:v>
      </x:c>
      <x:c r="E445" s="48" t="str"/>
      <x:c r="F445" s="48" t="str">
        <x:v>and Free-Issue Material 4.21</x:v>
      </x:c>
      <x:c r="G445" s="48" t="str">
        <x:v>Obligation</x:v>
      </x:c>
      <x:c r="H445" s="48" t="str">
        <x:v>Shared</x:v>
      </x:c>
      <x:c r="I445" s="48" t="n">
        <x:v>0.45</x:v>
      </x:c>
      <x:c r="J445" s="48" t="n">
        <x:v>0.4</x:v>
      </x:c>
      <x:c r="K445" s="48" t="str">
        <x:v>Yes</x:v>
      </x:c>
      <x:c r="L445" s="48" t="str">
        <x:v>PDF text</x:v>
      </x:c>
    </x:row>
    <x:row r="446">
      <x:c r="A446" s="48" t="str">
        <x:v>UNI-0445</x:v>
      </x:c>
      <x:c r="B446" s="48" t="str">
        <x:v>RED</x:v>
      </x:c>
      <x:c r="C446" s="48" t="str">
        <x:v>English</x:v>
      </x:c>
      <x:c r="D446" s="48" t="n">
        <x:v>33</x:v>
      </x:c>
      <x:c r="E446" s="48" t="str"/>
      <x:c r="F446" s="48" t="str">
        <x:v>Progress Reports</x:v>
      </x:c>
      <x:c r="G446" s="48" t="str">
        <x:v>Obligation</x:v>
      </x:c>
      <x:c r="H446" s="48" t="str">
        <x:v>Shared</x:v>
      </x:c>
      <x:c r="I446" s="48" t="n">
        <x:v>0.45</x:v>
      </x:c>
      <x:c r="J446" s="48" t="n">
        <x:v>0.4</x:v>
      </x:c>
      <x:c r="K446" s="48" t="str">
        <x:v>Yes</x:v>
      </x:c>
      <x:c r="L446" s="48" t="str">
        <x:v>PDF text</x:v>
      </x:c>
    </x:row>
    <x:row r="447">
      <x:c r="A447" s="48" t="str">
        <x:v>UNI-0446</x:v>
      </x:c>
      <x:c r="B447" s="48" t="str">
        <x:v>RED</x:v>
      </x:c>
      <x:c r="C447" s="48" t="str">
        <x:v>English</x:v>
      </x:c>
      <x:c r="D447" s="48" t="n">
        <x:v>34</x:v>
      </x:c>
      <x:c r="E447" s="48" t="str"/>
      <x:c r="F447" s="48" t="str">
        <x:v>(d) the details described in Sub-Clause 6.10 [Records of Contractor’s Personnel and Equipment]; (e) copies of quality assurance documents, test results and certificates of Materials; (f) list of notices given under Sub-Clause 2.5 [Employer’s Claims] and notices given under Sub-Clause 20.1 [Contractor’s Claims]; (g) safety statistics, including details of any hazardous incidents and activities relating to environmental aspects and public relations; and (h) comparisons of actual and planned progress, with details of any events or circumstances which may jeopardise the completion in accordance with the Contract, and the measures being (or to be) adopted to overcome delays.</x:v>
      </x:c>
      <x:c r="G447" s="48" t="str">
        <x:v>Right</x:v>
      </x:c>
      <x:c r="H447" s="48" t="str">
        <x:v>Shared</x:v>
      </x:c>
      <x:c r="I447" s="48" t="n">
        <x:v>0.78</x:v>
      </x:c>
      <x:c r="J447" s="48" t="n">
        <x:v>0.6</x:v>
      </x:c>
      <x:c r="K447" s="48" t="str">
        <x:v>Yes</x:v>
      </x:c>
      <x:c r="L447" s="48" t="str">
        <x:v>PDF text</x:v>
      </x:c>
    </x:row>
    <x:row r="448">
      <x:c r="A448" s="48" t="str">
        <x:v>UNI-0447</x:v>
      </x:c>
      <x:c r="B448" s="48" t="str">
        <x:v>RED</x:v>
      </x:c>
      <x:c r="C448" s="48" t="str">
        <x:v>English</x:v>
      </x:c>
      <x:c r="D448" s="48" t="n">
        <x:v>34</x:v>
      </x:c>
      <x:c r="E448" s="48" t="str"/>
      <x:c r="F448" s="48" t="str">
        <x:v>Unless otherwise stated in the Particular Conditions: (a) the Contractor shall be responsible for keeping unauthorised persons off the</x:v>
      </x:c>
      <x:c r="G448" s="48" t="str">
        <x:v>Obligation</x:v>
      </x:c>
      <x:c r="H448" s="48" t="str">
        <x:v>Contractor</x:v>
      </x:c>
      <x:c r="I448" s="48" t="n">
        <x:v>0.88</x:v>
      </x:c>
      <x:c r="J448" s="48" t="n">
        <x:v>0.92</x:v>
      </x:c>
      <x:c r="K448" s="48" t="str">
        <x:v>No</x:v>
      </x:c>
      <x:c r="L448" s="48" t="str">
        <x:v>PDF text</x:v>
      </x:c>
    </x:row>
    <x:row r="449">
      <x:c r="A449" s="48" t="str">
        <x:v>UNI-0448</x:v>
      </x:c>
      <x:c r="B449" s="48" t="str">
        <x:v>RED</x:v>
      </x:c>
      <x:c r="C449" s="48" t="str">
        <x:v>English</x:v>
      </x:c>
      <x:c r="D449" s="48" t="n">
        <x:v>34</x:v>
      </x:c>
      <x:c r="E449" s="48" t="str"/>
      <x:c r="F449" s="48" t="str">
        <x:v>Site, and</x:v>
      </x:c>
      <x:c r="G449" s="48" t="str">
        <x:v>Obligation</x:v>
      </x:c>
      <x:c r="H449" s="48" t="str">
        <x:v>Shared</x:v>
      </x:c>
      <x:c r="I449" s="48" t="n">
        <x:v>0.45</x:v>
      </x:c>
      <x:c r="J449" s="48" t="n">
        <x:v>0.4</x:v>
      </x:c>
      <x:c r="K449" s="48" t="str">
        <x:v>Yes</x:v>
      </x:c>
      <x:c r="L449" s="48" t="str">
        <x:v>PDF text</x:v>
      </x:c>
    </x:row>
    <x:row r="450">
      <x:c r="A450" s="48" t="str">
        <x:v>UNI-0449</x:v>
      </x:c>
      <x:c r="B450" s="48" t="str">
        <x:v>RED</x:v>
      </x:c>
      <x:c r="C450" s="48" t="str">
        <x:v>English</x:v>
      </x:c>
      <x:c r="D450" s="48" t="n">
        <x:v>34</x:v>
      </x:c>
      <x:c r="E450" s="48" t="str"/>
      <x:c r="F450" s="48" t="str">
        <x:v>(b) authorised persons shall be limited to the Contractor’s Personnel and the Employer’s Personnel; and to any other personnel notified to the Contractor, by the Employer or the Engineer, as authorised personnel of the Employer’s other contractors on the Site.</x:v>
      </x:c>
      <x:c r="G450" s="48" t="str">
        <x:v>Obligation</x:v>
      </x:c>
      <x:c r="H450" s="48" t="str">
        <x:v>Shared</x:v>
      </x:c>
      <x:c r="I450" s="48" t="n">
        <x:v>0.88</x:v>
      </x:c>
      <x:c r="J450" s="48" t="n">
        <x:v>0.6</x:v>
      </x:c>
      <x:c r="K450" s="48" t="str">
        <x:v>Yes</x:v>
      </x:c>
      <x:c r="L450" s="48" t="str">
        <x:v>PDF text</x:v>
      </x:c>
    </x:row>
    <x:row r="451">
      <x:c r="A451" s="48" t="str">
        <x:v>UNI-0450</x:v>
      </x:c>
      <x:c r="B451" s="48" t="str">
        <x:v>RED</x:v>
      </x:c>
      <x:c r="C451" s="48" t="str">
        <x:v>English</x:v>
      </x:c>
      <x:c r="D451" s="48" t="n">
        <x:v>34</x:v>
      </x:c>
      <x:c r="E451" s="48" t="str"/>
      <x:c r="F451" s="48" t="str">
        <x:v>The Contractor shall confine his operations to the Site, and to any additional areas which may be obtained by the Contractor and agreed by the Engineer as working areas.</x:v>
      </x:c>
      <x:c r="G451" s="48" t="str">
        <x:v>Obligation</x:v>
      </x:c>
      <x:c r="H451" s="48" t="str">
        <x:v>Contractor</x:v>
      </x:c>
      <x:c r="I451" s="48" t="n">
        <x:v>0.88</x:v>
      </x:c>
      <x:c r="J451" s="48" t="n">
        <x:v>0.92</x:v>
      </x:c>
      <x:c r="K451" s="48" t="str">
        <x:v>No</x:v>
      </x:c>
      <x:c r="L451" s="48" t="str">
        <x:v>PDF text</x:v>
      </x:c>
    </x:row>
    <x:row r="452">
      <x:c r="A452" s="48" t="str">
        <x:v>UNI-0451</x:v>
      </x:c>
      <x:c r="B452" s="48" t="str">
        <x:v>RED</x:v>
      </x:c>
      <x:c r="C452" s="48" t="str">
        <x:v>English</x:v>
      </x:c>
      <x:c r="D452" s="48" t="n">
        <x:v>34</x:v>
      </x:c>
      <x:c r="E452" s="48" t="str"/>
      <x:c r="F452" s="48" t="str">
        <x:v>The Contractor shall take all necessary precautions to keep Contractor’s Equipment and Contractor’s Personnel within the Site and these additional areas, and to keep them off adjacent land.</x:v>
      </x:c>
      <x:c r="G452" s="48" t="str">
        <x:v>Obligation</x:v>
      </x:c>
      <x:c r="H452" s="48" t="str">
        <x:v>Contractor</x:v>
      </x:c>
      <x:c r="I452" s="48" t="n">
        <x:v>0.88</x:v>
      </x:c>
      <x:c r="J452" s="48" t="n">
        <x:v>0.92</x:v>
      </x:c>
      <x:c r="K452" s="48" t="str">
        <x:v>No</x:v>
      </x:c>
      <x:c r="L452" s="48" t="str">
        <x:v>PDF text</x:v>
      </x:c>
    </x:row>
    <x:row r="453">
      <x:c r="A453" s="48" t="str">
        <x:v>UNI-0452</x:v>
      </x:c>
      <x:c r="B453" s="48" t="str">
        <x:v>RED</x:v>
      </x:c>
      <x:c r="C453" s="48" t="str">
        <x:v>English</x:v>
      </x:c>
      <x:c r="D453" s="48" t="n">
        <x:v>34</x:v>
      </x:c>
      <x:c r="E453" s="48" t="str"/>
      <x:c r="F453" s="48" t="str">
        <x:v>During the execution of the Works, the Contractor shall keep the Site free from all unnecessary obstruction, and shall store or dispose of any Contractor’s Equipment or surplus materials.</x:v>
      </x:c>
      <x:c r="G453" s="48" t="str">
        <x:v>Obligation</x:v>
      </x:c>
      <x:c r="H453" s="48" t="str">
        <x:v>Contractor</x:v>
      </x:c>
      <x:c r="I453" s="48" t="n">
        <x:v>0.88</x:v>
      </x:c>
      <x:c r="J453" s="48" t="n">
        <x:v>0.92</x:v>
      </x:c>
      <x:c r="K453" s="48" t="str">
        <x:v>No</x:v>
      </x:c>
      <x:c r="L453" s="48" t="str">
        <x:v>PDF text</x:v>
      </x:c>
    </x:row>
    <x:row r="454">
      <x:c r="A454" s="48" t="str">
        <x:v>UNI-0453</x:v>
      </x:c>
      <x:c r="B454" s="48" t="str">
        <x:v>RED</x:v>
      </x:c>
      <x:c r="C454" s="48" t="str">
        <x:v>English</x:v>
      </x:c>
      <x:c r="D454" s="48" t="n">
        <x:v>34</x:v>
      </x:c>
      <x:c r="E454" s="48" t="str"/>
      <x:c r="F454" s="48" t="str">
        <x:v>The Contractor shall clear away and remove from the Site any wreckage, rubbish and Temporary Works which are no longer required.</x:v>
      </x:c>
      <x:c r="G454" s="48" t="str">
        <x:v>Obligation</x:v>
      </x:c>
      <x:c r="H454" s="48" t="str">
        <x:v>Contractor</x:v>
      </x:c>
      <x:c r="I454" s="48" t="n">
        <x:v>0.88</x:v>
      </x:c>
      <x:c r="J454" s="48" t="n">
        <x:v>0.92</x:v>
      </x:c>
      <x:c r="K454" s="48" t="str">
        <x:v>No</x:v>
      </x:c>
      <x:c r="L454" s="48" t="str">
        <x:v>PDF text</x:v>
      </x:c>
    </x:row>
    <x:row r="455">
      <x:c r="A455" s="48" t="str">
        <x:v>UNI-0454</x:v>
      </x:c>
      <x:c r="B455" s="48" t="str">
        <x:v>RED</x:v>
      </x:c>
      <x:c r="C455" s="48" t="str">
        <x:v>English</x:v>
      </x:c>
      <x:c r="D455" s="48" t="n">
        <x:v>34</x:v>
      </x:c>
      <x:c r="E455" s="48" t="str"/>
      <x:c r="F455" s="48" t="str">
        <x:v>Upon the issue of a Taking-Over Certificate, the Contractor shall clear away and remove, from that part of the Site and Works to which the Taking-Over Certificate refers, all Contractor’s Equipment, surplus material, wreckage, rubbish and Temporary Works.</x:v>
      </x:c>
      <x:c r="G455" s="48" t="str">
        <x:v>Obligation</x:v>
      </x:c>
      <x:c r="H455" s="48" t="str">
        <x:v>Contractor</x:v>
      </x:c>
      <x:c r="I455" s="48" t="n">
        <x:v>0.88</x:v>
      </x:c>
      <x:c r="J455" s="48" t="n">
        <x:v>0.92</x:v>
      </x:c>
      <x:c r="K455" s="48" t="str">
        <x:v>No</x:v>
      </x:c>
      <x:c r="L455" s="48" t="str">
        <x:v>PDF text</x:v>
      </x:c>
    </x:row>
    <x:row r="456">
      <x:c r="A456" s="48" t="str">
        <x:v>UNI-0455</x:v>
      </x:c>
      <x:c r="B456" s="48" t="str">
        <x:v>RED</x:v>
      </x:c>
      <x:c r="C456" s="48" t="str">
        <x:v>English</x:v>
      </x:c>
      <x:c r="D456" s="48" t="n">
        <x:v>34</x:v>
      </x:c>
      <x:c r="E456" s="48" t="str"/>
      <x:c r="F456" s="48" t="str">
        <x:v>The Contractor shall leave that part of the Site and the Works in a clean and safe condition.</x:v>
      </x:c>
      <x:c r="G456" s="48" t="str">
        <x:v>Obligation</x:v>
      </x:c>
      <x:c r="H456" s="48" t="str">
        <x:v>Contractor</x:v>
      </x:c>
      <x:c r="I456" s="48" t="n">
        <x:v>0.88</x:v>
      </x:c>
      <x:c r="J456" s="48" t="n">
        <x:v>0.92</x:v>
      </x:c>
      <x:c r="K456" s="48" t="str">
        <x:v>No</x:v>
      </x:c>
      <x:c r="L456" s="48" t="str">
        <x:v>PDF text</x:v>
      </x:c>
    </x:row>
    <x:row r="457">
      <x:c r="A457" s="48" t="str">
        <x:v>UNI-0456</x:v>
      </x:c>
      <x:c r="B457" s="48" t="str">
        <x:v>RED</x:v>
      </x:c>
      <x:c r="C457" s="48" t="str">
        <x:v>English</x:v>
      </x:c>
      <x:c r="D457" s="48" t="n">
        <x:v>34</x:v>
      </x:c>
      <x:c r="E457" s="48" t="str"/>
      <x:c r="F457" s="48" t="str">
        <x:v>However, the Contractor may retain on Site, during the Defects Notification Period, such Goods as are required for the Contractor to fulfill obligations under the Contract.</x:v>
      </x:c>
      <x:c r="G457" s="48" t="str">
        <x:v>Right</x:v>
      </x:c>
      <x:c r="H457" s="48" t="str">
        <x:v>Contractor</x:v>
      </x:c>
      <x:c r="I457" s="48" t="n">
        <x:v>0.78</x:v>
      </x:c>
      <x:c r="J457" s="48" t="n">
        <x:v>0.92</x:v>
      </x:c>
      <x:c r="K457" s="48" t="str">
        <x:v>No</x:v>
      </x:c>
      <x:c r="L457" s="48" t="str">
        <x:v>PDF text</x:v>
      </x:c>
    </x:row>
    <x:row r="458">
      <x:c r="A458" s="48" t="str">
        <x:v>UNI-0457</x:v>
      </x:c>
      <x:c r="B458" s="48" t="str">
        <x:v>RED</x:v>
      </x:c>
      <x:c r="C458" s="48" t="str">
        <x:v>English</x:v>
      </x:c>
      <x:c r="D458" s="48" t="n">
        <x:v>34</x:v>
      </x:c>
      <x:c r="E458" s="48" t="str"/>
      <x:c r="F458" s="48" t="str">
        <x:v>All fossils, coins, articles of value or antiquity, and structures and other remains or items of geological or archaeological interest found on the Site shall be placed under the care and authority of the Employer.</x:v>
      </x:c>
      <x:c r="G458" s="48" t="str">
        <x:v>Obligation</x:v>
      </x:c>
      <x:c r="H458" s="48" t="str">
        <x:v>Employer</x:v>
      </x:c>
      <x:c r="I458" s="48" t="n">
        <x:v>0.88</x:v>
      </x:c>
      <x:c r="J458" s="48" t="n">
        <x:v>0.68</x:v>
      </x:c>
      <x:c r="K458" s="48" t="str">
        <x:v>Yes</x:v>
      </x:c>
      <x:c r="L458" s="48" t="str">
        <x:v>PDF text</x:v>
      </x:c>
    </x:row>
    <x:row r="459">
      <x:c r="A459" s="48" t="str">
        <x:v>UNI-0458</x:v>
      </x:c>
      <x:c r="B459" s="48" t="str">
        <x:v>RED</x:v>
      </x:c>
      <x:c r="C459" s="48" t="str">
        <x:v>English</x:v>
      </x:c>
      <x:c r="D459" s="48" t="n">
        <x:v>34</x:v>
      </x:c>
      <x:c r="E459" s="48" t="str"/>
      <x:c r="F459" s="48" t="str">
        <x:v>The Contractor shall take reasonable precautions to prevent Contractor’s Personnel or other persons from removing or damaging any of these findings.</x:v>
      </x:c>
      <x:c r="G459" s="48" t="str">
        <x:v>Obligation</x:v>
      </x:c>
      <x:c r="H459" s="48" t="str">
        <x:v>Contractor</x:v>
      </x:c>
      <x:c r="I459" s="48" t="n">
        <x:v>0.88</x:v>
      </x:c>
      <x:c r="J459" s="48" t="n">
        <x:v>0.92</x:v>
      </x:c>
      <x:c r="K459" s="48" t="str">
        <x:v>No</x:v>
      </x:c>
      <x:c r="L459" s="48" t="str">
        <x:v>PDF text</x:v>
      </x:c>
    </x:row>
    <x:row r="460">
      <x:c r="A460" s="48" t="str">
        <x:v>UNI-0459</x:v>
      </x:c>
      <x:c r="B460" s="48" t="str">
        <x:v>RED</x:v>
      </x:c>
      <x:c r="C460" s="48" t="str">
        <x:v>English</x:v>
      </x:c>
      <x:c r="D460" s="48" t="n">
        <x:v>34</x:v>
      </x:c>
      <x:c r="E460" s="48" t="str"/>
      <x:c r="F460" s="48" t="str">
        <x:v>The Contractor shall, upon discovery of any such finding, promptly give notice to the Engineer, who shall issue instructions for dealing with it.</x:v>
      </x:c>
      <x:c r="G460" s="48" t="str">
        <x:v>Obligation</x:v>
      </x:c>
      <x:c r="H460" s="48" t="str">
        <x:v>Contractor</x:v>
      </x:c>
      <x:c r="I460" s="48" t="n">
        <x:v>0.88</x:v>
      </x:c>
      <x:c r="J460" s="48" t="n">
        <x:v>0.92</x:v>
      </x:c>
      <x:c r="K460" s="48" t="str">
        <x:v>No</x:v>
      </x:c>
      <x:c r="L460" s="48" t="str">
        <x:v>PDF text</x:v>
      </x:c>
    </x:row>
    <x:row r="461">
      <x:c r="A461" s="48" t="str">
        <x:v>UNI-0460</x:v>
      </x:c>
      <x:c r="B461" s="48" t="str">
        <x:v>RED</x:v>
      </x:c>
      <x:c r="C461" s="48" t="str">
        <x:v>English</x:v>
      </x:c>
      <x:c r="D461" s="48" t="n">
        <x:v>34</x:v>
      </x:c>
      <x:c r="E461" s="48" t="str"/>
      <x:c r="F461" s="48" t="str">
        <x:v>If the Contractor suffers delay and/or incurs Cost from complying with the instructions, the Contractor shall give a further notice to the Engineer and shall be entitled subject to Sub-Clause 20.1 [Contractor’s Claims] to: (a) an extension of time for any such delay, if completion is or will be delayed, under Sub-Clause 8.4 [Extension of Time for Completion], and (b) payment of any such Cost, which shall be included in the Contract Price.</x:v>
      </x:c>
      <x:c r="G461" s="48" t="str">
        <x:v>Risk</x:v>
      </x:c>
      <x:c r="H461" s="48" t="str">
        <x:v>Contractor</x:v>
      </x:c>
      <x:c r="I461" s="48" t="n">
        <x:v>0.78</x:v>
      </x:c>
      <x:c r="J461" s="48" t="n">
        <x:v>0.92</x:v>
      </x:c>
      <x:c r="K461" s="48" t="str">
        <x:v>No</x:v>
      </x:c>
      <x:c r="L461" s="48" t="str">
        <x:v>PDF text</x:v>
      </x:c>
    </x:row>
    <x:row r="462">
      <x:c r="A462" s="48" t="str">
        <x:v>UNI-0461</x:v>
      </x:c>
      <x:c r="B462" s="48" t="str">
        <x:v>RED</x:v>
      </x:c>
      <x:c r="C462" s="48" t="str">
        <x:v>English</x:v>
      </x:c>
      <x:c r="D462" s="48" t="n">
        <x:v>34</x:v>
      </x:c>
      <x:c r="E462" s="48" t="str"/>
      <x:c r="F462" s="48" t="str">
        <x:v>Security of the Site</x:v>
      </x:c>
      <x:c r="G462" s="48" t="str">
        <x:v>Obligation</x:v>
      </x:c>
      <x:c r="H462" s="48" t="str">
        <x:v>Shared</x:v>
      </x:c>
      <x:c r="I462" s="48" t="n">
        <x:v>0.45</x:v>
      </x:c>
      <x:c r="J462" s="48" t="n">
        <x:v>0.4</x:v>
      </x:c>
      <x:c r="K462" s="48" t="str">
        <x:v>Yes</x:v>
      </x:c>
      <x:c r="L462" s="48" t="str">
        <x:v>PDF text</x:v>
      </x:c>
    </x:row>
    <x:row r="463">
      <x:c r="A463" s="48" t="str">
        <x:v>UNI-0462</x:v>
      </x:c>
      <x:c r="B463" s="48" t="str">
        <x:v>RED</x:v>
      </x:c>
      <x:c r="C463" s="48" t="str">
        <x:v>English</x:v>
      </x:c>
      <x:c r="D463" s="48" t="n">
        <x:v>34</x:v>
      </x:c>
      <x:c r="E463" s="48" t="str"/>
      <x:c r="F463" s="48" t="str">
        <x:v>Contractor’s Operations</x:v>
      </x:c>
      <x:c r="G463" s="48" t="str">
        <x:v>Obligation</x:v>
      </x:c>
      <x:c r="H463" s="48" t="str">
        <x:v>Contractor</x:v>
      </x:c>
      <x:c r="I463" s="48" t="n">
        <x:v>0.45</x:v>
      </x:c>
      <x:c r="J463" s="48" t="n">
        <x:v>0.68</x:v>
      </x:c>
      <x:c r="K463" s="48" t="str">
        <x:v>Yes</x:v>
      </x:c>
      <x:c r="L463" s="48" t="str">
        <x:v>PDF text</x:v>
      </x:c>
    </x:row>
    <x:row r="464">
      <x:c r="A464" s="48" t="str">
        <x:v>UNI-0463</x:v>
      </x:c>
      <x:c r="B464" s="48" t="str">
        <x:v>RED</x:v>
      </x:c>
      <x:c r="C464" s="48" t="str">
        <x:v>English</x:v>
      </x:c>
      <x:c r="D464" s="48" t="n">
        <x:v>34</x:v>
      </x:c>
      <x:c r="E464" s="48" t="str"/>
      <x:c r="F464" s="48" t="str">
        <x:v>on Site 4.24</x:v>
      </x:c>
      <x:c r="G464" s="48" t="str">
        <x:v>Obligation</x:v>
      </x:c>
      <x:c r="H464" s="48" t="str">
        <x:v>Shared</x:v>
      </x:c>
      <x:c r="I464" s="48" t="n">
        <x:v>0.45</x:v>
      </x:c>
      <x:c r="J464" s="48" t="n">
        <x:v>0.4</x:v>
      </x:c>
      <x:c r="K464" s="48" t="str">
        <x:v>Yes</x:v>
      </x:c>
      <x:c r="L464" s="48" t="str">
        <x:v>PDF text</x:v>
      </x:c>
    </x:row>
    <x:row r="465">
      <x:c r="A465" s="48" t="str">
        <x:v>UNI-0464</x:v>
      </x:c>
      <x:c r="B465" s="48" t="str">
        <x:v>RED</x:v>
      </x:c>
      <x:c r="C465" s="48" t="str">
        <x:v>English</x:v>
      </x:c>
      <x:c r="D465" s="48" t="n">
        <x:v>35</x:v>
      </x:c>
      <x:c r="E465" s="48" t="str"/>
      <x:c r="F465" s="48" t="str">
        <x:v>In the Contract, “nominated Subcontractor” means a Subcontractor: (a) who is stated in the Contract as being a nominated Subcontractor, or (b) whom the Engineer, under Clause 13 [Variations and Adjustments], instructs the Contractor to employ as a Subcontractor.</x:v>
      </x:c>
      <x:c r="G465" s="48" t="str">
        <x:v>Definition</x:v>
      </x:c>
      <x:c r="H465" s="48" t="str"/>
      <x:c r="I465" s="48" t="n">
        <x:v>0.97</x:v>
      </x:c>
      <x:c r="J465" s="48" t="n">
        <x:v>0.99</x:v>
      </x:c>
      <x:c r="K465" s="48" t="str">
        <x:v>No</x:v>
      </x:c>
      <x:c r="L465" s="48" t="str">
        <x:v>PDF text</x:v>
      </x:c>
    </x:row>
    <x:row r="466">
      <x:c r="A466" s="48" t="str">
        <x:v>UNI-0465</x:v>
      </x:c>
      <x:c r="B466" s="48" t="str">
        <x:v>RED</x:v>
      </x:c>
      <x:c r="C466" s="48" t="str">
        <x:v>English</x:v>
      </x:c>
      <x:c r="D466" s="48" t="n">
        <x:v>35</x:v>
      </x:c>
      <x:c r="E466" s="48" t="str"/>
      <x:c r="F466" s="48" t="str">
        <x:v>The Contractor shall not be under any obligation to employ a nominated</x:v>
      </x:c>
      <x:c r="G466" s="48" t="str">
        <x:v>Obligation</x:v>
      </x:c>
      <x:c r="H466" s="48" t="str">
        <x:v>Contractor</x:v>
      </x:c>
      <x:c r="I466" s="48" t="n">
        <x:v>0.88</x:v>
      </x:c>
      <x:c r="J466" s="48" t="n">
        <x:v>0.92</x:v>
      </x:c>
      <x:c r="K466" s="48" t="str">
        <x:v>No</x:v>
      </x:c>
      <x:c r="L466" s="48" t="str">
        <x:v>PDF text</x:v>
      </x:c>
    </x:row>
    <x:row r="467">
      <x:c r="A467" s="48" t="str">
        <x:v>UNI-0466</x:v>
      </x:c>
      <x:c r="B467" s="48" t="str">
        <x:v>RED</x:v>
      </x:c>
      <x:c r="C467" s="48" t="str">
        <x:v>English</x:v>
      </x:c>
      <x:c r="D467" s="48" t="n">
        <x:v>35</x:v>
      </x:c>
      <x:c r="E467" s="48" t="str"/>
      <x:c r="F467" s="48" t="str">
        <x:v>Subcontractor against whom the Contractor raises reasonable objection by notice to the Engineer as soon as practicable, with supporting particulars.</x:v>
      </x:c>
      <x:c r="G467" s="48" t="str">
        <x:v>Obligation</x:v>
      </x:c>
      <x:c r="H467" s="48" t="str">
        <x:v>Contractor</x:v>
      </x:c>
      <x:c r="I467" s="48" t="n">
        <x:v>0.55</x:v>
      </x:c>
      <x:c r="J467" s="48" t="n">
        <x:v>0.68</x:v>
      </x:c>
      <x:c r="K467" s="48" t="str">
        <x:v>Yes</x:v>
      </x:c>
      <x:c r="L467" s="48" t="str">
        <x:v>PDF text</x:v>
      </x:c>
    </x:row>
    <x:row r="468">
      <x:c r="A468" s="48" t="str">
        <x:v>UNI-0467</x:v>
      </x:c>
      <x:c r="B468" s="48" t="str">
        <x:v>RED</x:v>
      </x:c>
      <x:c r="C468" s="48" t="str">
        <x:v>English</x:v>
      </x:c>
      <x:c r="D468" s="48" t="n">
        <x:v>35</x:v>
      </x:c>
      <x:c r="E468" s="48" t="str"/>
      <x:c r="F468" s="48" t="str">
        <x:v>An objection shall be deemed reasonable if it arises from (among other things) any of the following matters, unless the Employer agrees to indemnify the Contractor against and from the consequences of the matter: (a) there are reasons to believe that the Subcontractor does not have sufficient competence, resources or financial strength; (b) the subcontract does not specify that the nominated Subcontractor shall indemnify the Contractor against and from any negligence or misuse of Goods by the nominated Subcontractor, his agents and employees; or (c) the subcontract does not specify that, for the subcontracted work (including design, if any), the nominated Subcontractor shall: (i) undertake to the Contractor such obligations and liabilities as will enable the</x:v>
      </x:c>
      <x:c r="G468" s="48" t="str">
        <x:v>Obligation</x:v>
      </x:c>
      <x:c r="H468" s="48" t="str">
        <x:v>Shared</x:v>
      </x:c>
      <x:c r="I468" s="48" t="n">
        <x:v>0.88</x:v>
      </x:c>
      <x:c r="J468" s="48" t="n">
        <x:v>0.6</x:v>
      </x:c>
      <x:c r="K468" s="48" t="str">
        <x:v>Yes</x:v>
      </x:c>
      <x:c r="L468" s="48" t="str">
        <x:v>PDF text</x:v>
      </x:c>
    </x:row>
    <x:row r="469">
      <x:c r="A469" s="48" t="str">
        <x:v>UNI-0468</x:v>
      </x:c>
      <x:c r="B469" s="48" t="str">
        <x:v>RED</x:v>
      </x:c>
      <x:c r="C469" s="48" t="str">
        <x:v>English</x:v>
      </x:c>
      <x:c r="D469" s="48" t="n">
        <x:v>35</x:v>
      </x:c>
      <x:c r="E469" s="48" t="str"/>
      <x:c r="F469" s="48" t="str">
        <x:v>Contractor to discharge his obligations and liabilities under the Contract, and</x:v>
      </x:c>
      <x:c r="G469" s="48" t="str">
        <x:v>Obligation</x:v>
      </x:c>
      <x:c r="H469" s="48" t="str">
        <x:v>Contractor</x:v>
      </x:c>
      <x:c r="I469" s="48" t="n">
        <x:v>0.45</x:v>
      </x:c>
      <x:c r="J469" s="48" t="n">
        <x:v>0.68</x:v>
      </x:c>
      <x:c r="K469" s="48" t="str">
        <x:v>Yes</x:v>
      </x:c>
      <x:c r="L469" s="48" t="str">
        <x:v>PDF text</x:v>
      </x:c>
    </x:row>
    <x:row r="470">
      <x:c r="A470" s="48" t="str">
        <x:v>UNI-0469</x:v>
      </x:c>
      <x:c r="B470" s="48" t="str">
        <x:v>RED</x:v>
      </x:c>
      <x:c r="C470" s="48" t="str">
        <x:v>English</x:v>
      </x:c>
      <x:c r="D470" s="48" t="n">
        <x:v>35</x:v>
      </x:c>
      <x:c r="E470" s="48" t="str"/>
      <x:c r="F470" s="48" t="str">
        <x:v>(ii) indemnify the Contractor against and from all obligations and liabilities arising under or in connection with the Contract and from the consequences of any failure by the Subcontractor to perform these obligations or to fulfil these liabilities.</x:v>
      </x:c>
      <x:c r="G470" s="48" t="str">
        <x:v>Obligation</x:v>
      </x:c>
      <x:c r="H470" s="48" t="str">
        <x:v>Contractor</x:v>
      </x:c>
      <x:c r="I470" s="48" t="n">
        <x:v>0.45</x:v>
      </x:c>
      <x:c r="J470" s="48" t="n">
        <x:v>0.68</x:v>
      </x:c>
      <x:c r="K470" s="48" t="str">
        <x:v>Yes</x:v>
      </x:c>
      <x:c r="L470" s="48" t="str">
        <x:v>PDF text</x:v>
      </x:c>
    </x:row>
    <x:row r="471">
      <x:c r="A471" s="48" t="str">
        <x:v>UNI-0470</x:v>
      </x:c>
      <x:c r="B471" s="48" t="str">
        <x:v>RED</x:v>
      </x:c>
      <x:c r="C471" s="48" t="str">
        <x:v>English</x:v>
      </x:c>
      <x:c r="D471" s="48" t="n">
        <x:v>35</x:v>
      </x:c>
      <x:c r="E471" s="48" t="str"/>
      <x:c r="F471" s="48" t="str">
        <x:v>The Contractor shall pay to the nominated Subcontractor the amounts which the</x:v>
      </x:c>
      <x:c r="G471" s="48" t="str">
        <x:v>Obligation</x:v>
      </x:c>
      <x:c r="H471" s="48" t="str">
        <x:v>Contractor</x:v>
      </x:c>
      <x:c r="I471" s="48" t="n">
        <x:v>0.88</x:v>
      </x:c>
      <x:c r="J471" s="48" t="n">
        <x:v>0.92</x:v>
      </x:c>
      <x:c r="K471" s="48" t="str">
        <x:v>No</x:v>
      </x:c>
      <x:c r="L471" s="48" t="str">
        <x:v>PDF text</x:v>
      </x:c>
    </x:row>
    <x:row r="472">
      <x:c r="A472" s="48" t="str">
        <x:v>UNI-0471</x:v>
      </x:c>
      <x:c r="B472" s="48" t="str">
        <x:v>RED</x:v>
      </x:c>
      <x:c r="C472" s="48" t="str">
        <x:v>English</x:v>
      </x:c>
      <x:c r="D472" s="48" t="n">
        <x:v>35</x:v>
      </x:c>
      <x:c r="E472" s="48" t="str"/>
      <x:c r="F472" s="48" t="str">
        <x:v>Engineer certifies to be due in accordance with the subcontract.</x:v>
      </x:c>
      <x:c r="G472" s="48" t="str">
        <x:v>Obligation</x:v>
      </x:c>
      <x:c r="H472" s="48" t="str">
        <x:v>Shared</x:v>
      </x:c>
      <x:c r="I472" s="48" t="n">
        <x:v>0.45</x:v>
      </x:c>
      <x:c r="J472" s="48" t="n">
        <x:v>0.4</x:v>
      </x:c>
      <x:c r="K472" s="48" t="str">
        <x:v>Yes</x:v>
      </x:c>
      <x:c r="L472" s="48" t="str">
        <x:v>PDF text</x:v>
      </x:c>
    </x:row>
    <x:row r="473">
      <x:c r="A473" s="48" t="str">
        <x:v>UNI-0472</x:v>
      </x:c>
      <x:c r="B473" s="48" t="str">
        <x:v>RED</x:v>
      </x:c>
      <x:c r="C473" s="48" t="str">
        <x:v>English</x:v>
      </x:c>
      <x:c r="D473" s="48" t="n">
        <x:v>35</x:v>
      </x:c>
      <x:c r="E473" s="48" t="str"/>
      <x:c r="F473" s="48" t="str">
        <x:v>These amounts plus other charges shall be included in the Contract Price in accordance with subparagraph (b) of Sub-Clause 13.5 [Provisional Sums], except as stated in Sub-Clause</x:v>
      </x:c>
      <x:c r="G473" s="48" t="str">
        <x:v>Obligation</x:v>
      </x:c>
      <x:c r="H473" s="48" t="str">
        <x:v>Shared</x:v>
      </x:c>
      <x:c r="I473" s="48" t="n">
        <x:v>0.88</x:v>
      </x:c>
      <x:c r="J473" s="48" t="n">
        <x:v>0.4</x:v>
      </x:c>
      <x:c r="K473" s="48" t="str">
        <x:v>Yes</x:v>
      </x:c>
      <x:c r="L473" s="48" t="str">
        <x:v>PDF text</x:v>
      </x:c>
    </x:row>
    <x:row r="474">
      <x:c r="A474" s="48" t="str">
        <x:v>UNI-0473</x:v>
      </x:c>
      <x:c r="B474" s="48" t="str">
        <x:v>RED</x:v>
      </x:c>
      <x:c r="C474" s="48" t="str">
        <x:v>English</x:v>
      </x:c>
      <x:c r="D474" s="48" t="n">
        <x:v>35</x:v>
      </x:c>
      <x:c r="E474" s="48" t="str">
        <x:v>5.4</x:v>
      </x:c>
      <x:c r="F474" s="48" t="str">
        <x:v>5.4 [Evidence of Payments].</x:v>
      </x:c>
      <x:c r="G474" s="48" t="str">
        <x:v>Obligation</x:v>
      </x:c>
      <x:c r="H474" s="48" t="str">
        <x:v>Shared</x:v>
      </x:c>
      <x:c r="I474" s="48" t="n">
        <x:v>0.45</x:v>
      </x:c>
      <x:c r="J474" s="48" t="n">
        <x:v>0.4</x:v>
      </x:c>
      <x:c r="K474" s="48" t="str">
        <x:v>Yes</x:v>
      </x:c>
      <x:c r="L474" s="48" t="str">
        <x:v>PDF text</x:v>
      </x:c>
    </x:row>
    <x:row r="475">
      <x:c r="A475" s="48" t="str">
        <x:v>UNI-0474</x:v>
      </x:c>
      <x:c r="B475" s="48" t="str">
        <x:v>RED</x:v>
      </x:c>
      <x:c r="C475" s="48" t="str">
        <x:v>English</x:v>
      </x:c>
      <x:c r="D475" s="48" t="n">
        <x:v>35</x:v>
      </x:c>
      <x:c r="E475" s="48" t="str"/>
      <x:c r="F475" s="48" t="str">
        <x:v>Before issuing a Payment Certificate which includes an amount payable to a</x:v>
      </x:c>
      <x:c r="G475" s="48" t="str">
        <x:v>Obligation</x:v>
      </x:c>
      <x:c r="H475" s="48" t="str">
        <x:v>Shared</x:v>
      </x:c>
      <x:c r="I475" s="48" t="n">
        <x:v>0.55</x:v>
      </x:c>
      <x:c r="J475" s="48" t="n">
        <x:v>0.4</x:v>
      </x:c>
      <x:c r="K475" s="48" t="str">
        <x:v>Yes</x:v>
      </x:c>
      <x:c r="L475" s="48" t="str">
        <x:v>PDF text</x:v>
      </x:c>
    </x:row>
    <x:row r="476">
      <x:c r="A476" s="48" t="str">
        <x:v>UNI-0475</x:v>
      </x:c>
      <x:c r="B476" s="48" t="str">
        <x:v>RED</x:v>
      </x:c>
      <x:c r="C476" s="48" t="str">
        <x:v>English</x:v>
      </x:c>
      <x:c r="D476" s="48" t="n">
        <x:v>35</x:v>
      </x:c>
      <x:c r="E476" s="48" t="str"/>
      <x:c r="F476" s="48" t="str">
        <x:v>nominated Subcontractor, the Engineer may request the Contractor to supply reasonable evidence that the nominated Subcontractor has received all amounts due in accordance with previous Payment Certificates, less applicable deductions for retention or otherwise.</x:v>
      </x:c>
      <x:c r="G476" s="48" t="str">
        <x:v>Right</x:v>
      </x:c>
      <x:c r="H476" s="48" t="str">
        <x:v>Contractor</x:v>
      </x:c>
      <x:c r="I476" s="48" t="n">
        <x:v>0.78</x:v>
      </x:c>
      <x:c r="J476" s="48" t="n">
        <x:v>0.68</x:v>
      </x:c>
      <x:c r="K476" s="48" t="str">
        <x:v>Yes</x:v>
      </x:c>
      <x:c r="L476" s="48" t="str">
        <x:v>PDF text</x:v>
      </x:c>
    </x:row>
    <x:row r="477">
      <x:c r="A477" s="48" t="str">
        <x:v>UNI-0476</x:v>
      </x:c>
      <x:c r="B477" s="48" t="str">
        <x:v>RED</x:v>
      </x:c>
      <x:c r="C477" s="48" t="str">
        <x:v>English</x:v>
      </x:c>
      <x:c r="D477" s="48" t="n">
        <x:v>35</x:v>
      </x:c>
      <x:c r="E477" s="48" t="str"/>
      <x:c r="F477" s="48" t="str">
        <x:v>Unless the Contractor: (a) submits this reasonable evidence to the Engineer, or (b) (i) satisfies the Engineer in writing that the Contractor is reasonably entitled to withhold or refuse to pay these amounts, and (ii) submits to the Engineer reasonable evidence that the nominated</x:v>
      </x:c>
      <x:c r="G477" s="48" t="str">
        <x:v>Right</x:v>
      </x:c>
      <x:c r="H477" s="48" t="str">
        <x:v>Contractor</x:v>
      </x:c>
      <x:c r="I477" s="48" t="n">
        <x:v>0.78</x:v>
      </x:c>
      <x:c r="J477" s="48" t="n">
        <x:v>0.68</x:v>
      </x:c>
      <x:c r="K477" s="48" t="str">
        <x:v>Yes</x:v>
      </x:c>
      <x:c r="L477" s="48" t="str">
        <x:v>PDF text</x:v>
      </x:c>
    </x:row>
    <x:row r="478">
      <x:c r="A478" s="48" t="str">
        <x:v>UNI-0477</x:v>
      </x:c>
      <x:c r="B478" s="48" t="str">
        <x:v>RED</x:v>
      </x:c>
      <x:c r="C478" s="48" t="str">
        <x:v>English</x:v>
      </x:c>
      <x:c r="D478" s="48" t="n">
        <x:v>35</x:v>
      </x:c>
      <x:c r="E478" s="48" t="str"/>
      <x:c r="F478" s="48" t="str">
        <x:v>Subcontractor has been notified of the Contractor’s entitlement,</x:v>
      </x:c>
      <x:c r="G478" s="48" t="str">
        <x:v>Obligation</x:v>
      </x:c>
      <x:c r="H478" s="48" t="str">
        <x:v>Contractor</x:v>
      </x:c>
      <x:c r="I478" s="48" t="n">
        <x:v>0.45</x:v>
      </x:c>
      <x:c r="J478" s="48" t="n">
        <x:v>0.68</x:v>
      </x:c>
      <x:c r="K478" s="48" t="str">
        <x:v>Yes</x:v>
      </x:c>
      <x:c r="L478" s="48" t="str">
        <x:v>PDF text</x:v>
      </x:c>
    </x:row>
    <x:row r="479">
      <x:c r="A479" s="48" t="str">
        <x:v>UNI-0478</x:v>
      </x:c>
      <x:c r="B479" s="48" t="str">
        <x:v>RED</x:v>
      </x:c>
      <x:c r="C479" s="48" t="str">
        <x:v>English</x:v>
      </x:c>
      <x:c r="D479" s="48" t="n">
        <x:v>35</x:v>
      </x:c>
      <x:c r="E479" s="48" t="str">
        <x:v>5.1</x:v>
      </x:c>
      <x:c r="F479" s="48" t="str">
        <x:v>5.1 Definition of “nominated Subcontractor” 5.2</x:v>
      </x:c>
      <x:c r="G479" s="48" t="str">
        <x:v>Heading</x:v>
      </x:c>
      <x:c r="H479" s="48" t="str"/>
      <x:c r="I479" s="48" t="n">
        <x:v>0.9</x:v>
      </x:c>
      <x:c r="J479" s="48" t="n">
        <x:v>0.99</x:v>
      </x:c>
      <x:c r="K479" s="48" t="str">
        <x:v>No</x:v>
      </x:c>
      <x:c r="L479" s="48" t="str">
        <x:v>PDF text</x:v>
      </x:c>
    </x:row>
    <x:row r="480">
      <x:c r="A480" s="48" t="str">
        <x:v>UNI-0479</x:v>
      </x:c>
      <x:c r="B480" s="48" t="str">
        <x:v>RED</x:v>
      </x:c>
      <x:c r="C480" s="48" t="str">
        <x:v>English</x:v>
      </x:c>
      <x:c r="D480" s="48" t="n">
        <x:v>35</x:v>
      </x:c>
      <x:c r="E480" s="48" t="str"/>
      <x:c r="F480" s="48" t="str">
        <x:v>Objection to Nomination</x:v>
      </x:c>
      <x:c r="G480" s="48" t="str">
        <x:v>Obligation</x:v>
      </x:c>
      <x:c r="H480" s="48" t="str">
        <x:v>Shared</x:v>
      </x:c>
      <x:c r="I480" s="48" t="n">
        <x:v>0.45</x:v>
      </x:c>
      <x:c r="J480" s="48" t="n">
        <x:v>0.4</x:v>
      </x:c>
      <x:c r="K480" s="48" t="str">
        <x:v>Yes</x:v>
      </x:c>
      <x:c r="L480" s="48" t="str">
        <x:v>PDF text</x:v>
      </x:c>
    </x:row>
    <x:row r="481">
      <x:c r="A481" s="48" t="str">
        <x:v>UNI-0480</x:v>
      </x:c>
      <x:c r="B481" s="48" t="str">
        <x:v>RED</x:v>
      </x:c>
      <x:c r="C481" s="48" t="str">
        <x:v>English</x:v>
      </x:c>
      <x:c r="D481" s="48" t="n">
        <x:v>35</x:v>
      </x:c>
      <x:c r="E481" s="48" t="str"/>
      <x:c r="F481" s="48" t="str">
        <x:v>Payments to nominated</x:v>
      </x:c>
      <x:c r="G481" s="48" t="str">
        <x:v>Obligation</x:v>
      </x:c>
      <x:c r="H481" s="48" t="str">
        <x:v>Shared</x:v>
      </x:c>
      <x:c r="I481" s="48" t="n">
        <x:v>0.45</x:v>
      </x:c>
      <x:c r="J481" s="48" t="n">
        <x:v>0.4</x:v>
      </x:c>
      <x:c r="K481" s="48" t="str">
        <x:v>Yes</x:v>
      </x:c>
      <x:c r="L481" s="48" t="str">
        <x:v>PDF text</x:v>
      </x:c>
    </x:row>
    <x:row r="482">
      <x:c r="A482" s="48" t="str">
        <x:v>UNI-0481</x:v>
      </x:c>
      <x:c r="B482" s="48" t="str">
        <x:v>RED</x:v>
      </x:c>
      <x:c r="C482" s="48" t="str">
        <x:v>English</x:v>
      </x:c>
      <x:c r="D482" s="48" t="n">
        <x:v>35</x:v>
      </x:c>
      <x:c r="E482" s="48" t="str"/>
      <x:c r="F482" s="48" t="str">
        <x:v>Nominated Subcontractors</x:v>
      </x:c>
      <x:c r="G482" s="48" t="str">
        <x:v>Obligation</x:v>
      </x:c>
      <x:c r="H482" s="48" t="str">
        <x:v>Shared</x:v>
      </x:c>
      <x:c r="I482" s="48" t="n">
        <x:v>0.45</x:v>
      </x:c>
      <x:c r="J482" s="48" t="n">
        <x:v>0.4</x:v>
      </x:c>
      <x:c r="K482" s="48" t="str">
        <x:v>Yes</x:v>
      </x:c>
      <x:c r="L482" s="48" t="str">
        <x:v>PDF text</x:v>
      </x:c>
    </x:row>
    <x:row r="483">
      <x:c r="A483" s="48" t="str">
        <x:v>UNI-0482</x:v>
      </x:c>
      <x:c r="B483" s="48" t="str">
        <x:v>RED</x:v>
      </x:c>
      <x:c r="C483" s="48" t="str">
        <x:v>English</x:v>
      </x:c>
      <x:c r="D483" s="48" t="n">
        <x:v>36</x:v>
      </x:c>
      <x:c r="E483" s="48" t="str"/>
      <x:c r="F483" s="48" t="str">
        <x:v>then the Employer may (at his sole discretion) pay, direct to the nominated</x:v>
      </x:c>
      <x:c r="G483" s="48" t="str">
        <x:v>Obligation</x:v>
      </x:c>
      <x:c r="H483" s="48" t="str">
        <x:v>Employer</x:v>
      </x:c>
      <x:c r="I483" s="48" t="n">
        <x:v>0.45</x:v>
      </x:c>
      <x:c r="J483" s="48" t="n">
        <x:v>0.68</x:v>
      </x:c>
      <x:c r="K483" s="48" t="str">
        <x:v>Yes</x:v>
      </x:c>
      <x:c r="L483" s="48" t="str">
        <x:v>PDF text</x:v>
      </x:c>
    </x:row>
    <x:row r="484">
      <x:c r="A484" s="48" t="str">
        <x:v>UNI-0483</x:v>
      </x:c>
      <x:c r="B484" s="48" t="str">
        <x:v>RED</x:v>
      </x:c>
      <x:c r="C484" s="48" t="str">
        <x:v>English</x:v>
      </x:c>
      <x:c r="D484" s="48" t="n">
        <x:v>36</x:v>
      </x:c>
      <x:c r="E484" s="48" t="str"/>
      <x:c r="F484" s="48" t="str">
        <x:v>Subcontractor, part or all of such amounts previously certified (less applicable</x:v>
      </x:c>
      <x:c r="G484" s="48" t="str">
        <x:v>Obligation</x:v>
      </x:c>
      <x:c r="H484" s="48" t="str">
        <x:v>Shared</x:v>
      </x:c>
      <x:c r="I484" s="48" t="n">
        <x:v>0.45</x:v>
      </x:c>
      <x:c r="J484" s="48" t="n">
        <x:v>0.4</x:v>
      </x:c>
      <x:c r="K484" s="48" t="str">
        <x:v>Yes</x:v>
      </x:c>
      <x:c r="L484" s="48" t="str">
        <x:v>PDF text</x:v>
      </x:c>
    </x:row>
    <x:row r="485">
      <x:c r="A485" s="48" t="str">
        <x:v>UNI-0484</x:v>
      </x:c>
      <x:c r="B485" s="48" t="str">
        <x:v>RED</x:v>
      </x:c>
      <x:c r="C485" s="48" t="str">
        <x:v>English</x:v>
      </x:c>
      <x:c r="D485" s="48" t="n">
        <x:v>36</x:v>
      </x:c>
      <x:c r="E485" s="48" t="str"/>
      <x:c r="F485" s="48" t="str">
        <x:v>deductions) as are due to the nominated Subcontractor and for which the Contractor has failed to submit the evidence described in sub-paragraphs (a) or (b) above.</x:v>
      </x:c>
      <x:c r="G485" s="48" t="str">
        <x:v>Obligation</x:v>
      </x:c>
      <x:c r="H485" s="48" t="str">
        <x:v>Contractor</x:v>
      </x:c>
      <x:c r="I485" s="48" t="n">
        <x:v>0.45</x:v>
      </x:c>
      <x:c r="J485" s="48" t="n">
        <x:v>0.68</x:v>
      </x:c>
      <x:c r="K485" s="48" t="str">
        <x:v>Yes</x:v>
      </x:c>
      <x:c r="L485" s="48" t="str">
        <x:v>PDF text</x:v>
      </x:c>
    </x:row>
    <x:row r="486">
      <x:c r="A486" s="48" t="str">
        <x:v>UNI-0485</x:v>
      </x:c>
      <x:c r="B486" s="48" t="str">
        <x:v>RED</x:v>
      </x:c>
      <x:c r="C486" s="48" t="str">
        <x:v>English</x:v>
      </x:c>
      <x:c r="D486" s="48" t="n">
        <x:v>36</x:v>
      </x:c>
      <x:c r="E486" s="48" t="str"/>
      <x:c r="F486" s="48" t="str">
        <x:v>Contractor shall then repay, to the Employer, the amount which the nominated</x:v>
      </x:c>
      <x:c r="G486" s="48" t="str">
        <x:v>Obligation</x:v>
      </x:c>
      <x:c r="H486" s="48" t="str">
        <x:v>Shared</x:v>
      </x:c>
      <x:c r="I486" s="48" t="n">
        <x:v>0.88</x:v>
      </x:c>
      <x:c r="J486" s="48" t="n">
        <x:v>0.6</x:v>
      </x:c>
      <x:c r="K486" s="48" t="str">
        <x:v>Yes</x:v>
      </x:c>
      <x:c r="L486" s="48" t="str">
        <x:v>PDF text</x:v>
      </x:c>
    </x:row>
    <x:row r="487">
      <x:c r="A487" s="48" t="str">
        <x:v>UNI-0486</x:v>
      </x:c>
      <x:c r="B487" s="48" t="str">
        <x:v>RED</x:v>
      </x:c>
      <x:c r="C487" s="48" t="str">
        <x:v>English</x:v>
      </x:c>
      <x:c r="D487" s="48" t="n">
        <x:v>36</x:v>
      </x:c>
      <x:c r="E487" s="48" t="str"/>
      <x:c r="F487" s="48" t="str">
        <x:v>Subcontractor was directly paid by the Employer.</x:v>
      </x:c>
      <x:c r="G487" s="48" t="str">
        <x:v>Obligation</x:v>
      </x:c>
      <x:c r="H487" s="48" t="str">
        <x:v>Employer</x:v>
      </x:c>
      <x:c r="I487" s="48" t="n">
        <x:v>0.45</x:v>
      </x:c>
      <x:c r="J487" s="48" t="n">
        <x:v>0.68</x:v>
      </x:c>
      <x:c r="K487" s="48" t="str">
        <x:v>Yes</x:v>
      </x:c>
      <x:c r="L487" s="48" t="str">
        <x:v>PDF text</x:v>
      </x:c>
    </x:row>
    <x:row r="488">
      <x:c r="A488" s="48" t="str">
        <x:v>UNI-0487</x:v>
      </x:c>
      <x:c r="B488" s="48" t="str">
        <x:v>RED</x:v>
      </x:c>
      <x:c r="C488" s="48" t="str">
        <x:v>English</x:v>
      </x:c>
      <x:c r="D488" s="48" t="n">
        <x:v>36</x:v>
      </x:c>
      <x:c r="E488" s="48" t="str"/>
      <x:c r="F488" s="48" t="str">
        <x:v>Except as otherwise stated in the Specification, the Contractor shall make</x:v>
      </x:c>
      <x:c r="G488" s="48" t="str">
        <x:v>Obligation</x:v>
      </x:c>
      <x:c r="H488" s="48" t="str">
        <x:v>Contractor</x:v>
      </x:c>
      <x:c r="I488" s="48" t="n">
        <x:v>0.88</x:v>
      </x:c>
      <x:c r="J488" s="48" t="n">
        <x:v>0.92</x:v>
      </x:c>
      <x:c r="K488" s="48" t="str">
        <x:v>No</x:v>
      </x:c>
      <x:c r="L488" s="48" t="str">
        <x:v>PDF text</x:v>
      </x:c>
    </x:row>
    <x:row r="489">
      <x:c r="A489" s="48" t="str">
        <x:v>UNI-0488</x:v>
      </x:c>
      <x:c r="B489" s="48" t="str">
        <x:v>RED</x:v>
      </x:c>
      <x:c r="C489" s="48" t="str">
        <x:v>English</x:v>
      </x:c>
      <x:c r="D489" s="48" t="n">
        <x:v>36</x:v>
      </x:c>
      <x:c r="E489" s="48" t="str"/>
      <x:c r="F489" s="48" t="str">
        <x:v>arrangements for the engagement of all staff and labour, local or otherwise, and for their payment, housing, feeding and transport.</x:v>
      </x:c>
      <x:c r="G489" s="48" t="str">
        <x:v>Obligation</x:v>
      </x:c>
      <x:c r="H489" s="48" t="str">
        <x:v>Shared</x:v>
      </x:c>
      <x:c r="I489" s="48" t="n">
        <x:v>0.55</x:v>
      </x:c>
      <x:c r="J489" s="48" t="n">
        <x:v>0.4</x:v>
      </x:c>
      <x:c r="K489" s="48" t="str">
        <x:v>Yes</x:v>
      </x:c>
      <x:c r="L489" s="48" t="str">
        <x:v>PDF text</x:v>
      </x:c>
    </x:row>
    <x:row r="490">
      <x:c r="A490" s="48" t="str">
        <x:v>UNI-0489</x:v>
      </x:c>
      <x:c r="B490" s="48" t="str">
        <x:v>RED</x:v>
      </x:c>
      <x:c r="C490" s="48" t="str">
        <x:v>English</x:v>
      </x:c>
      <x:c r="D490" s="48" t="n">
        <x:v>36</x:v>
      </x:c>
      <x:c r="E490" s="48" t="str"/>
      <x:c r="F490" s="48" t="str">
        <x:v>The Contractor is encouraged, to the extent practicable and reasonable, to employ</x:v>
      </x:c>
      <x:c r="G490" s="48" t="str">
        <x:v>Obligation</x:v>
      </x:c>
      <x:c r="H490" s="48" t="str">
        <x:v>Contractor</x:v>
      </x:c>
      <x:c r="I490" s="48" t="n">
        <x:v>0.45</x:v>
      </x:c>
      <x:c r="J490" s="48" t="n">
        <x:v>0.68</x:v>
      </x:c>
      <x:c r="K490" s="48" t="str">
        <x:v>Yes</x:v>
      </x:c>
      <x:c r="L490" s="48" t="str">
        <x:v>PDF text</x:v>
      </x:c>
    </x:row>
    <x:row r="491">
      <x:c r="A491" s="48" t="str">
        <x:v>UNI-0490</x:v>
      </x:c>
      <x:c r="B491" s="48" t="str">
        <x:v>RED</x:v>
      </x:c>
      <x:c r="C491" s="48" t="str">
        <x:v>English</x:v>
      </x:c>
      <x:c r="D491" s="48" t="n">
        <x:v>36</x:v>
      </x:c>
      <x:c r="E491" s="48" t="str"/>
      <x:c r="F491" s="48" t="str">
        <x:v>staff and labour with appropriate qualifications and experience from sources within the Country.</x:v>
      </x:c>
      <x:c r="G491" s="48" t="str">
        <x:v>Obligation</x:v>
      </x:c>
      <x:c r="H491" s="48" t="str">
        <x:v>Shared</x:v>
      </x:c>
      <x:c r="I491" s="48" t="n">
        <x:v>0.45</x:v>
      </x:c>
      <x:c r="J491" s="48" t="n">
        <x:v>0.4</x:v>
      </x:c>
      <x:c r="K491" s="48" t="str">
        <x:v>Yes</x:v>
      </x:c>
      <x:c r="L491" s="48" t="str">
        <x:v>PDF text</x:v>
      </x:c>
    </x:row>
    <x:row r="492">
      <x:c r="A492" s="48" t="str">
        <x:v>UNI-0491</x:v>
      </x:c>
      <x:c r="B492" s="48" t="str">
        <x:v>RED</x:v>
      </x:c>
      <x:c r="C492" s="48" t="str">
        <x:v>English</x:v>
      </x:c>
      <x:c r="D492" s="48" t="n">
        <x:v>36</x:v>
      </x:c>
      <x:c r="E492" s="48" t="str"/>
      <x:c r="F492" s="48" t="str">
        <x:v>The Contractor shall pay rates of wages, and observe conditions of labour, which are not lower than those established for the trade or industry where the work is carried out.</x:v>
      </x:c>
      <x:c r="G492" s="48" t="str">
        <x:v>Obligation</x:v>
      </x:c>
      <x:c r="H492" s="48" t="str">
        <x:v>Contractor</x:v>
      </x:c>
      <x:c r="I492" s="48" t="n">
        <x:v>0.88</x:v>
      </x:c>
      <x:c r="J492" s="48" t="n">
        <x:v>0.92</x:v>
      </x:c>
      <x:c r="K492" s="48" t="str">
        <x:v>No</x:v>
      </x:c>
      <x:c r="L492" s="48" t="str">
        <x:v>PDF text</x:v>
      </x:c>
    </x:row>
    <x:row r="493">
      <x:c r="A493" s="48" t="str">
        <x:v>UNI-0492</x:v>
      </x:c>
      <x:c r="B493" s="48" t="str">
        <x:v>RED</x:v>
      </x:c>
      <x:c r="C493" s="48" t="str">
        <x:v>English</x:v>
      </x:c>
      <x:c r="D493" s="48" t="n">
        <x:v>36</x:v>
      </x:c>
      <x:c r="E493" s="48" t="str"/>
      <x:c r="F493" s="48" t="str">
        <x:v>If no established rates or conditions are applicable, the Contractor shall pay rates of wages and observe conditions which are not lower than the general level of wages and conditions observed locally by employers whose trade or industry is similar to that of the Contractor.</x:v>
      </x:c>
      <x:c r="G493" s="48" t="str">
        <x:v>Obligation</x:v>
      </x:c>
      <x:c r="H493" s="48" t="str">
        <x:v>Contractor</x:v>
      </x:c>
      <x:c r="I493" s="48" t="n">
        <x:v>0.88</x:v>
      </x:c>
      <x:c r="J493" s="48" t="n">
        <x:v>0.92</x:v>
      </x:c>
      <x:c r="K493" s="48" t="str">
        <x:v>No</x:v>
      </x:c>
      <x:c r="L493" s="48" t="str">
        <x:v>PDF text</x:v>
      </x:c>
    </x:row>
    <x:row r="494">
      <x:c r="A494" s="48" t="str">
        <x:v>UNI-0493</x:v>
      </x:c>
      <x:c r="B494" s="48" t="str">
        <x:v>RED</x:v>
      </x:c>
      <x:c r="C494" s="48" t="str">
        <x:v>English</x:v>
      </x:c>
      <x:c r="D494" s="48" t="n">
        <x:v>36</x:v>
      </x:c>
      <x:c r="E494" s="48" t="str"/>
      <x:c r="F494" s="48" t="str">
        <x:v>The Contractor shall inform the Contractor’s Personnel about their liability to pay personal income taxes in the Country in respect of such of their salaries, wages and allowances as are chargeable under the Laws of the Country for the time being in force, and the Contractor shall perform such duties in regard to such deductions thereof as may be imposed on him by such Laws.</x:v>
      </x:c>
      <x:c r="G494" s="48" t="str">
        <x:v>Risk</x:v>
      </x:c>
      <x:c r="H494" s="48" t="str">
        <x:v>Contractor</x:v>
      </x:c>
      <x:c r="I494" s="48" t="n">
        <x:v>0.78</x:v>
      </x:c>
      <x:c r="J494" s="48" t="n">
        <x:v>0.92</x:v>
      </x:c>
      <x:c r="K494" s="48" t="str">
        <x:v>No</x:v>
      </x:c>
      <x:c r="L494" s="48" t="str">
        <x:v>PDF text</x:v>
      </x:c>
    </x:row>
    <x:row r="495">
      <x:c r="A495" s="48" t="str">
        <x:v>UNI-0494</x:v>
      </x:c>
      <x:c r="B495" s="48" t="str">
        <x:v>RED</x:v>
      </x:c>
      <x:c r="C495" s="48" t="str">
        <x:v>English</x:v>
      </x:c>
      <x:c r="D495" s="48" t="n">
        <x:v>36</x:v>
      </x:c>
      <x:c r="E495" s="48" t="str"/>
      <x:c r="F495" s="48" t="str">
        <x:v>The Contractor shall not recruit, or attempt to recruit, staff and labour from amongst the Employer’s Personnel.</x:v>
      </x:c>
      <x:c r="G495" s="48" t="str">
        <x:v>Obligation</x:v>
      </x:c>
      <x:c r="H495" s="48" t="str">
        <x:v>Contractor</x:v>
      </x:c>
      <x:c r="I495" s="48" t="n">
        <x:v>0.88</x:v>
      </x:c>
      <x:c r="J495" s="48" t="n">
        <x:v>0.92</x:v>
      </x:c>
      <x:c r="K495" s="48" t="str">
        <x:v>No</x:v>
      </x:c>
      <x:c r="L495" s="48" t="str">
        <x:v>PDF text</x:v>
      </x:c>
    </x:row>
    <x:row r="496">
      <x:c r="A496" s="48" t="str">
        <x:v>UNI-0495</x:v>
      </x:c>
      <x:c r="B496" s="48" t="str">
        <x:v>RED</x:v>
      </x:c>
      <x:c r="C496" s="48" t="str">
        <x:v>English</x:v>
      </x:c>
      <x:c r="D496" s="48" t="n">
        <x:v>36</x:v>
      </x:c>
      <x:c r="E496" s="48" t="str"/>
      <x:c r="F496" s="48" t="str">
        <x:v>The Contractor shall comply with all the relevant labour Laws applicable to the</x:v>
      </x:c>
      <x:c r="G496" s="48" t="str">
        <x:v>Obligation</x:v>
      </x:c>
      <x:c r="H496" s="48" t="str">
        <x:v>Contractor</x:v>
      </x:c>
      <x:c r="I496" s="48" t="n">
        <x:v>0.88</x:v>
      </x:c>
      <x:c r="J496" s="48" t="n">
        <x:v>0.92</x:v>
      </x:c>
      <x:c r="K496" s="48" t="str">
        <x:v>No</x:v>
      </x:c>
      <x:c r="L496" s="48" t="str">
        <x:v>PDF text</x:v>
      </x:c>
    </x:row>
    <x:row r="497">
      <x:c r="A497" s="48" t="str">
        <x:v>UNI-0496</x:v>
      </x:c>
      <x:c r="B497" s="48" t="str">
        <x:v>RED</x:v>
      </x:c>
      <x:c r="C497" s="48" t="str">
        <x:v>English</x:v>
      </x:c>
      <x:c r="D497" s="48" t="n">
        <x:v>36</x:v>
      </x:c>
      <x:c r="E497" s="48" t="str"/>
      <x:c r="F497" s="48" t="str">
        <x:v>Contractor’s Personnel, including Laws relating to their employment, health, safety, welfare, immigration and emigration, and shall allow them all their legal rights.</x:v>
      </x:c>
      <x:c r="G497" s="48" t="str">
        <x:v>Obligation</x:v>
      </x:c>
      <x:c r="H497" s="48" t="str">
        <x:v>Contractor</x:v>
      </x:c>
      <x:c r="I497" s="48" t="n">
        <x:v>0.88</x:v>
      </x:c>
      <x:c r="J497" s="48" t="n">
        <x:v>0.68</x:v>
      </x:c>
      <x:c r="K497" s="48" t="str">
        <x:v>Yes</x:v>
      </x:c>
      <x:c r="L497" s="48" t="str">
        <x:v>PDF text</x:v>
      </x:c>
    </x:row>
    <x:row r="498">
      <x:c r="A498" s="48" t="str">
        <x:v>UNI-0497</x:v>
      </x:c>
      <x:c r="B498" s="48" t="str">
        <x:v>RED</x:v>
      </x:c>
      <x:c r="C498" s="48" t="str">
        <x:v>English</x:v>
      </x:c>
      <x:c r="D498" s="48" t="n">
        <x:v>36</x:v>
      </x:c>
      <x:c r="E498" s="48" t="str"/>
      <x:c r="F498" s="48" t="str">
        <x:v>The Contractor shall require his employees to obey all applicable Laws, including</x:v>
      </x:c>
      <x:c r="G498" s="48" t="str">
        <x:v>Obligation</x:v>
      </x:c>
      <x:c r="H498" s="48" t="str">
        <x:v>Contractor</x:v>
      </x:c>
      <x:c r="I498" s="48" t="n">
        <x:v>0.88</x:v>
      </x:c>
      <x:c r="J498" s="48" t="n">
        <x:v>0.92</x:v>
      </x:c>
      <x:c r="K498" s="48" t="str">
        <x:v>No</x:v>
      </x:c>
      <x:c r="L498" s="48" t="str">
        <x:v>PDF text</x:v>
      </x:c>
    </x:row>
    <x:row r="499">
      <x:c r="A499" s="48" t="str">
        <x:v>UNI-0498</x:v>
      </x:c>
      <x:c r="B499" s="48" t="str">
        <x:v>RED</x:v>
      </x:c>
      <x:c r="C499" s="48" t="str">
        <x:v>English</x:v>
      </x:c>
      <x:c r="D499" s="48" t="n">
        <x:v>36</x:v>
      </x:c>
      <x:c r="E499" s="48" t="str"/>
      <x:c r="F499" s="48" t="str">
        <x:v>those concerning safety at work.</x:v>
      </x:c>
      <x:c r="G499" s="48" t="str">
        <x:v>Obligation</x:v>
      </x:c>
      <x:c r="H499" s="48" t="str">
        <x:v>Shared</x:v>
      </x:c>
      <x:c r="I499" s="48" t="n">
        <x:v>0.45</x:v>
      </x:c>
      <x:c r="J499" s="48" t="n">
        <x:v>0.4</x:v>
      </x:c>
      <x:c r="K499" s="48" t="str">
        <x:v>Yes</x:v>
      </x:c>
      <x:c r="L499" s="48" t="str">
        <x:v>PDF text</x:v>
      </x:c>
    </x:row>
    <x:row r="500">
      <x:c r="A500" s="48" t="str">
        <x:v>UNI-0499</x:v>
      </x:c>
      <x:c r="B500" s="48" t="str">
        <x:v>RED</x:v>
      </x:c>
      <x:c r="C500" s="48" t="str">
        <x:v>English</x:v>
      </x:c>
      <x:c r="D500" s="48" t="n">
        <x:v>36</x:v>
      </x:c>
      <x:c r="E500" s="48" t="str"/>
      <x:c r="F500" s="48" t="str">
        <x:v>No work shall be carried out on the Site on locally recognised days of rest, or outside the normal working hours stated in the Contract Data, unless: (a) otherwise stated in the Contract, (b) the Engineer gives consent, or (c) the work is unavoidable, or necessary for the protection of life or property or for the safety of the Works, in which case the Contractor shall immediately advise the Engineer.</x:v>
      </x:c>
      <x:c r="G500" s="48" t="str">
        <x:v>Obligation</x:v>
      </x:c>
      <x:c r="H500" s="48" t="str">
        <x:v>Contractor</x:v>
      </x:c>
      <x:c r="I500" s="48" t="n">
        <x:v>0.88</x:v>
      </x:c>
      <x:c r="J500" s="48" t="n">
        <x:v>0.92</x:v>
      </x:c>
      <x:c r="K500" s="48" t="str">
        <x:v>No</x:v>
      </x:c>
      <x:c r="L500" s="48" t="str">
        <x:v>PDF text</x:v>
      </x:c>
    </x:row>
    <x:row r="501">
      <x:c r="A501" s="48" t="str">
        <x:v>UNI-0500</x:v>
      </x:c>
      <x:c r="B501" s="48" t="str">
        <x:v>RED</x:v>
      </x:c>
      <x:c r="C501" s="48" t="str">
        <x:v>English</x:v>
      </x:c>
      <x:c r="D501" s="48" t="n">
        <x:v>36</x:v>
      </x:c>
      <x:c r="E501" s="48" t="str"/>
      <x:c r="F501" s="48" t="str">
        <x:v>Engagement of</x:v>
      </x:c>
      <x:c r="G501" s="48" t="str">
        <x:v>Obligation</x:v>
      </x:c>
      <x:c r="H501" s="48" t="str">
        <x:v>Shared</x:v>
      </x:c>
      <x:c r="I501" s="48" t="n">
        <x:v>0.45</x:v>
      </x:c>
      <x:c r="J501" s="48" t="n">
        <x:v>0.4</x:v>
      </x:c>
      <x:c r="K501" s="48" t="str">
        <x:v>Yes</x:v>
      </x:c>
      <x:c r="L501" s="48" t="str">
        <x:v>PDF text</x:v>
      </x:c>
    </x:row>
    <x:row r="502">
      <x:c r="A502" s="48" t="str">
        <x:v>UNI-0501</x:v>
      </x:c>
      <x:c r="B502" s="48" t="str">
        <x:v>RED</x:v>
      </x:c>
      <x:c r="C502" s="48" t="str">
        <x:v>English</x:v>
      </x:c>
      <x:c r="D502" s="48" t="n">
        <x:v>36</x:v>
      </x:c>
      <x:c r="E502" s="48" t="str"/>
      <x:c r="F502" s="48" t="str">
        <x:v>Staff and Labour</x:v>
      </x:c>
      <x:c r="G502" s="48" t="str">
        <x:v>Obligation</x:v>
      </x:c>
      <x:c r="H502" s="48" t="str">
        <x:v>Shared</x:v>
      </x:c>
      <x:c r="I502" s="48" t="n">
        <x:v>0.45</x:v>
      </x:c>
      <x:c r="J502" s="48" t="n">
        <x:v>0.4</x:v>
      </x:c>
      <x:c r="K502" s="48" t="str">
        <x:v>Yes</x:v>
      </x:c>
      <x:c r="L502" s="48" t="str">
        <x:v>PDF text</x:v>
      </x:c>
    </x:row>
    <x:row r="503">
      <x:c r="A503" s="48" t="str">
        <x:v>UNI-0502</x:v>
      </x:c>
      <x:c r="B503" s="48" t="str">
        <x:v>RED</x:v>
      </x:c>
      <x:c r="C503" s="48" t="str">
        <x:v>English</x:v>
      </x:c>
      <x:c r="D503" s="48" t="n">
        <x:v>36</x:v>
      </x:c>
      <x:c r="E503" s="48" t="str"/>
      <x:c r="F503" s="48" t="str">
        <x:v>Rates of Wages and</x:v>
      </x:c>
      <x:c r="G503" s="48" t="str">
        <x:v>Obligation</x:v>
      </x:c>
      <x:c r="H503" s="48" t="str">
        <x:v>Shared</x:v>
      </x:c>
      <x:c r="I503" s="48" t="n">
        <x:v>0.45</x:v>
      </x:c>
      <x:c r="J503" s="48" t="n">
        <x:v>0.4</x:v>
      </x:c>
      <x:c r="K503" s="48" t="str">
        <x:v>Yes</x:v>
      </x:c>
      <x:c r="L503" s="48" t="str">
        <x:v>PDF text</x:v>
      </x:c>
    </x:row>
    <x:row r="504">
      <x:c r="A504" s="48" t="str">
        <x:v>UNI-0503</x:v>
      </x:c>
      <x:c r="B504" s="48" t="str">
        <x:v>RED</x:v>
      </x:c>
      <x:c r="C504" s="48" t="str">
        <x:v>English</x:v>
      </x:c>
      <x:c r="D504" s="48" t="n">
        <x:v>36</x:v>
      </x:c>
      <x:c r="E504" s="48" t="str"/>
      <x:c r="F504" s="48" t="str">
        <x:v>Conditions of Labour</x:v>
      </x:c>
      <x:c r="G504" s="48" t="str">
        <x:v>Obligation</x:v>
      </x:c>
      <x:c r="H504" s="48" t="str">
        <x:v>Shared</x:v>
      </x:c>
      <x:c r="I504" s="48" t="n">
        <x:v>0.45</x:v>
      </x:c>
      <x:c r="J504" s="48" t="n">
        <x:v>0.4</x:v>
      </x:c>
      <x:c r="K504" s="48" t="str">
        <x:v>Yes</x:v>
      </x:c>
      <x:c r="L504" s="48" t="str">
        <x:v>PDF text</x:v>
      </x:c>
    </x:row>
    <x:row r="505">
      <x:c r="A505" s="48" t="str">
        <x:v>UNI-0504</x:v>
      </x:c>
      <x:c r="B505" s="48" t="str">
        <x:v>RED</x:v>
      </x:c>
      <x:c r="C505" s="48" t="str">
        <x:v>English</x:v>
      </x:c>
      <x:c r="D505" s="48" t="n">
        <x:v>36</x:v>
      </x:c>
      <x:c r="E505" s="48" t="str"/>
      <x:c r="F505" s="48" t="str">
        <x:v>Persons in the Service</x:v>
      </x:c>
      <x:c r="G505" s="48" t="str">
        <x:v>Obligation</x:v>
      </x:c>
      <x:c r="H505" s="48" t="str">
        <x:v>Shared</x:v>
      </x:c>
      <x:c r="I505" s="48" t="n">
        <x:v>0.45</x:v>
      </x:c>
      <x:c r="J505" s="48" t="n">
        <x:v>0.4</x:v>
      </x:c>
      <x:c r="K505" s="48" t="str">
        <x:v>Yes</x:v>
      </x:c>
      <x:c r="L505" s="48" t="str">
        <x:v>PDF text</x:v>
      </x:c>
    </x:row>
    <x:row r="506">
      <x:c r="A506" s="48" t="str">
        <x:v>UNI-0505</x:v>
      </x:c>
      <x:c r="B506" s="48" t="str">
        <x:v>RED</x:v>
      </x:c>
      <x:c r="C506" s="48" t="str">
        <x:v>English</x:v>
      </x:c>
      <x:c r="D506" s="48" t="n">
        <x:v>36</x:v>
      </x:c>
      <x:c r="E506" s="48" t="str"/>
      <x:c r="F506" s="48" t="str">
        <x:v>of Employer 6.4</x:v>
      </x:c>
      <x:c r="G506" s="48" t="str">
        <x:v>Obligation</x:v>
      </x:c>
      <x:c r="H506" s="48" t="str">
        <x:v>Employer</x:v>
      </x:c>
      <x:c r="I506" s="48" t="n">
        <x:v>0.45</x:v>
      </x:c>
      <x:c r="J506" s="48" t="n">
        <x:v>0.68</x:v>
      </x:c>
      <x:c r="K506" s="48" t="str">
        <x:v>Yes</x:v>
      </x:c>
      <x:c r="L506" s="48" t="str">
        <x:v>PDF text</x:v>
      </x:c>
    </x:row>
    <x:row r="507">
      <x:c r="A507" s="48" t="str">
        <x:v>UNI-0506</x:v>
      </x:c>
      <x:c r="B507" s="48" t="str">
        <x:v>RED</x:v>
      </x:c>
      <x:c r="C507" s="48" t="str">
        <x:v>English</x:v>
      </x:c>
      <x:c r="D507" s="48" t="n">
        <x:v>36</x:v>
      </x:c>
      <x:c r="E507" s="48" t="str"/>
      <x:c r="F507" s="48" t="str">
        <x:v>Labour Laws</x:v>
      </x:c>
      <x:c r="G507" s="48" t="str">
        <x:v>Obligation</x:v>
      </x:c>
      <x:c r="H507" s="48" t="str">
        <x:v>Shared</x:v>
      </x:c>
      <x:c r="I507" s="48" t="n">
        <x:v>0.45</x:v>
      </x:c>
      <x:c r="J507" s="48" t="n">
        <x:v>0.4</x:v>
      </x:c>
      <x:c r="K507" s="48" t="str">
        <x:v>Yes</x:v>
      </x:c>
      <x:c r="L507" s="48" t="str">
        <x:v>PDF text</x:v>
      </x:c>
    </x:row>
    <x:row r="508">
      <x:c r="A508" s="48" t="str">
        <x:v>UNI-0507</x:v>
      </x:c>
      <x:c r="B508" s="48" t="str">
        <x:v>RED</x:v>
      </x:c>
      <x:c r="C508" s="48" t="str">
        <x:v>English</x:v>
      </x:c>
      <x:c r="D508" s="48" t="n">
        <x:v>36</x:v>
      </x:c>
      <x:c r="E508" s="48" t="str"/>
      <x:c r="F508" s="48" t="str">
        <x:v>Working Hours</x:v>
      </x:c>
      <x:c r="G508" s="48" t="str">
        <x:v>Obligation</x:v>
      </x:c>
      <x:c r="H508" s="48" t="str">
        <x:v>Shared</x:v>
      </x:c>
      <x:c r="I508" s="48" t="n">
        <x:v>0.45</x:v>
      </x:c>
      <x:c r="J508" s="48" t="n">
        <x:v>0.4</x:v>
      </x:c>
      <x:c r="K508" s="48" t="str">
        <x:v>Yes</x:v>
      </x:c>
      <x:c r="L508" s="48" t="str">
        <x:v>PDF text</x:v>
      </x:c>
    </x:row>
    <x:row r="509">
      <x:c r="A509" s="48" t="str">
        <x:v>UNI-0508</x:v>
      </x:c>
      <x:c r="B509" s="48" t="str">
        <x:v>RED</x:v>
      </x:c>
      <x:c r="C509" s="48" t="str">
        <x:v>English</x:v>
      </x:c>
      <x:c r="D509" s="48" t="n">
        <x:v>37</x:v>
      </x:c>
      <x:c r="E509" s="48" t="str"/>
      <x:c r="F509" s="48" t="str">
        <x:v>Except as otherwise stated in the Specification, the Contractor shall provide and</x:v>
      </x:c>
      <x:c r="G509" s="48" t="str">
        <x:v>Obligation</x:v>
      </x:c>
      <x:c r="H509" s="48" t="str">
        <x:v>Contractor</x:v>
      </x:c>
      <x:c r="I509" s="48" t="n">
        <x:v>0.88</x:v>
      </x:c>
      <x:c r="J509" s="48" t="n">
        <x:v>0.92</x:v>
      </x:c>
      <x:c r="K509" s="48" t="str">
        <x:v>No</x:v>
      </x:c>
      <x:c r="L509" s="48" t="str">
        <x:v>PDF text</x:v>
      </x:c>
    </x:row>
    <x:row r="510">
      <x:c r="A510" s="48" t="str">
        <x:v>UNI-0509</x:v>
      </x:c>
      <x:c r="B510" s="48" t="str">
        <x:v>RED</x:v>
      </x:c>
      <x:c r="C510" s="48" t="str">
        <x:v>English</x:v>
      </x:c>
      <x:c r="D510" s="48" t="n">
        <x:v>37</x:v>
      </x:c>
      <x:c r="E510" s="48" t="str"/>
      <x:c r="F510" s="48" t="str">
        <x:v>maintain all necessary accommodation and welfare facilities for the Contractor’s Personnel.</x:v>
      </x:c>
      <x:c r="G510" s="48" t="str">
        <x:v>Obligation</x:v>
      </x:c>
      <x:c r="H510" s="48" t="str">
        <x:v>Contractor</x:v>
      </x:c>
      <x:c r="I510" s="48" t="n">
        <x:v>0.45</x:v>
      </x:c>
      <x:c r="J510" s="48" t="n">
        <x:v>0.68</x:v>
      </x:c>
      <x:c r="K510" s="48" t="str">
        <x:v>Yes</x:v>
      </x:c>
      <x:c r="L510" s="48" t="str">
        <x:v>PDF text</x:v>
      </x:c>
    </x:row>
    <x:row r="511">
      <x:c r="A511" s="48" t="str">
        <x:v>UNI-0510</x:v>
      </x:c>
      <x:c r="B511" s="48" t="str">
        <x:v>RED</x:v>
      </x:c>
      <x:c r="C511" s="48" t="str">
        <x:v>English</x:v>
      </x:c>
      <x:c r="D511" s="48" t="n">
        <x:v>37</x:v>
      </x:c>
      <x:c r="E511" s="48" t="str"/>
      <x:c r="F511" s="48" t="str">
        <x:v>The Contractor shall also provide facilities for the Employer’s Personnel as stated in the Specification.</x:v>
      </x:c>
      <x:c r="G511" s="48" t="str">
        <x:v>Obligation</x:v>
      </x:c>
      <x:c r="H511" s="48" t="str">
        <x:v>Contractor</x:v>
      </x:c>
      <x:c r="I511" s="48" t="n">
        <x:v>0.88</x:v>
      </x:c>
      <x:c r="J511" s="48" t="n">
        <x:v>0.92</x:v>
      </x:c>
      <x:c r="K511" s="48" t="str">
        <x:v>No</x:v>
      </x:c>
      <x:c r="L511" s="48" t="str">
        <x:v>PDF text</x:v>
      </x:c>
    </x:row>
    <x:row r="512">
      <x:c r="A512" s="48" t="str">
        <x:v>UNI-0511</x:v>
      </x:c>
      <x:c r="B512" s="48" t="str">
        <x:v>RED</x:v>
      </x:c>
      <x:c r="C512" s="48" t="str">
        <x:v>English</x:v>
      </x:c>
      <x:c r="D512" s="48" t="n">
        <x:v>37</x:v>
      </x:c>
      <x:c r="E512" s="48" t="str"/>
      <x:c r="F512" s="48" t="str">
        <x:v>The Contractor shall not permit any of the Contractor’s Personnel to maintain any</x:v>
      </x:c>
      <x:c r="G512" s="48" t="str">
        <x:v>Obligation</x:v>
      </x:c>
      <x:c r="H512" s="48" t="str">
        <x:v>Contractor</x:v>
      </x:c>
      <x:c r="I512" s="48" t="n">
        <x:v>0.88</x:v>
      </x:c>
      <x:c r="J512" s="48" t="n">
        <x:v>0.92</x:v>
      </x:c>
      <x:c r="K512" s="48" t="str">
        <x:v>No</x:v>
      </x:c>
      <x:c r="L512" s="48" t="str">
        <x:v>PDF text</x:v>
      </x:c>
    </x:row>
    <x:row r="513">
      <x:c r="A513" s="48" t="str">
        <x:v>UNI-0512</x:v>
      </x:c>
      <x:c r="B513" s="48" t="str">
        <x:v>RED</x:v>
      </x:c>
      <x:c r="C513" s="48" t="str">
        <x:v>English</x:v>
      </x:c>
      <x:c r="D513" s="48" t="n">
        <x:v>37</x:v>
      </x:c>
      <x:c r="E513" s="48" t="str"/>
      <x:c r="F513" s="48" t="str">
        <x:v>temporary or permanent living quarters within the structures forming part of the Permanent Works.</x:v>
      </x:c>
      <x:c r="G513" s="48" t="str">
        <x:v>Obligation</x:v>
      </x:c>
      <x:c r="H513" s="48" t="str">
        <x:v>Shared</x:v>
      </x:c>
      <x:c r="I513" s="48" t="n">
        <x:v>0.45</x:v>
      </x:c>
      <x:c r="J513" s="48" t="n">
        <x:v>0.4</x:v>
      </x:c>
      <x:c r="K513" s="48" t="str">
        <x:v>Yes</x:v>
      </x:c>
      <x:c r="L513" s="48" t="str">
        <x:v>PDF text</x:v>
      </x:c>
    </x:row>
    <x:row r="514">
      <x:c r="A514" s="48" t="str">
        <x:v>UNI-0513</x:v>
      </x:c>
      <x:c r="B514" s="48" t="str">
        <x:v>RED</x:v>
      </x:c>
      <x:c r="C514" s="48" t="str">
        <x:v>English</x:v>
      </x:c>
      <x:c r="D514" s="48" t="n">
        <x:v>37</x:v>
      </x:c>
      <x:c r="E514" s="48" t="str"/>
      <x:c r="F514" s="48" t="str">
        <x:v>The Contractor shall at all times take all reasonable precautions to maintain the health and safety of the Contractor’s Personnel.</x:v>
      </x:c>
      <x:c r="G514" s="48" t="str">
        <x:v>Obligation</x:v>
      </x:c>
      <x:c r="H514" s="48" t="str">
        <x:v>Contractor</x:v>
      </x:c>
      <x:c r="I514" s="48" t="n">
        <x:v>0.88</x:v>
      </x:c>
      <x:c r="J514" s="48" t="n">
        <x:v>0.92</x:v>
      </x:c>
      <x:c r="K514" s="48" t="str">
        <x:v>No</x:v>
      </x:c>
      <x:c r="L514" s="48" t="str">
        <x:v>PDF text</x:v>
      </x:c>
    </x:row>
    <x:row r="515">
      <x:c r="A515" s="48" t="str">
        <x:v>UNI-0514</x:v>
      </x:c>
      <x:c r="B515" s="48" t="str">
        <x:v>RED</x:v>
      </x:c>
      <x:c r="C515" s="48" t="str">
        <x:v>English</x:v>
      </x:c>
      <x:c r="D515" s="48" t="n">
        <x:v>37</x:v>
      </x:c>
      <x:c r="E515" s="48" t="str"/>
      <x:c r="F515" s="48" t="str">
        <x:v>In collaboration with local health authorities, the Contractor shall ensure that medical staff, first aid facilities, sick bay and ambulance service are available at all times at the Site and at any accommodation for Contractor’s and Employer’s Personnel, and that suitable arrangements are made for all necessary welfare and hygiene requirements and for the prevention of epidemics.</x:v>
      </x:c>
      <x:c r="G515" s="48" t="str">
        <x:v>Obligation</x:v>
      </x:c>
      <x:c r="H515" s="48" t="str">
        <x:v>Contractor</x:v>
      </x:c>
      <x:c r="I515" s="48" t="n">
        <x:v>0.88</x:v>
      </x:c>
      <x:c r="J515" s="48" t="n">
        <x:v>0.92</x:v>
      </x:c>
      <x:c r="K515" s="48" t="str">
        <x:v>No</x:v>
      </x:c>
      <x:c r="L515" s="48" t="str">
        <x:v>PDF text</x:v>
      </x:c>
    </x:row>
    <x:row r="516">
      <x:c r="A516" s="48" t="str">
        <x:v>UNI-0515</x:v>
      </x:c>
      <x:c r="B516" s="48" t="str">
        <x:v>RED</x:v>
      </x:c>
      <x:c r="C516" s="48" t="str">
        <x:v>English</x:v>
      </x:c>
      <x:c r="D516" s="48" t="n">
        <x:v>37</x:v>
      </x:c>
      <x:c r="E516" s="48" t="str"/>
      <x:c r="F516" s="48" t="str">
        <x:v>The Contractor shall appoint an accident prevention officer at the Site, responsible for maintaining safety and protection against accidents.</x:v>
      </x:c>
      <x:c r="G516" s="48" t="str">
        <x:v>Obligation</x:v>
      </x:c>
      <x:c r="H516" s="48" t="str">
        <x:v>Contractor</x:v>
      </x:c>
      <x:c r="I516" s="48" t="n">
        <x:v>0.88</x:v>
      </x:c>
      <x:c r="J516" s="48" t="n">
        <x:v>0.92</x:v>
      </x:c>
      <x:c r="K516" s="48" t="str">
        <x:v>No</x:v>
      </x:c>
      <x:c r="L516" s="48" t="str">
        <x:v>PDF text</x:v>
      </x:c>
    </x:row>
    <x:row r="517">
      <x:c r="A517" s="48" t="str">
        <x:v>UNI-0516</x:v>
      </x:c>
      <x:c r="B517" s="48" t="str">
        <x:v>RED</x:v>
      </x:c>
      <x:c r="C517" s="48" t="str">
        <x:v>English</x:v>
      </x:c>
      <x:c r="D517" s="48" t="n">
        <x:v>37</x:v>
      </x:c>
      <x:c r="E517" s="48" t="str"/>
      <x:c r="F517" s="48" t="str">
        <x:v>This person shall be qualified for this responsibility, and shall have the authority to issue instructions and take protective measures to prevent accidents.</x:v>
      </x:c>
      <x:c r="G517" s="48" t="str">
        <x:v>Obligation</x:v>
      </x:c>
      <x:c r="H517" s="48" t="str">
        <x:v>Shared</x:v>
      </x:c>
      <x:c r="I517" s="48" t="n">
        <x:v>0.88</x:v>
      </x:c>
      <x:c r="J517" s="48" t="n">
        <x:v>0.4</x:v>
      </x:c>
      <x:c r="K517" s="48" t="str">
        <x:v>Yes</x:v>
      </x:c>
      <x:c r="L517" s="48" t="str">
        <x:v>PDF text</x:v>
      </x:c>
    </x:row>
    <x:row r="518">
      <x:c r="A518" s="48" t="str">
        <x:v>UNI-0517</x:v>
      </x:c>
      <x:c r="B518" s="48" t="str">
        <x:v>RED</x:v>
      </x:c>
      <x:c r="C518" s="48" t="str">
        <x:v>English</x:v>
      </x:c>
      <x:c r="D518" s="48" t="n">
        <x:v>37</x:v>
      </x:c>
      <x:c r="E518" s="48" t="str"/>
      <x:c r="F518" s="48" t="str">
        <x:v>Throughout the execution of the Works, the</x:v>
      </x:c>
      <x:c r="G518" s="48" t="str">
        <x:v>Obligation</x:v>
      </x:c>
      <x:c r="H518" s="48" t="str">
        <x:v>Shared</x:v>
      </x:c>
      <x:c r="I518" s="48" t="n">
        <x:v>0.45</x:v>
      </x:c>
      <x:c r="J518" s="48" t="n">
        <x:v>0.4</x:v>
      </x:c>
      <x:c r="K518" s="48" t="str">
        <x:v>Yes</x:v>
      </x:c>
      <x:c r="L518" s="48" t="str">
        <x:v>PDF text</x:v>
      </x:c>
    </x:row>
    <x:row r="519">
      <x:c r="A519" s="48" t="str">
        <x:v>UNI-0518</x:v>
      </x:c>
      <x:c r="B519" s="48" t="str">
        <x:v>RED</x:v>
      </x:c>
      <x:c r="C519" s="48" t="str">
        <x:v>English</x:v>
      </x:c>
      <x:c r="D519" s="48" t="n">
        <x:v>37</x:v>
      </x:c>
      <x:c r="E519" s="48" t="str"/>
      <x:c r="F519" s="48" t="str">
        <x:v>Contractor shall provide whatever is required by this person to exercise this</x:v>
      </x:c>
      <x:c r="G519" s="48" t="str">
        <x:v>Obligation</x:v>
      </x:c>
      <x:c r="H519" s="48" t="str">
        <x:v>Contractor</x:v>
      </x:c>
      <x:c r="I519" s="48" t="n">
        <x:v>0.88</x:v>
      </x:c>
      <x:c r="J519" s="48" t="n">
        <x:v>0.68</x:v>
      </x:c>
      <x:c r="K519" s="48" t="str">
        <x:v>Yes</x:v>
      </x:c>
      <x:c r="L519" s="48" t="str">
        <x:v>PDF text</x:v>
      </x:c>
    </x:row>
    <x:row r="520">
      <x:c r="A520" s="48" t="str">
        <x:v>UNI-0519</x:v>
      </x:c>
      <x:c r="B520" s="48" t="str">
        <x:v>RED</x:v>
      </x:c>
      <x:c r="C520" s="48" t="str">
        <x:v>English</x:v>
      </x:c>
      <x:c r="D520" s="48" t="n">
        <x:v>37</x:v>
      </x:c>
      <x:c r="E520" s="48" t="str"/>
      <x:c r="F520" s="48" t="str">
        <x:v>responsibility and authority.</x:v>
      </x:c>
      <x:c r="G520" s="48" t="str">
        <x:v>Obligation</x:v>
      </x:c>
      <x:c r="H520" s="48" t="str">
        <x:v>Shared</x:v>
      </x:c>
      <x:c r="I520" s="48" t="n">
        <x:v>0.45</x:v>
      </x:c>
      <x:c r="J520" s="48" t="n">
        <x:v>0.4</x:v>
      </x:c>
      <x:c r="K520" s="48" t="str">
        <x:v>Yes</x:v>
      </x:c>
      <x:c r="L520" s="48" t="str">
        <x:v>PDF text</x:v>
      </x:c>
    </x:row>
    <x:row r="521">
      <x:c r="A521" s="48" t="str">
        <x:v>UNI-0520</x:v>
      </x:c>
      <x:c r="B521" s="48" t="str">
        <x:v>RED</x:v>
      </x:c>
      <x:c r="C521" s="48" t="str">
        <x:v>English</x:v>
      </x:c>
      <x:c r="D521" s="48" t="n">
        <x:v>37</x:v>
      </x:c>
      <x:c r="E521" s="48" t="str"/>
      <x:c r="F521" s="48" t="str">
        <x:v>The Contractor shall send, to the Engineer, details of any accident as soon as</x:v>
      </x:c>
      <x:c r="G521" s="48" t="str">
        <x:v>Obligation</x:v>
      </x:c>
      <x:c r="H521" s="48" t="str">
        <x:v>Contractor</x:v>
      </x:c>
      <x:c r="I521" s="48" t="n">
        <x:v>0.88</x:v>
      </x:c>
      <x:c r="J521" s="48" t="n">
        <x:v>0.92</x:v>
      </x:c>
      <x:c r="K521" s="48" t="str">
        <x:v>No</x:v>
      </x:c>
      <x:c r="L521" s="48" t="str">
        <x:v>PDF text</x:v>
      </x:c>
    </x:row>
    <x:row r="522">
      <x:c r="A522" s="48" t="str">
        <x:v>UNI-0521</x:v>
      </x:c>
      <x:c r="B522" s="48" t="str">
        <x:v>RED</x:v>
      </x:c>
      <x:c r="C522" s="48" t="str">
        <x:v>English</x:v>
      </x:c>
      <x:c r="D522" s="48" t="n">
        <x:v>37</x:v>
      </x:c>
      <x:c r="E522" s="48" t="str"/>
      <x:c r="F522" s="48" t="str">
        <x:v>practicable after its occurrence.</x:v>
      </x:c>
      <x:c r="G522" s="48" t="str">
        <x:v>Obligation</x:v>
      </x:c>
      <x:c r="H522" s="48" t="str">
        <x:v>Shared</x:v>
      </x:c>
      <x:c r="I522" s="48" t="n">
        <x:v>0.45</x:v>
      </x:c>
      <x:c r="J522" s="48" t="n">
        <x:v>0.4</x:v>
      </x:c>
      <x:c r="K522" s="48" t="str">
        <x:v>Yes</x:v>
      </x:c>
      <x:c r="L522" s="48" t="str">
        <x:v>PDF text</x:v>
      </x:c>
    </x:row>
    <x:row r="523">
      <x:c r="A523" s="48" t="str">
        <x:v>UNI-0522</x:v>
      </x:c>
      <x:c r="B523" s="48" t="str">
        <x:v>RED</x:v>
      </x:c>
      <x:c r="C523" s="48" t="str">
        <x:v>English</x:v>
      </x:c>
      <x:c r="D523" s="48" t="n">
        <x:v>37</x:v>
      </x:c>
      <x:c r="E523" s="48" t="str"/>
      <x:c r="F523" s="48" t="str">
        <x:v>The Contractor shall maintain records and make reports concerning health, safety and welfare of persons, and damage to property, as the Engineer may reasonably require.</x:v>
      </x:c>
      <x:c r="G523" s="48" t="str">
        <x:v>Obligation</x:v>
      </x:c>
      <x:c r="H523" s="48" t="str">
        <x:v>Contractor</x:v>
      </x:c>
      <x:c r="I523" s="48" t="n">
        <x:v>0.88</x:v>
      </x:c>
      <x:c r="J523" s="48" t="n">
        <x:v>0.92</x:v>
      </x:c>
      <x:c r="K523" s="48" t="str">
        <x:v>No</x:v>
      </x:c>
      <x:c r="L523" s="48" t="str">
        <x:v>PDF text</x:v>
      </x:c>
    </x:row>
    <x:row r="524">
      <x:c r="A524" s="48" t="str">
        <x:v>UNI-0523</x:v>
      </x:c>
      <x:c r="B524" s="48" t="str">
        <x:v>RED</x:v>
      </x:c>
      <x:c r="C524" s="48" t="str">
        <x:v>English</x:v>
      </x:c>
      <x:c r="D524" s="48" t="n">
        <x:v>37</x:v>
      </x:c>
      <x:c r="E524" s="48" t="str"/>
      <x:c r="F524" s="48" t="str">
        <x:v>HIV-AIDS Prevention.</x:v>
      </x:c>
      <x:c r="G524" s="48" t="str">
        <x:v>Obligation</x:v>
      </x:c>
      <x:c r="H524" s="48" t="str">
        <x:v>Shared</x:v>
      </x:c>
      <x:c r="I524" s="48" t="n">
        <x:v>0.45</x:v>
      </x:c>
      <x:c r="J524" s="48" t="n">
        <x:v>0.4</x:v>
      </x:c>
      <x:c r="K524" s="48" t="str">
        <x:v>Yes</x:v>
      </x:c>
      <x:c r="L524" s="48" t="str">
        <x:v>PDF text</x:v>
      </x:c>
    </x:row>
    <x:row r="525">
      <x:c r="A525" s="48" t="str">
        <x:v>UNI-0524</x:v>
      </x:c>
      <x:c r="B525" s="48" t="str">
        <x:v>RED</x:v>
      </x:c>
      <x:c r="C525" s="48" t="str">
        <x:v>English</x:v>
      </x:c>
      <x:c r="D525" s="48" t="n">
        <x:v>37</x:v>
      </x:c>
      <x:c r="E525" s="48" t="str"/>
      <x:c r="F525" s="48" t="str">
        <x:v>The Contractor shall conduct an HIV-AIDS awareness programme via an approved service provider, and shall undertake such other measures as are specified in this Contract to reduce the risk of the transfer of the HIV virus between and among the Contractor’s Personnel and the local community, to promote early diagnosis and to assist affected individuals.</x:v>
      </x:c>
      <x:c r="G525" s="48" t="str">
        <x:v>Obligation</x:v>
      </x:c>
      <x:c r="H525" s="48" t="str">
        <x:v>Contractor</x:v>
      </x:c>
      <x:c r="I525" s="48" t="n">
        <x:v>0.88</x:v>
      </x:c>
      <x:c r="J525" s="48" t="n">
        <x:v>0.92</x:v>
      </x:c>
      <x:c r="K525" s="48" t="str">
        <x:v>No</x:v>
      </x:c>
      <x:c r="L525" s="48" t="str">
        <x:v>PDF text</x:v>
      </x:c>
    </x:row>
    <x:row r="526">
      <x:c r="A526" s="48" t="str">
        <x:v>UNI-0525</x:v>
      </x:c>
      <x:c r="B526" s="48" t="str">
        <x:v>RED</x:v>
      </x:c>
      <x:c r="C526" s="48" t="str">
        <x:v>English</x:v>
      </x:c>
      <x:c r="D526" s="48" t="n">
        <x:v>37</x:v>
      </x:c>
      <x:c r="E526" s="48" t="str"/>
      <x:c r="F526" s="48" t="str">
        <x:v>The Contractor shall throughout the contract (including the Defects Notification</x:v>
      </x:c>
      <x:c r="G526" s="48" t="str">
        <x:v>Obligation</x:v>
      </x:c>
      <x:c r="H526" s="48" t="str">
        <x:v>Contractor</x:v>
      </x:c>
      <x:c r="I526" s="48" t="n">
        <x:v>0.88</x:v>
      </x:c>
      <x:c r="J526" s="48" t="n">
        <x:v>0.92</x:v>
      </x:c>
      <x:c r="K526" s="48" t="str">
        <x:v>No</x:v>
      </x:c>
      <x:c r="L526" s="48" t="str">
        <x:v>PDF text</x:v>
      </x:c>
    </x:row>
    <x:row r="527">
      <x:c r="A527" s="48" t="str">
        <x:v>UNI-0526</x:v>
      </x:c>
      <x:c r="B527" s="48" t="str">
        <x:v>RED</x:v>
      </x:c>
      <x:c r="C527" s="48" t="str">
        <x:v>English</x:v>
      </x:c>
      <x:c r="D527" s="48" t="n">
        <x:v>37</x:v>
      </x:c>
      <x:c r="E527" s="48" t="str"/>
      <x:c r="F527" s="48" t="str">
        <x:v>Period): (i) conduct Information, Education and Consultation Communication (IEC) campaigns, at least every other month, addressed to all the Site staff and labour (including all the Contractor’s employees, all Subcontractors and Consultants’ employees, and all truck drivers and crew making deliveries to Site for construction activities) and to the immediate local communities, concerning the risks, dangers and impact of, and appropriate avoidance behaviour with respect to, Sexually Transmitted Diseases (STD)-or Sexually Transmitted Infections (STI) in general and HIV/AIDS in particular; (ii) provide male or female condoms for all Site staff and labour as appropriate; and (iii) provide for STI and HIV/AIDS screening, diagnosis, counselling and referral to a dedicated national STI and HIV/AIDS programme, (unless otherwise agreed) of all Site staff and labour.</x:v>
      </x:c>
      <x:c r="G527" s="48" t="str">
        <x:v>Obligation</x:v>
      </x:c>
      <x:c r="H527" s="48" t="str">
        <x:v>Contractor</x:v>
      </x:c>
      <x:c r="I527" s="48" t="n">
        <x:v>0.45</x:v>
      </x:c>
      <x:c r="J527" s="48" t="n">
        <x:v>0.68</x:v>
      </x:c>
      <x:c r="K527" s="48" t="str">
        <x:v>Yes</x:v>
      </x:c>
      <x:c r="L527" s="48" t="str">
        <x:v>PDF text</x:v>
      </x:c>
    </x:row>
    <x:row r="528">
      <x:c r="A528" s="48" t="str">
        <x:v>UNI-0527</x:v>
      </x:c>
      <x:c r="B528" s="48" t="str">
        <x:v>RED</x:v>
      </x:c>
      <x:c r="C528" s="48" t="str">
        <x:v>English</x:v>
      </x:c>
      <x:c r="D528" s="48" t="n">
        <x:v>37</x:v>
      </x:c>
      <x:c r="E528" s="48" t="str"/>
      <x:c r="F528" s="48" t="str">
        <x:v>The Contractor shall include in the programme to be submitted for the execution of the Works under Sub-Clause 8.3 an alleviation programme for Site staff and labour and their families in respect of Sexually Transmitted Infections (STI) and Sexually Transmitted Diseases (STD) including HIV/AIDS.</x:v>
      </x:c>
      <x:c r="G528" s="48" t="str">
        <x:v>Obligation</x:v>
      </x:c>
      <x:c r="H528" s="48" t="str">
        <x:v>Contractor</x:v>
      </x:c>
      <x:c r="I528" s="48" t="n">
        <x:v>0.88</x:v>
      </x:c>
      <x:c r="J528" s="48" t="n">
        <x:v>0.92</x:v>
      </x:c>
      <x:c r="K528" s="48" t="str">
        <x:v>No</x:v>
      </x:c>
      <x:c r="L528" s="48" t="str">
        <x:v>PDF text</x:v>
      </x:c>
    </x:row>
    <x:row r="529">
      <x:c r="A529" s="48" t="str">
        <x:v>UNI-0528</x:v>
      </x:c>
      <x:c r="B529" s="48" t="str">
        <x:v>RED</x:v>
      </x:c>
      <x:c r="C529" s="48" t="str">
        <x:v>English</x:v>
      </x:c>
      <x:c r="D529" s="48" t="n">
        <x:v>37</x:v>
      </x:c>
      <x:c r="E529" s="48" t="str"/>
      <x:c r="F529" s="48" t="str">
        <x:v>The STI, STD and HIV/AIDS alleviation programme shall indicate when, how and at what cost the Contractor plans to satisfy the requirements of this Sub-Clause and the related specification.</x:v>
      </x:c>
      <x:c r="G529" s="48" t="str">
        <x:v>Obligation</x:v>
      </x:c>
      <x:c r="H529" s="48" t="str">
        <x:v>Contractor</x:v>
      </x:c>
      <x:c r="I529" s="48" t="n">
        <x:v>0.88</x:v>
      </x:c>
      <x:c r="J529" s="48" t="n">
        <x:v>0.68</x:v>
      </x:c>
      <x:c r="K529" s="48" t="str">
        <x:v>Yes</x:v>
      </x:c>
      <x:c r="L529" s="48" t="str">
        <x:v>PDF text</x:v>
      </x:c>
    </x:row>
    <x:row r="530">
      <x:c r="A530" s="48" t="str">
        <x:v>UNI-0529</x:v>
      </x:c>
      <x:c r="B530" s="48" t="str">
        <x:v>RED</x:v>
      </x:c>
      <x:c r="C530" s="48" t="str">
        <x:v>English</x:v>
      </x:c>
      <x:c r="D530" s="48" t="n">
        <x:v>37</x:v>
      </x:c>
      <x:c r="E530" s="48" t="str"/>
      <x:c r="F530" s="48" t="str">
        <x:v>For each component, the programme shall detail the resources to be provided or utilized and any related sub-contracting proposed.</x:v>
      </x:c>
      <x:c r="G530" s="48" t="str">
        <x:v>Obligation</x:v>
      </x:c>
      <x:c r="H530" s="48" t="str">
        <x:v>Shared</x:v>
      </x:c>
      <x:c r="I530" s="48" t="n">
        <x:v>0.88</x:v>
      </x:c>
      <x:c r="J530" s="48" t="n">
        <x:v>0.4</x:v>
      </x:c>
      <x:c r="K530" s="48" t="str">
        <x:v>Yes</x:v>
      </x:c>
      <x:c r="L530" s="48" t="str">
        <x:v>PDF text</x:v>
      </x:c>
    </x:row>
    <x:row r="531">
      <x:c r="A531" s="48" t="str">
        <x:v>UNI-0530</x:v>
      </x:c>
      <x:c r="B531" s="48" t="str">
        <x:v>RED</x:v>
      </x:c>
      <x:c r="C531" s="48" t="str">
        <x:v>English</x:v>
      </x:c>
      <x:c r="D531" s="48" t="n">
        <x:v>37</x:v>
      </x:c>
      <x:c r="E531" s="48" t="str"/>
      <x:c r="F531" s="48" t="str">
        <x:v>The programme shall also include provision of 6.6</x:v>
      </x:c>
      <x:c r="G531" s="48" t="str">
        <x:v>Obligation</x:v>
      </x:c>
      <x:c r="H531" s="48" t="str">
        <x:v>Shared</x:v>
      </x:c>
      <x:c r="I531" s="48" t="n">
        <x:v>0.88</x:v>
      </x:c>
      <x:c r="J531" s="48" t="n">
        <x:v>0.4</x:v>
      </x:c>
      <x:c r="K531" s="48" t="str">
        <x:v>Yes</x:v>
      </x:c>
      <x:c r="L531" s="48" t="str">
        <x:v>PDF text</x:v>
      </x:c>
    </x:row>
    <x:row r="532">
      <x:c r="A532" s="48" t="str">
        <x:v>UNI-0531</x:v>
      </x:c>
      <x:c r="B532" s="48" t="str">
        <x:v>RED</x:v>
      </x:c>
      <x:c r="C532" s="48" t="str">
        <x:v>English</x:v>
      </x:c>
      <x:c r="D532" s="48" t="n">
        <x:v>37</x:v>
      </x:c>
      <x:c r="E532" s="48" t="str"/>
      <x:c r="F532" s="48" t="str">
        <x:v>Facilities for Staff</x:v>
      </x:c>
      <x:c r="G532" s="48" t="str">
        <x:v>Obligation</x:v>
      </x:c>
      <x:c r="H532" s="48" t="str">
        <x:v>Shared</x:v>
      </x:c>
      <x:c r="I532" s="48" t="n">
        <x:v>0.45</x:v>
      </x:c>
      <x:c r="J532" s="48" t="n">
        <x:v>0.4</x:v>
      </x:c>
      <x:c r="K532" s="48" t="str">
        <x:v>Yes</x:v>
      </x:c>
      <x:c r="L532" s="48" t="str">
        <x:v>PDF text</x:v>
      </x:c>
    </x:row>
    <x:row r="533">
      <x:c r="A533" s="48" t="str">
        <x:v>UNI-0532</x:v>
      </x:c>
      <x:c r="B533" s="48" t="str">
        <x:v>RED</x:v>
      </x:c>
      <x:c r="C533" s="48" t="str">
        <x:v>English</x:v>
      </x:c>
      <x:c r="D533" s="48" t="n">
        <x:v>37</x:v>
      </x:c>
      <x:c r="E533" s="48" t="str"/>
      <x:c r="F533" s="48" t="str">
        <x:v>and Labour 6.7</x:v>
      </x:c>
      <x:c r="G533" s="48" t="str">
        <x:v>Obligation</x:v>
      </x:c>
      <x:c r="H533" s="48" t="str">
        <x:v>Shared</x:v>
      </x:c>
      <x:c r="I533" s="48" t="n">
        <x:v>0.45</x:v>
      </x:c>
      <x:c r="J533" s="48" t="n">
        <x:v>0.4</x:v>
      </x:c>
      <x:c r="K533" s="48" t="str">
        <x:v>Yes</x:v>
      </x:c>
      <x:c r="L533" s="48" t="str">
        <x:v>PDF text</x:v>
      </x:c>
    </x:row>
    <x:row r="534">
      <x:c r="A534" s="48" t="str">
        <x:v>UNI-0533</x:v>
      </x:c>
      <x:c r="B534" s="48" t="str">
        <x:v>RED</x:v>
      </x:c>
      <x:c r="C534" s="48" t="str">
        <x:v>English</x:v>
      </x:c>
      <x:c r="D534" s="48" t="n">
        <x:v>37</x:v>
      </x:c>
      <x:c r="E534" s="48" t="str"/>
      <x:c r="F534" s="48" t="str">
        <x:v>Health and Safety</x:v>
      </x:c>
      <x:c r="G534" s="48" t="str">
        <x:v>Obligation</x:v>
      </x:c>
      <x:c r="H534" s="48" t="str">
        <x:v>Shared</x:v>
      </x:c>
      <x:c r="I534" s="48" t="n">
        <x:v>0.45</x:v>
      </x:c>
      <x:c r="J534" s="48" t="n">
        <x:v>0.4</x:v>
      </x:c>
      <x:c r="K534" s="48" t="str">
        <x:v>Yes</x:v>
      </x:c>
      <x:c r="L534" s="48" t="str">
        <x:v>PDF text</x:v>
      </x:c>
    </x:row>
    <x:row r="535">
      <x:c r="A535" s="48" t="str">
        <x:v>UNI-0534</x:v>
      </x:c>
      <x:c r="B535" s="48" t="str">
        <x:v>RED</x:v>
      </x:c>
      <x:c r="C535" s="48" t="str">
        <x:v>English</x:v>
      </x:c>
      <x:c r="D535" s="48" t="n">
        <x:v>38</x:v>
      </x:c>
      <x:c r="E535" s="48" t="str"/>
      <x:c r="F535" s="48" t="str">
        <x:v>a detailed cost estimate with supporting documentation.</x:v>
      </x:c>
      <x:c r="G535" s="48" t="str">
        <x:v>Obligation</x:v>
      </x:c>
      <x:c r="H535" s="48" t="str">
        <x:v>Shared</x:v>
      </x:c>
      <x:c r="I535" s="48" t="n">
        <x:v>0.45</x:v>
      </x:c>
      <x:c r="J535" s="48" t="n">
        <x:v>0.4</x:v>
      </x:c>
      <x:c r="K535" s="48" t="str">
        <x:v>Yes</x:v>
      </x:c>
      <x:c r="L535" s="48" t="str">
        <x:v>PDF text</x:v>
      </x:c>
    </x:row>
    <x:row r="536">
      <x:c r="A536" s="48" t="str">
        <x:v>UNI-0535</x:v>
      </x:c>
      <x:c r="B536" s="48" t="str">
        <x:v>RED</x:v>
      </x:c>
      <x:c r="C536" s="48" t="str">
        <x:v>English</x:v>
      </x:c>
      <x:c r="D536" s="48" t="n">
        <x:v>38</x:v>
      </x:c>
      <x:c r="E536" s="48" t="str"/>
      <x:c r="F536" s="48" t="str">
        <x:v>Payment to the Contractor for preparation and implementation this programme shall not exceed the Provisional Sum dedicated for this purpose.</x:v>
      </x:c>
      <x:c r="G536" s="48" t="str">
        <x:v>Obligation</x:v>
      </x:c>
      <x:c r="H536" s="48" t="str">
        <x:v>Contractor</x:v>
      </x:c>
      <x:c r="I536" s="48" t="n">
        <x:v>0.88</x:v>
      </x:c>
      <x:c r="J536" s="48" t="n">
        <x:v>0.68</x:v>
      </x:c>
      <x:c r="K536" s="48" t="str">
        <x:v>Yes</x:v>
      </x:c>
      <x:c r="L536" s="48" t="str">
        <x:v>PDF text</x:v>
      </x:c>
    </x:row>
    <x:row r="537">
      <x:c r="A537" s="48" t="str">
        <x:v>UNI-0536</x:v>
      </x:c>
      <x:c r="B537" s="48" t="str">
        <x:v>RED</x:v>
      </x:c>
      <x:c r="C537" s="48" t="str">
        <x:v>English</x:v>
      </x:c>
      <x:c r="D537" s="48" t="n">
        <x:v>38</x:v>
      </x:c>
      <x:c r="E537" s="48" t="str"/>
      <x:c r="F537" s="48" t="str">
        <x:v>Throughout the execution of the Works, and as long thereafter as is necessary to fulfil the Contractor’s obligations, the Contractor shall provide all necessary superintendence to plan, arrange, direct, manage, inspect and test the work.</x:v>
      </x:c>
      <x:c r="G537" s="48" t="str">
        <x:v>Obligation</x:v>
      </x:c>
      <x:c r="H537" s="48" t="str">
        <x:v>Contractor</x:v>
      </x:c>
      <x:c r="I537" s="48" t="n">
        <x:v>0.88</x:v>
      </x:c>
      <x:c r="J537" s="48" t="n">
        <x:v>0.92</x:v>
      </x:c>
      <x:c r="K537" s="48" t="str">
        <x:v>No</x:v>
      </x:c>
      <x:c r="L537" s="48" t="str">
        <x:v>PDF text</x:v>
      </x:c>
    </x:row>
    <x:row r="538">
      <x:c r="A538" s="48" t="str">
        <x:v>UNI-0537</x:v>
      </x:c>
      <x:c r="B538" s="48" t="str">
        <x:v>RED</x:v>
      </x:c>
      <x:c r="C538" s="48" t="str">
        <x:v>English</x:v>
      </x:c>
      <x:c r="D538" s="48" t="n">
        <x:v>38</x:v>
      </x:c>
      <x:c r="E538" s="48" t="str"/>
      <x:c r="F538" s="48" t="str">
        <x:v>Superintendence shall be given by a sufficient number of persons having adequate</x:v>
      </x:c>
      <x:c r="G538" s="48" t="str">
        <x:v>Obligation</x:v>
      </x:c>
      <x:c r="H538" s="48" t="str">
        <x:v>Shared</x:v>
      </x:c>
      <x:c r="I538" s="48" t="n">
        <x:v>0.88</x:v>
      </x:c>
      <x:c r="J538" s="48" t="n">
        <x:v>0.4</x:v>
      </x:c>
      <x:c r="K538" s="48" t="str">
        <x:v>Yes</x:v>
      </x:c>
      <x:c r="L538" s="48" t="str">
        <x:v>PDF text</x:v>
      </x:c>
    </x:row>
    <x:row r="539">
      <x:c r="A539" s="48" t="str">
        <x:v>UNI-0538</x:v>
      </x:c>
      <x:c r="B539" s="48" t="str">
        <x:v>RED</x:v>
      </x:c>
      <x:c r="C539" s="48" t="str">
        <x:v>English</x:v>
      </x:c>
      <x:c r="D539" s="48" t="n">
        <x:v>38</x:v>
      </x:c>
      <x:c r="E539" s="48" t="str"/>
      <x:c r="F539" s="48" t="str">
        <x:v>knowledge of the language for communications (defined in Sub-Clause 1.4 [Law and Language]) and of the operations to be carried out (including the methods and techniques required, the hazards likely to be encountered and methods of preventing accidents), for the satisfactory and safe execution of the Works.</x:v>
      </x:c>
      <x:c r="G539" s="48" t="str">
        <x:v>Obligation</x:v>
      </x:c>
      <x:c r="H539" s="48" t="str">
        <x:v>Shared</x:v>
      </x:c>
      <x:c r="I539" s="48" t="n">
        <x:v>0.45</x:v>
      </x:c>
      <x:c r="J539" s="48" t="n">
        <x:v>0.4</x:v>
      </x:c>
      <x:c r="K539" s="48" t="str">
        <x:v>Yes</x:v>
      </x:c>
      <x:c r="L539" s="48" t="str">
        <x:v>PDF text</x:v>
      </x:c>
    </x:row>
    <x:row r="540">
      <x:c r="A540" s="48" t="str">
        <x:v>UNI-0539</x:v>
      </x:c>
      <x:c r="B540" s="48" t="str">
        <x:v>RED</x:v>
      </x:c>
      <x:c r="C540" s="48" t="str">
        <x:v>English</x:v>
      </x:c>
      <x:c r="D540" s="48" t="n">
        <x:v>38</x:v>
      </x:c>
      <x:c r="E540" s="48" t="str"/>
      <x:c r="F540" s="48" t="str">
        <x:v>The Contractor’s Personnel shall be appropriately qualified, skilled and experienced in their respective trades or occupations.</x:v>
      </x:c>
      <x:c r="G540" s="48" t="str">
        <x:v>Obligation</x:v>
      </x:c>
      <x:c r="H540" s="48" t="str">
        <x:v>Contractor</x:v>
      </x:c>
      <x:c r="I540" s="48" t="n">
        <x:v>0.88</x:v>
      </x:c>
      <x:c r="J540" s="48" t="n">
        <x:v>0.68</x:v>
      </x:c>
      <x:c r="K540" s="48" t="str">
        <x:v>Yes</x:v>
      </x:c>
      <x:c r="L540" s="48" t="str">
        <x:v>PDF text</x:v>
      </x:c>
    </x:row>
    <x:row r="541">
      <x:c r="A541" s="48" t="str">
        <x:v>UNI-0540</x:v>
      </x:c>
      <x:c r="B541" s="48" t="str">
        <x:v>RED</x:v>
      </x:c>
      <x:c r="C541" s="48" t="str">
        <x:v>English</x:v>
      </x:c>
      <x:c r="D541" s="48" t="n">
        <x:v>38</x:v>
      </x:c>
      <x:c r="E541" s="48" t="str"/>
      <x:c r="F541" s="48" t="str">
        <x:v>The Engineer may require the Contractor to remove (or cause to be removed) any person employed on the Site or Works, including the Contractor’s Representative if applicable, who: (a) persists in any misconduct or lack of care, (b) carries out duties incompetently or negligently, (c) fails to conform with any provisions of the Contract, or (d) persists in any conduct which is prejudicial to safety, health, or the protection of the environment.</x:v>
      </x:c>
      <x:c r="G541" s="48" t="str">
        <x:v>Right</x:v>
      </x:c>
      <x:c r="H541" s="48" t="str">
        <x:v>Contractor</x:v>
      </x:c>
      <x:c r="I541" s="48" t="n">
        <x:v>0.78</x:v>
      </x:c>
      <x:c r="J541" s="48" t="n">
        <x:v>0.68</x:v>
      </x:c>
      <x:c r="K541" s="48" t="str">
        <x:v>Yes</x:v>
      </x:c>
      <x:c r="L541" s="48" t="str">
        <x:v>PDF text</x:v>
      </x:c>
    </x:row>
    <x:row r="542">
      <x:c r="A542" s="48" t="str">
        <x:v>UNI-0541</x:v>
      </x:c>
      <x:c r="B542" s="48" t="str">
        <x:v>RED</x:v>
      </x:c>
      <x:c r="C542" s="48" t="str">
        <x:v>English</x:v>
      </x:c>
      <x:c r="D542" s="48" t="n">
        <x:v>38</x:v>
      </x:c>
      <x:c r="E542" s="48" t="str"/>
      <x:c r="F542" s="48" t="str">
        <x:v>If appropriate, the Contractor shall then appoint (or cause to be appointed) a suitable replacement person.</x:v>
      </x:c>
      <x:c r="G542" s="48" t="str">
        <x:v>Obligation</x:v>
      </x:c>
      <x:c r="H542" s="48" t="str">
        <x:v>Contractor</x:v>
      </x:c>
      <x:c r="I542" s="48" t="n">
        <x:v>0.88</x:v>
      </x:c>
      <x:c r="J542" s="48" t="n">
        <x:v>0.92</x:v>
      </x:c>
      <x:c r="K542" s="48" t="str">
        <x:v>No</x:v>
      </x:c>
      <x:c r="L542" s="48" t="str">
        <x:v>PDF text</x:v>
      </x:c>
    </x:row>
    <x:row r="543">
      <x:c r="A543" s="48" t="str">
        <x:v>UNI-0542</x:v>
      </x:c>
      <x:c r="B543" s="48" t="str">
        <x:v>RED</x:v>
      </x:c>
      <x:c r="C543" s="48" t="str">
        <x:v>English</x:v>
      </x:c>
      <x:c r="D543" s="48" t="n">
        <x:v>38</x:v>
      </x:c>
      <x:c r="E543" s="48" t="str"/>
      <x:c r="F543" s="48" t="str">
        <x:v>The Contractor shall submit, to the Engineer, details showing the number of each</x:v>
      </x:c>
      <x:c r="G543" s="48" t="str">
        <x:v>Obligation</x:v>
      </x:c>
      <x:c r="H543" s="48" t="str">
        <x:v>Contractor</x:v>
      </x:c>
      <x:c r="I543" s="48" t="n">
        <x:v>0.88</x:v>
      </x:c>
      <x:c r="J543" s="48" t="n">
        <x:v>0.92</x:v>
      </x:c>
      <x:c r="K543" s="48" t="str">
        <x:v>No</x:v>
      </x:c>
      <x:c r="L543" s="48" t="str">
        <x:v>PDF text</x:v>
      </x:c>
    </x:row>
    <x:row r="544">
      <x:c r="A544" s="48" t="str">
        <x:v>UNI-0543</x:v>
      </x:c>
      <x:c r="B544" s="48" t="str">
        <x:v>RED</x:v>
      </x:c>
      <x:c r="C544" s="48" t="str">
        <x:v>English</x:v>
      </x:c>
      <x:c r="D544" s="48" t="n">
        <x:v>38</x:v>
      </x:c>
      <x:c r="E544" s="48" t="str"/>
      <x:c r="F544" s="48" t="str">
        <x:v>class of Contractor’s Personnel and of each type of Contractor’s Equipment on the Site.</x:v>
      </x:c>
      <x:c r="G544" s="48" t="str">
        <x:v>Obligation</x:v>
      </x:c>
      <x:c r="H544" s="48" t="str">
        <x:v>Contractor</x:v>
      </x:c>
      <x:c r="I544" s="48" t="n">
        <x:v>0.45</x:v>
      </x:c>
      <x:c r="J544" s="48" t="n">
        <x:v>0.68</x:v>
      </x:c>
      <x:c r="K544" s="48" t="str">
        <x:v>Yes</x:v>
      </x:c>
      <x:c r="L544" s="48" t="str">
        <x:v>PDF text</x:v>
      </x:c>
    </x:row>
    <x:row r="545">
      <x:c r="A545" s="48" t="str">
        <x:v>UNI-0544</x:v>
      </x:c>
      <x:c r="B545" s="48" t="str">
        <x:v>RED</x:v>
      </x:c>
      <x:c r="C545" s="48" t="str">
        <x:v>English</x:v>
      </x:c>
      <x:c r="D545" s="48" t="n">
        <x:v>38</x:v>
      </x:c>
      <x:c r="E545" s="48" t="str"/>
      <x:c r="F545" s="48" t="str">
        <x:v>Details shall be submitted each calendar month, in a form approved by the</x:v>
      </x:c>
      <x:c r="G545" s="48" t="str">
        <x:v>Obligation</x:v>
      </x:c>
      <x:c r="H545" s="48" t="str">
        <x:v>Shared</x:v>
      </x:c>
      <x:c r="I545" s="48" t="n">
        <x:v>0.88</x:v>
      </x:c>
      <x:c r="J545" s="48" t="n">
        <x:v>0.4</x:v>
      </x:c>
      <x:c r="K545" s="48" t="str">
        <x:v>Yes</x:v>
      </x:c>
      <x:c r="L545" s="48" t="str">
        <x:v>PDF text</x:v>
      </x:c>
    </x:row>
    <x:row r="546">
      <x:c r="A546" s="48" t="str">
        <x:v>UNI-0545</x:v>
      </x:c>
      <x:c r="B546" s="48" t="str">
        <x:v>RED</x:v>
      </x:c>
      <x:c r="C546" s="48" t="str">
        <x:v>English</x:v>
      </x:c>
      <x:c r="D546" s="48" t="n">
        <x:v>38</x:v>
      </x:c>
      <x:c r="E546" s="48" t="str"/>
      <x:c r="F546" s="48" t="str">
        <x:v>Engineer, until the Contractor has completed all work which is known to be</x:v>
      </x:c>
      <x:c r="G546" s="48" t="str">
        <x:v>Obligation</x:v>
      </x:c>
      <x:c r="H546" s="48" t="str">
        <x:v>Contractor</x:v>
      </x:c>
      <x:c r="I546" s="48" t="n">
        <x:v>0.45</x:v>
      </x:c>
      <x:c r="J546" s="48" t="n">
        <x:v>0.68</x:v>
      </x:c>
      <x:c r="K546" s="48" t="str">
        <x:v>Yes</x:v>
      </x:c>
      <x:c r="L546" s="48" t="str">
        <x:v>PDF text</x:v>
      </x:c>
    </x:row>
    <x:row r="547">
      <x:c r="A547" s="48" t="str">
        <x:v>UNI-0546</x:v>
      </x:c>
      <x:c r="B547" s="48" t="str">
        <x:v>RED</x:v>
      </x:c>
      <x:c r="C547" s="48" t="str">
        <x:v>English</x:v>
      </x:c>
      <x:c r="D547" s="48" t="n">
        <x:v>38</x:v>
      </x:c>
      <x:c r="E547" s="48" t="str"/>
      <x:c r="F547" s="48" t="str">
        <x:v>outstanding at the completion date stated in the Taking-Over Certificate for the Works.</x:v>
      </x:c>
      <x:c r="G547" s="48" t="str">
        <x:v>Obligation</x:v>
      </x:c>
      <x:c r="H547" s="48" t="str">
        <x:v>Shared</x:v>
      </x:c>
      <x:c r="I547" s="48" t="n">
        <x:v>0.55</x:v>
      </x:c>
      <x:c r="J547" s="48" t="n">
        <x:v>0.4</x:v>
      </x:c>
      <x:c r="K547" s="48" t="str">
        <x:v>Yes</x:v>
      </x:c>
      <x:c r="L547" s="48" t="str">
        <x:v>PDF text</x:v>
      </x:c>
    </x:row>
    <x:row r="548">
      <x:c r="A548" s="48" t="str">
        <x:v>UNI-0547</x:v>
      </x:c>
      <x:c r="B548" s="48" t="str">
        <x:v>RED</x:v>
      </x:c>
      <x:c r="C548" s="48" t="str">
        <x:v>English</x:v>
      </x:c>
      <x:c r="D548" s="48" t="n">
        <x:v>38</x:v>
      </x:c>
      <x:c r="E548" s="48" t="str"/>
      <x:c r="F548" s="48" t="str">
        <x:v>The Contractor shall at all times take all reasonable precautions to prevent any</x:v>
      </x:c>
      <x:c r="G548" s="48" t="str">
        <x:v>Obligation</x:v>
      </x:c>
      <x:c r="H548" s="48" t="str">
        <x:v>Contractor</x:v>
      </x:c>
      <x:c r="I548" s="48" t="n">
        <x:v>0.88</x:v>
      </x:c>
      <x:c r="J548" s="48" t="n">
        <x:v>0.92</x:v>
      </x:c>
      <x:c r="K548" s="48" t="str">
        <x:v>No</x:v>
      </x:c>
      <x:c r="L548" s="48" t="str">
        <x:v>PDF text</x:v>
      </x:c>
    </x:row>
    <x:row r="549">
      <x:c r="A549" s="48" t="str">
        <x:v>UNI-0548</x:v>
      </x:c>
      <x:c r="B549" s="48" t="str">
        <x:v>RED</x:v>
      </x:c>
      <x:c r="C549" s="48" t="str">
        <x:v>English</x:v>
      </x:c>
      <x:c r="D549" s="48" t="n">
        <x:v>38</x:v>
      </x:c>
      <x:c r="E549" s="48" t="str"/>
      <x:c r="F549" s="48" t="str">
        <x:v>unlawful, riotous or disorderly conduct by or amongst the Contractor’s Personnel, and to preserve peace and protection of persons and property on and near the Site.</x:v>
      </x:c>
      <x:c r="G549" s="48" t="str">
        <x:v>Obligation</x:v>
      </x:c>
      <x:c r="H549" s="48" t="str">
        <x:v>Contractor</x:v>
      </x:c>
      <x:c r="I549" s="48" t="n">
        <x:v>0.45</x:v>
      </x:c>
      <x:c r="J549" s="48" t="n">
        <x:v>0.68</x:v>
      </x:c>
      <x:c r="K549" s="48" t="str">
        <x:v>Yes</x:v>
      </x:c>
      <x:c r="L549" s="48" t="str">
        <x:v>PDF text</x:v>
      </x:c>
    </x:row>
    <x:row r="550">
      <x:c r="A550" s="48" t="str">
        <x:v>UNI-0549</x:v>
      </x:c>
      <x:c r="B550" s="48" t="str">
        <x:v>RED</x:v>
      </x:c>
      <x:c r="C550" s="48" t="str">
        <x:v>English</x:v>
      </x:c>
      <x:c r="D550" s="48" t="n">
        <x:v>38</x:v>
      </x:c>
      <x:c r="E550" s="48" t="str"/>
      <x:c r="F550" s="48" t="str">
        <x:v>The Contractor may bring in to the country any foreign personnel who are necessary for the execution of the Works to the extent allowed by the applicable Laws.</x:v>
      </x:c>
      <x:c r="G550" s="48" t="str">
        <x:v>Right</x:v>
      </x:c>
      <x:c r="H550" s="48" t="str">
        <x:v>Contractor</x:v>
      </x:c>
      <x:c r="I550" s="48" t="n">
        <x:v>0.78</x:v>
      </x:c>
      <x:c r="J550" s="48" t="n">
        <x:v>0.92</x:v>
      </x:c>
      <x:c r="K550" s="48" t="str">
        <x:v>No</x:v>
      </x:c>
      <x:c r="L550" s="48" t="str">
        <x:v>PDF text</x:v>
      </x:c>
    </x:row>
    <x:row r="551">
      <x:c r="A551" s="48" t="str">
        <x:v>UNI-0550</x:v>
      </x:c>
      <x:c r="B551" s="48" t="str">
        <x:v>RED</x:v>
      </x:c>
      <x:c r="C551" s="48" t="str">
        <x:v>English</x:v>
      </x:c>
      <x:c r="D551" s="48" t="n">
        <x:v>38</x:v>
      </x:c>
      <x:c r="E551" s="48" t="str"/>
      <x:c r="F551" s="48" t="str">
        <x:v>The Contractor shall ensure that these personnel are provided with the required residence visas and work permits.</x:v>
      </x:c>
      <x:c r="G551" s="48" t="str">
        <x:v>Obligation</x:v>
      </x:c>
      <x:c r="H551" s="48" t="str">
        <x:v>Contractor</x:v>
      </x:c>
      <x:c r="I551" s="48" t="n">
        <x:v>0.88</x:v>
      </x:c>
      <x:c r="J551" s="48" t="n">
        <x:v>0.92</x:v>
      </x:c>
      <x:c r="K551" s="48" t="str">
        <x:v>No</x:v>
      </x:c>
      <x:c r="L551" s="48" t="str">
        <x:v>PDF text</x:v>
      </x:c>
    </x:row>
    <x:row r="552">
      <x:c r="A552" s="48" t="str">
        <x:v>UNI-0551</x:v>
      </x:c>
      <x:c r="B552" s="48" t="str">
        <x:v>RED</x:v>
      </x:c>
      <x:c r="C552" s="48" t="str">
        <x:v>English</x:v>
      </x:c>
      <x:c r="D552" s="48" t="n">
        <x:v>38</x:v>
      </x:c>
      <x:c r="E552" s="48" t="str"/>
      <x:c r="F552" s="48" t="str">
        <x:v>The Employer will, if requested by the Contractor, use his best endeavours in a timely and expeditious manner to assist the Contractor in obtaining any local, state, national, or government permission required for bringing in the Contractor’s personnel.</x:v>
      </x:c>
      <x:c r="G552" s="48" t="str">
        <x:v>Obligation</x:v>
      </x:c>
      <x:c r="H552" s="48" t="str">
        <x:v>Shared</x:v>
      </x:c>
      <x:c r="I552" s="48" t="n">
        <x:v>0.45</x:v>
      </x:c>
      <x:c r="J552" s="48" t="n">
        <x:v>0.6</x:v>
      </x:c>
      <x:c r="K552" s="48" t="str">
        <x:v>Yes</x:v>
      </x:c>
      <x:c r="L552" s="48" t="str">
        <x:v>PDF text</x:v>
      </x:c>
    </x:row>
    <x:row r="553">
      <x:c r="A553" s="48" t="str">
        <x:v>UNI-0552</x:v>
      </x:c>
      <x:c r="B553" s="48" t="str">
        <x:v>RED</x:v>
      </x:c>
      <x:c r="C553" s="48" t="str">
        <x:v>English</x:v>
      </x:c>
      <x:c r="D553" s="48" t="n">
        <x:v>38</x:v>
      </x:c>
      <x:c r="E553" s="48" t="str"/>
      <x:c r="F553" s="48" t="str">
        <x:v>The Contractor shall be responsible for the return of these personnel to the place where they were recruited or to their domicile.</x:v>
      </x:c>
      <x:c r="G553" s="48" t="str">
        <x:v>Obligation</x:v>
      </x:c>
      <x:c r="H553" s="48" t="str">
        <x:v>Contractor</x:v>
      </x:c>
      <x:c r="I553" s="48" t="n">
        <x:v>0.88</x:v>
      </x:c>
      <x:c r="J553" s="48" t="n">
        <x:v>0.92</x:v>
      </x:c>
      <x:c r="K553" s="48" t="str">
        <x:v>No</x:v>
      </x:c>
      <x:c r="L553" s="48" t="str">
        <x:v>PDF text</x:v>
      </x:c>
    </x:row>
    <x:row r="554">
      <x:c r="A554" s="48" t="str">
        <x:v>UNI-0553</x:v>
      </x:c>
      <x:c r="B554" s="48" t="str">
        <x:v>RED</x:v>
      </x:c>
      <x:c r="C554" s="48" t="str">
        <x:v>English</x:v>
      </x:c>
      <x:c r="D554" s="48" t="n">
        <x:v>38</x:v>
      </x:c>
      <x:c r="E554" s="48" t="str"/>
      <x:c r="F554" s="48" t="str">
        <x:v>In the event of the death in the Country of any of these personnel or members of their families, the Contractor shall similarly be responsible for making the appropriate arrangements for their return or burial.</x:v>
      </x:c>
      <x:c r="G554" s="48" t="str">
        <x:v>Obligation</x:v>
      </x:c>
      <x:c r="H554" s="48" t="str">
        <x:v>Contractor</x:v>
      </x:c>
      <x:c r="I554" s="48" t="n">
        <x:v>0.88</x:v>
      </x:c>
      <x:c r="J554" s="48" t="n">
        <x:v>0.92</x:v>
      </x:c>
      <x:c r="K554" s="48" t="str">
        <x:v>No</x:v>
      </x:c>
      <x:c r="L554" s="48" t="str">
        <x:v>PDF text</x:v>
      </x:c>
    </x:row>
    <x:row r="555">
      <x:c r="A555" s="48" t="str">
        <x:v>UNI-0554</x:v>
      </x:c>
      <x:c r="B555" s="48" t="str">
        <x:v>RED</x:v>
      </x:c>
      <x:c r="C555" s="48" t="str">
        <x:v>English</x:v>
      </x:c>
      <x:c r="D555" s="48" t="n">
        <x:v>38</x:v>
      </x:c>
      <x:c r="E555" s="48" t="str"/>
      <x:c r="F555" s="48" t="str">
        <x:v>Superintendence</x:v>
      </x:c>
      <x:c r="G555" s="48" t="str">
        <x:v>Obligation</x:v>
      </x:c>
      <x:c r="H555" s="48" t="str">
        <x:v>Shared</x:v>
      </x:c>
      <x:c r="I555" s="48" t="n">
        <x:v>0.45</x:v>
      </x:c>
      <x:c r="J555" s="48" t="n">
        <x:v>0.4</x:v>
      </x:c>
      <x:c r="K555" s="48" t="str">
        <x:v>Yes</x:v>
      </x:c>
      <x:c r="L555" s="48" t="str">
        <x:v>PDF text</x:v>
      </x:c>
    </x:row>
    <x:row r="556">
      <x:c r="A556" s="48" t="str">
        <x:v>UNI-0555</x:v>
      </x:c>
      <x:c r="B556" s="48" t="str">
        <x:v>RED</x:v>
      </x:c>
      <x:c r="C556" s="48" t="str">
        <x:v>English</x:v>
      </x:c>
      <x:c r="D556" s="48" t="n">
        <x:v>38</x:v>
      </x:c>
      <x:c r="E556" s="48" t="str"/>
      <x:c r="F556" s="48" t="str">
        <x:v>Personnel</x:v>
      </x:c>
      <x:c r="G556" s="48" t="str">
        <x:v>Obligation</x:v>
      </x:c>
      <x:c r="H556" s="48" t="str">
        <x:v>Shared</x:v>
      </x:c>
      <x:c r="I556" s="48" t="n">
        <x:v>0.45</x:v>
      </x:c>
      <x:c r="J556" s="48" t="n">
        <x:v>0.4</x:v>
      </x:c>
      <x:c r="K556" s="48" t="str">
        <x:v>Yes</x:v>
      </x:c>
      <x:c r="L556" s="48" t="str">
        <x:v>PDF text</x:v>
      </x:c>
    </x:row>
    <x:row r="557">
      <x:c r="A557" s="48" t="str">
        <x:v>UNI-0556</x:v>
      </x:c>
      <x:c r="B557" s="48" t="str">
        <x:v>RED</x:v>
      </x:c>
      <x:c r="C557" s="48" t="str">
        <x:v>English</x:v>
      </x:c>
      <x:c r="D557" s="48" t="n">
        <x:v>38</x:v>
      </x:c>
      <x:c r="E557" s="48" t="str"/>
      <x:c r="F557" s="48" t="str">
        <x:v>Records of Contractor’s</x:v>
      </x:c>
      <x:c r="G557" s="48" t="str">
        <x:v>Obligation</x:v>
      </x:c>
      <x:c r="H557" s="48" t="str">
        <x:v>Contractor</x:v>
      </x:c>
      <x:c r="I557" s="48" t="n">
        <x:v>0.45</x:v>
      </x:c>
      <x:c r="J557" s="48" t="n">
        <x:v>0.68</x:v>
      </x:c>
      <x:c r="K557" s="48" t="str">
        <x:v>Yes</x:v>
      </x:c>
      <x:c r="L557" s="48" t="str">
        <x:v>PDF text</x:v>
      </x:c>
    </x:row>
    <x:row r="558">
      <x:c r="A558" s="48" t="str">
        <x:v>UNI-0557</x:v>
      </x:c>
      <x:c r="B558" s="48" t="str">
        <x:v>RED</x:v>
      </x:c>
      <x:c r="C558" s="48" t="str">
        <x:v>English</x:v>
      </x:c>
      <x:c r="D558" s="48" t="n">
        <x:v>38</x:v>
      </x:c>
      <x:c r="E558" s="48" t="str"/>
      <x:c r="F558" s="48" t="str">
        <x:v>Personnel and</x:v>
      </x:c>
      <x:c r="G558" s="48" t="str">
        <x:v>Obligation</x:v>
      </x:c>
      <x:c r="H558" s="48" t="str">
        <x:v>Shared</x:v>
      </x:c>
      <x:c r="I558" s="48" t="n">
        <x:v>0.45</x:v>
      </x:c>
      <x:c r="J558" s="48" t="n">
        <x:v>0.4</x:v>
      </x:c>
      <x:c r="K558" s="48" t="str">
        <x:v>Yes</x:v>
      </x:c>
      <x:c r="L558" s="48" t="str">
        <x:v>PDF text</x:v>
      </x:c>
    </x:row>
    <x:row r="559">
      <x:c r="A559" s="48" t="str">
        <x:v>UNI-0558</x:v>
      </x:c>
      <x:c r="B559" s="48" t="str">
        <x:v>RED</x:v>
      </x:c>
      <x:c r="C559" s="48" t="str">
        <x:v>English</x:v>
      </x:c>
      <x:c r="D559" s="48" t="n">
        <x:v>38</x:v>
      </x:c>
      <x:c r="E559" s="48" t="str"/>
      <x:c r="F559" s="48" t="str">
        <x:v>Disorderly Conduct</x:v>
      </x:c>
      <x:c r="G559" s="48" t="str">
        <x:v>Obligation</x:v>
      </x:c>
      <x:c r="H559" s="48" t="str">
        <x:v>Shared</x:v>
      </x:c>
      <x:c r="I559" s="48" t="n">
        <x:v>0.45</x:v>
      </x:c>
      <x:c r="J559" s="48" t="n">
        <x:v>0.4</x:v>
      </x:c>
      <x:c r="K559" s="48" t="str">
        <x:v>Yes</x:v>
      </x:c>
      <x:c r="L559" s="48" t="str">
        <x:v>PDF text</x:v>
      </x:c>
    </x:row>
    <x:row r="560">
      <x:c r="A560" s="48" t="str">
        <x:v>UNI-0559</x:v>
      </x:c>
      <x:c r="B560" s="48" t="str">
        <x:v>RED</x:v>
      </x:c>
      <x:c r="C560" s="48" t="str">
        <x:v>English</x:v>
      </x:c>
      <x:c r="D560" s="48" t="n">
        <x:v>38</x:v>
      </x:c>
      <x:c r="E560" s="48" t="str"/>
      <x:c r="F560" s="48" t="str">
        <x:v>Foreign Personnel</x:v>
      </x:c>
      <x:c r="G560" s="48" t="str">
        <x:v>Obligation</x:v>
      </x:c>
      <x:c r="H560" s="48" t="str">
        <x:v>Shared</x:v>
      </x:c>
      <x:c r="I560" s="48" t="n">
        <x:v>0.45</x:v>
      </x:c>
      <x:c r="J560" s="48" t="n">
        <x:v>0.4</x:v>
      </x:c>
      <x:c r="K560" s="48" t="str">
        <x:v>Yes</x:v>
      </x:c>
      <x:c r="L560" s="48" t="str">
        <x:v>PDF text</x:v>
      </x:c>
    </x:row>
    <x:row r="561">
      <x:c r="A561" s="48" t="str">
        <x:v>UNI-0560</x:v>
      </x:c>
      <x:c r="B561" s="48" t="str">
        <x:v>RED</x:v>
      </x:c>
      <x:c r="C561" s="48" t="str">
        <x:v>English</x:v>
      </x:c>
      <x:c r="D561" s="48" t="n">
        <x:v>39</x:v>
      </x:c>
      <x:c r="E561" s="48" t="str"/>
      <x:c r="F561" s="48" t="str">
        <x:v>The Contractor shall arrange for the provision of a sufficient supply of suitable food as may be stated in the Specification at reasonable prices for the Contractor’s Personnel for the purposes of or in connection with the Contract.</x:v>
      </x:c>
      <x:c r="G561" s="48" t="str">
        <x:v>Obligation</x:v>
      </x:c>
      <x:c r="H561" s="48" t="str">
        <x:v>Contractor</x:v>
      </x:c>
      <x:c r="I561" s="48" t="n">
        <x:v>0.88</x:v>
      </x:c>
      <x:c r="J561" s="48" t="n">
        <x:v>0.92</x:v>
      </x:c>
      <x:c r="K561" s="48" t="str">
        <x:v>No</x:v>
      </x:c>
      <x:c r="L561" s="48" t="str">
        <x:v>PDF text</x:v>
      </x:c>
    </x:row>
    <x:row r="562">
      <x:c r="A562" s="48" t="str">
        <x:v>UNI-0561</x:v>
      </x:c>
      <x:c r="B562" s="48" t="str">
        <x:v>RED</x:v>
      </x:c>
      <x:c r="C562" s="48" t="str">
        <x:v>English</x:v>
      </x:c>
      <x:c r="D562" s="48" t="n">
        <x:v>39</x:v>
      </x:c>
      <x:c r="E562" s="48" t="str"/>
      <x:c r="F562" s="48" t="str">
        <x:v>The Contractor shall, having regard to local conditions, provide on the Site an</x:v>
      </x:c>
      <x:c r="G562" s="48" t="str">
        <x:v>Obligation</x:v>
      </x:c>
      <x:c r="H562" s="48" t="str">
        <x:v>Contractor</x:v>
      </x:c>
      <x:c r="I562" s="48" t="n">
        <x:v>0.88</x:v>
      </x:c>
      <x:c r="J562" s="48" t="n">
        <x:v>0.92</x:v>
      </x:c>
      <x:c r="K562" s="48" t="str">
        <x:v>No</x:v>
      </x:c>
      <x:c r="L562" s="48" t="str">
        <x:v>PDF text</x:v>
      </x:c>
    </x:row>
    <x:row r="563">
      <x:c r="A563" s="48" t="str">
        <x:v>UNI-0562</x:v>
      </x:c>
      <x:c r="B563" s="48" t="str">
        <x:v>RED</x:v>
      </x:c>
      <x:c r="C563" s="48" t="str">
        <x:v>English</x:v>
      </x:c>
      <x:c r="D563" s="48" t="n">
        <x:v>39</x:v>
      </x:c>
      <x:c r="E563" s="48" t="str"/>
      <x:c r="F563" s="48" t="str">
        <x:v>adequate supply of drinking and other water for the use of the Contractor’s Personnel.</x:v>
      </x:c>
      <x:c r="G563" s="48" t="str">
        <x:v>Obligation</x:v>
      </x:c>
      <x:c r="H563" s="48" t="str">
        <x:v>Contractor</x:v>
      </x:c>
      <x:c r="I563" s="48" t="n">
        <x:v>0.45</x:v>
      </x:c>
      <x:c r="J563" s="48" t="n">
        <x:v>0.68</x:v>
      </x:c>
      <x:c r="K563" s="48" t="str">
        <x:v>Yes</x:v>
      </x:c>
      <x:c r="L563" s="48" t="str">
        <x:v>PDF text</x:v>
      </x:c>
    </x:row>
    <x:row r="564">
      <x:c r="A564" s="48" t="str">
        <x:v>UNI-0563</x:v>
      </x:c>
      <x:c r="B564" s="48" t="str">
        <x:v>RED</x:v>
      </x:c>
      <x:c r="C564" s="48" t="str">
        <x:v>English</x:v>
      </x:c>
      <x:c r="D564" s="48" t="n">
        <x:v>39</x:v>
      </x:c>
      <x:c r="E564" s="48" t="str"/>
      <x:c r="F564" s="48" t="str">
        <x:v>The Contractor shall at all times take the necessary precautions to protect the</x:v>
      </x:c>
      <x:c r="G564" s="48" t="str">
        <x:v>Obligation</x:v>
      </x:c>
      <x:c r="H564" s="48" t="str">
        <x:v>Contractor</x:v>
      </x:c>
      <x:c r="I564" s="48" t="n">
        <x:v>0.88</x:v>
      </x:c>
      <x:c r="J564" s="48" t="n">
        <x:v>0.92</x:v>
      </x:c>
      <x:c r="K564" s="48" t="str">
        <x:v>No</x:v>
      </x:c>
      <x:c r="L564" s="48" t="str">
        <x:v>PDF text</x:v>
      </x:c>
    </x:row>
    <x:row r="565">
      <x:c r="A565" s="48" t="str">
        <x:v>UNI-0564</x:v>
      </x:c>
      <x:c r="B565" s="48" t="str">
        <x:v>RED</x:v>
      </x:c>
      <x:c r="C565" s="48" t="str">
        <x:v>English</x:v>
      </x:c>
      <x:c r="D565" s="48" t="n">
        <x:v>39</x:v>
      </x:c>
      <x:c r="E565" s="48" t="str"/>
      <x:c r="F565" s="48" t="str">
        <x:v>Contractor’s Personnel employed on the Site from insect and pest nuisance, and to</x:v>
      </x:c>
      <x:c r="G565" s="48" t="str">
        <x:v>Obligation</x:v>
      </x:c>
      <x:c r="H565" s="48" t="str">
        <x:v>Contractor</x:v>
      </x:c>
      <x:c r="I565" s="48" t="n">
        <x:v>0.45</x:v>
      </x:c>
      <x:c r="J565" s="48" t="n">
        <x:v>0.68</x:v>
      </x:c>
      <x:c r="K565" s="48" t="str">
        <x:v>Yes</x:v>
      </x:c>
      <x:c r="L565" s="48" t="str">
        <x:v>PDF text</x:v>
      </x:c>
    </x:row>
    <x:row r="566">
      <x:c r="A566" s="48" t="str">
        <x:v>UNI-0565</x:v>
      </x:c>
      <x:c r="B566" s="48" t="str">
        <x:v>RED</x:v>
      </x:c>
      <x:c r="C566" s="48" t="str">
        <x:v>English</x:v>
      </x:c>
      <x:c r="D566" s="48" t="n">
        <x:v>39</x:v>
      </x:c>
      <x:c r="E566" s="48" t="str"/>
      <x:c r="F566" s="48" t="str">
        <x:v>reduce their danger to health.</x:v>
      </x:c>
      <x:c r="G566" s="48" t="str">
        <x:v>Obligation</x:v>
      </x:c>
      <x:c r="H566" s="48" t="str">
        <x:v>Shared</x:v>
      </x:c>
      <x:c r="I566" s="48" t="n">
        <x:v>0.45</x:v>
      </x:c>
      <x:c r="J566" s="48" t="n">
        <x:v>0.4</x:v>
      </x:c>
      <x:c r="K566" s="48" t="str">
        <x:v>Yes</x:v>
      </x:c>
      <x:c r="L566" s="48" t="str">
        <x:v>PDF text</x:v>
      </x:c>
    </x:row>
    <x:row r="567">
      <x:c r="A567" s="48" t="str">
        <x:v>UNI-0566</x:v>
      </x:c>
      <x:c r="B567" s="48" t="str">
        <x:v>RED</x:v>
      </x:c>
      <x:c r="C567" s="48" t="str">
        <x:v>English</x:v>
      </x:c>
      <x:c r="D567" s="48" t="n">
        <x:v>39</x:v>
      </x:c>
      <x:c r="E567" s="48" t="str"/>
      <x:c r="F567" s="48" t="str">
        <x:v>The Contractor shall comply with all the regulations of the local health authorities, including use of appropriate insecticide.</x:v>
      </x:c>
      <x:c r="G567" s="48" t="str">
        <x:v>Obligation</x:v>
      </x:c>
      <x:c r="H567" s="48" t="str">
        <x:v>Contractor</x:v>
      </x:c>
      <x:c r="I567" s="48" t="n">
        <x:v>0.88</x:v>
      </x:c>
      <x:c r="J567" s="48" t="n">
        <x:v>0.92</x:v>
      </x:c>
      <x:c r="K567" s="48" t="str">
        <x:v>No</x:v>
      </x:c>
      <x:c r="L567" s="48" t="str">
        <x:v>PDF text</x:v>
      </x:c>
    </x:row>
    <x:row r="568">
      <x:c r="A568" s="48" t="str">
        <x:v>UNI-0567</x:v>
      </x:c>
      <x:c r="B568" s="48" t="str">
        <x:v>RED</x:v>
      </x:c>
      <x:c r="C568" s="48" t="str">
        <x:v>English</x:v>
      </x:c>
      <x:c r="D568" s="48" t="n">
        <x:v>39</x:v>
      </x:c>
      <x:c r="E568" s="48" t="str"/>
      <x:c r="F568" s="48" t="str">
        <x:v>The Contractor shall not, otherwise than in accordance with the Laws of the Country, import, sell, give, barter or otherwise dispose of any alcoholic liquor or drugs, or permit or allow importation, sale, gift, barter or disposal thereto by Contractor’s Personnel.</x:v>
      </x:c>
      <x:c r="G568" s="48" t="str">
        <x:v>Obligation</x:v>
      </x:c>
      <x:c r="H568" s="48" t="str">
        <x:v>Contractor</x:v>
      </x:c>
      <x:c r="I568" s="48" t="n">
        <x:v>0.88</x:v>
      </x:c>
      <x:c r="J568" s="48" t="n">
        <x:v>0.92</x:v>
      </x:c>
      <x:c r="K568" s="48" t="str">
        <x:v>No</x:v>
      </x:c>
      <x:c r="L568" s="48" t="str">
        <x:v>PDF text</x:v>
      </x:c>
    </x:row>
    <x:row r="569">
      <x:c r="A569" s="48" t="str">
        <x:v>UNI-0568</x:v>
      </x:c>
      <x:c r="B569" s="48" t="str">
        <x:v>RED</x:v>
      </x:c>
      <x:c r="C569" s="48" t="str">
        <x:v>English</x:v>
      </x:c>
      <x:c r="D569" s="48" t="n">
        <x:v>39</x:v>
      </x:c>
      <x:c r="E569" s="48" t="str"/>
      <x:c r="F569" s="48" t="str">
        <x:v>The Contractor shall not give, barter, or otherwise dispose of, to any person, any arms or ammunition of any kind, or allow Contractor’s Personnel to do so.</x:v>
      </x:c>
      <x:c r="G569" s="48" t="str">
        <x:v>Obligation</x:v>
      </x:c>
      <x:c r="H569" s="48" t="str">
        <x:v>Contractor</x:v>
      </x:c>
      <x:c r="I569" s="48" t="n">
        <x:v>0.88</x:v>
      </x:c>
      <x:c r="J569" s="48" t="n">
        <x:v>0.92</x:v>
      </x:c>
      <x:c r="K569" s="48" t="str">
        <x:v>No</x:v>
      </x:c>
      <x:c r="L569" s="48" t="str">
        <x:v>PDF text</x:v>
      </x:c>
    </x:row>
    <x:row r="570">
      <x:c r="A570" s="48" t="str">
        <x:v>UNI-0569</x:v>
      </x:c>
      <x:c r="B570" s="48" t="str">
        <x:v>RED</x:v>
      </x:c>
      <x:c r="C570" s="48" t="str">
        <x:v>English</x:v>
      </x:c>
      <x:c r="D570" s="48" t="n">
        <x:v>39</x:v>
      </x:c>
      <x:c r="E570" s="48" t="str"/>
      <x:c r="F570" s="48" t="str">
        <x:v>The Contractor shall respect the Country’s recognized festivals, days of rest and</x:v>
      </x:c>
      <x:c r="G570" s="48" t="str">
        <x:v>Obligation</x:v>
      </x:c>
      <x:c r="H570" s="48" t="str">
        <x:v>Contractor</x:v>
      </x:c>
      <x:c r="I570" s="48" t="n">
        <x:v>0.88</x:v>
      </x:c>
      <x:c r="J570" s="48" t="n">
        <x:v>0.92</x:v>
      </x:c>
      <x:c r="K570" s="48" t="str">
        <x:v>No</x:v>
      </x:c>
      <x:c r="L570" s="48" t="str">
        <x:v>PDF text</x:v>
      </x:c>
    </x:row>
    <x:row r="571">
      <x:c r="A571" s="48" t="str">
        <x:v>UNI-0570</x:v>
      </x:c>
      <x:c r="B571" s="48" t="str">
        <x:v>RED</x:v>
      </x:c>
      <x:c r="C571" s="48" t="str">
        <x:v>English</x:v>
      </x:c>
      <x:c r="D571" s="48" t="n">
        <x:v>39</x:v>
      </x:c>
      <x:c r="E571" s="48" t="str"/>
      <x:c r="F571" s="48" t="str">
        <x:v>religious or other customs.</x:v>
      </x:c>
      <x:c r="G571" s="48" t="str">
        <x:v>Obligation</x:v>
      </x:c>
      <x:c r="H571" s="48" t="str">
        <x:v>Shared</x:v>
      </x:c>
      <x:c r="I571" s="48" t="n">
        <x:v>0.45</x:v>
      </x:c>
      <x:c r="J571" s="48" t="n">
        <x:v>0.4</x:v>
      </x:c>
      <x:c r="K571" s="48" t="str">
        <x:v>Yes</x:v>
      </x:c>
      <x:c r="L571" s="48" t="str">
        <x:v>PDF text</x:v>
      </x:c>
    </x:row>
    <x:row r="572">
      <x:c r="A572" s="48" t="str">
        <x:v>UNI-0571</x:v>
      </x:c>
      <x:c r="B572" s="48" t="str">
        <x:v>RED</x:v>
      </x:c>
      <x:c r="C572" s="48" t="str">
        <x:v>English</x:v>
      </x:c>
      <x:c r="D572" s="48" t="n">
        <x:v>39</x:v>
      </x:c>
      <x:c r="E572" s="48" t="str"/>
      <x:c r="F572" s="48" t="str">
        <x:v>The Contractor shall be responsible, to the extent required by local regulations, for making any funeral arrangements for any of his local employees who may die while engaged upon the Works.</x:v>
      </x:c>
      <x:c r="G572" s="48" t="str">
        <x:v>Obligation</x:v>
      </x:c>
      <x:c r="H572" s="48" t="str">
        <x:v>Contractor</x:v>
      </x:c>
      <x:c r="I572" s="48" t="n">
        <x:v>0.88</x:v>
      </x:c>
      <x:c r="J572" s="48" t="n">
        <x:v>0.92</x:v>
      </x:c>
      <x:c r="K572" s="48" t="str">
        <x:v>No</x:v>
      </x:c>
      <x:c r="L572" s="48" t="str">
        <x:v>PDF text</x:v>
      </x:c>
    </x:row>
    <x:row r="573">
      <x:c r="A573" s="48" t="str">
        <x:v>UNI-0572</x:v>
      </x:c>
      <x:c r="B573" s="48" t="str">
        <x:v>RED</x:v>
      </x:c>
      <x:c r="C573" s="48" t="str">
        <x:v>English</x:v>
      </x:c>
      <x:c r="D573" s="48" t="n">
        <x:v>39</x:v>
      </x:c>
      <x:c r="E573" s="48" t="str"/>
      <x:c r="F573" s="48" t="str">
        <x:v>The contractor shall not employ “forced or compulsory labour” in any form.</x:v>
      </x:c>
      <x:c r="G573" s="48" t="str">
        <x:v>Obligation</x:v>
      </x:c>
      <x:c r="H573" s="48" t="str">
        <x:v>Contractor</x:v>
      </x:c>
      <x:c r="I573" s="48" t="n">
        <x:v>0.88</x:v>
      </x:c>
      <x:c r="J573" s="48" t="n">
        <x:v>0.92</x:v>
      </x:c>
      <x:c r="K573" s="48" t="str">
        <x:v>No</x:v>
      </x:c>
      <x:c r="L573" s="48" t="str">
        <x:v>PDF text</x:v>
      </x:c>
    </x:row>
    <x:row r="574">
      <x:c r="A574" s="48" t="str">
        <x:v>UNI-0573</x:v>
      </x:c>
      <x:c r="B574" s="48" t="str">
        <x:v>RED</x:v>
      </x:c>
      <x:c r="C574" s="48" t="str">
        <x:v>English</x:v>
      </x:c>
      <x:c r="D574" s="48" t="n">
        <x:v>39</x:v>
      </x:c>
      <x:c r="E574" s="48" t="str"/>
      <x:c r="F574" s="48" t="str">
        <x:v>“Forced or compulsory labour” consists of all work or service, not voluntarily performed, that is extracted from an individual under threat of force or penalty.</x:v>
      </x:c>
      <x:c r="G574" s="48" t="str">
        <x:v>Obligation</x:v>
      </x:c>
      <x:c r="H574" s="48" t="str">
        <x:v>Shared</x:v>
      </x:c>
      <x:c r="I574" s="48" t="n">
        <x:v>0.45</x:v>
      </x:c>
      <x:c r="J574" s="48" t="n">
        <x:v>0.4</x:v>
      </x:c>
      <x:c r="K574" s="48" t="str">
        <x:v>Yes</x:v>
      </x:c>
      <x:c r="L574" s="48" t="str">
        <x:v>PDF text</x:v>
      </x:c>
    </x:row>
    <x:row r="575">
      <x:c r="A575" s="48" t="str">
        <x:v>UNI-0574</x:v>
      </x:c>
      <x:c r="B575" s="48" t="str">
        <x:v>RED</x:v>
      </x:c>
      <x:c r="C575" s="48" t="str">
        <x:v>English</x:v>
      </x:c>
      <x:c r="D575" s="48" t="n">
        <x:v>39</x:v>
      </x:c>
      <x:c r="E575" s="48" t="str"/>
      <x:c r="F575" s="48" t="str">
        <x:v>The Contractor shall not employ any child to perform any work that is economically exploitative, or is likely to be hazardous to, or to interfere with, the child’s education, or to be harmful to the child’s health or physical, mental, spiritual, moral, or social development.</x:v>
      </x:c>
      <x:c r="G575" s="48" t="str">
        <x:v>Obligation</x:v>
      </x:c>
      <x:c r="H575" s="48" t="str">
        <x:v>Contractor</x:v>
      </x:c>
      <x:c r="I575" s="48" t="n">
        <x:v>0.88</x:v>
      </x:c>
      <x:c r="J575" s="48" t="n">
        <x:v>0.92</x:v>
      </x:c>
      <x:c r="K575" s="48" t="str">
        <x:v>No</x:v>
      </x:c>
      <x:c r="L575" s="48" t="str">
        <x:v>PDF text</x:v>
      </x:c>
    </x:row>
    <x:row r="576">
      <x:c r="A576" s="48" t="str">
        <x:v>UNI-0575</x:v>
      </x:c>
      <x:c r="B576" s="48" t="str">
        <x:v>RED</x:v>
      </x:c>
      <x:c r="C576" s="48" t="str">
        <x:v>English</x:v>
      </x:c>
      <x:c r="D576" s="48" t="n">
        <x:v>39</x:v>
      </x:c>
      <x:c r="E576" s="48" t="str"/>
      <x:c r="F576" s="48" t="str">
        <x:v>The Contractor shall keep complete and accurate records of the employment of</x:v>
      </x:c>
      <x:c r="G576" s="48" t="str">
        <x:v>Obligation</x:v>
      </x:c>
      <x:c r="H576" s="48" t="str">
        <x:v>Contractor</x:v>
      </x:c>
      <x:c r="I576" s="48" t="n">
        <x:v>0.88</x:v>
      </x:c>
      <x:c r="J576" s="48" t="n">
        <x:v>0.92</x:v>
      </x:c>
      <x:c r="K576" s="48" t="str">
        <x:v>No</x:v>
      </x:c>
      <x:c r="L576" s="48" t="str">
        <x:v>PDF text</x:v>
      </x:c>
    </x:row>
    <x:row r="577">
      <x:c r="A577" s="48" t="str">
        <x:v>UNI-0576</x:v>
      </x:c>
      <x:c r="B577" s="48" t="str">
        <x:v>RED</x:v>
      </x:c>
      <x:c r="C577" s="48" t="str">
        <x:v>English</x:v>
      </x:c>
      <x:c r="D577" s="48" t="n">
        <x:v>39</x:v>
      </x:c>
      <x:c r="E577" s="48" t="str"/>
      <x:c r="F577" s="48" t="str">
        <x:v>labour at the Site.</x:v>
      </x:c>
      <x:c r="G577" s="48" t="str">
        <x:v>Obligation</x:v>
      </x:c>
      <x:c r="H577" s="48" t="str">
        <x:v>Shared</x:v>
      </x:c>
      <x:c r="I577" s="48" t="n">
        <x:v>0.45</x:v>
      </x:c>
      <x:c r="J577" s="48" t="n">
        <x:v>0.4</x:v>
      </x:c>
      <x:c r="K577" s="48" t="str">
        <x:v>Yes</x:v>
      </x:c>
      <x:c r="L577" s="48" t="str">
        <x:v>PDF text</x:v>
      </x:c>
    </x:row>
    <x:row r="578">
      <x:c r="A578" s="48" t="str">
        <x:v>UNI-0577</x:v>
      </x:c>
      <x:c r="B578" s="48" t="str">
        <x:v>RED</x:v>
      </x:c>
      <x:c r="C578" s="48" t="str">
        <x:v>English</x:v>
      </x:c>
      <x:c r="D578" s="48" t="n">
        <x:v>39</x:v>
      </x:c>
      <x:c r="E578" s="48" t="str"/>
      <x:c r="F578" s="48" t="str">
        <x:v>The records shall include the names, ages, genders, hours worked and wages paid to all workers.</x:v>
      </x:c>
      <x:c r="G578" s="48" t="str">
        <x:v>Obligation</x:v>
      </x:c>
      <x:c r="H578" s="48" t="str">
        <x:v>Shared</x:v>
      </x:c>
      <x:c r="I578" s="48" t="n">
        <x:v>0.88</x:v>
      </x:c>
      <x:c r="J578" s="48" t="n">
        <x:v>0.4</x:v>
      </x:c>
      <x:c r="K578" s="48" t="str">
        <x:v>Yes</x:v>
      </x:c>
      <x:c r="L578" s="48" t="str">
        <x:v>PDF text</x:v>
      </x:c>
    </x:row>
    <x:row r="579">
      <x:c r="A579" s="48" t="str">
        <x:v>UNI-0578</x:v>
      </x:c>
      <x:c r="B579" s="48" t="str">
        <x:v>RED</x:v>
      </x:c>
      <x:c r="C579" s="48" t="str">
        <x:v>English</x:v>
      </x:c>
      <x:c r="D579" s="48" t="n">
        <x:v>39</x:v>
      </x:c>
      <x:c r="E579" s="48" t="str"/>
      <x:c r="F579" s="48" t="str">
        <x:v>These records shall be summarized on a monthly basis and shall be available for inspection by the Engineer during normal working hours.</x:v>
      </x:c>
      <x:c r="G579" s="48" t="str">
        <x:v>Obligation</x:v>
      </x:c>
      <x:c r="H579" s="48" t="str">
        <x:v>Shared</x:v>
      </x:c>
      <x:c r="I579" s="48" t="n">
        <x:v>0.88</x:v>
      </x:c>
      <x:c r="J579" s="48" t="n">
        <x:v>0.4</x:v>
      </x:c>
      <x:c r="K579" s="48" t="str">
        <x:v>Yes</x:v>
      </x:c>
      <x:c r="L579" s="48" t="str">
        <x:v>PDF text</x:v>
      </x:c>
    </x:row>
    <x:row r="580">
      <x:c r="A580" s="48" t="str">
        <x:v>UNI-0579</x:v>
      </x:c>
      <x:c r="B580" s="48" t="str">
        <x:v>RED</x:v>
      </x:c>
      <x:c r="C580" s="48" t="str">
        <x:v>English</x:v>
      </x:c>
      <x:c r="D580" s="48" t="n">
        <x:v>39</x:v>
      </x:c>
      <x:c r="E580" s="48" t="str"/>
      <x:c r="F580" s="48" t="str">
        <x:v>These records shall be included in the details to be submitted by the Contractor under Sub-Clause 6.10 [Records of Contractor’s Personnel and Equipment].</x:v>
      </x:c>
      <x:c r="G580" s="48" t="str">
        <x:v>Obligation</x:v>
      </x:c>
      <x:c r="H580" s="48" t="str">
        <x:v>Contractor</x:v>
      </x:c>
      <x:c r="I580" s="48" t="n">
        <x:v>0.88</x:v>
      </x:c>
      <x:c r="J580" s="48" t="n">
        <x:v>0.68</x:v>
      </x:c>
      <x:c r="K580" s="48" t="str">
        <x:v>Yes</x:v>
      </x:c>
      <x:c r="L580" s="48" t="str">
        <x:v>PDF text</x:v>
      </x:c>
    </x:row>
    <x:row r="581">
      <x:c r="A581" s="48" t="str">
        <x:v>UNI-0580</x:v>
      </x:c>
      <x:c r="B581" s="48" t="str">
        <x:v>RED</x:v>
      </x:c>
      <x:c r="C581" s="48" t="str">
        <x:v>English</x:v>
      </x:c>
      <x:c r="D581" s="48" t="n">
        <x:v>39</x:v>
      </x:c>
      <x:c r="E581" s="48" t="str"/>
      <x:c r="F581" s="48" t="str">
        <x:v>Supply of Foodstuffs</x:v>
      </x:c>
      <x:c r="G581" s="48" t="str">
        <x:v>Obligation</x:v>
      </x:c>
      <x:c r="H581" s="48" t="str">
        <x:v>Shared</x:v>
      </x:c>
      <x:c r="I581" s="48" t="n">
        <x:v>0.45</x:v>
      </x:c>
      <x:c r="J581" s="48" t="n">
        <x:v>0.4</x:v>
      </x:c>
      <x:c r="K581" s="48" t="str">
        <x:v>Yes</x:v>
      </x:c>
      <x:c r="L581" s="48" t="str">
        <x:v>PDF text</x:v>
      </x:c>
    </x:row>
    <x:row r="582">
      <x:c r="A582" s="48" t="str">
        <x:v>UNI-0581</x:v>
      </x:c>
      <x:c r="B582" s="48" t="str">
        <x:v>RED</x:v>
      </x:c>
      <x:c r="C582" s="48" t="str">
        <x:v>English</x:v>
      </x:c>
      <x:c r="D582" s="48" t="n">
        <x:v>39</x:v>
      </x:c>
      <x:c r="E582" s="48" t="str"/>
      <x:c r="F582" s="48" t="str">
        <x:v>Supply of Water</x:v>
      </x:c>
      <x:c r="G582" s="48" t="str">
        <x:v>Obligation</x:v>
      </x:c>
      <x:c r="H582" s="48" t="str">
        <x:v>Shared</x:v>
      </x:c>
      <x:c r="I582" s="48" t="n">
        <x:v>0.45</x:v>
      </x:c>
      <x:c r="J582" s="48" t="n">
        <x:v>0.4</x:v>
      </x:c>
      <x:c r="K582" s="48" t="str">
        <x:v>Yes</x:v>
      </x:c>
      <x:c r="L582" s="48" t="str">
        <x:v>PDF text</x:v>
      </x:c>
    </x:row>
    <x:row r="583">
      <x:c r="A583" s="48" t="str">
        <x:v>UNI-0582</x:v>
      </x:c>
      <x:c r="B583" s="48" t="str">
        <x:v>RED</x:v>
      </x:c>
      <x:c r="C583" s="48" t="str">
        <x:v>English</x:v>
      </x:c>
      <x:c r="D583" s="48" t="n">
        <x:v>39</x:v>
      </x:c>
      <x:c r="E583" s="48" t="str"/>
      <x:c r="F583" s="48" t="str">
        <x:v>Measures against Insect</x:v>
      </x:c>
      <x:c r="G583" s="48" t="str">
        <x:v>Obligation</x:v>
      </x:c>
      <x:c r="H583" s="48" t="str">
        <x:v>Shared</x:v>
      </x:c>
      <x:c r="I583" s="48" t="n">
        <x:v>0.45</x:v>
      </x:c>
      <x:c r="J583" s="48" t="n">
        <x:v>0.4</x:v>
      </x:c>
      <x:c r="K583" s="48" t="str">
        <x:v>Yes</x:v>
      </x:c>
      <x:c r="L583" s="48" t="str">
        <x:v>PDF text</x:v>
      </x:c>
    </x:row>
    <x:row r="584">
      <x:c r="A584" s="48" t="str">
        <x:v>UNI-0583</x:v>
      </x:c>
      <x:c r="B584" s="48" t="str">
        <x:v>RED</x:v>
      </x:c>
      <x:c r="C584" s="48" t="str">
        <x:v>English</x:v>
      </x:c>
      <x:c r="D584" s="48" t="n">
        <x:v>39</x:v>
      </x:c>
      <x:c r="E584" s="48" t="str"/>
      <x:c r="F584" s="48" t="str">
        <x:v>and Pest Nuisance 6.16</x:v>
      </x:c>
      <x:c r="G584" s="48" t="str">
        <x:v>Obligation</x:v>
      </x:c>
      <x:c r="H584" s="48" t="str">
        <x:v>Shared</x:v>
      </x:c>
      <x:c r="I584" s="48" t="n">
        <x:v>0.45</x:v>
      </x:c>
      <x:c r="J584" s="48" t="n">
        <x:v>0.4</x:v>
      </x:c>
      <x:c r="K584" s="48" t="str">
        <x:v>Yes</x:v>
      </x:c>
      <x:c r="L584" s="48" t="str">
        <x:v>PDF text</x:v>
      </x:c>
    </x:row>
    <x:row r="585">
      <x:c r="A585" s="48" t="str">
        <x:v>UNI-0584</x:v>
      </x:c>
      <x:c r="B585" s="48" t="str">
        <x:v>RED</x:v>
      </x:c>
      <x:c r="C585" s="48" t="str">
        <x:v>English</x:v>
      </x:c>
      <x:c r="D585" s="48" t="n">
        <x:v>39</x:v>
      </x:c>
      <x:c r="E585" s="48" t="str"/>
      <x:c r="F585" s="48" t="str">
        <x:v>Alcoholic Liquor or Drugs</x:v>
      </x:c>
      <x:c r="G585" s="48" t="str">
        <x:v>Obligation</x:v>
      </x:c>
      <x:c r="H585" s="48" t="str">
        <x:v>Shared</x:v>
      </x:c>
      <x:c r="I585" s="48" t="n">
        <x:v>0.45</x:v>
      </x:c>
      <x:c r="J585" s="48" t="n">
        <x:v>0.4</x:v>
      </x:c>
      <x:c r="K585" s="48" t="str">
        <x:v>Yes</x:v>
      </x:c>
      <x:c r="L585" s="48" t="str">
        <x:v>PDF text</x:v>
      </x:c>
    </x:row>
    <x:row r="586">
      <x:c r="A586" s="48" t="str">
        <x:v>UNI-0585</x:v>
      </x:c>
      <x:c r="B586" s="48" t="str">
        <x:v>RED</x:v>
      </x:c>
      <x:c r="C586" s="48" t="str">
        <x:v>English</x:v>
      </x:c>
      <x:c r="D586" s="48" t="n">
        <x:v>39</x:v>
      </x:c>
      <x:c r="E586" s="48" t="str"/>
      <x:c r="F586" s="48" t="str">
        <x:v>Arms and Ammunition</x:v>
      </x:c>
      <x:c r="G586" s="48" t="str">
        <x:v>Obligation</x:v>
      </x:c>
      <x:c r="H586" s="48" t="str">
        <x:v>Shared</x:v>
      </x:c>
      <x:c r="I586" s="48" t="n">
        <x:v>0.45</x:v>
      </x:c>
      <x:c r="J586" s="48" t="n">
        <x:v>0.4</x:v>
      </x:c>
      <x:c r="K586" s="48" t="str">
        <x:v>Yes</x:v>
      </x:c>
      <x:c r="L586" s="48" t="str">
        <x:v>PDF text</x:v>
      </x:c>
    </x:row>
    <x:row r="587">
      <x:c r="A587" s="48" t="str">
        <x:v>UNI-0586</x:v>
      </x:c>
      <x:c r="B587" s="48" t="str">
        <x:v>RED</x:v>
      </x:c>
      <x:c r="C587" s="48" t="str">
        <x:v>English</x:v>
      </x:c>
      <x:c r="D587" s="48" t="n">
        <x:v>39</x:v>
      </x:c>
      <x:c r="E587" s="48" t="str"/>
      <x:c r="F587" s="48" t="str">
        <x:v>Festivals and Religious</x:v>
      </x:c>
      <x:c r="G587" s="48" t="str">
        <x:v>Obligation</x:v>
      </x:c>
      <x:c r="H587" s="48" t="str">
        <x:v>Shared</x:v>
      </x:c>
      <x:c r="I587" s="48" t="n">
        <x:v>0.45</x:v>
      </x:c>
      <x:c r="J587" s="48" t="n">
        <x:v>0.4</x:v>
      </x:c>
      <x:c r="K587" s="48" t="str">
        <x:v>Yes</x:v>
      </x:c>
      <x:c r="L587" s="48" t="str">
        <x:v>PDF text</x:v>
      </x:c>
    </x:row>
    <x:row r="588">
      <x:c r="A588" s="48" t="str">
        <x:v>UNI-0587</x:v>
      </x:c>
      <x:c r="B588" s="48" t="str">
        <x:v>RED</x:v>
      </x:c>
      <x:c r="C588" s="48" t="str">
        <x:v>English</x:v>
      </x:c>
      <x:c r="D588" s="48" t="n">
        <x:v>39</x:v>
      </x:c>
      <x:c r="E588" s="48" t="str"/>
      <x:c r="F588" s="48" t="str">
        <x:v>Funeral Arrangements</x:v>
      </x:c>
      <x:c r="G588" s="48" t="str">
        <x:v>Obligation</x:v>
      </x:c>
      <x:c r="H588" s="48" t="str">
        <x:v>Shared</x:v>
      </x:c>
      <x:c r="I588" s="48" t="n">
        <x:v>0.45</x:v>
      </x:c>
      <x:c r="J588" s="48" t="n">
        <x:v>0.4</x:v>
      </x:c>
      <x:c r="K588" s="48" t="str">
        <x:v>Yes</x:v>
      </x:c>
      <x:c r="L588" s="48" t="str">
        <x:v>PDF text</x:v>
      </x:c>
    </x:row>
    <x:row r="589">
      <x:c r="A589" s="48" t="str">
        <x:v>UNI-0588</x:v>
      </x:c>
      <x:c r="B589" s="48" t="str">
        <x:v>RED</x:v>
      </x:c>
      <x:c r="C589" s="48" t="str">
        <x:v>English</x:v>
      </x:c>
      <x:c r="D589" s="48" t="n">
        <x:v>39</x:v>
      </x:c>
      <x:c r="E589" s="48" t="str"/>
      <x:c r="F589" s="48" t="str">
        <x:v>Prohibition of Forced</x:v>
      </x:c>
      <x:c r="G589" s="48" t="str">
        <x:v>Obligation</x:v>
      </x:c>
      <x:c r="H589" s="48" t="str">
        <x:v>Shared</x:v>
      </x:c>
      <x:c r="I589" s="48" t="n">
        <x:v>0.45</x:v>
      </x:c>
      <x:c r="J589" s="48" t="n">
        <x:v>0.4</x:v>
      </x:c>
      <x:c r="K589" s="48" t="str">
        <x:v>Yes</x:v>
      </x:c>
      <x:c r="L589" s="48" t="str">
        <x:v>PDF text</x:v>
      </x:c>
    </x:row>
    <x:row r="590">
      <x:c r="A590" s="48" t="str">
        <x:v>UNI-0589</x:v>
      </x:c>
      <x:c r="B590" s="48" t="str">
        <x:v>RED</x:v>
      </x:c>
      <x:c r="C590" s="48" t="str">
        <x:v>English</x:v>
      </x:c>
      <x:c r="D590" s="48" t="n">
        <x:v>39</x:v>
      </x:c>
      <x:c r="E590" s="48" t="str"/>
      <x:c r="F590" s="48" t="str">
        <x:v>or Compulsory Labour 6.21</x:v>
      </x:c>
      <x:c r="G590" s="48" t="str">
        <x:v>Obligation</x:v>
      </x:c>
      <x:c r="H590" s="48" t="str">
        <x:v>Shared</x:v>
      </x:c>
      <x:c r="I590" s="48" t="n">
        <x:v>0.45</x:v>
      </x:c>
      <x:c r="J590" s="48" t="n">
        <x:v>0.4</x:v>
      </x:c>
      <x:c r="K590" s="48" t="str">
        <x:v>Yes</x:v>
      </x:c>
      <x:c r="L590" s="48" t="str">
        <x:v>PDF text</x:v>
      </x:c>
    </x:row>
    <x:row r="591">
      <x:c r="A591" s="48" t="str">
        <x:v>UNI-0590</x:v>
      </x:c>
      <x:c r="B591" s="48" t="str">
        <x:v>RED</x:v>
      </x:c>
      <x:c r="C591" s="48" t="str">
        <x:v>English</x:v>
      </x:c>
      <x:c r="D591" s="48" t="n">
        <x:v>39</x:v>
      </x:c>
      <x:c r="E591" s="48" t="str"/>
      <x:c r="F591" s="48" t="str">
        <x:v>Prohibition of Harmful</x:v>
      </x:c>
      <x:c r="G591" s="48" t="str">
        <x:v>Obligation</x:v>
      </x:c>
      <x:c r="H591" s="48" t="str">
        <x:v>Shared</x:v>
      </x:c>
      <x:c r="I591" s="48" t="n">
        <x:v>0.45</x:v>
      </x:c>
      <x:c r="J591" s="48" t="n">
        <x:v>0.4</x:v>
      </x:c>
      <x:c r="K591" s="48" t="str">
        <x:v>Yes</x:v>
      </x:c>
      <x:c r="L591" s="48" t="str">
        <x:v>PDF text</x:v>
      </x:c>
    </x:row>
    <x:row r="592">
      <x:c r="A592" s="48" t="str">
        <x:v>UNI-0591</x:v>
      </x:c>
      <x:c r="B592" s="48" t="str">
        <x:v>RED</x:v>
      </x:c>
      <x:c r="C592" s="48" t="str">
        <x:v>English</x:v>
      </x:c>
      <x:c r="D592" s="48" t="n">
        <x:v>39</x:v>
      </x:c>
      <x:c r="E592" s="48" t="str"/>
      <x:c r="F592" s="48" t="str">
        <x:v>Child Labour</x:v>
      </x:c>
      <x:c r="G592" s="48" t="str">
        <x:v>Obligation</x:v>
      </x:c>
      <x:c r="H592" s="48" t="str">
        <x:v>Shared</x:v>
      </x:c>
      <x:c r="I592" s="48" t="n">
        <x:v>0.45</x:v>
      </x:c>
      <x:c r="J592" s="48" t="n">
        <x:v>0.4</x:v>
      </x:c>
      <x:c r="K592" s="48" t="str">
        <x:v>Yes</x:v>
      </x:c>
      <x:c r="L592" s="48" t="str">
        <x:v>PDF text</x:v>
      </x:c>
    </x:row>
    <x:row r="593">
      <x:c r="A593" s="48" t="str">
        <x:v>UNI-0592</x:v>
      </x:c>
      <x:c r="B593" s="48" t="str">
        <x:v>RED</x:v>
      </x:c>
      <x:c r="C593" s="48" t="str">
        <x:v>English</x:v>
      </x:c>
      <x:c r="D593" s="48" t="n">
        <x:v>39</x:v>
      </x:c>
      <x:c r="E593" s="48" t="str"/>
      <x:c r="F593" s="48" t="str">
        <x:v>Employment Records of</x:v>
      </x:c>
      <x:c r="G593" s="48" t="str">
        <x:v>Obligation</x:v>
      </x:c>
      <x:c r="H593" s="48" t="str">
        <x:v>Shared</x:v>
      </x:c>
      <x:c r="I593" s="48" t="n">
        <x:v>0.45</x:v>
      </x:c>
      <x:c r="J593" s="48" t="n">
        <x:v>0.4</x:v>
      </x:c>
      <x:c r="K593" s="48" t="str">
        <x:v>Yes</x:v>
      </x:c>
      <x:c r="L593" s="48" t="str">
        <x:v>PDF text</x:v>
      </x:c>
    </x:row>
    <x:row r="594">
      <x:c r="A594" s="48" t="str">
        <x:v>UNI-0593</x:v>
      </x:c>
      <x:c r="B594" s="48" t="str">
        <x:v>RED</x:v>
      </x:c>
      <x:c r="C594" s="48" t="str">
        <x:v>English</x:v>
      </x:c>
      <x:c r="D594" s="48" t="n">
        <x:v>40</x:v>
      </x:c>
      <x:c r="E594" s="48" t="str"/>
      <x:c r="F594" s="48" t="str">
        <x:v>The Contractor shall carry out the manufacture of Plant, the production and</x:v>
      </x:c>
      <x:c r="G594" s="48" t="str">
        <x:v>Obligation</x:v>
      </x:c>
      <x:c r="H594" s="48" t="str">
        <x:v>Contractor</x:v>
      </x:c>
      <x:c r="I594" s="48" t="n">
        <x:v>0.88</x:v>
      </x:c>
      <x:c r="J594" s="48" t="n">
        <x:v>0.92</x:v>
      </x:c>
      <x:c r="K594" s="48" t="str">
        <x:v>No</x:v>
      </x:c>
      <x:c r="L594" s="48" t="str">
        <x:v>PDF text</x:v>
      </x:c>
    </x:row>
    <x:row r="595">
      <x:c r="A595" s="48" t="str">
        <x:v>UNI-0594</x:v>
      </x:c>
      <x:c r="B595" s="48" t="str">
        <x:v>RED</x:v>
      </x:c>
      <x:c r="C595" s="48" t="str">
        <x:v>English</x:v>
      </x:c>
      <x:c r="D595" s="48" t="n">
        <x:v>40</x:v>
      </x:c>
      <x:c r="E595" s="48" t="str"/>
      <x:c r="F595" s="48" t="str">
        <x:v>manufacture of Materials, and all other execution of the Works: (a) in the manner (if any) specified in the Contract, (b) in a proper workmanlike and careful manner, in accordance with recognised good practice, and (c) with properly equipped facilities and non-hazardous Materials, except as otherwise specified in the Contract.</x:v>
      </x:c>
      <x:c r="G595" s="48" t="str">
        <x:v>Obligation</x:v>
      </x:c>
      <x:c r="H595" s="48" t="str">
        <x:v>Shared</x:v>
      </x:c>
      <x:c r="I595" s="48" t="n">
        <x:v>0.45</x:v>
      </x:c>
      <x:c r="J595" s="48" t="n">
        <x:v>0.4</x:v>
      </x:c>
      <x:c r="K595" s="48" t="str">
        <x:v>Yes</x:v>
      </x:c>
      <x:c r="L595" s="48" t="str">
        <x:v>PDF text</x:v>
      </x:c>
    </x:row>
    <x:row r="596">
      <x:c r="A596" s="48" t="str">
        <x:v>UNI-0595</x:v>
      </x:c>
      <x:c r="B596" s="48" t="str">
        <x:v>RED</x:v>
      </x:c>
      <x:c r="C596" s="48" t="str">
        <x:v>English</x:v>
      </x:c>
      <x:c r="D596" s="48" t="n">
        <x:v>40</x:v>
      </x:c>
      <x:c r="E596" s="48" t="str"/>
      <x:c r="F596" s="48" t="str">
        <x:v>The Contractor shall submit the following samples of Materials, and relevant</x:v>
      </x:c>
      <x:c r="G596" s="48" t="str">
        <x:v>Obligation</x:v>
      </x:c>
      <x:c r="H596" s="48" t="str">
        <x:v>Contractor</x:v>
      </x:c>
      <x:c r="I596" s="48" t="n">
        <x:v>0.88</x:v>
      </x:c>
      <x:c r="J596" s="48" t="n">
        <x:v>0.92</x:v>
      </x:c>
      <x:c r="K596" s="48" t="str">
        <x:v>No</x:v>
      </x:c>
      <x:c r="L596" s="48" t="str">
        <x:v>PDF text</x:v>
      </x:c>
    </x:row>
    <x:row r="597">
      <x:c r="A597" s="48" t="str">
        <x:v>UNI-0596</x:v>
      </x:c>
      <x:c r="B597" s="48" t="str">
        <x:v>RED</x:v>
      </x:c>
      <x:c r="C597" s="48" t="str">
        <x:v>English</x:v>
      </x:c>
      <x:c r="D597" s="48" t="n">
        <x:v>40</x:v>
      </x:c>
      <x:c r="E597" s="48" t="str"/>
      <x:c r="F597" s="48" t="str">
        <x:v>information, to the Engineer for consent prior to using the Materials in or for the Works: (a) manufacturer’s standard samples of Materials and samples specified in the</x:v>
      </x:c>
      <x:c r="G597" s="48" t="str">
        <x:v>Obligation</x:v>
      </x:c>
      <x:c r="H597" s="48" t="str">
        <x:v>Shared</x:v>
      </x:c>
      <x:c r="I597" s="48" t="n">
        <x:v>0.45</x:v>
      </x:c>
      <x:c r="J597" s="48" t="n">
        <x:v>0.4</x:v>
      </x:c>
      <x:c r="K597" s="48" t="str">
        <x:v>Yes</x:v>
      </x:c>
      <x:c r="L597" s="48" t="str">
        <x:v>PDF text</x:v>
      </x:c>
    </x:row>
    <x:row r="598">
      <x:c r="A598" s="48" t="str">
        <x:v>UNI-0597</x:v>
      </x:c>
      <x:c r="B598" s="48" t="str">
        <x:v>RED</x:v>
      </x:c>
      <x:c r="C598" s="48" t="str">
        <x:v>English</x:v>
      </x:c>
      <x:c r="D598" s="48" t="n">
        <x:v>40</x:v>
      </x:c>
      <x:c r="E598" s="48" t="str"/>
      <x:c r="F598" s="48" t="str">
        <x:v>Contract, all at the Contractor’s cost, and</x:v>
      </x:c>
      <x:c r="G598" s="48" t="str">
        <x:v>Obligation</x:v>
      </x:c>
      <x:c r="H598" s="48" t="str">
        <x:v>Contractor</x:v>
      </x:c>
      <x:c r="I598" s="48" t="n">
        <x:v>0.45</x:v>
      </x:c>
      <x:c r="J598" s="48" t="n">
        <x:v>0.68</x:v>
      </x:c>
      <x:c r="K598" s="48" t="str">
        <x:v>Yes</x:v>
      </x:c>
      <x:c r="L598" s="48" t="str">
        <x:v>PDF text</x:v>
      </x:c>
    </x:row>
    <x:row r="599">
      <x:c r="A599" s="48" t="str">
        <x:v>UNI-0598</x:v>
      </x:c>
      <x:c r="B599" s="48" t="str">
        <x:v>RED</x:v>
      </x:c>
      <x:c r="C599" s="48" t="str">
        <x:v>English</x:v>
      </x:c>
      <x:c r="D599" s="48" t="n">
        <x:v>40</x:v>
      </x:c>
      <x:c r="E599" s="48" t="str"/>
      <x:c r="F599" s="48" t="str">
        <x:v>(b) additional samples instructed by the Engineer as a Variation.</x:v>
      </x:c>
      <x:c r="G599" s="48" t="str">
        <x:v>Obligation</x:v>
      </x:c>
      <x:c r="H599" s="48" t="str">
        <x:v>Shared</x:v>
      </x:c>
      <x:c r="I599" s="48" t="n">
        <x:v>0.55</x:v>
      </x:c>
      <x:c r="J599" s="48" t="n">
        <x:v>0.4</x:v>
      </x:c>
      <x:c r="K599" s="48" t="str">
        <x:v>Yes</x:v>
      </x:c>
      <x:c r="L599" s="48" t="str">
        <x:v>PDF text</x:v>
      </x:c>
    </x:row>
    <x:row r="600">
      <x:c r="A600" s="48" t="str">
        <x:v>UNI-0599</x:v>
      </x:c>
      <x:c r="B600" s="48" t="str">
        <x:v>RED</x:v>
      </x:c>
      <x:c r="C600" s="48" t="str">
        <x:v>English</x:v>
      </x:c>
      <x:c r="D600" s="48" t="n">
        <x:v>40</x:v>
      </x:c>
      <x:c r="E600" s="48" t="str"/>
      <x:c r="F600" s="48" t="str">
        <x:v>Each sample shall be labelled as to origin and intended use in the Works.</x:v>
      </x:c>
      <x:c r="G600" s="48" t="str">
        <x:v>Obligation</x:v>
      </x:c>
      <x:c r="H600" s="48" t="str">
        <x:v>Shared</x:v>
      </x:c>
      <x:c r="I600" s="48" t="n">
        <x:v>0.88</x:v>
      </x:c>
      <x:c r="J600" s="48" t="n">
        <x:v>0.4</x:v>
      </x:c>
      <x:c r="K600" s="48" t="str">
        <x:v>Yes</x:v>
      </x:c>
      <x:c r="L600" s="48" t="str">
        <x:v>PDF text</x:v>
      </x:c>
    </x:row>
    <x:row r="601">
      <x:c r="A601" s="48" t="str">
        <x:v>UNI-0600</x:v>
      </x:c>
      <x:c r="B601" s="48" t="str">
        <x:v>RED</x:v>
      </x:c>
      <x:c r="C601" s="48" t="str">
        <x:v>English</x:v>
      </x:c>
      <x:c r="D601" s="48" t="n">
        <x:v>40</x:v>
      </x:c>
      <x:c r="E601" s="48" t="str"/>
      <x:c r="F601" s="48" t="str">
        <x:v>The Employer’s Personnel shall at all reasonable times: (a) have full access to all parts of the Site and to all places from which natural</x:v>
      </x:c>
      <x:c r="G601" s="48" t="str">
        <x:v>Obligation</x:v>
      </x:c>
      <x:c r="H601" s="48" t="str">
        <x:v>Employer</x:v>
      </x:c>
      <x:c r="I601" s="48" t="n">
        <x:v>0.88</x:v>
      </x:c>
      <x:c r="J601" s="48" t="n">
        <x:v>0.68</x:v>
      </x:c>
      <x:c r="K601" s="48" t="str">
        <x:v>Yes</x:v>
      </x:c>
      <x:c r="L601" s="48" t="str">
        <x:v>PDF text</x:v>
      </x:c>
    </x:row>
    <x:row r="602">
      <x:c r="A602" s="48" t="str">
        <x:v>UNI-0601</x:v>
      </x:c>
      <x:c r="B602" s="48" t="str">
        <x:v>RED</x:v>
      </x:c>
      <x:c r="C602" s="48" t="str">
        <x:v>English</x:v>
      </x:c>
      <x:c r="D602" s="48" t="n">
        <x:v>40</x:v>
      </x:c>
      <x:c r="E602" s="48" t="str"/>
      <x:c r="F602" s="48" t="str">
        <x:v>Materials are being obtained, and</x:v>
      </x:c>
      <x:c r="G602" s="48" t="str">
        <x:v>Obligation</x:v>
      </x:c>
      <x:c r="H602" s="48" t="str">
        <x:v>Shared</x:v>
      </x:c>
      <x:c r="I602" s="48" t="n">
        <x:v>0.45</x:v>
      </x:c>
      <x:c r="J602" s="48" t="n">
        <x:v>0.4</x:v>
      </x:c>
      <x:c r="K602" s="48" t="str">
        <x:v>Yes</x:v>
      </x:c>
      <x:c r="L602" s="48" t="str">
        <x:v>PDF text</x:v>
      </x:c>
    </x:row>
    <x:row r="603">
      <x:c r="A603" s="48" t="str">
        <x:v>UNI-0602</x:v>
      </x:c>
      <x:c r="B603" s="48" t="str">
        <x:v>RED</x:v>
      </x:c>
      <x:c r="C603" s="48" t="str">
        <x:v>English</x:v>
      </x:c>
      <x:c r="D603" s="48" t="n">
        <x:v>40</x:v>
      </x:c>
      <x:c r="E603" s="48" t="str"/>
      <x:c r="F603" s="48" t="str">
        <x:v>(b) during production, manufacture and construction (at the Site and elsewhere), be entitled to examine, inspect, measure and test the materials and workmanship, and to check the progress of manufacture of Plant and production and manufacture of Materials.</x:v>
      </x:c>
      <x:c r="G603" s="48" t="str">
        <x:v>Right</x:v>
      </x:c>
      <x:c r="H603" s="48" t="str">
        <x:v>Shared</x:v>
      </x:c>
      <x:c r="I603" s="48" t="n">
        <x:v>0.78</x:v>
      </x:c>
      <x:c r="J603" s="48" t="n">
        <x:v>0.4</x:v>
      </x:c>
      <x:c r="K603" s="48" t="str">
        <x:v>Yes</x:v>
      </x:c>
      <x:c r="L603" s="48" t="str">
        <x:v>PDF text</x:v>
      </x:c>
    </x:row>
    <x:row r="604">
      <x:c r="A604" s="48" t="str">
        <x:v>UNI-0603</x:v>
      </x:c>
      <x:c r="B604" s="48" t="str">
        <x:v>RED</x:v>
      </x:c>
      <x:c r="C604" s="48" t="str">
        <x:v>English</x:v>
      </x:c>
      <x:c r="D604" s="48" t="n">
        <x:v>40</x:v>
      </x:c>
      <x:c r="E604" s="48" t="str"/>
      <x:c r="F604" s="48" t="str">
        <x:v>The Contractor shall give the Employer’s Personnel full opportunity to carry out these activities, including providing access, facilities, permissions and safety equipment.</x:v>
      </x:c>
      <x:c r="G604" s="48" t="str">
        <x:v>Obligation</x:v>
      </x:c>
      <x:c r="H604" s="48" t="str">
        <x:v>Contractor</x:v>
      </x:c>
      <x:c r="I604" s="48" t="n">
        <x:v>0.88</x:v>
      </x:c>
      <x:c r="J604" s="48" t="n">
        <x:v>0.92</x:v>
      </x:c>
      <x:c r="K604" s="48" t="str">
        <x:v>No</x:v>
      </x:c>
      <x:c r="L604" s="48" t="str">
        <x:v>PDF text</x:v>
      </x:c>
    </x:row>
    <x:row r="605">
      <x:c r="A605" s="48" t="str">
        <x:v>UNI-0604</x:v>
      </x:c>
      <x:c r="B605" s="48" t="str">
        <x:v>RED</x:v>
      </x:c>
      <x:c r="C605" s="48" t="str">
        <x:v>English</x:v>
      </x:c>
      <x:c r="D605" s="48" t="n">
        <x:v>40</x:v>
      </x:c>
      <x:c r="E605" s="48" t="str"/>
      <x:c r="F605" s="48" t="str">
        <x:v>No such activity shall relieve the Contractor from any obligation or responsibility.</x:v>
      </x:c>
      <x:c r="G605" s="48" t="str">
        <x:v>Obligation</x:v>
      </x:c>
      <x:c r="H605" s="48" t="str">
        <x:v>Contractor</x:v>
      </x:c>
      <x:c r="I605" s="48" t="n">
        <x:v>0.88</x:v>
      </x:c>
      <x:c r="J605" s="48" t="n">
        <x:v>0.68</x:v>
      </x:c>
      <x:c r="K605" s="48" t="str">
        <x:v>Yes</x:v>
      </x:c>
      <x:c r="L605" s="48" t="str">
        <x:v>PDF text</x:v>
      </x:c>
    </x:row>
    <x:row r="606">
      <x:c r="A606" s="48" t="str">
        <x:v>UNI-0605</x:v>
      </x:c>
      <x:c r="B606" s="48" t="str">
        <x:v>RED</x:v>
      </x:c>
      <x:c r="C606" s="48" t="str">
        <x:v>English</x:v>
      </x:c>
      <x:c r="D606" s="48" t="n">
        <x:v>40</x:v>
      </x:c>
      <x:c r="E606" s="48" t="str"/>
      <x:c r="F606" s="48" t="str">
        <x:v>The Contractor shall give notice to the Engineer whenever any work is ready and</x:v>
      </x:c>
      <x:c r="G606" s="48" t="str">
        <x:v>Obligation</x:v>
      </x:c>
      <x:c r="H606" s="48" t="str">
        <x:v>Contractor</x:v>
      </x:c>
      <x:c r="I606" s="48" t="n">
        <x:v>0.88</x:v>
      </x:c>
      <x:c r="J606" s="48" t="n">
        <x:v>0.92</x:v>
      </x:c>
      <x:c r="K606" s="48" t="str">
        <x:v>No</x:v>
      </x:c>
      <x:c r="L606" s="48" t="str">
        <x:v>PDF text</x:v>
      </x:c>
    </x:row>
    <x:row r="607">
      <x:c r="A607" s="48" t="str">
        <x:v>UNI-0606</x:v>
      </x:c>
      <x:c r="B607" s="48" t="str">
        <x:v>RED</x:v>
      </x:c>
      <x:c r="C607" s="48" t="str">
        <x:v>English</x:v>
      </x:c>
      <x:c r="D607" s="48" t="n">
        <x:v>40</x:v>
      </x:c>
      <x:c r="E607" s="48" t="str"/>
      <x:c r="F607" s="48" t="str">
        <x:v>before it is covered up, put out of sight, or packaged for storage or transport.</x:v>
      </x:c>
      <x:c r="G607" s="48" t="str">
        <x:v>Obligation</x:v>
      </x:c>
      <x:c r="H607" s="48" t="str">
        <x:v>Shared</x:v>
      </x:c>
      <x:c r="I607" s="48" t="n">
        <x:v>0.45</x:v>
      </x:c>
      <x:c r="J607" s="48" t="n">
        <x:v>0.4</x:v>
      </x:c>
      <x:c r="K607" s="48" t="str">
        <x:v>Yes</x:v>
      </x:c>
      <x:c r="L607" s="48" t="str">
        <x:v>PDF text</x:v>
      </x:c>
    </x:row>
    <x:row r="608">
      <x:c r="A608" s="48" t="str">
        <x:v>UNI-0607</x:v>
      </x:c>
      <x:c r="B608" s="48" t="str">
        <x:v>RED</x:v>
      </x:c>
      <x:c r="C608" s="48" t="str">
        <x:v>English</x:v>
      </x:c>
      <x:c r="D608" s="48" t="n">
        <x:v>40</x:v>
      </x:c>
      <x:c r="E608" s="48" t="str"/>
      <x:c r="F608" s="48" t="str">
        <x:v>Engineer shall then either carry out the examination, inspection, measurement or</x:v>
      </x:c>
      <x:c r="G608" s="48" t="str">
        <x:v>Obligation</x:v>
      </x:c>
      <x:c r="H608" s="48" t="str">
        <x:v>Shared</x:v>
      </x:c>
      <x:c r="I608" s="48" t="n">
        <x:v>0.88</x:v>
      </x:c>
      <x:c r="J608" s="48" t="n">
        <x:v>0.4</x:v>
      </x:c>
      <x:c r="K608" s="48" t="str">
        <x:v>Yes</x:v>
      </x:c>
      <x:c r="L608" s="48" t="str">
        <x:v>PDF text</x:v>
      </x:c>
    </x:row>
    <x:row r="609">
      <x:c r="A609" s="48" t="str">
        <x:v>UNI-0608</x:v>
      </x:c>
      <x:c r="B609" s="48" t="str">
        <x:v>RED</x:v>
      </x:c>
      <x:c r="C609" s="48" t="str">
        <x:v>English</x:v>
      </x:c>
      <x:c r="D609" s="48" t="n">
        <x:v>40</x:v>
      </x:c>
      <x:c r="E609" s="48" t="str"/>
      <x:c r="F609" s="48" t="str">
        <x:v>testing without unreasonable delay, or promptly give notice to the Contractor that the Engineer does not require to do so.</x:v>
      </x:c>
      <x:c r="G609" s="48" t="str">
        <x:v>Obligation</x:v>
      </x:c>
      <x:c r="H609" s="48" t="str">
        <x:v>Contractor</x:v>
      </x:c>
      <x:c r="I609" s="48" t="n">
        <x:v>0.55</x:v>
      </x:c>
      <x:c r="J609" s="48" t="n">
        <x:v>0.68</x:v>
      </x:c>
      <x:c r="K609" s="48" t="str">
        <x:v>Yes</x:v>
      </x:c>
      <x:c r="L609" s="48" t="str">
        <x:v>PDF text</x:v>
      </x:c>
    </x:row>
    <x:row r="610">
      <x:c r="A610" s="48" t="str">
        <x:v>UNI-0609</x:v>
      </x:c>
      <x:c r="B610" s="48" t="str">
        <x:v>RED</x:v>
      </x:c>
      <x:c r="C610" s="48" t="str">
        <x:v>English</x:v>
      </x:c>
      <x:c r="D610" s="48" t="n">
        <x:v>40</x:v>
      </x:c>
      <x:c r="E610" s="48" t="str"/>
      <x:c r="F610" s="48" t="str">
        <x:v>If the Contractor fails to give the notice, he shall, if and when required by the Engineer, uncover the work and thereafter reinstate and make good, all at the Contractor’s cost.</x:v>
      </x:c>
      <x:c r="G610" s="48" t="str">
        <x:v>Obligation</x:v>
      </x:c>
      <x:c r="H610" s="48" t="str">
        <x:v>Contractor</x:v>
      </x:c>
      <x:c r="I610" s="48" t="n">
        <x:v>0.88</x:v>
      </x:c>
      <x:c r="J610" s="48" t="n">
        <x:v>0.68</x:v>
      </x:c>
      <x:c r="K610" s="48" t="str">
        <x:v>Yes</x:v>
      </x:c>
      <x:c r="L610" s="48" t="str">
        <x:v>PDF text</x:v>
      </x:c>
    </x:row>
    <x:row r="611">
      <x:c r="A611" s="48" t="str">
        <x:v>UNI-0610</x:v>
      </x:c>
      <x:c r="B611" s="48" t="str">
        <x:v>RED</x:v>
      </x:c>
      <x:c r="C611" s="48" t="str">
        <x:v>English</x:v>
      </x:c>
      <x:c r="D611" s="48" t="n">
        <x:v>40</x:v>
      </x:c>
      <x:c r="E611" s="48" t="str"/>
      <x:c r="F611" s="48" t="str">
        <x:v>This Sub-Clause shall apply to all tests specified in the Contract, other than the Tests after Completion (if any).</x:v>
      </x:c>
      <x:c r="G611" s="48" t="str">
        <x:v>Obligation</x:v>
      </x:c>
      <x:c r="H611" s="48" t="str">
        <x:v>Shared</x:v>
      </x:c>
      <x:c r="I611" s="48" t="n">
        <x:v>0.88</x:v>
      </x:c>
      <x:c r="J611" s="48" t="n">
        <x:v>0.4</x:v>
      </x:c>
      <x:c r="K611" s="48" t="str">
        <x:v>Yes</x:v>
      </x:c>
      <x:c r="L611" s="48" t="str">
        <x:v>PDF text</x:v>
      </x:c>
    </x:row>
    <x:row r="612">
      <x:c r="A612" s="48" t="str">
        <x:v>UNI-0611</x:v>
      </x:c>
      <x:c r="B612" s="48" t="str">
        <x:v>RED</x:v>
      </x:c>
      <x:c r="C612" s="48" t="str">
        <x:v>English</x:v>
      </x:c>
      <x:c r="D612" s="48" t="n">
        <x:v>40</x:v>
      </x:c>
      <x:c r="E612" s="48" t="str"/>
      <x:c r="F612" s="48" t="str">
        <x:v>The Contractor shall provide all apparatus, assistance, documents and other</x:v>
      </x:c>
      <x:c r="G612" s="48" t="str">
        <x:v>Obligation</x:v>
      </x:c>
      <x:c r="H612" s="48" t="str">
        <x:v>Contractor</x:v>
      </x:c>
      <x:c r="I612" s="48" t="n">
        <x:v>0.88</x:v>
      </x:c>
      <x:c r="J612" s="48" t="n">
        <x:v>0.92</x:v>
      </x:c>
      <x:c r="K612" s="48" t="str">
        <x:v>No</x:v>
      </x:c>
      <x:c r="L612" s="48" t="str">
        <x:v>PDF text</x:v>
      </x:c>
    </x:row>
    <x:row r="613">
      <x:c r="A613" s="48" t="str">
        <x:v>UNI-0612</x:v>
      </x:c>
      <x:c r="B613" s="48" t="str">
        <x:v>RED</x:v>
      </x:c>
      <x:c r="C613" s="48" t="str">
        <x:v>English</x:v>
      </x:c>
      <x:c r="D613" s="48" t="n">
        <x:v>40</x:v>
      </x:c>
      <x:c r="E613" s="48" t="str"/>
      <x:c r="F613" s="48" t="str">
        <x:v>information, electricity, equipment, fuel, consumables, instruments, labour, materials, and suitably qualified and experienced staff, as are necessary to carry out the specified tests efficiently.</x:v>
      </x:c>
      <x:c r="G613" s="48" t="str">
        <x:v>Obligation</x:v>
      </x:c>
      <x:c r="H613" s="48" t="str">
        <x:v>Shared</x:v>
      </x:c>
      <x:c r="I613" s="48" t="n">
        <x:v>0.45</x:v>
      </x:c>
      <x:c r="J613" s="48" t="n">
        <x:v>0.4</x:v>
      </x:c>
      <x:c r="K613" s="48" t="str">
        <x:v>Yes</x:v>
      </x:c>
      <x:c r="L613" s="48" t="str">
        <x:v>PDF text</x:v>
      </x:c>
    </x:row>
    <x:row r="614">
      <x:c r="A614" s="48" t="str">
        <x:v>UNI-0613</x:v>
      </x:c>
      <x:c r="B614" s="48" t="str">
        <x:v>RED</x:v>
      </x:c>
      <x:c r="C614" s="48" t="str">
        <x:v>English</x:v>
      </x:c>
      <x:c r="D614" s="48" t="n">
        <x:v>40</x:v>
      </x:c>
      <x:c r="E614" s="48" t="str"/>
      <x:c r="F614" s="48" t="str">
        <x:v>The Contractor shall agree, with the Engineer, the time and place for the specified testing of any Plant, Materials and other parts of the Works.</x:v>
      </x:c>
      <x:c r="G614" s="48" t="str">
        <x:v>Obligation</x:v>
      </x:c>
      <x:c r="H614" s="48" t="str">
        <x:v>Contractor</x:v>
      </x:c>
      <x:c r="I614" s="48" t="n">
        <x:v>0.88</x:v>
      </x:c>
      <x:c r="J614" s="48" t="n">
        <x:v>0.92</x:v>
      </x:c>
      <x:c r="K614" s="48" t="str">
        <x:v>No</x:v>
      </x:c>
      <x:c r="L614" s="48" t="str">
        <x:v>PDF text</x:v>
      </x:c>
    </x:row>
    <x:row r="615">
      <x:c r="A615" s="48" t="str">
        <x:v>UNI-0614</x:v>
      </x:c>
      <x:c r="B615" s="48" t="str">
        <x:v>RED</x:v>
      </x:c>
      <x:c r="C615" s="48" t="str">
        <x:v>English</x:v>
      </x:c>
      <x:c r="D615" s="48" t="n">
        <x:v>40</x:v>
      </x:c>
      <x:c r="E615" s="48" t="str"/>
      <x:c r="F615" s="48" t="str">
        <x:v>Manner of Execution</x:v>
      </x:c>
      <x:c r="G615" s="48" t="str">
        <x:v>Obligation</x:v>
      </x:c>
      <x:c r="H615" s="48" t="str">
        <x:v>Shared</x:v>
      </x:c>
      <x:c r="I615" s="48" t="n">
        <x:v>0.45</x:v>
      </x:c>
      <x:c r="J615" s="48" t="n">
        <x:v>0.4</x:v>
      </x:c>
      <x:c r="K615" s="48" t="str">
        <x:v>Yes</x:v>
      </x:c>
      <x:c r="L615" s="48" t="str">
        <x:v>PDF text</x:v>
      </x:c>
    </x:row>
    <x:row r="616">
      <x:c r="A616" s="48" t="str">
        <x:v>UNI-0615</x:v>
      </x:c>
      <x:c r="B616" s="48" t="str">
        <x:v>RED</x:v>
      </x:c>
      <x:c r="C616" s="48" t="str">
        <x:v>English</x:v>
      </x:c>
      <x:c r="D616" s="48" t="n">
        <x:v>40</x:v>
      </x:c>
      <x:c r="E616" s="48" t="str"/>
      <x:c r="F616" s="48" t="str">
        <x:v>Inspection</x:v>
      </x:c>
      <x:c r="G616" s="48" t="str">
        <x:v>Obligation</x:v>
      </x:c>
      <x:c r="H616" s="48" t="str">
        <x:v>Shared</x:v>
      </x:c>
      <x:c r="I616" s="48" t="n">
        <x:v>0.45</x:v>
      </x:c>
      <x:c r="J616" s="48" t="n">
        <x:v>0.4</x:v>
      </x:c>
      <x:c r="K616" s="48" t="str">
        <x:v>Yes</x:v>
      </x:c>
      <x:c r="L616" s="48" t="str">
        <x:v>PDF text</x:v>
      </x:c>
    </x:row>
    <x:row r="617">
      <x:c r="A617" s="48" t="str">
        <x:v>UNI-0616</x:v>
      </x:c>
      <x:c r="B617" s="48" t="str">
        <x:v>RED</x:v>
      </x:c>
      <x:c r="C617" s="48" t="str">
        <x:v>English</x:v>
      </x:c>
      <x:c r="D617" s="48" t="n">
        <x:v>40</x:v>
      </x:c>
      <x:c r="E617" s="48" t="str"/>
      <x:c r="F617" s="48" t="str">
        <x:v>Plant, Materials and Workmanship</x:v>
      </x:c>
      <x:c r="G617" s="48" t="str">
        <x:v>Obligation</x:v>
      </x:c>
      <x:c r="H617" s="48" t="str">
        <x:v>Shared</x:v>
      </x:c>
      <x:c r="I617" s="48" t="n">
        <x:v>0.45</x:v>
      </x:c>
      <x:c r="J617" s="48" t="n">
        <x:v>0.4</x:v>
      </x:c>
      <x:c r="K617" s="48" t="str">
        <x:v>Yes</x:v>
      </x:c>
      <x:c r="L617" s="48" t="str">
        <x:v>PDF text</x:v>
      </x:c>
    </x:row>
    <x:row r="618">
      <x:c r="A618" s="48" t="str">
        <x:v>UNI-0617</x:v>
      </x:c>
      <x:c r="B618" s="48" t="str">
        <x:v>RED</x:v>
      </x:c>
      <x:c r="C618" s="48" t="str">
        <x:v>English</x:v>
      </x:c>
      <x:c r="D618" s="48" t="n">
        <x:v>41</x:v>
      </x:c>
      <x:c r="E618" s="48" t="str"/>
      <x:c r="F618" s="48" t="str">
        <x:v>The Engineer may, under Clause 13 [Variations and Adjustments], vary the location or details of specified tests, or instruct the Contractor to carry out additional tests.</x:v>
      </x:c>
      <x:c r="G618" s="48" t="str">
        <x:v>Obligation</x:v>
      </x:c>
      <x:c r="H618" s="48" t="str">
        <x:v>Contractor</x:v>
      </x:c>
      <x:c r="I618" s="48" t="n">
        <x:v>0.45</x:v>
      </x:c>
      <x:c r="J618" s="48" t="n">
        <x:v>0.68</x:v>
      </x:c>
      <x:c r="K618" s="48" t="str">
        <x:v>Yes</x:v>
      </x:c>
      <x:c r="L618" s="48" t="str">
        <x:v>PDF text</x:v>
      </x:c>
    </x:row>
    <x:row r="619">
      <x:c r="A619" s="48" t="str">
        <x:v>UNI-0618</x:v>
      </x:c>
      <x:c r="B619" s="48" t="str">
        <x:v>RED</x:v>
      </x:c>
      <x:c r="C619" s="48" t="str">
        <x:v>English</x:v>
      </x:c>
      <x:c r="D619" s="48" t="n">
        <x:v>41</x:v>
      </x:c>
      <x:c r="E619" s="48" t="str"/>
      <x:c r="F619" s="48" t="str">
        <x:v>If these varied or additional tests show that the tested Plant, Materials or workmanship is not in accordance with the Contract, the cost of carrying out this Variation shall be borne by the Contractor, notwithstanding other provisions of the Contract.</x:v>
      </x:c>
      <x:c r="G619" s="48" t="str">
        <x:v>Obligation</x:v>
      </x:c>
      <x:c r="H619" s="48" t="str">
        <x:v>Contractor</x:v>
      </x:c>
      <x:c r="I619" s="48" t="n">
        <x:v>0.88</x:v>
      </x:c>
      <x:c r="J619" s="48" t="n">
        <x:v>0.68</x:v>
      </x:c>
      <x:c r="K619" s="48" t="str">
        <x:v>Yes</x:v>
      </x:c>
      <x:c r="L619" s="48" t="str">
        <x:v>PDF text</x:v>
      </x:c>
    </x:row>
    <x:row r="620">
      <x:c r="A620" s="48" t="str">
        <x:v>UNI-0619</x:v>
      </x:c>
      <x:c r="B620" s="48" t="str">
        <x:v>RED</x:v>
      </x:c>
      <x:c r="C620" s="48" t="str">
        <x:v>English</x:v>
      </x:c>
      <x:c r="D620" s="48" t="n">
        <x:v>41</x:v>
      </x:c>
      <x:c r="E620" s="48" t="str"/>
      <x:c r="F620" s="48" t="str">
        <x:v>The Engineer shall give the Contractor not less than 24 hours’ notice of the Engineer’s intention to attend the tests.</x:v>
      </x:c>
      <x:c r="G620" s="48" t="str">
        <x:v>Obligation</x:v>
      </x:c>
      <x:c r="H620" s="48" t="str">
        <x:v>Contractor</x:v>
      </x:c>
      <x:c r="I620" s="48" t="n">
        <x:v>0.88</x:v>
      </x:c>
      <x:c r="J620" s="48" t="n">
        <x:v>0.68</x:v>
      </x:c>
      <x:c r="K620" s="48" t="str">
        <x:v>Yes</x:v>
      </x:c>
      <x:c r="L620" s="48" t="str">
        <x:v>PDF text</x:v>
      </x:c>
    </x:row>
    <x:row r="621">
      <x:c r="A621" s="48" t="str">
        <x:v>UNI-0620</x:v>
      </x:c>
      <x:c r="B621" s="48" t="str">
        <x:v>RED</x:v>
      </x:c>
      <x:c r="C621" s="48" t="str">
        <x:v>English</x:v>
      </x:c>
      <x:c r="D621" s="48" t="n">
        <x:v>41</x:v>
      </x:c>
      <x:c r="E621" s="48" t="str"/>
      <x:c r="F621" s="48" t="str">
        <x:v>If the Engineer does not attend at the time and place agreed, the Contractor may proceed with the tests, unless otherwise instructed by the</x:v>
      </x:c>
      <x:c r="G621" s="48" t="str">
        <x:v>Right</x:v>
      </x:c>
      <x:c r="H621" s="48" t="str">
        <x:v>Contractor</x:v>
      </x:c>
      <x:c r="I621" s="48" t="n">
        <x:v>0.78</x:v>
      </x:c>
      <x:c r="J621" s="48" t="n">
        <x:v>0.92</x:v>
      </x:c>
      <x:c r="K621" s="48" t="str">
        <x:v>No</x:v>
      </x:c>
      <x:c r="L621" s="48" t="str">
        <x:v>PDF text</x:v>
      </x:c>
    </x:row>
    <x:row r="622">
      <x:c r="A622" s="48" t="str">
        <x:v>UNI-0621</x:v>
      </x:c>
      <x:c r="B622" s="48" t="str">
        <x:v>RED</x:v>
      </x:c>
      <x:c r="C622" s="48" t="str">
        <x:v>English</x:v>
      </x:c>
      <x:c r="D622" s="48" t="n">
        <x:v>41</x:v>
      </x:c>
      <x:c r="E622" s="48" t="str"/>
      <x:c r="F622" s="48" t="str">
        <x:v>Engineer, and the tests shall then be deemed to have been made in the Engineer’s</x:v>
      </x:c>
      <x:c r="G622" s="48" t="str">
        <x:v>Obligation</x:v>
      </x:c>
      <x:c r="H622" s="48" t="str">
        <x:v>Shared</x:v>
      </x:c>
      <x:c r="I622" s="48" t="n">
        <x:v>0.88</x:v>
      </x:c>
      <x:c r="J622" s="48" t="n">
        <x:v>0.4</x:v>
      </x:c>
      <x:c r="K622" s="48" t="str">
        <x:v>Yes</x:v>
      </x:c>
      <x:c r="L622" s="48" t="str">
        <x:v>PDF text</x:v>
      </x:c>
    </x:row>
    <x:row r="623">
      <x:c r="A623" s="48" t="str">
        <x:v>UNI-0622</x:v>
      </x:c>
      <x:c r="B623" s="48" t="str">
        <x:v>RED</x:v>
      </x:c>
      <x:c r="C623" s="48" t="str">
        <x:v>English</x:v>
      </x:c>
      <x:c r="D623" s="48" t="n">
        <x:v>41</x:v>
      </x:c>
      <x:c r="E623" s="48" t="str"/>
      <x:c r="F623" s="48" t="str">
        <x:v>presence.</x:v>
      </x:c>
      <x:c r="G623" s="48" t="str">
        <x:v>Obligation</x:v>
      </x:c>
      <x:c r="H623" s="48" t="str">
        <x:v>Shared</x:v>
      </x:c>
      <x:c r="I623" s="48" t="n">
        <x:v>0.45</x:v>
      </x:c>
      <x:c r="J623" s="48" t="n">
        <x:v>0.4</x:v>
      </x:c>
      <x:c r="K623" s="48" t="str">
        <x:v>Yes</x:v>
      </x:c>
      <x:c r="L623" s="48" t="str">
        <x:v>PDF text</x:v>
      </x:c>
    </x:row>
    <x:row r="624">
      <x:c r="A624" s="48" t="str">
        <x:v>UNI-0623</x:v>
      </x:c>
      <x:c r="B624" s="48" t="str">
        <x:v>RED</x:v>
      </x:c>
      <x:c r="C624" s="48" t="str">
        <x:v>English</x:v>
      </x:c>
      <x:c r="D624" s="48" t="n">
        <x:v>41</x:v>
      </x:c>
      <x:c r="E624" s="48" t="str"/>
      <x:c r="F624" s="48" t="str">
        <x:v>If the Contractor suffers delay and/or incurs Cost from complying with these</x:v>
      </x:c>
      <x:c r="G624" s="48" t="str">
        <x:v>Risk</x:v>
      </x:c>
      <x:c r="H624" s="48" t="str">
        <x:v>Contractor</x:v>
      </x:c>
      <x:c r="I624" s="48" t="n">
        <x:v>0.78</x:v>
      </x:c>
      <x:c r="J624" s="48" t="n">
        <x:v>0.68</x:v>
      </x:c>
      <x:c r="K624" s="48" t="str">
        <x:v>Yes</x:v>
      </x:c>
      <x:c r="L624" s="48" t="str">
        <x:v>PDF text</x:v>
      </x:c>
    </x:row>
    <x:row r="625">
      <x:c r="A625" s="48" t="str">
        <x:v>UNI-0624</x:v>
      </x:c>
      <x:c r="B625" s="48" t="str">
        <x:v>RED</x:v>
      </x:c>
      <x:c r="C625" s="48" t="str">
        <x:v>English</x:v>
      </x:c>
      <x:c r="D625" s="48" t="n">
        <x:v>41</x:v>
      </x:c>
      <x:c r="E625" s="48" t="str"/>
      <x:c r="F625" s="48" t="str">
        <x:v>instructions or as a result of a delay for which the Employer is responsible, the Contractor shall give notice to the Engineer and shall be entitled subject to SubClause 20.1 [Contractor’s Claims] to: (a) an extension of time for any such delay, if completion is or will be delayed, under Sub-Clause 8.4 [Extension of Time for Completion], and (a) payment of any such Cost plus profit, which shall be included in the Contract Price.</x:v>
      </x:c>
      <x:c r="G625" s="48" t="str">
        <x:v>Risk</x:v>
      </x:c>
      <x:c r="H625" s="48" t="str">
        <x:v>Contractor</x:v>
      </x:c>
      <x:c r="I625" s="48" t="n">
        <x:v>0.78</x:v>
      </x:c>
      <x:c r="J625" s="48" t="n">
        <x:v>0.92</x:v>
      </x:c>
      <x:c r="K625" s="48" t="str">
        <x:v>No</x:v>
      </x:c>
      <x:c r="L625" s="48" t="str">
        <x:v>PDF text</x:v>
      </x:c>
    </x:row>
    <x:row r="626">
      <x:c r="A626" s="48" t="str">
        <x:v>UNI-0625</x:v>
      </x:c>
      <x:c r="B626" s="48" t="str">
        <x:v>RED</x:v>
      </x:c>
      <x:c r="C626" s="48" t="str">
        <x:v>English</x:v>
      </x:c>
      <x:c r="D626" s="48" t="n">
        <x:v>41</x:v>
      </x:c>
      <x:c r="E626" s="48" t="str"/>
      <x:c r="F626" s="48" t="str">
        <x:v>The Contractor shall promptly forward to the Engineer duly certified reports of the tests.</x:v>
      </x:c>
      <x:c r="G626" s="48" t="str">
        <x:v>Obligation</x:v>
      </x:c>
      <x:c r="H626" s="48" t="str">
        <x:v>Contractor</x:v>
      </x:c>
      <x:c r="I626" s="48" t="n">
        <x:v>0.88</x:v>
      </x:c>
      <x:c r="J626" s="48" t="n">
        <x:v>0.92</x:v>
      </x:c>
      <x:c r="K626" s="48" t="str">
        <x:v>No</x:v>
      </x:c>
      <x:c r="L626" s="48" t="str">
        <x:v>PDF text</x:v>
      </x:c>
    </x:row>
    <x:row r="627">
      <x:c r="A627" s="48" t="str">
        <x:v>UNI-0626</x:v>
      </x:c>
      <x:c r="B627" s="48" t="str">
        <x:v>RED</x:v>
      </x:c>
      <x:c r="C627" s="48" t="str">
        <x:v>English</x:v>
      </x:c>
      <x:c r="D627" s="48" t="n">
        <x:v>41</x:v>
      </x:c>
      <x:c r="E627" s="48" t="str"/>
      <x:c r="F627" s="48" t="str">
        <x:v>When the specified tests have been passed, the Engineer shall endorse the Contractor’s test certificate, or issue a certificate to him, to that effect.</x:v>
      </x:c>
      <x:c r="G627" s="48" t="str">
        <x:v>Obligation</x:v>
      </x:c>
      <x:c r="H627" s="48" t="str">
        <x:v>Contractor</x:v>
      </x:c>
      <x:c r="I627" s="48" t="n">
        <x:v>0.88</x:v>
      </x:c>
      <x:c r="J627" s="48" t="n">
        <x:v>0.68</x:v>
      </x:c>
      <x:c r="K627" s="48" t="str">
        <x:v>Yes</x:v>
      </x:c>
      <x:c r="L627" s="48" t="str">
        <x:v>PDF text</x:v>
      </x:c>
    </x:row>
    <x:row r="628">
      <x:c r="A628" s="48" t="str">
        <x:v>UNI-0627</x:v>
      </x:c>
      <x:c r="B628" s="48" t="str">
        <x:v>RED</x:v>
      </x:c>
      <x:c r="C628" s="48" t="str">
        <x:v>English</x:v>
      </x:c>
      <x:c r="D628" s="48" t="n">
        <x:v>41</x:v>
      </x:c>
      <x:c r="E628" s="48" t="str"/>
      <x:c r="F628" s="48" t="str">
        <x:v>If the Engineer has not attended the tests, he shall be deemed to have accepted the readings as accurate.</x:v>
      </x:c>
      <x:c r="G628" s="48" t="str">
        <x:v>Obligation</x:v>
      </x:c>
      <x:c r="H628" s="48" t="str">
        <x:v>Shared</x:v>
      </x:c>
      <x:c r="I628" s="48" t="n">
        <x:v>0.88</x:v>
      </x:c>
      <x:c r="J628" s="48" t="n">
        <x:v>0.4</x:v>
      </x:c>
      <x:c r="K628" s="48" t="str">
        <x:v>Yes</x:v>
      </x:c>
      <x:c r="L628" s="48" t="str">
        <x:v>PDF text</x:v>
      </x:c>
    </x:row>
    <x:row r="629">
      <x:c r="A629" s="48" t="str">
        <x:v>UNI-0628</x:v>
      </x:c>
      <x:c r="B629" s="48" t="str">
        <x:v>RED</x:v>
      </x:c>
      <x:c r="C629" s="48" t="str">
        <x:v>English</x:v>
      </x:c>
      <x:c r="D629" s="48" t="n">
        <x:v>41</x:v>
      </x:c>
      <x:c r="E629" s="48" t="str"/>
      <x:c r="F629" s="48" t="str">
        <x:v>If, as a result of an examination, inspection, measurement or testing, any Plant,</x:v>
      </x:c>
      <x:c r="G629" s="48" t="str">
        <x:v>Obligation</x:v>
      </x:c>
      <x:c r="H629" s="48" t="str">
        <x:v>Shared</x:v>
      </x:c>
      <x:c r="I629" s="48" t="n">
        <x:v>0.45</x:v>
      </x:c>
      <x:c r="J629" s="48" t="n">
        <x:v>0.4</x:v>
      </x:c>
      <x:c r="K629" s="48" t="str">
        <x:v>Yes</x:v>
      </x:c>
      <x:c r="L629" s="48" t="str">
        <x:v>PDF text</x:v>
      </x:c>
    </x:row>
    <x:row r="630">
      <x:c r="A630" s="48" t="str">
        <x:v>UNI-0629</x:v>
      </x:c>
      <x:c r="B630" s="48" t="str">
        <x:v>RED</x:v>
      </x:c>
      <x:c r="C630" s="48" t="str">
        <x:v>English</x:v>
      </x:c>
      <x:c r="D630" s="48" t="n">
        <x:v>41</x:v>
      </x:c>
      <x:c r="E630" s="48" t="str"/>
      <x:c r="F630" s="48" t="str">
        <x:v>Materials or workmanship is found to be defective or otherwise not in accordance with the Contract, the Engineer may reject the Plant, Materials or workmanship by giving notice to the Contractor, with reasons.</x:v>
      </x:c>
      <x:c r="G630" s="48" t="str">
        <x:v>Right</x:v>
      </x:c>
      <x:c r="H630" s="48" t="str">
        <x:v>Contractor</x:v>
      </x:c>
      <x:c r="I630" s="48" t="n">
        <x:v>0.78</x:v>
      </x:c>
      <x:c r="J630" s="48" t="n">
        <x:v>0.68</x:v>
      </x:c>
      <x:c r="K630" s="48" t="str">
        <x:v>Yes</x:v>
      </x:c>
      <x:c r="L630" s="48" t="str">
        <x:v>PDF text</x:v>
      </x:c>
    </x:row>
    <x:row r="631">
      <x:c r="A631" s="48" t="str">
        <x:v>UNI-0630</x:v>
      </x:c>
      <x:c r="B631" s="48" t="str">
        <x:v>RED</x:v>
      </x:c>
      <x:c r="C631" s="48" t="str">
        <x:v>English</x:v>
      </x:c>
      <x:c r="D631" s="48" t="n">
        <x:v>41</x:v>
      </x:c>
      <x:c r="E631" s="48" t="str"/>
      <x:c r="F631" s="48" t="str">
        <x:v>The Contractor shall then promptly make good the defect and ensure that the rejected item complies with the Contract.</x:v>
      </x:c>
      <x:c r="G631" s="48" t="str">
        <x:v>Obligation</x:v>
      </x:c>
      <x:c r="H631" s="48" t="str">
        <x:v>Contractor</x:v>
      </x:c>
      <x:c r="I631" s="48" t="n">
        <x:v>0.88</x:v>
      </x:c>
      <x:c r="J631" s="48" t="n">
        <x:v>0.92</x:v>
      </x:c>
      <x:c r="K631" s="48" t="str">
        <x:v>No</x:v>
      </x:c>
      <x:c r="L631" s="48" t="str">
        <x:v>PDF text</x:v>
      </x:c>
    </x:row>
    <x:row r="632">
      <x:c r="A632" s="48" t="str">
        <x:v>UNI-0631</x:v>
      </x:c>
      <x:c r="B632" s="48" t="str">
        <x:v>RED</x:v>
      </x:c>
      <x:c r="C632" s="48" t="str">
        <x:v>English</x:v>
      </x:c>
      <x:c r="D632" s="48" t="n">
        <x:v>41</x:v>
      </x:c>
      <x:c r="E632" s="48" t="str"/>
      <x:c r="F632" s="48" t="str">
        <x:v>If the Engineer requires this Plant, Materials or workmanship to be retested, the tests shall be repeated under the same terms and conditions.</x:v>
      </x:c>
      <x:c r="G632" s="48" t="str">
        <x:v>Obligation</x:v>
      </x:c>
      <x:c r="H632" s="48" t="str">
        <x:v>Shared</x:v>
      </x:c>
      <x:c r="I632" s="48" t="n">
        <x:v>0.88</x:v>
      </x:c>
      <x:c r="J632" s="48" t="n">
        <x:v>0.4</x:v>
      </x:c>
      <x:c r="K632" s="48" t="str">
        <x:v>Yes</x:v>
      </x:c>
      <x:c r="L632" s="48" t="str">
        <x:v>PDF text</x:v>
      </x:c>
    </x:row>
    <x:row r="633">
      <x:c r="A633" s="48" t="str">
        <x:v>UNI-0632</x:v>
      </x:c>
      <x:c r="B633" s="48" t="str">
        <x:v>RED</x:v>
      </x:c>
      <x:c r="C633" s="48" t="str">
        <x:v>English</x:v>
      </x:c>
      <x:c r="D633" s="48" t="n">
        <x:v>41</x:v>
      </x:c>
      <x:c r="E633" s="48" t="str"/>
      <x:c r="F633" s="48" t="str">
        <x:v>If the rejection and retesting cause the Employer to incur additional costs, the Contractor shall subject to SubClause 2.5 [Employer’s Claims] pay these costs to the Employer.</x:v>
      </x:c>
      <x:c r="G633" s="48" t="str">
        <x:v>Obligation</x:v>
      </x:c>
      <x:c r="H633" s="48" t="str">
        <x:v>Contractor</x:v>
      </x:c>
      <x:c r="I633" s="48" t="n">
        <x:v>0.88</x:v>
      </x:c>
      <x:c r="J633" s="48" t="n">
        <x:v>0.92</x:v>
      </x:c>
      <x:c r="K633" s="48" t="str">
        <x:v>No</x:v>
      </x:c>
      <x:c r="L633" s="48" t="str">
        <x:v>PDF text</x:v>
      </x:c>
    </x:row>
    <x:row r="634">
      <x:c r="A634" s="48" t="str">
        <x:v>UNI-0633</x:v>
      </x:c>
      <x:c r="B634" s="48" t="str">
        <x:v>RED</x:v>
      </x:c>
      <x:c r="C634" s="48" t="str">
        <x:v>English</x:v>
      </x:c>
      <x:c r="D634" s="48" t="n">
        <x:v>41</x:v>
      </x:c>
      <x:c r="E634" s="48" t="str"/>
      <x:c r="F634" s="48" t="str">
        <x:v>Notwithstanding any previous test or certification, the Engineer may instruct the</x:v>
      </x:c>
      <x:c r="G634" s="48" t="str">
        <x:v>Right</x:v>
      </x:c>
      <x:c r="H634" s="48" t="str">
        <x:v>Shared</x:v>
      </x:c>
      <x:c r="I634" s="48" t="n">
        <x:v>0.78</x:v>
      </x:c>
      <x:c r="J634" s="48" t="n">
        <x:v>0.4</x:v>
      </x:c>
      <x:c r="K634" s="48" t="str">
        <x:v>Yes</x:v>
      </x:c>
      <x:c r="L634" s="48" t="str">
        <x:v>PDF text</x:v>
      </x:c>
    </x:row>
    <x:row r="635">
      <x:c r="A635" s="48" t="str">
        <x:v>UNI-0634</x:v>
      </x:c>
      <x:c r="B635" s="48" t="str">
        <x:v>RED</x:v>
      </x:c>
      <x:c r="C635" s="48" t="str">
        <x:v>English</x:v>
      </x:c>
      <x:c r="D635" s="48" t="n">
        <x:v>41</x:v>
      </x:c>
      <x:c r="E635" s="48" t="str"/>
      <x:c r="F635" s="48" t="str">
        <x:v>Contractor to: (a) remove from the Site and replace any Plant or Materials which is not in accordance with the Contract, (b) remove and re-execute any other work which is not in accordance with the</x:v>
      </x:c>
      <x:c r="G635" s="48" t="str">
        <x:v>Obligation</x:v>
      </x:c>
      <x:c r="H635" s="48" t="str">
        <x:v>Contractor</x:v>
      </x:c>
      <x:c r="I635" s="48" t="n">
        <x:v>0.45</x:v>
      </x:c>
      <x:c r="J635" s="48" t="n">
        <x:v>0.68</x:v>
      </x:c>
      <x:c r="K635" s="48" t="str">
        <x:v>Yes</x:v>
      </x:c>
      <x:c r="L635" s="48" t="str">
        <x:v>PDF text</x:v>
      </x:c>
    </x:row>
    <x:row r="636">
      <x:c r="A636" s="48" t="str">
        <x:v>UNI-0635</x:v>
      </x:c>
      <x:c r="B636" s="48" t="str">
        <x:v>RED</x:v>
      </x:c>
      <x:c r="C636" s="48" t="str">
        <x:v>English</x:v>
      </x:c>
      <x:c r="D636" s="48" t="n">
        <x:v>41</x:v>
      </x:c>
      <x:c r="E636" s="48" t="str"/>
      <x:c r="F636" s="48" t="str">
        <x:v>Contract, and</x:v>
      </x:c>
      <x:c r="G636" s="48" t="str">
        <x:v>Obligation</x:v>
      </x:c>
      <x:c r="H636" s="48" t="str">
        <x:v>Shared</x:v>
      </x:c>
      <x:c r="I636" s="48" t="n">
        <x:v>0.45</x:v>
      </x:c>
      <x:c r="J636" s="48" t="n">
        <x:v>0.4</x:v>
      </x:c>
      <x:c r="K636" s="48" t="str">
        <x:v>Yes</x:v>
      </x:c>
      <x:c r="L636" s="48" t="str">
        <x:v>PDF text</x:v>
      </x:c>
    </x:row>
    <x:row r="637">
      <x:c r="A637" s="48" t="str">
        <x:v>UNI-0636</x:v>
      </x:c>
      <x:c r="B637" s="48" t="str">
        <x:v>RED</x:v>
      </x:c>
      <x:c r="C637" s="48" t="str">
        <x:v>English</x:v>
      </x:c>
      <x:c r="D637" s="48" t="n">
        <x:v>41</x:v>
      </x:c>
      <x:c r="E637" s="48" t="str"/>
      <x:c r="F637" s="48" t="str">
        <x:v>(c) execute any work which is urgently required for the safety of the Works, whether because of an accident, unforeseeable event or otherwise.</x:v>
      </x:c>
      <x:c r="G637" s="48" t="str">
        <x:v>Obligation</x:v>
      </x:c>
      <x:c r="H637" s="48" t="str">
        <x:v>Shared</x:v>
      </x:c>
      <x:c r="I637" s="48" t="n">
        <x:v>0.45</x:v>
      </x:c>
      <x:c r="J637" s="48" t="n">
        <x:v>0.4</x:v>
      </x:c>
      <x:c r="K637" s="48" t="str">
        <x:v>Yes</x:v>
      </x:c>
      <x:c r="L637" s="48" t="str">
        <x:v>PDF text</x:v>
      </x:c>
    </x:row>
    <x:row r="638">
      <x:c r="A638" s="48" t="str">
        <x:v>UNI-0637</x:v>
      </x:c>
      <x:c r="B638" s="48" t="str">
        <x:v>RED</x:v>
      </x:c>
      <x:c r="C638" s="48" t="str">
        <x:v>English</x:v>
      </x:c>
      <x:c r="D638" s="48" t="n">
        <x:v>41</x:v>
      </x:c>
      <x:c r="E638" s="48" t="str"/>
      <x:c r="F638" s="48" t="str">
        <x:v>The Contractor shall comply with the instruction within a reasonable time, which shall be the time (if any) specified in the instruction, or immediately if urgency is specified under sub-paragraph (c).</x:v>
      </x:c>
      <x:c r="G638" s="48" t="str">
        <x:v>Obligation</x:v>
      </x:c>
      <x:c r="H638" s="48" t="str">
        <x:v>Contractor</x:v>
      </x:c>
      <x:c r="I638" s="48" t="n">
        <x:v>0.88</x:v>
      </x:c>
      <x:c r="J638" s="48" t="n">
        <x:v>0.92</x:v>
      </x:c>
      <x:c r="K638" s="48" t="str">
        <x:v>No</x:v>
      </x:c>
      <x:c r="L638" s="48" t="str">
        <x:v>PDF text</x:v>
      </x:c>
    </x:row>
    <x:row r="639">
      <x:c r="A639" s="48" t="str">
        <x:v>UNI-0638</x:v>
      </x:c>
      <x:c r="B639" s="48" t="str">
        <x:v>RED</x:v>
      </x:c>
      <x:c r="C639" s="48" t="str">
        <x:v>English</x:v>
      </x:c>
      <x:c r="D639" s="48" t="n">
        <x:v>41</x:v>
      </x:c>
      <x:c r="E639" s="48" t="str"/>
      <x:c r="F639" s="48" t="str">
        <x:v>Rejection</x:v>
      </x:c>
      <x:c r="G639" s="48" t="str">
        <x:v>Obligation</x:v>
      </x:c>
      <x:c r="H639" s="48" t="str">
        <x:v>Shared</x:v>
      </x:c>
      <x:c r="I639" s="48" t="n">
        <x:v>0.45</x:v>
      </x:c>
      <x:c r="J639" s="48" t="n">
        <x:v>0.4</x:v>
      </x:c>
      <x:c r="K639" s="48" t="str">
        <x:v>Yes</x:v>
      </x:c>
      <x:c r="L639" s="48" t="str">
        <x:v>PDF text</x:v>
      </x:c>
    </x:row>
    <x:row r="640">
      <x:c r="A640" s="48" t="str">
        <x:v>UNI-0639</x:v>
      </x:c>
      <x:c r="B640" s="48" t="str">
        <x:v>RED</x:v>
      </x:c>
      <x:c r="C640" s="48" t="str">
        <x:v>English</x:v>
      </x:c>
      <x:c r="D640" s="48" t="n">
        <x:v>41</x:v>
      </x:c>
      <x:c r="E640" s="48" t="str"/>
      <x:c r="F640" s="48" t="str">
        <x:v>Remedial Work</x:v>
      </x:c>
      <x:c r="G640" s="48" t="str">
        <x:v>Obligation</x:v>
      </x:c>
      <x:c r="H640" s="48" t="str">
        <x:v>Shared</x:v>
      </x:c>
      <x:c r="I640" s="48" t="n">
        <x:v>0.45</x:v>
      </x:c>
      <x:c r="J640" s="48" t="n">
        <x:v>0.4</x:v>
      </x:c>
      <x:c r="K640" s="48" t="str">
        <x:v>Yes</x:v>
      </x:c>
      <x:c r="L640" s="48" t="str">
        <x:v>PDF text</x:v>
      </x:c>
    </x:row>
    <x:row r="641">
      <x:c r="A641" s="48" t="str">
        <x:v>UNI-0640</x:v>
      </x:c>
      <x:c r="B641" s="48" t="str">
        <x:v>RED</x:v>
      </x:c>
      <x:c r="C641" s="48" t="str">
        <x:v>English</x:v>
      </x:c>
      <x:c r="D641" s="48" t="n">
        <x:v>42</x:v>
      </x:c>
      <x:c r="E641" s="48" t="str"/>
      <x:c r="F641" s="48" t="str">
        <x:v>If the Contractor fails to comply with the instruction, the Employer shall be entitled to employ and pay other persons to carry out the work.</x:v>
      </x:c>
      <x:c r="G641" s="48" t="str">
        <x:v>Obligation</x:v>
      </x:c>
      <x:c r="H641" s="48" t="str">
        <x:v>Employer</x:v>
      </x:c>
      <x:c r="I641" s="48" t="n">
        <x:v>0.88</x:v>
      </x:c>
      <x:c r="J641" s="48" t="n">
        <x:v>0.92</x:v>
      </x:c>
      <x:c r="K641" s="48" t="str">
        <x:v>No</x:v>
      </x:c>
      <x:c r="L641" s="48" t="str">
        <x:v>PDF text</x:v>
      </x:c>
    </x:row>
    <x:row r="642">
      <x:c r="A642" s="48" t="str">
        <x:v>UNI-0641</x:v>
      </x:c>
      <x:c r="B642" s="48" t="str">
        <x:v>RED</x:v>
      </x:c>
      <x:c r="C642" s="48" t="str">
        <x:v>English</x:v>
      </x:c>
      <x:c r="D642" s="48" t="n">
        <x:v>42</x:v>
      </x:c>
      <x:c r="E642" s="48" t="str"/>
      <x:c r="F642" s="48" t="str">
        <x:v>Except to the extent that the</x:v>
      </x:c>
      <x:c r="G642" s="48" t="str">
        <x:v>Obligation</x:v>
      </x:c>
      <x:c r="H642" s="48" t="str">
        <x:v>Shared</x:v>
      </x:c>
      <x:c r="I642" s="48" t="n">
        <x:v>0.45</x:v>
      </x:c>
      <x:c r="J642" s="48" t="n">
        <x:v>0.4</x:v>
      </x:c>
      <x:c r="K642" s="48" t="str">
        <x:v>Yes</x:v>
      </x:c>
      <x:c r="L642" s="48" t="str">
        <x:v>PDF text</x:v>
      </x:c>
    </x:row>
    <x:row r="643">
      <x:c r="A643" s="48" t="str">
        <x:v>UNI-0642</x:v>
      </x:c>
      <x:c r="B643" s="48" t="str">
        <x:v>RED</x:v>
      </x:c>
      <x:c r="C643" s="48" t="str">
        <x:v>English</x:v>
      </x:c>
      <x:c r="D643" s="48" t="n">
        <x:v>42</x:v>
      </x:c>
      <x:c r="E643" s="48" t="str"/>
      <x:c r="F643" s="48" t="str">
        <x:v>Contractor would have been entitled to payment for the work, the Contractor shall</x:v>
      </x:c>
      <x:c r="G643" s="48" t="str">
        <x:v>Obligation</x:v>
      </x:c>
      <x:c r="H643" s="48" t="str">
        <x:v>Contractor</x:v>
      </x:c>
      <x:c r="I643" s="48" t="n">
        <x:v>0.88</x:v>
      </x:c>
      <x:c r="J643" s="48" t="n">
        <x:v>0.92</x:v>
      </x:c>
      <x:c r="K643" s="48" t="str">
        <x:v>No</x:v>
      </x:c>
      <x:c r="L643" s="48" t="str">
        <x:v>PDF text</x:v>
      </x:c>
    </x:row>
    <x:row r="644">
      <x:c r="A644" s="48" t="str">
        <x:v>UNI-0643</x:v>
      </x:c>
      <x:c r="B644" s="48" t="str">
        <x:v>RED</x:v>
      </x:c>
      <x:c r="C644" s="48" t="str">
        <x:v>English</x:v>
      </x:c>
      <x:c r="D644" s="48" t="n">
        <x:v>42</x:v>
      </x:c>
      <x:c r="E644" s="48" t="str"/>
      <x:c r="F644" s="48" t="str">
        <x:v>subject to Sub-Clause 2.5 [Employer’s Claims] pay to the Employer all costs arising from this failure.</x:v>
      </x:c>
      <x:c r="G644" s="48" t="str">
        <x:v>Obligation</x:v>
      </x:c>
      <x:c r="H644" s="48" t="str">
        <x:v>Employer</x:v>
      </x:c>
      <x:c r="I644" s="48" t="n">
        <x:v>0.45</x:v>
      </x:c>
      <x:c r="J644" s="48" t="n">
        <x:v>0.68</x:v>
      </x:c>
      <x:c r="K644" s="48" t="str">
        <x:v>Yes</x:v>
      </x:c>
      <x:c r="L644" s="48" t="str">
        <x:v>PDF text</x:v>
      </x:c>
    </x:row>
    <x:row r="645">
      <x:c r="A645" s="48" t="str">
        <x:v>UNI-0644</x:v>
      </x:c>
      <x:c r="B645" s="48" t="str">
        <x:v>RED</x:v>
      </x:c>
      <x:c r="C645" s="48" t="str">
        <x:v>English</x:v>
      </x:c>
      <x:c r="D645" s="48" t="n">
        <x:v>42</x:v>
      </x:c>
      <x:c r="E645" s="48" t="str"/>
      <x:c r="F645" s="48" t="str">
        <x:v>Each item of Plant and Materials shall, to the extent consistent with the Laws of the</x:v>
      </x:c>
      <x:c r="G645" s="48" t="str">
        <x:v>Obligation</x:v>
      </x:c>
      <x:c r="H645" s="48" t="str">
        <x:v>Shared</x:v>
      </x:c>
      <x:c r="I645" s="48" t="n">
        <x:v>0.88</x:v>
      </x:c>
      <x:c r="J645" s="48" t="n">
        <x:v>0.4</x:v>
      </x:c>
      <x:c r="K645" s="48" t="str">
        <x:v>Yes</x:v>
      </x:c>
      <x:c r="L645" s="48" t="str">
        <x:v>PDF text</x:v>
      </x:c>
    </x:row>
    <x:row r="646">
      <x:c r="A646" s="48" t="str">
        <x:v>UNI-0645</x:v>
      </x:c>
      <x:c r="B646" s="48" t="str">
        <x:v>RED</x:v>
      </x:c>
      <x:c r="C646" s="48" t="str">
        <x:v>English</x:v>
      </x:c>
      <x:c r="D646" s="48" t="n">
        <x:v>42</x:v>
      </x:c>
      <x:c r="E646" s="48" t="str"/>
      <x:c r="F646" s="48" t="str">
        <x:v>Country, become the property of the Employer at whichever is the earlier of the</x:v>
      </x:c>
      <x:c r="G646" s="48" t="str">
        <x:v>Obligation</x:v>
      </x:c>
      <x:c r="H646" s="48" t="str">
        <x:v>Employer</x:v>
      </x:c>
      <x:c r="I646" s="48" t="n">
        <x:v>0.45</x:v>
      </x:c>
      <x:c r="J646" s="48" t="n">
        <x:v>0.68</x:v>
      </x:c>
      <x:c r="K646" s="48" t="str">
        <x:v>Yes</x:v>
      </x:c>
      <x:c r="L646" s="48" t="str">
        <x:v>PDF text</x:v>
      </x:c>
    </x:row>
    <x:row r="647">
      <x:c r="A647" s="48" t="str">
        <x:v>UNI-0646</x:v>
      </x:c>
      <x:c r="B647" s="48" t="str">
        <x:v>RED</x:v>
      </x:c>
      <x:c r="C647" s="48" t="str">
        <x:v>English</x:v>
      </x:c>
      <x:c r="D647" s="48" t="n">
        <x:v>42</x:v>
      </x:c>
      <x:c r="E647" s="48" t="str"/>
      <x:c r="F647" s="48" t="str">
        <x:v>following times, free from liens and other encumbrances: (a) when it is delivered to the Site; (b) when the Contractor is entitled to payment of the value of the Plant and Materials under Sub-Clause 8.10 [Payment for Plant and Materials in Event of Suspension].</x:v>
      </x:c>
      <x:c r="G647" s="48" t="str">
        <x:v>Right</x:v>
      </x:c>
      <x:c r="H647" s="48" t="str">
        <x:v>Contractor</x:v>
      </x:c>
      <x:c r="I647" s="48" t="n">
        <x:v>0.78</x:v>
      </x:c>
      <x:c r="J647" s="48" t="n">
        <x:v>0.92</x:v>
      </x:c>
      <x:c r="K647" s="48" t="str">
        <x:v>No</x:v>
      </x:c>
      <x:c r="L647" s="48" t="str">
        <x:v>PDF text</x:v>
      </x:c>
    </x:row>
    <x:row r="648">
      <x:c r="A648" s="48" t="str">
        <x:v>UNI-0647</x:v>
      </x:c>
      <x:c r="B648" s="48" t="str">
        <x:v>RED</x:v>
      </x:c>
      <x:c r="C648" s="48" t="str">
        <x:v>English</x:v>
      </x:c>
      <x:c r="D648" s="48" t="n">
        <x:v>42</x:v>
      </x:c>
      <x:c r="E648" s="48" t="str"/>
      <x:c r="F648" s="48" t="str">
        <x:v>Unless otherwise stated in the Specification, the Contractor shall pay all royalties, rents and other payments for: (a) natural Materials obtained from outside the Site, and (b) the disposal of material from demolitions and excavations and of other surplus material (whether natural or man-made), except to the extent that disposal areas within the Site are specified in the Contract.</x:v>
      </x:c>
      <x:c r="G648" s="48" t="str">
        <x:v>Obligation</x:v>
      </x:c>
      <x:c r="H648" s="48" t="str">
        <x:v>Contractor</x:v>
      </x:c>
      <x:c r="I648" s="48" t="n">
        <x:v>0.88</x:v>
      </x:c>
      <x:c r="J648" s="48" t="n">
        <x:v>0.92</x:v>
      </x:c>
      <x:c r="K648" s="48" t="str">
        <x:v>No</x:v>
      </x:c>
      <x:c r="L648" s="48" t="str">
        <x:v>PDF text</x:v>
      </x:c>
    </x:row>
    <x:row r="649">
      <x:c r="A649" s="48" t="str">
        <x:v>UNI-0648</x:v>
      </x:c>
      <x:c r="B649" s="48" t="str">
        <x:v>RED</x:v>
      </x:c>
      <x:c r="C649" s="48" t="str">
        <x:v>English</x:v>
      </x:c>
      <x:c r="D649" s="48" t="n">
        <x:v>42</x:v>
      </x:c>
      <x:c r="E649" s="48" t="str"/>
      <x:c r="F649" s="48" t="str">
        <x:v>The Engineer shall give the Contractor not less than 7 days’ notice of the Commencement Date.</x:v>
      </x:c>
      <x:c r="G649" s="48" t="str">
        <x:v>Obligation</x:v>
      </x:c>
      <x:c r="H649" s="48" t="str">
        <x:v>Contractor</x:v>
      </x:c>
      <x:c r="I649" s="48" t="n">
        <x:v>0.88</x:v>
      </x:c>
      <x:c r="J649" s="48" t="n">
        <x:v>0.68</x:v>
      </x:c>
      <x:c r="K649" s="48" t="str">
        <x:v>Yes</x:v>
      </x:c>
      <x:c r="L649" s="48" t="str">
        <x:v>PDF text</x:v>
      </x:c>
    </x:row>
    <x:row r="650">
      <x:c r="A650" s="48" t="str">
        <x:v>UNI-0649</x:v>
      </x:c>
      <x:c r="B650" s="48" t="str">
        <x:v>RED</x:v>
      </x:c>
      <x:c r="C650" s="48" t="str">
        <x:v>English</x:v>
      </x:c>
      <x:c r="D650" s="48" t="n">
        <x:v>42</x:v>
      </x:c>
      <x:c r="E650" s="48" t="str"/>
      <x:c r="F650" s="48" t="str">
        <x:v>Unless otherwise stated in the Particular Conditions, the Commencement Date shall be within 42 days after the Contractor receives the Letter of Acceptance.</x:v>
      </x:c>
      <x:c r="G650" s="48" t="str">
        <x:v>Obligation</x:v>
      </x:c>
      <x:c r="H650" s="48" t="str">
        <x:v>Contractor</x:v>
      </x:c>
      <x:c r="I650" s="48" t="n">
        <x:v>0.88</x:v>
      </x:c>
      <x:c r="J650" s="48" t="n">
        <x:v>0.68</x:v>
      </x:c>
      <x:c r="K650" s="48" t="str">
        <x:v>Yes</x:v>
      </x:c>
      <x:c r="L650" s="48" t="str">
        <x:v>PDF text</x:v>
      </x:c>
    </x:row>
    <x:row r="651">
      <x:c r="A651" s="48" t="str">
        <x:v>UNI-0650</x:v>
      </x:c>
      <x:c r="B651" s="48" t="str">
        <x:v>RED</x:v>
      </x:c>
      <x:c r="C651" s="48" t="str">
        <x:v>English</x:v>
      </x:c>
      <x:c r="D651" s="48" t="n">
        <x:v>42</x:v>
      </x:c>
      <x:c r="E651" s="48" t="str"/>
      <x:c r="F651" s="48" t="str">
        <x:v>The Contractor shall commence the execution of the Works as soon as is reasonably</x:v>
      </x:c>
      <x:c r="G651" s="48" t="str">
        <x:v>Obligation</x:v>
      </x:c>
      <x:c r="H651" s="48" t="str">
        <x:v>Contractor</x:v>
      </x:c>
      <x:c r="I651" s="48" t="n">
        <x:v>0.88</x:v>
      </x:c>
      <x:c r="J651" s="48" t="n">
        <x:v>0.92</x:v>
      </x:c>
      <x:c r="K651" s="48" t="str">
        <x:v>No</x:v>
      </x:c>
      <x:c r="L651" s="48" t="str">
        <x:v>PDF text</x:v>
      </x:c>
    </x:row>
    <x:row r="652">
      <x:c r="A652" s="48" t="str">
        <x:v>UNI-0651</x:v>
      </x:c>
      <x:c r="B652" s="48" t="str">
        <x:v>RED</x:v>
      </x:c>
      <x:c r="C652" s="48" t="str">
        <x:v>English</x:v>
      </x:c>
      <x:c r="D652" s="48" t="n">
        <x:v>42</x:v>
      </x:c>
      <x:c r="E652" s="48" t="str"/>
      <x:c r="F652" s="48" t="str">
        <x:v>practicable after the Commencement Date, and shall then proceed with the Works with due expedition and without delay.</x:v>
      </x:c>
      <x:c r="G652" s="48" t="str">
        <x:v>Obligation</x:v>
      </x:c>
      <x:c r="H652" s="48" t="str">
        <x:v>Shared</x:v>
      </x:c>
      <x:c r="I652" s="48" t="n">
        <x:v>0.88</x:v>
      </x:c>
      <x:c r="J652" s="48" t="n">
        <x:v>0.4</x:v>
      </x:c>
      <x:c r="K652" s="48" t="str">
        <x:v>Yes</x:v>
      </x:c>
      <x:c r="L652" s="48" t="str">
        <x:v>PDF text</x:v>
      </x:c>
    </x:row>
    <x:row r="653">
      <x:c r="A653" s="48" t="str">
        <x:v>UNI-0652</x:v>
      </x:c>
      <x:c r="B653" s="48" t="str">
        <x:v>RED</x:v>
      </x:c>
      <x:c r="C653" s="48" t="str">
        <x:v>English</x:v>
      </x:c>
      <x:c r="D653" s="48" t="n">
        <x:v>42</x:v>
      </x:c>
      <x:c r="E653" s="48" t="str"/>
      <x:c r="F653" s="48" t="str">
        <x:v>The Contractor shall complete the whole of the Works, and each Section (if any), within the Time for Completion for the Works or Section (as the case may be), including: (a) achieving the passing of the Tests on Completion, and (b) completing all work which is stated in the Contract as being required for the Works or Section to be considered to be completed for the purposes of takingover under Sub-Clause 10.1 [Taking Over of the Works and Sections].</x:v>
      </x:c>
      <x:c r="G653" s="48" t="str">
        <x:v>Obligation</x:v>
      </x:c>
      <x:c r="H653" s="48" t="str">
        <x:v>Contractor</x:v>
      </x:c>
      <x:c r="I653" s="48" t="n">
        <x:v>0.88</x:v>
      </x:c>
      <x:c r="J653" s="48" t="n">
        <x:v>0.92</x:v>
      </x:c>
      <x:c r="K653" s="48" t="str">
        <x:v>No</x:v>
      </x:c>
      <x:c r="L653" s="48" t="str">
        <x:v>PDF text</x:v>
      </x:c>
    </x:row>
    <x:row r="654">
      <x:c r="A654" s="48" t="str">
        <x:v>UNI-0653</x:v>
      </x:c>
      <x:c r="B654" s="48" t="str">
        <x:v>RED</x:v>
      </x:c>
      <x:c r="C654" s="48" t="str">
        <x:v>English</x:v>
      </x:c>
      <x:c r="D654" s="48" t="n">
        <x:v>42</x:v>
      </x:c>
      <x:c r="E654" s="48" t="str"/>
      <x:c r="F654" s="48" t="str">
        <x:v>The Contractor shall submit a detailed time programme to the Engineer within 28 days after receiving the notice under Sub-Clause 8.1 [Commencement of Works].</x:v>
      </x:c>
      <x:c r="G654" s="48" t="str">
        <x:v>Obligation</x:v>
      </x:c>
      <x:c r="H654" s="48" t="str">
        <x:v>Contractor</x:v>
      </x:c>
      <x:c r="I654" s="48" t="n">
        <x:v>0.88</x:v>
      </x:c>
      <x:c r="J654" s="48" t="n">
        <x:v>0.92</x:v>
      </x:c>
      <x:c r="K654" s="48" t="str">
        <x:v>No</x:v>
      </x:c>
      <x:c r="L654" s="48" t="str">
        <x:v>PDF text</x:v>
      </x:c>
    </x:row>
    <x:row r="655">
      <x:c r="A655" s="48" t="str">
        <x:v>UNI-0654</x:v>
      </x:c>
      <x:c r="B655" s="48" t="str">
        <x:v>RED</x:v>
      </x:c>
      <x:c r="C655" s="48" t="str">
        <x:v>English</x:v>
      </x:c>
      <x:c r="D655" s="48" t="n">
        <x:v>42</x:v>
      </x:c>
      <x:c r="E655" s="48" t="str"/>
      <x:c r="F655" s="48" t="str">
        <x:v>Contractor shall also submit a revised programme whenever the previous programme</x:v>
      </x:c>
      <x:c r="G655" s="48" t="str">
        <x:v>Obligation</x:v>
      </x:c>
      <x:c r="H655" s="48" t="str">
        <x:v>Contractor</x:v>
      </x:c>
      <x:c r="I655" s="48" t="n">
        <x:v>0.88</x:v>
      </x:c>
      <x:c r="J655" s="48" t="n">
        <x:v>0.68</x:v>
      </x:c>
      <x:c r="K655" s="48" t="str">
        <x:v>Yes</x:v>
      </x:c>
      <x:c r="L655" s="48" t="str">
        <x:v>PDF text</x:v>
      </x:c>
    </x:row>
    <x:row r="656">
      <x:c r="A656" s="48" t="str">
        <x:v>UNI-0655</x:v>
      </x:c>
      <x:c r="B656" s="48" t="str">
        <x:v>RED</x:v>
      </x:c>
      <x:c r="C656" s="48" t="str">
        <x:v>English</x:v>
      </x:c>
      <x:c r="D656" s="48" t="n">
        <x:v>42</x:v>
      </x:c>
      <x:c r="E656" s="48" t="str"/>
      <x:c r="F656" s="48" t="str">
        <x:v>is inconsistent with actual progress or with the Contractor’s obligations.</x:v>
      </x:c>
      <x:c r="G656" s="48" t="str">
        <x:v>Obligation</x:v>
      </x:c>
      <x:c r="H656" s="48" t="str">
        <x:v>Contractor</x:v>
      </x:c>
      <x:c r="I656" s="48" t="n">
        <x:v>0.45</x:v>
      </x:c>
      <x:c r="J656" s="48" t="n">
        <x:v>0.68</x:v>
      </x:c>
      <x:c r="K656" s="48" t="str">
        <x:v>Yes</x:v>
      </x:c>
      <x:c r="L656" s="48" t="str">
        <x:v>PDF text</x:v>
      </x:c>
    </x:row>
    <x:row r="657">
      <x:c r="A657" s="48" t="str">
        <x:v>UNI-0656</x:v>
      </x:c>
      <x:c r="B657" s="48" t="str">
        <x:v>RED</x:v>
      </x:c>
      <x:c r="C657" s="48" t="str">
        <x:v>English</x:v>
      </x:c>
      <x:c r="D657" s="48" t="n">
        <x:v>42</x:v>
      </x:c>
      <x:c r="E657" s="48" t="str"/>
      <x:c r="F657" s="48" t="str">
        <x:v>Each programme shall include: (a) the order in which the Contractor intends to carry out the Works, including the anticipated timing of each stage of design (if any), Contractor’s Documents, procurement, manufacture of Plant, delivery to Site, construction, erection and testing, 7.7</x:v>
      </x:c>
      <x:c r="G657" s="48" t="str">
        <x:v>Obligation</x:v>
      </x:c>
      <x:c r="H657" s="48" t="str">
        <x:v>Contractor</x:v>
      </x:c>
      <x:c r="I657" s="48" t="n">
        <x:v>0.88</x:v>
      </x:c>
      <x:c r="J657" s="48" t="n">
        <x:v>0.68</x:v>
      </x:c>
      <x:c r="K657" s="48" t="str">
        <x:v>Yes</x:v>
      </x:c>
      <x:c r="L657" s="48" t="str">
        <x:v>PDF text</x:v>
      </x:c>
    </x:row>
    <x:row r="658">
      <x:c r="A658" s="48" t="str">
        <x:v>UNI-0657</x:v>
      </x:c>
      <x:c r="B658" s="48" t="str">
        <x:v>RED</x:v>
      </x:c>
      <x:c r="C658" s="48" t="str">
        <x:v>English</x:v>
      </x:c>
      <x:c r="D658" s="48" t="n">
        <x:v>42</x:v>
      </x:c>
      <x:c r="E658" s="48" t="str"/>
      <x:c r="F658" s="48" t="str">
        <x:v>Ownership of Plant and</x:v>
      </x:c>
      <x:c r="G658" s="48" t="str">
        <x:v>Obligation</x:v>
      </x:c>
      <x:c r="H658" s="48" t="str">
        <x:v>Shared</x:v>
      </x:c>
      <x:c r="I658" s="48" t="n">
        <x:v>0.45</x:v>
      </x:c>
      <x:c r="J658" s="48" t="n">
        <x:v>0.4</x:v>
      </x:c>
      <x:c r="K658" s="48" t="str">
        <x:v>Yes</x:v>
      </x:c>
      <x:c r="L658" s="48" t="str">
        <x:v>PDF text</x:v>
      </x:c>
    </x:row>
    <x:row r="659">
      <x:c r="A659" s="48" t="str">
        <x:v>UNI-0658</x:v>
      </x:c>
      <x:c r="B659" s="48" t="str">
        <x:v>RED</x:v>
      </x:c>
      <x:c r="C659" s="48" t="str">
        <x:v>English</x:v>
      </x:c>
      <x:c r="D659" s="48" t="n">
        <x:v>42</x:v>
      </x:c>
      <x:c r="E659" s="48" t="str"/>
      <x:c r="F659" s="48" t="str">
        <x:v>Materials</x:v>
      </x:c>
      <x:c r="G659" s="48" t="str">
        <x:v>Obligation</x:v>
      </x:c>
      <x:c r="H659" s="48" t="str">
        <x:v>Shared</x:v>
      </x:c>
      <x:c r="I659" s="48" t="n">
        <x:v>0.45</x:v>
      </x:c>
      <x:c r="J659" s="48" t="n">
        <x:v>0.4</x:v>
      </x:c>
      <x:c r="K659" s="48" t="str">
        <x:v>Yes</x:v>
      </x:c>
      <x:c r="L659" s="48" t="str">
        <x:v>PDF text</x:v>
      </x:c>
    </x:row>
    <x:row r="660">
      <x:c r="A660" s="48" t="str">
        <x:v>UNI-0659</x:v>
      </x:c>
      <x:c r="B660" s="48" t="str">
        <x:v>RED</x:v>
      </x:c>
      <x:c r="C660" s="48" t="str">
        <x:v>English</x:v>
      </x:c>
      <x:c r="D660" s="48" t="n">
        <x:v>42</x:v>
      </x:c>
      <x:c r="E660" s="48" t="str"/>
      <x:c r="F660" s="48" t="str">
        <x:v>Royalties</x:v>
      </x:c>
      <x:c r="G660" s="48" t="str">
        <x:v>Obligation</x:v>
      </x:c>
      <x:c r="H660" s="48" t="str">
        <x:v>Shared</x:v>
      </x:c>
      <x:c r="I660" s="48" t="n">
        <x:v>0.45</x:v>
      </x:c>
      <x:c r="J660" s="48" t="n">
        <x:v>0.4</x:v>
      </x:c>
      <x:c r="K660" s="48" t="str">
        <x:v>Yes</x:v>
      </x:c>
      <x:c r="L660" s="48" t="str">
        <x:v>PDF text</x:v>
      </x:c>
    </x:row>
    <x:row r="661">
      <x:c r="A661" s="48" t="str">
        <x:v>UNI-0660</x:v>
      </x:c>
      <x:c r="B661" s="48" t="str">
        <x:v>RED</x:v>
      </x:c>
      <x:c r="C661" s="48" t="str">
        <x:v>English</x:v>
      </x:c>
      <x:c r="D661" s="48" t="n">
        <x:v>42</x:v>
      </x:c>
      <x:c r="E661" s="48" t="str"/>
      <x:c r="F661" s="48" t="str">
        <x:v>Commencement of Works</x:v>
      </x:c>
      <x:c r="G661" s="48" t="str">
        <x:v>Obligation</x:v>
      </x:c>
      <x:c r="H661" s="48" t="str">
        <x:v>Shared</x:v>
      </x:c>
      <x:c r="I661" s="48" t="n">
        <x:v>0.45</x:v>
      </x:c>
      <x:c r="J661" s="48" t="n">
        <x:v>0.4</x:v>
      </x:c>
      <x:c r="K661" s="48" t="str">
        <x:v>Yes</x:v>
      </x:c>
      <x:c r="L661" s="48" t="str">
        <x:v>PDF text</x:v>
      </x:c>
    </x:row>
    <x:row r="662">
      <x:c r="A662" s="48" t="str">
        <x:v>UNI-0661</x:v>
      </x:c>
      <x:c r="B662" s="48" t="str">
        <x:v>RED</x:v>
      </x:c>
      <x:c r="C662" s="48" t="str">
        <x:v>English</x:v>
      </x:c>
      <x:c r="D662" s="48" t="n">
        <x:v>42</x:v>
      </x:c>
      <x:c r="E662" s="48" t="str"/>
      <x:c r="F662" s="48" t="str">
        <x:v>Time for Completion</x:v>
      </x:c>
      <x:c r="G662" s="48" t="str">
        <x:v>Obligation</x:v>
      </x:c>
      <x:c r="H662" s="48" t="str">
        <x:v>Shared</x:v>
      </x:c>
      <x:c r="I662" s="48" t="n">
        <x:v>0.45</x:v>
      </x:c>
      <x:c r="J662" s="48" t="n">
        <x:v>0.4</x:v>
      </x:c>
      <x:c r="K662" s="48" t="str">
        <x:v>Yes</x:v>
      </x:c>
      <x:c r="L662" s="48" t="str">
        <x:v>PDF text</x:v>
      </x:c>
    </x:row>
    <x:row r="663">
      <x:c r="A663" s="48" t="str">
        <x:v>UNI-0662</x:v>
      </x:c>
      <x:c r="B663" s="48" t="str">
        <x:v>RED</x:v>
      </x:c>
      <x:c r="C663" s="48" t="str">
        <x:v>English</x:v>
      </x:c>
      <x:c r="D663" s="48" t="n">
        <x:v>42</x:v>
      </x:c>
      <x:c r="E663" s="48" t="str"/>
      <x:c r="F663" s="48" t="str">
        <x:v>Programme</x:v>
      </x:c>
      <x:c r="G663" s="48" t="str">
        <x:v>Obligation</x:v>
      </x:c>
      <x:c r="H663" s="48" t="str">
        <x:v>Shared</x:v>
      </x:c>
      <x:c r="I663" s="48" t="n">
        <x:v>0.45</x:v>
      </x:c>
      <x:c r="J663" s="48" t="n">
        <x:v>0.4</x:v>
      </x:c>
      <x:c r="K663" s="48" t="str">
        <x:v>Yes</x:v>
      </x:c>
      <x:c r="L663" s="48" t="str">
        <x:v>PDF text</x:v>
      </x:c>
    </x:row>
    <x:row r="664">
      <x:c r="A664" s="48" t="str">
        <x:v>UNI-0663</x:v>
      </x:c>
      <x:c r="B664" s="48" t="str">
        <x:v>RED</x:v>
      </x:c>
      <x:c r="C664" s="48" t="str">
        <x:v>English</x:v>
      </x:c>
      <x:c r="D664" s="48" t="n">
        <x:v>42</x:v>
      </x:c>
      <x:c r="E664" s="48" t="str"/>
      <x:c r="F664" s="48" t="str">
        <x:v>Commencement, Delays and Suspension</x:v>
      </x:c>
      <x:c r="G664" s="48" t="str">
        <x:v>Obligation</x:v>
      </x:c>
      <x:c r="H664" s="48" t="str">
        <x:v>Shared</x:v>
      </x:c>
      <x:c r="I664" s="48" t="n">
        <x:v>0.45</x:v>
      </x:c>
      <x:c r="J664" s="48" t="n">
        <x:v>0.4</x:v>
      </x:c>
      <x:c r="K664" s="48" t="str">
        <x:v>Yes</x:v>
      </x:c>
      <x:c r="L664" s="48" t="str">
        <x:v>PDF text</x:v>
      </x:c>
    </x:row>
    <x:row r="665">
      <x:c r="A665" s="48" t="str">
        <x:v>UNI-0664</x:v>
      </x:c>
      <x:c r="B665" s="48" t="str">
        <x:v>RED</x:v>
      </x:c>
      <x:c r="C665" s="48" t="str">
        <x:v>English</x:v>
      </x:c>
      <x:c r="D665" s="48" t="n">
        <x:v>43</x:v>
      </x:c>
      <x:c r="E665" s="48" t="str"/>
      <x:c r="F665" s="48" t="str">
        <x:v>(b) each of these stages for work by each nominated Subcontractor (as defined in Clause 5 [Nominated Subcontractors] (c) the sequence and timing of inspections and tests specified in the Contract, and (d) a supporting report which includes: (i) a general description of the methods which the Contractor intends to adopt, and of the major stages, in the execution of the Works, and (ii) details showing the Contractor’s reasonable estimate of the number of each class of Contractor’s Personnel and of each type of Contractor’s Equipment, required on the Site for each major stage.</x:v>
      </x:c>
      <x:c r="G665" s="48" t="str">
        <x:v>Obligation</x:v>
      </x:c>
      <x:c r="H665" s="48" t="str">
        <x:v>Contractor</x:v>
      </x:c>
      <x:c r="I665" s="48" t="n">
        <x:v>0.45</x:v>
      </x:c>
      <x:c r="J665" s="48" t="n">
        <x:v>0.68</x:v>
      </x:c>
      <x:c r="K665" s="48" t="str">
        <x:v>Yes</x:v>
      </x:c>
      <x:c r="L665" s="48" t="str">
        <x:v>PDF text</x:v>
      </x:c>
    </x:row>
    <x:row r="666">
      <x:c r="A666" s="48" t="str">
        <x:v>UNI-0665</x:v>
      </x:c>
      <x:c r="B666" s="48" t="str">
        <x:v>RED</x:v>
      </x:c>
      <x:c r="C666" s="48" t="str">
        <x:v>English</x:v>
      </x:c>
      <x:c r="D666" s="48" t="n">
        <x:v>43</x:v>
      </x:c>
      <x:c r="E666" s="48" t="str"/>
      <x:c r="F666" s="48" t="str">
        <x:v>Unless the Engineer, within 21 days after receiving a programme, gives notice to the</x:v>
      </x:c>
      <x:c r="G666" s="48" t="str">
        <x:v>Obligation</x:v>
      </x:c>
      <x:c r="H666" s="48" t="str">
        <x:v>Shared</x:v>
      </x:c>
      <x:c r="I666" s="48" t="n">
        <x:v>0.55</x:v>
      </x:c>
      <x:c r="J666" s="48" t="n">
        <x:v>0.4</x:v>
      </x:c>
      <x:c r="K666" s="48" t="str">
        <x:v>Yes</x:v>
      </x:c>
      <x:c r="L666" s="48" t="str">
        <x:v>PDF text</x:v>
      </x:c>
    </x:row>
    <x:row r="667">
      <x:c r="A667" s="48" t="str">
        <x:v>UNI-0666</x:v>
      </x:c>
      <x:c r="B667" s="48" t="str">
        <x:v>RED</x:v>
      </x:c>
      <x:c r="C667" s="48" t="str">
        <x:v>English</x:v>
      </x:c>
      <x:c r="D667" s="48" t="n">
        <x:v>43</x:v>
      </x:c>
      <x:c r="E667" s="48" t="str"/>
      <x:c r="F667" s="48" t="str">
        <x:v>Contractor stating the extent to which it does not comply with the Contract, the</x:v>
      </x:c>
      <x:c r="G667" s="48" t="str">
        <x:v>Obligation</x:v>
      </x:c>
      <x:c r="H667" s="48" t="str">
        <x:v>Contractor</x:v>
      </x:c>
      <x:c r="I667" s="48" t="n">
        <x:v>0.45</x:v>
      </x:c>
      <x:c r="J667" s="48" t="n">
        <x:v>0.68</x:v>
      </x:c>
      <x:c r="K667" s="48" t="str">
        <x:v>Yes</x:v>
      </x:c>
      <x:c r="L667" s="48" t="str">
        <x:v>PDF text</x:v>
      </x:c>
    </x:row>
    <x:row r="668">
      <x:c r="A668" s="48" t="str">
        <x:v>UNI-0667</x:v>
      </x:c>
      <x:c r="B668" s="48" t="str">
        <x:v>RED</x:v>
      </x:c>
      <x:c r="C668" s="48" t="str">
        <x:v>English</x:v>
      </x:c>
      <x:c r="D668" s="48" t="n">
        <x:v>43</x:v>
      </x:c>
      <x:c r="E668" s="48" t="str"/>
      <x:c r="F668" s="48" t="str">
        <x:v>Contractor shall proceed in accordance with the programme, subject to his other</x:v>
      </x:c>
      <x:c r="G668" s="48" t="str">
        <x:v>Obligation</x:v>
      </x:c>
      <x:c r="H668" s="48" t="str">
        <x:v>Contractor</x:v>
      </x:c>
      <x:c r="I668" s="48" t="n">
        <x:v>0.88</x:v>
      </x:c>
      <x:c r="J668" s="48" t="n">
        <x:v>0.68</x:v>
      </x:c>
      <x:c r="K668" s="48" t="str">
        <x:v>Yes</x:v>
      </x:c>
      <x:c r="L668" s="48" t="str">
        <x:v>PDF text</x:v>
      </x:c>
    </x:row>
    <x:row r="669">
      <x:c r="A669" s="48" t="str">
        <x:v>UNI-0668</x:v>
      </x:c>
      <x:c r="B669" s="48" t="str">
        <x:v>RED</x:v>
      </x:c>
      <x:c r="C669" s="48" t="str">
        <x:v>English</x:v>
      </x:c>
      <x:c r="D669" s="48" t="n">
        <x:v>43</x:v>
      </x:c>
      <x:c r="E669" s="48" t="str"/>
      <x:c r="F669" s="48" t="str">
        <x:v>obligations under the Contract.</x:v>
      </x:c>
      <x:c r="G669" s="48" t="str">
        <x:v>Obligation</x:v>
      </x:c>
      <x:c r="H669" s="48" t="str">
        <x:v>Shared</x:v>
      </x:c>
      <x:c r="I669" s="48" t="n">
        <x:v>0.45</x:v>
      </x:c>
      <x:c r="J669" s="48" t="n">
        <x:v>0.4</x:v>
      </x:c>
      <x:c r="K669" s="48" t="str">
        <x:v>Yes</x:v>
      </x:c>
      <x:c r="L669" s="48" t="str">
        <x:v>PDF text</x:v>
      </x:c>
    </x:row>
    <x:row r="670">
      <x:c r="A670" s="48" t="str">
        <x:v>UNI-0669</x:v>
      </x:c>
      <x:c r="B670" s="48" t="str">
        <x:v>RED</x:v>
      </x:c>
      <x:c r="C670" s="48" t="str">
        <x:v>English</x:v>
      </x:c>
      <x:c r="D670" s="48" t="n">
        <x:v>43</x:v>
      </x:c>
      <x:c r="E670" s="48" t="str"/>
      <x:c r="F670" s="48" t="str">
        <x:v>The Employer’s Personnel shall be entitled to rely upon the programme when planning their activities.</x:v>
      </x:c>
      <x:c r="G670" s="48" t="str">
        <x:v>Obligation</x:v>
      </x:c>
      <x:c r="H670" s="48" t="str">
        <x:v>Employer</x:v>
      </x:c>
      <x:c r="I670" s="48" t="n">
        <x:v>0.88</x:v>
      </x:c>
      <x:c r="J670" s="48" t="n">
        <x:v>0.68</x:v>
      </x:c>
      <x:c r="K670" s="48" t="str">
        <x:v>Yes</x:v>
      </x:c>
      <x:c r="L670" s="48" t="str">
        <x:v>PDF text</x:v>
      </x:c>
    </x:row>
    <x:row r="671">
      <x:c r="A671" s="48" t="str">
        <x:v>UNI-0670</x:v>
      </x:c>
      <x:c r="B671" s="48" t="str">
        <x:v>RED</x:v>
      </x:c>
      <x:c r="C671" s="48" t="str">
        <x:v>English</x:v>
      </x:c>
      <x:c r="D671" s="48" t="n">
        <x:v>43</x:v>
      </x:c>
      <x:c r="E671" s="48" t="str"/>
      <x:c r="F671" s="48" t="str">
        <x:v>The Contractor shall promptly give notice to the Engineer of specific probable future events or circumstances which may adversely affect the work, increase the Contract Price or delay the execution of the Works.</x:v>
      </x:c>
      <x:c r="G671" s="48" t="str">
        <x:v>Obligation</x:v>
      </x:c>
      <x:c r="H671" s="48" t="str">
        <x:v>Contractor</x:v>
      </x:c>
      <x:c r="I671" s="48" t="n">
        <x:v>0.88</x:v>
      </x:c>
      <x:c r="J671" s="48" t="n">
        <x:v>0.92</x:v>
      </x:c>
      <x:c r="K671" s="48" t="str">
        <x:v>No</x:v>
      </x:c>
      <x:c r="L671" s="48" t="str">
        <x:v>PDF text</x:v>
      </x:c>
    </x:row>
    <x:row r="672">
      <x:c r="A672" s="48" t="str">
        <x:v>UNI-0671</x:v>
      </x:c>
      <x:c r="B672" s="48" t="str">
        <x:v>RED</x:v>
      </x:c>
      <x:c r="C672" s="48" t="str">
        <x:v>English</x:v>
      </x:c>
      <x:c r="D672" s="48" t="n">
        <x:v>43</x:v>
      </x:c>
      <x:c r="E672" s="48" t="str"/>
      <x:c r="F672" s="48" t="str">
        <x:v>The Engineer may require the Contractor to submit an estimate of the anticipated effect of the future event or circumstances, and/or a proposal under Sub-Clause 13.3 [Variation Procedure].</x:v>
      </x:c>
      <x:c r="G672" s="48" t="str">
        <x:v>Right</x:v>
      </x:c>
      <x:c r="H672" s="48" t="str">
        <x:v>Contractor</x:v>
      </x:c>
      <x:c r="I672" s="48" t="n">
        <x:v>0.78</x:v>
      </x:c>
      <x:c r="J672" s="48" t="n">
        <x:v>0.68</x:v>
      </x:c>
      <x:c r="K672" s="48" t="str">
        <x:v>Yes</x:v>
      </x:c>
      <x:c r="L672" s="48" t="str">
        <x:v>PDF text</x:v>
      </x:c>
    </x:row>
    <x:row r="673">
      <x:c r="A673" s="48" t="str">
        <x:v>UNI-0672</x:v>
      </x:c>
      <x:c r="B673" s="48" t="str">
        <x:v>RED</x:v>
      </x:c>
      <x:c r="C673" s="48" t="str">
        <x:v>English</x:v>
      </x:c>
      <x:c r="D673" s="48" t="n">
        <x:v>43</x:v>
      </x:c>
      <x:c r="E673" s="48" t="str"/>
      <x:c r="F673" s="48" t="str">
        <x:v>If, at any time, the Engineer gives notice to the Contractor that a programme fails (to the extent stated) to comply with the Contract or to be consistent with actual progress and the Contractor’s stated intentions, the Contractor shall submit a revised programme to the Engineer in accordance with this Sub-Clause.</x:v>
      </x:c>
      <x:c r="G673" s="48" t="str">
        <x:v>Obligation</x:v>
      </x:c>
      <x:c r="H673" s="48" t="str">
        <x:v>Contractor</x:v>
      </x:c>
      <x:c r="I673" s="48" t="n">
        <x:v>0.88</x:v>
      </x:c>
      <x:c r="J673" s="48" t="n">
        <x:v>0.92</x:v>
      </x:c>
      <x:c r="K673" s="48" t="str">
        <x:v>No</x:v>
      </x:c>
      <x:c r="L673" s="48" t="str">
        <x:v>PDF text</x:v>
      </x:c>
    </x:row>
    <x:row r="674">
      <x:c r="A674" s="48" t="str">
        <x:v>UNI-0673</x:v>
      </x:c>
      <x:c r="B674" s="48" t="str">
        <x:v>RED</x:v>
      </x:c>
      <x:c r="C674" s="48" t="str">
        <x:v>English</x:v>
      </x:c>
      <x:c r="D674" s="48" t="n">
        <x:v>43</x:v>
      </x:c>
      <x:c r="E674" s="48" t="str"/>
      <x:c r="F674" s="48" t="str">
        <x:v>The Contractor shall be entitled subject to Sub-Clause 20.1 [Contractor’s Claims] to an extension of the Time for Completion if and to the extent that completion for the purposes of Sub-Clause 10.1 [Taking-Over of the Works and Sections] is or will be delayed by any of the following causes: (a) a Variation (unless an adjustment to the Time for Completion has been agreed under Sub-Clause 13.3 [Variation Procedure]) or other substantial change in the quantity of an item of work included in the Contract, (b) a cause of delay giving an entitlement to extension of time under a Sub-Clause of these Conditions, (c) exceptionally adverse climatic conditions, (d)</x:v>
      </x:c>
      <x:c r="G674" s="48" t="str">
        <x:v>Risk</x:v>
      </x:c>
      <x:c r="H674" s="48" t="str">
        <x:v>Contractor</x:v>
      </x:c>
      <x:c r="I674" s="48" t="n">
        <x:v>0.78</x:v>
      </x:c>
      <x:c r="J674" s="48" t="n">
        <x:v>0.92</x:v>
      </x:c>
      <x:c r="K674" s="48" t="str">
        <x:v>No</x:v>
      </x:c>
      <x:c r="L674" s="48" t="str">
        <x:v>PDF text</x:v>
      </x:c>
    </x:row>
    <x:row r="675">
      <x:c r="A675" s="48" t="str">
        <x:v>UNI-0674</x:v>
      </x:c>
      <x:c r="B675" s="48" t="str">
        <x:v>RED</x:v>
      </x:c>
      <x:c r="C675" s="48" t="str">
        <x:v>English</x:v>
      </x:c>
      <x:c r="D675" s="48" t="n">
        <x:v>43</x:v>
      </x:c>
      <x:c r="E675" s="48" t="str"/>
      <x:c r="F675" s="48" t="str">
        <x:v>Unforeseeable shortages in the availability of personnel or Goods caused by</x:v>
      </x:c>
      <x:c r="G675" s="48" t="str">
        <x:v>Obligation</x:v>
      </x:c>
      <x:c r="H675" s="48" t="str">
        <x:v>Shared</x:v>
      </x:c>
      <x:c r="I675" s="48" t="n">
        <x:v>0.45</x:v>
      </x:c>
      <x:c r="J675" s="48" t="n">
        <x:v>0.4</x:v>
      </x:c>
      <x:c r="K675" s="48" t="str">
        <x:v>Yes</x:v>
      </x:c>
      <x:c r="L675" s="48" t="str">
        <x:v>PDF text</x:v>
      </x:c>
    </x:row>
    <x:row r="676">
      <x:c r="A676" s="48" t="str">
        <x:v>UNI-0675</x:v>
      </x:c>
      <x:c r="B676" s="48" t="str">
        <x:v>RED</x:v>
      </x:c>
      <x:c r="C676" s="48" t="str">
        <x:v>English</x:v>
      </x:c>
      <x:c r="D676" s="48" t="n">
        <x:v>43</x:v>
      </x:c>
      <x:c r="E676" s="48" t="str"/>
      <x:c r="F676" s="48" t="str">
        <x:v>epidemic or governmental actions, or (e) any delay, impediment or prevention caused by or attributable to the Employer, the Employer’s Personnel, or the Employer’s other contractors.</x:v>
      </x:c>
      <x:c r="G676" s="48" t="str">
        <x:v>Obligation</x:v>
      </x:c>
      <x:c r="H676" s="48" t="str">
        <x:v>Employer</x:v>
      </x:c>
      <x:c r="I676" s="48" t="n">
        <x:v>0.45</x:v>
      </x:c>
      <x:c r="J676" s="48" t="n">
        <x:v>0.68</x:v>
      </x:c>
      <x:c r="K676" s="48" t="str">
        <x:v>Yes</x:v>
      </x:c>
      <x:c r="L676" s="48" t="str">
        <x:v>PDF text</x:v>
      </x:c>
    </x:row>
    <x:row r="677">
      <x:c r="A677" s="48" t="str">
        <x:v>UNI-0676</x:v>
      </x:c>
      <x:c r="B677" s="48" t="str">
        <x:v>RED</x:v>
      </x:c>
      <x:c r="C677" s="48" t="str">
        <x:v>English</x:v>
      </x:c>
      <x:c r="D677" s="48" t="n">
        <x:v>43</x:v>
      </x:c>
      <x:c r="E677" s="48" t="str"/>
      <x:c r="F677" s="48" t="str">
        <x:v>If the Contractor considers himself to be entitled to an extension of the Time for Completion, the Contractor shall give notice to the Engineer in accordance with SubClause 20.1 [Contractor’s Claims].</x:v>
      </x:c>
      <x:c r="G677" s="48" t="str">
        <x:v>Obligation</x:v>
      </x:c>
      <x:c r="H677" s="48" t="str">
        <x:v>Contractor</x:v>
      </x:c>
      <x:c r="I677" s="48" t="n">
        <x:v>0.88</x:v>
      </x:c>
      <x:c r="J677" s="48" t="n">
        <x:v>0.92</x:v>
      </x:c>
      <x:c r="K677" s="48" t="str">
        <x:v>No</x:v>
      </x:c>
      <x:c r="L677" s="48" t="str">
        <x:v>PDF text</x:v>
      </x:c>
    </x:row>
    <x:row r="678">
      <x:c r="A678" s="48" t="str">
        <x:v>UNI-0677</x:v>
      </x:c>
      <x:c r="B678" s="48" t="str">
        <x:v>RED</x:v>
      </x:c>
      <x:c r="C678" s="48" t="str">
        <x:v>English</x:v>
      </x:c>
      <x:c r="D678" s="48" t="n">
        <x:v>43</x:v>
      </x:c>
      <x:c r="E678" s="48" t="str"/>
      <x:c r="F678" s="48" t="str">
        <x:v>When determining each extension of time under Sub-Clause 20.1, the Engineer shall review previous determinations and may increase, but shall not decrease, the total extension of time.</x:v>
      </x:c>
      <x:c r="G678" s="48" t="str">
        <x:v>Obligation</x:v>
      </x:c>
      <x:c r="H678" s="48" t="str">
        <x:v>Shared</x:v>
      </x:c>
      <x:c r="I678" s="48" t="n">
        <x:v>0.88</x:v>
      </x:c>
      <x:c r="J678" s="48" t="n">
        <x:v>0.4</x:v>
      </x:c>
      <x:c r="K678" s="48" t="str">
        <x:v>Yes</x:v>
      </x:c>
      <x:c r="L678" s="48" t="str">
        <x:v>PDF text</x:v>
      </x:c>
    </x:row>
    <x:row r="679">
      <x:c r="A679" s="48" t="str">
        <x:v>UNI-0678</x:v>
      </x:c>
      <x:c r="B679" s="48" t="str">
        <x:v>RED</x:v>
      </x:c>
      <x:c r="C679" s="48" t="str">
        <x:v>English</x:v>
      </x:c>
      <x:c r="D679" s="48" t="n">
        <x:v>43</x:v>
      </x:c>
      <x:c r="E679" s="48" t="str"/>
      <x:c r="F679" s="48" t="str">
        <x:v>If the following conditions apply, namely: (a) the Contractor has diligently followed the procedures laid down by the relevant legally constituted public authorities in the Country, 8.4</x:v>
      </x:c>
      <x:c r="G679" s="48" t="str">
        <x:v>Obligation</x:v>
      </x:c>
      <x:c r="H679" s="48" t="str">
        <x:v>Contractor</x:v>
      </x:c>
      <x:c r="I679" s="48" t="n">
        <x:v>0.45</x:v>
      </x:c>
      <x:c r="J679" s="48" t="n">
        <x:v>0.68</x:v>
      </x:c>
      <x:c r="K679" s="48" t="str">
        <x:v>Yes</x:v>
      </x:c>
      <x:c r="L679" s="48" t="str">
        <x:v>PDF text</x:v>
      </x:c>
    </x:row>
    <x:row r="680">
      <x:c r="A680" s="48" t="str">
        <x:v>UNI-0679</x:v>
      </x:c>
      <x:c r="B680" s="48" t="str">
        <x:v>RED</x:v>
      </x:c>
      <x:c r="C680" s="48" t="str">
        <x:v>English</x:v>
      </x:c>
      <x:c r="D680" s="48" t="n">
        <x:v>43</x:v>
      </x:c>
      <x:c r="E680" s="48" t="str"/>
      <x:c r="F680" s="48" t="str">
        <x:v>Extension of Time for</x:v>
      </x:c>
      <x:c r="G680" s="48" t="str">
        <x:v>Obligation</x:v>
      </x:c>
      <x:c r="H680" s="48" t="str">
        <x:v>Shared</x:v>
      </x:c>
      <x:c r="I680" s="48" t="n">
        <x:v>0.45</x:v>
      </x:c>
      <x:c r="J680" s="48" t="n">
        <x:v>0.4</x:v>
      </x:c>
      <x:c r="K680" s="48" t="str">
        <x:v>Yes</x:v>
      </x:c>
      <x:c r="L680" s="48" t="str">
        <x:v>PDF text</x:v>
      </x:c>
    </x:row>
    <x:row r="681">
      <x:c r="A681" s="48" t="str">
        <x:v>UNI-0680</x:v>
      </x:c>
      <x:c r="B681" s="48" t="str">
        <x:v>RED</x:v>
      </x:c>
      <x:c r="C681" s="48" t="str">
        <x:v>English</x:v>
      </x:c>
      <x:c r="D681" s="48" t="n">
        <x:v>43</x:v>
      </x:c>
      <x:c r="E681" s="48" t="str"/>
      <x:c r="F681" s="48" t="str">
        <x:v>Completion</x:v>
      </x:c>
      <x:c r="G681" s="48" t="str">
        <x:v>Obligation</x:v>
      </x:c>
      <x:c r="H681" s="48" t="str">
        <x:v>Shared</x:v>
      </x:c>
      <x:c r="I681" s="48" t="n">
        <x:v>0.45</x:v>
      </x:c>
      <x:c r="J681" s="48" t="n">
        <x:v>0.4</x:v>
      </x:c>
      <x:c r="K681" s="48" t="str">
        <x:v>Yes</x:v>
      </x:c>
      <x:c r="L681" s="48" t="str">
        <x:v>PDF text</x:v>
      </x:c>
    </x:row>
    <x:row r="682">
      <x:c r="A682" s="48" t="str">
        <x:v>UNI-0681</x:v>
      </x:c>
      <x:c r="B682" s="48" t="str">
        <x:v>RED</x:v>
      </x:c>
      <x:c r="C682" s="48" t="str">
        <x:v>English</x:v>
      </x:c>
      <x:c r="D682" s="48" t="n">
        <x:v>43</x:v>
      </x:c>
      <x:c r="E682" s="48" t="str"/>
      <x:c r="F682" s="48" t="str">
        <x:v>Delays Caused by</x:v>
      </x:c>
      <x:c r="G682" s="48" t="str">
        <x:v>Obligation</x:v>
      </x:c>
      <x:c r="H682" s="48" t="str">
        <x:v>Shared</x:v>
      </x:c>
      <x:c r="I682" s="48" t="n">
        <x:v>0.45</x:v>
      </x:c>
      <x:c r="J682" s="48" t="n">
        <x:v>0.4</x:v>
      </x:c>
      <x:c r="K682" s="48" t="str">
        <x:v>Yes</x:v>
      </x:c>
      <x:c r="L682" s="48" t="str">
        <x:v>PDF text</x:v>
      </x:c>
    </x:row>
    <x:row r="683">
      <x:c r="A683" s="48" t="str">
        <x:v>UNI-0682</x:v>
      </x:c>
      <x:c r="B683" s="48" t="str">
        <x:v>RED</x:v>
      </x:c>
      <x:c r="C683" s="48" t="str">
        <x:v>English</x:v>
      </x:c>
      <x:c r="D683" s="48" t="n">
        <x:v>43</x:v>
      </x:c>
      <x:c r="E683" s="48" t="str"/>
      <x:c r="F683" s="48" t="str">
        <x:v>Authorities</x:v>
      </x:c>
      <x:c r="G683" s="48" t="str">
        <x:v>Obligation</x:v>
      </x:c>
      <x:c r="H683" s="48" t="str">
        <x:v>Shared</x:v>
      </x:c>
      <x:c r="I683" s="48" t="n">
        <x:v>0.45</x:v>
      </x:c>
      <x:c r="J683" s="48" t="n">
        <x:v>0.4</x:v>
      </x:c>
      <x:c r="K683" s="48" t="str">
        <x:v>Yes</x:v>
      </x:c>
      <x:c r="L683" s="48" t="str">
        <x:v>PDF text</x:v>
      </x:c>
    </x:row>
    <x:row r="684">
      <x:c r="A684" s="48" t="str">
        <x:v>UNI-0683</x:v>
      </x:c>
      <x:c r="B684" s="48" t="str">
        <x:v>RED</x:v>
      </x:c>
      <x:c r="C684" s="48" t="str">
        <x:v>English</x:v>
      </x:c>
      <x:c r="D684" s="48" t="n">
        <x:v>44</x:v>
      </x:c>
      <x:c r="E684" s="48" t="str"/>
      <x:c r="F684" s="48" t="str">
        <x:v>(b) these authorities delay or disrupt the Contractor’s work, and (c) the delay or disruption was Unforeseeable, then this delay or disruption will be considered as a cause of delay under subparagraph (b) of Sub-Clause 8.4 [Extension of Time for Completion].</x:v>
      </x:c>
      <x:c r="G684" s="48" t="str">
        <x:v>Obligation</x:v>
      </x:c>
      <x:c r="H684" s="48" t="str">
        <x:v>Contractor</x:v>
      </x:c>
      <x:c r="I684" s="48" t="n">
        <x:v>0.45</x:v>
      </x:c>
      <x:c r="J684" s="48" t="n">
        <x:v>0.68</x:v>
      </x:c>
      <x:c r="K684" s="48" t="str">
        <x:v>Yes</x:v>
      </x:c>
      <x:c r="L684" s="48" t="str">
        <x:v>PDF text</x:v>
      </x:c>
    </x:row>
    <x:row r="685">
      <x:c r="A685" s="48" t="str">
        <x:v>UNI-0684</x:v>
      </x:c>
      <x:c r="B685" s="48" t="str">
        <x:v>RED</x:v>
      </x:c>
      <x:c r="C685" s="48" t="str">
        <x:v>English</x:v>
      </x:c>
      <x:c r="D685" s="48" t="n">
        <x:v>44</x:v>
      </x:c>
      <x:c r="E685" s="48" t="str"/>
      <x:c r="F685" s="48" t="str">
        <x:v>If, at any time: (a) actual progress is too slow to complete within the Time for Completion, and/or (b) progress has fallen (or will fall) behind the current programme under Sub-Clause</x:v>
      </x:c>
      <x:c r="G685" s="48" t="str">
        <x:v>Obligation</x:v>
      </x:c>
      <x:c r="H685" s="48" t="str">
        <x:v>Shared</x:v>
      </x:c>
      <x:c r="I685" s="48" t="n">
        <x:v>0.45</x:v>
      </x:c>
      <x:c r="J685" s="48" t="n">
        <x:v>0.4</x:v>
      </x:c>
      <x:c r="K685" s="48" t="str">
        <x:v>Yes</x:v>
      </x:c>
      <x:c r="L685" s="48" t="str">
        <x:v>PDF text</x:v>
      </x:c>
    </x:row>
    <x:row r="686">
      <x:c r="A686" s="48" t="str">
        <x:v>UNI-0685</x:v>
      </x:c>
      <x:c r="B686" s="48" t="str">
        <x:v>RED</x:v>
      </x:c>
      <x:c r="C686" s="48" t="str">
        <x:v>English</x:v>
      </x:c>
      <x:c r="D686" s="48" t="n">
        <x:v>44</x:v>
      </x:c>
      <x:c r="E686" s="48" t="str"/>
      <x:c r="F686" s="48" t="str">
        <x:v>other than as a result of a cause listed in Sub-Clause 8.4 [Extension of Time for Completion], then the Engineer may instruct the Contractor to submit, under SubClause 8.3 [Programme], a revised programme and supporting report describing the revised methods which the Contractor proposes to adopt in order to expedite progress and complete within the Time for Completion.</x:v>
      </x:c>
      <x:c r="G686" s="48" t="str">
        <x:v>Right</x:v>
      </x:c>
      <x:c r="H686" s="48" t="str">
        <x:v>Contractor</x:v>
      </x:c>
      <x:c r="I686" s="48" t="n">
        <x:v>0.78</x:v>
      </x:c>
      <x:c r="J686" s="48" t="n">
        <x:v>0.68</x:v>
      </x:c>
      <x:c r="K686" s="48" t="str">
        <x:v>Yes</x:v>
      </x:c>
      <x:c r="L686" s="48" t="str">
        <x:v>PDF text</x:v>
      </x:c>
    </x:row>
    <x:row r="687">
      <x:c r="A687" s="48" t="str">
        <x:v>UNI-0686</x:v>
      </x:c>
      <x:c r="B687" s="48" t="str">
        <x:v>RED</x:v>
      </x:c>
      <x:c r="C687" s="48" t="str">
        <x:v>English</x:v>
      </x:c>
      <x:c r="D687" s="48" t="n">
        <x:v>44</x:v>
      </x:c>
      <x:c r="E687" s="48" t="str"/>
      <x:c r="F687" s="48" t="str">
        <x:v>Unless the Engineer notifies otherwise, the Contractor shall adopt these revised</x:v>
      </x:c>
      <x:c r="G687" s="48" t="str">
        <x:v>Obligation</x:v>
      </x:c>
      <x:c r="H687" s="48" t="str">
        <x:v>Contractor</x:v>
      </x:c>
      <x:c r="I687" s="48" t="n">
        <x:v>0.88</x:v>
      </x:c>
      <x:c r="J687" s="48" t="n">
        <x:v>0.92</x:v>
      </x:c>
      <x:c r="K687" s="48" t="str">
        <x:v>No</x:v>
      </x:c>
      <x:c r="L687" s="48" t="str">
        <x:v>PDF text</x:v>
      </x:c>
    </x:row>
    <x:row r="688">
      <x:c r="A688" s="48" t="str">
        <x:v>UNI-0687</x:v>
      </x:c>
      <x:c r="B688" s="48" t="str">
        <x:v>RED</x:v>
      </x:c>
      <x:c r="C688" s="48" t="str">
        <x:v>English</x:v>
      </x:c>
      <x:c r="D688" s="48" t="n">
        <x:v>44</x:v>
      </x:c>
      <x:c r="E688" s="48" t="str"/>
      <x:c r="F688" s="48" t="str">
        <x:v>methods, which may require increases in the working hours and/or in the numbers of Contractor’s Personnel and/or Goods, at the risk and cost of the Contractor.</x:v>
      </x:c>
      <x:c r="G688" s="48" t="str">
        <x:v>Risk</x:v>
      </x:c>
      <x:c r="H688" s="48" t="str">
        <x:v>Contractor</x:v>
      </x:c>
      <x:c r="I688" s="48" t="n">
        <x:v>0.78</x:v>
      </x:c>
      <x:c r="J688" s="48" t="n">
        <x:v>0.68</x:v>
      </x:c>
      <x:c r="K688" s="48" t="str">
        <x:v>Yes</x:v>
      </x:c>
      <x:c r="L688" s="48" t="str">
        <x:v>PDF text</x:v>
      </x:c>
    </x:row>
    <x:row r="689">
      <x:c r="A689" s="48" t="str">
        <x:v>UNI-0688</x:v>
      </x:c>
      <x:c r="B689" s="48" t="str">
        <x:v>RED</x:v>
      </x:c>
      <x:c r="C689" s="48" t="str">
        <x:v>English</x:v>
      </x:c>
      <x:c r="D689" s="48" t="n">
        <x:v>44</x:v>
      </x:c>
      <x:c r="E689" s="48" t="str"/>
      <x:c r="F689" s="48" t="str">
        <x:v>If these revised methods cause the Employer to incur additional costs, the Contractor shall subject to Sub-Clause 2.5 [Employer’s Claims] pay these costs to the Employer, in addition to delay damages (if any) under Sub-Clause 8.7 below.</x:v>
      </x:c>
      <x:c r="G689" s="48" t="str">
        <x:v>Risk</x:v>
      </x:c>
      <x:c r="H689" s="48" t="str">
        <x:v>Contractor</x:v>
      </x:c>
      <x:c r="I689" s="48" t="n">
        <x:v>0.78</x:v>
      </x:c>
      <x:c r="J689" s="48" t="n">
        <x:v>0.92</x:v>
      </x:c>
      <x:c r="K689" s="48" t="str">
        <x:v>No</x:v>
      </x:c>
      <x:c r="L689" s="48" t="str">
        <x:v>PDF text</x:v>
      </x:c>
    </x:row>
    <x:row r="690">
      <x:c r="A690" s="48" t="str">
        <x:v>UNI-0689</x:v>
      </x:c>
      <x:c r="B690" s="48" t="str">
        <x:v>RED</x:v>
      </x:c>
      <x:c r="C690" s="48" t="str">
        <x:v>English</x:v>
      </x:c>
      <x:c r="D690" s="48" t="n">
        <x:v>44</x:v>
      </x:c>
      <x:c r="E690" s="48" t="str"/>
      <x:c r="F690" s="48" t="str">
        <x:v>If the Contractor fails to comply with Sub-Clause 8.2 [Time for Completion], the Contractor shall subject to Sub-Clause 2.5 [Employer’s Claims] pay delay damages to the Employer for this default.</x:v>
      </x:c>
      <x:c r="G690" s="48" t="str">
        <x:v>Risk</x:v>
      </x:c>
      <x:c r="H690" s="48" t="str">
        <x:v>Contractor</x:v>
      </x:c>
      <x:c r="I690" s="48" t="n">
        <x:v>0.78</x:v>
      </x:c>
      <x:c r="J690" s="48" t="n">
        <x:v>0.92</x:v>
      </x:c>
      <x:c r="K690" s="48" t="str">
        <x:v>No</x:v>
      </x:c>
      <x:c r="L690" s="48" t="str">
        <x:v>PDF text</x:v>
      </x:c>
    </x:row>
    <x:row r="691">
      <x:c r="A691" s="48" t="str">
        <x:v>UNI-0690</x:v>
      </x:c>
      <x:c r="B691" s="48" t="str">
        <x:v>RED</x:v>
      </x:c>
      <x:c r="C691" s="48" t="str">
        <x:v>English</x:v>
      </x:c>
      <x:c r="D691" s="48" t="n">
        <x:v>44</x:v>
      </x:c>
      <x:c r="E691" s="48" t="str"/>
      <x:c r="F691" s="48" t="str">
        <x:v>These delay damages shall be the sum stated in the</x:v>
      </x:c>
      <x:c r="G691" s="48" t="str">
        <x:v>Obligation</x:v>
      </x:c>
      <x:c r="H691" s="48" t="str">
        <x:v>Shared</x:v>
      </x:c>
      <x:c r="I691" s="48" t="n">
        <x:v>0.88</x:v>
      </x:c>
      <x:c r="J691" s="48" t="n">
        <x:v>0.4</x:v>
      </x:c>
      <x:c r="K691" s="48" t="str">
        <x:v>Yes</x:v>
      </x:c>
      <x:c r="L691" s="48" t="str">
        <x:v>PDF text</x:v>
      </x:c>
    </x:row>
    <x:row r="692">
      <x:c r="A692" s="48" t="str">
        <x:v>UNI-0691</x:v>
      </x:c>
      <x:c r="B692" s="48" t="str">
        <x:v>RED</x:v>
      </x:c>
      <x:c r="C692" s="48" t="str">
        <x:v>English</x:v>
      </x:c>
      <x:c r="D692" s="48" t="n">
        <x:v>44</x:v>
      </x:c>
      <x:c r="E692" s="48" t="str"/>
      <x:c r="F692" s="48" t="str">
        <x:v>Contract Data, which shall be paid for every day which shall elapse between the</x:v>
      </x:c>
      <x:c r="G692" s="48" t="str">
        <x:v>Obligation</x:v>
      </x:c>
      <x:c r="H692" s="48" t="str">
        <x:v>Shared</x:v>
      </x:c>
      <x:c r="I692" s="48" t="n">
        <x:v>0.88</x:v>
      </x:c>
      <x:c r="J692" s="48" t="n">
        <x:v>0.4</x:v>
      </x:c>
      <x:c r="K692" s="48" t="str">
        <x:v>Yes</x:v>
      </x:c>
      <x:c r="L692" s="48" t="str">
        <x:v>PDF text</x:v>
      </x:c>
    </x:row>
    <x:row r="693">
      <x:c r="A693" s="48" t="str">
        <x:v>UNI-0692</x:v>
      </x:c>
      <x:c r="B693" s="48" t="str">
        <x:v>RED</x:v>
      </x:c>
      <x:c r="C693" s="48" t="str">
        <x:v>English</x:v>
      </x:c>
      <x:c r="D693" s="48" t="n">
        <x:v>44</x:v>
      </x:c>
      <x:c r="E693" s="48" t="str"/>
      <x:c r="F693" s="48" t="str">
        <x:v>relevant Time for Completion and the date stated in the Taking-Over Certificate.</x:v>
      </x:c>
      <x:c r="G693" s="48" t="str">
        <x:v>Obligation</x:v>
      </x:c>
      <x:c r="H693" s="48" t="str">
        <x:v>Shared</x:v>
      </x:c>
      <x:c r="I693" s="48" t="n">
        <x:v>0.55</x:v>
      </x:c>
      <x:c r="J693" s="48" t="n">
        <x:v>0.4</x:v>
      </x:c>
      <x:c r="K693" s="48" t="str">
        <x:v>Yes</x:v>
      </x:c>
      <x:c r="L693" s="48" t="str">
        <x:v>PDF text</x:v>
      </x:c>
    </x:row>
    <x:row r="694">
      <x:c r="A694" s="48" t="str">
        <x:v>UNI-0693</x:v>
      </x:c>
      <x:c r="B694" s="48" t="str">
        <x:v>RED</x:v>
      </x:c>
      <x:c r="C694" s="48" t="str">
        <x:v>English</x:v>
      </x:c>
      <x:c r="D694" s="48" t="n">
        <x:v>44</x:v>
      </x:c>
      <x:c r="E694" s="48" t="str"/>
      <x:c r="F694" s="48" t="str">
        <x:v>However, the total amount due under this Sub-Clause shall not exceed the maximum</x:v>
      </x:c>
      <x:c r="G694" s="48" t="str">
        <x:v>Obligation</x:v>
      </x:c>
      <x:c r="H694" s="48" t="str">
        <x:v>Shared</x:v>
      </x:c>
      <x:c r="I694" s="48" t="n">
        <x:v>0.88</x:v>
      </x:c>
      <x:c r="J694" s="48" t="n">
        <x:v>0.4</x:v>
      </x:c>
      <x:c r="K694" s="48" t="str">
        <x:v>Yes</x:v>
      </x:c>
      <x:c r="L694" s="48" t="str">
        <x:v>PDF text</x:v>
      </x:c>
    </x:row>
    <x:row r="695">
      <x:c r="A695" s="48" t="str">
        <x:v>UNI-0694</x:v>
      </x:c>
      <x:c r="B695" s="48" t="str">
        <x:v>RED</x:v>
      </x:c>
      <x:c r="C695" s="48" t="str">
        <x:v>English</x:v>
      </x:c>
      <x:c r="D695" s="48" t="n">
        <x:v>44</x:v>
      </x:c>
      <x:c r="E695" s="48" t="str"/>
      <x:c r="F695" s="48" t="str">
        <x:v>amount of delay damages (if any) stated in the Contract Data.</x:v>
      </x:c>
      <x:c r="G695" s="48" t="str">
        <x:v>Risk</x:v>
      </x:c>
      <x:c r="H695" s="48" t="str">
        <x:v>Shared</x:v>
      </x:c>
      <x:c r="I695" s="48" t="n">
        <x:v>0.78</x:v>
      </x:c>
      <x:c r="J695" s="48" t="n">
        <x:v>0.4</x:v>
      </x:c>
      <x:c r="K695" s="48" t="str">
        <x:v>Yes</x:v>
      </x:c>
      <x:c r="L695" s="48" t="str">
        <x:v>PDF text</x:v>
      </x:c>
    </x:row>
    <x:row r="696">
      <x:c r="A696" s="48" t="str">
        <x:v>UNI-0695</x:v>
      </x:c>
      <x:c r="B696" s="48" t="str">
        <x:v>RED</x:v>
      </x:c>
      <x:c r="C696" s="48" t="str">
        <x:v>English</x:v>
      </x:c>
      <x:c r="D696" s="48" t="n">
        <x:v>44</x:v>
      </x:c>
      <x:c r="E696" s="48" t="str"/>
      <x:c r="F696" s="48" t="str">
        <x:v>These delay damages shall be the only damages due from the Contractor for such</x:v>
      </x:c>
      <x:c r="G696" s="48" t="str">
        <x:v>Obligation</x:v>
      </x:c>
      <x:c r="H696" s="48" t="str">
        <x:v>Contractor</x:v>
      </x:c>
      <x:c r="I696" s="48" t="n">
        <x:v>0.88</x:v>
      </x:c>
      <x:c r="J696" s="48" t="n">
        <x:v>0.68</x:v>
      </x:c>
      <x:c r="K696" s="48" t="str">
        <x:v>Yes</x:v>
      </x:c>
      <x:c r="L696" s="48" t="str">
        <x:v>PDF text</x:v>
      </x:c>
    </x:row>
    <x:row r="697">
      <x:c r="A697" s="48" t="str">
        <x:v>UNI-0696</x:v>
      </x:c>
      <x:c r="B697" s="48" t="str">
        <x:v>RED</x:v>
      </x:c>
      <x:c r="C697" s="48" t="str">
        <x:v>English</x:v>
      </x:c>
      <x:c r="D697" s="48" t="n">
        <x:v>44</x:v>
      </x:c>
      <x:c r="E697" s="48" t="str"/>
      <x:c r="F697" s="48" t="str">
        <x:v>default, other than in the event of termination under Sub-Clause 15.2 [Termination by Employer] prior to completion of the Works.</x:v>
      </x:c>
      <x:c r="G697" s="48" t="str">
        <x:v>Risk</x:v>
      </x:c>
      <x:c r="H697" s="48" t="str">
        <x:v>Employer</x:v>
      </x:c>
      <x:c r="I697" s="48" t="n">
        <x:v>0.78</x:v>
      </x:c>
      <x:c r="J697" s="48" t="n">
        <x:v>0.68</x:v>
      </x:c>
      <x:c r="K697" s="48" t="str">
        <x:v>Yes</x:v>
      </x:c>
      <x:c r="L697" s="48" t="str">
        <x:v>PDF text</x:v>
      </x:c>
    </x:row>
    <x:row r="698">
      <x:c r="A698" s="48" t="str">
        <x:v>UNI-0697</x:v>
      </x:c>
      <x:c r="B698" s="48" t="str">
        <x:v>RED</x:v>
      </x:c>
      <x:c r="C698" s="48" t="str">
        <x:v>English</x:v>
      </x:c>
      <x:c r="D698" s="48" t="n">
        <x:v>44</x:v>
      </x:c>
      <x:c r="E698" s="48" t="str"/>
      <x:c r="F698" s="48" t="str">
        <x:v>These damages shall not relieve the</x:v>
      </x:c>
      <x:c r="G698" s="48" t="str">
        <x:v>Obligation</x:v>
      </x:c>
      <x:c r="H698" s="48" t="str">
        <x:v>Shared</x:v>
      </x:c>
      <x:c r="I698" s="48" t="n">
        <x:v>0.88</x:v>
      </x:c>
      <x:c r="J698" s="48" t="n">
        <x:v>0.4</x:v>
      </x:c>
      <x:c r="K698" s="48" t="str">
        <x:v>Yes</x:v>
      </x:c>
      <x:c r="L698" s="48" t="str">
        <x:v>PDF text</x:v>
      </x:c>
    </x:row>
    <x:row r="699">
      <x:c r="A699" s="48" t="str">
        <x:v>UNI-0698</x:v>
      </x:c>
      <x:c r="B699" s="48" t="str">
        <x:v>RED</x:v>
      </x:c>
      <x:c r="C699" s="48" t="str">
        <x:v>English</x:v>
      </x:c>
      <x:c r="D699" s="48" t="n">
        <x:v>44</x:v>
      </x:c>
      <x:c r="E699" s="48" t="str"/>
      <x:c r="F699" s="48" t="str">
        <x:v>Contractor from his obligation to complete the Works, or from any other duties,</x:v>
      </x:c>
      <x:c r="G699" s="48" t="str">
        <x:v>Obligation</x:v>
      </x:c>
      <x:c r="H699" s="48" t="str">
        <x:v>Contractor</x:v>
      </x:c>
      <x:c r="I699" s="48" t="n">
        <x:v>0.45</x:v>
      </x:c>
      <x:c r="J699" s="48" t="n">
        <x:v>0.68</x:v>
      </x:c>
      <x:c r="K699" s="48" t="str">
        <x:v>Yes</x:v>
      </x:c>
      <x:c r="L699" s="48" t="str">
        <x:v>PDF text</x:v>
      </x:c>
    </x:row>
    <x:row r="700">
      <x:c r="A700" s="48" t="str">
        <x:v>UNI-0699</x:v>
      </x:c>
      <x:c r="B700" s="48" t="str">
        <x:v>RED</x:v>
      </x:c>
      <x:c r="C700" s="48" t="str">
        <x:v>English</x:v>
      </x:c>
      <x:c r="D700" s="48" t="n">
        <x:v>44</x:v>
      </x:c>
      <x:c r="E700" s="48" t="str"/>
      <x:c r="F700" s="48" t="str">
        <x:v>obligations or responsibilities which he may have under the Contract.</x:v>
      </x:c>
      <x:c r="G700" s="48" t="str">
        <x:v>Right</x:v>
      </x:c>
      <x:c r="H700" s="48" t="str">
        <x:v>Shared</x:v>
      </x:c>
      <x:c r="I700" s="48" t="n">
        <x:v>0.78</x:v>
      </x:c>
      <x:c r="J700" s="48" t="n">
        <x:v>0.4</x:v>
      </x:c>
      <x:c r="K700" s="48" t="str">
        <x:v>Yes</x:v>
      </x:c>
      <x:c r="L700" s="48" t="str">
        <x:v>PDF text</x:v>
      </x:c>
    </x:row>
    <x:row r="701">
      <x:c r="A701" s="48" t="str">
        <x:v>UNI-0700</x:v>
      </x:c>
      <x:c r="B701" s="48" t="str">
        <x:v>RED</x:v>
      </x:c>
      <x:c r="C701" s="48" t="str">
        <x:v>English</x:v>
      </x:c>
      <x:c r="D701" s="48" t="n">
        <x:v>44</x:v>
      </x:c>
      <x:c r="E701" s="48" t="str"/>
      <x:c r="F701" s="48" t="str">
        <x:v>The Engineer may at any time instruct the Contractor to suspend progress of part or all of the Works.</x:v>
      </x:c>
      <x:c r="G701" s="48" t="str">
        <x:v>Right</x:v>
      </x:c>
      <x:c r="H701" s="48" t="str">
        <x:v>Contractor</x:v>
      </x:c>
      <x:c r="I701" s="48" t="n">
        <x:v>0.78</x:v>
      </x:c>
      <x:c r="J701" s="48" t="n">
        <x:v>0.68</x:v>
      </x:c>
      <x:c r="K701" s="48" t="str">
        <x:v>Yes</x:v>
      </x:c>
      <x:c r="L701" s="48" t="str">
        <x:v>PDF text</x:v>
      </x:c>
    </x:row>
    <x:row r="702">
      <x:c r="A702" s="48" t="str">
        <x:v>UNI-0701</x:v>
      </x:c>
      <x:c r="B702" s="48" t="str">
        <x:v>RED</x:v>
      </x:c>
      <x:c r="C702" s="48" t="str">
        <x:v>English</x:v>
      </x:c>
      <x:c r="D702" s="48" t="n">
        <x:v>44</x:v>
      </x:c>
      <x:c r="E702" s="48" t="str"/>
      <x:c r="F702" s="48" t="str">
        <x:v>During such suspension, the Contractor shall protect, store and secure such part or the Works against any deterioration, loss or damage.</x:v>
      </x:c>
      <x:c r="G702" s="48" t="str">
        <x:v>Obligation</x:v>
      </x:c>
      <x:c r="H702" s="48" t="str">
        <x:v>Contractor</x:v>
      </x:c>
      <x:c r="I702" s="48" t="n">
        <x:v>0.88</x:v>
      </x:c>
      <x:c r="J702" s="48" t="n">
        <x:v>0.92</x:v>
      </x:c>
      <x:c r="K702" s="48" t="str">
        <x:v>No</x:v>
      </x:c>
      <x:c r="L702" s="48" t="str">
        <x:v>PDF text</x:v>
      </x:c>
    </x:row>
    <x:row r="703">
      <x:c r="A703" s="48" t="str">
        <x:v>UNI-0702</x:v>
      </x:c>
      <x:c r="B703" s="48" t="str">
        <x:v>RED</x:v>
      </x:c>
      <x:c r="C703" s="48" t="str">
        <x:v>English</x:v>
      </x:c>
      <x:c r="D703" s="48" t="n">
        <x:v>44</x:v>
      </x:c>
      <x:c r="E703" s="48" t="str"/>
      <x:c r="F703" s="48" t="str">
        <x:v>The Engineer may also notify the cause for the suspension.</x:v>
      </x:c>
      <x:c r="G703" s="48" t="str">
        <x:v>Right</x:v>
      </x:c>
      <x:c r="H703" s="48" t="str">
        <x:v>Shared</x:v>
      </x:c>
      <x:c r="I703" s="48" t="n">
        <x:v>0.78</x:v>
      </x:c>
      <x:c r="J703" s="48" t="n">
        <x:v>0.4</x:v>
      </x:c>
      <x:c r="K703" s="48" t="str">
        <x:v>Yes</x:v>
      </x:c>
      <x:c r="L703" s="48" t="str">
        <x:v>PDF text</x:v>
      </x:c>
    </x:row>
    <x:row r="704">
      <x:c r="A704" s="48" t="str">
        <x:v>UNI-0703</x:v>
      </x:c>
      <x:c r="B704" s="48" t="str">
        <x:v>RED</x:v>
      </x:c>
      <x:c r="C704" s="48" t="str">
        <x:v>English</x:v>
      </x:c>
      <x:c r="D704" s="48" t="n">
        <x:v>44</x:v>
      </x:c>
      <x:c r="E704" s="48" t="str"/>
      <x:c r="F704" s="48" t="str">
        <x:v>If and to the extent that the cause is notified and is the responsibility of the Contractor, the following SubClauses 8.9, 8.10 and 8.11 shall not apply.</x:v>
      </x:c>
      <x:c r="G704" s="48" t="str">
        <x:v>Obligation</x:v>
      </x:c>
      <x:c r="H704" s="48" t="str">
        <x:v>Contractor</x:v>
      </x:c>
      <x:c r="I704" s="48" t="n">
        <x:v>0.88</x:v>
      </x:c>
      <x:c r="J704" s="48" t="n">
        <x:v>0.68</x:v>
      </x:c>
      <x:c r="K704" s="48" t="str">
        <x:v>Yes</x:v>
      </x:c>
      <x:c r="L704" s="48" t="str">
        <x:v>PDF text</x:v>
      </x:c>
    </x:row>
    <x:row r="705">
      <x:c r="A705" s="48" t="str">
        <x:v>UNI-0704</x:v>
      </x:c>
      <x:c r="B705" s="48" t="str">
        <x:v>RED</x:v>
      </x:c>
      <x:c r="C705" s="48" t="str">
        <x:v>English</x:v>
      </x:c>
      <x:c r="D705" s="48" t="n">
        <x:v>44</x:v>
      </x:c>
      <x:c r="E705" s="48" t="str"/>
      <x:c r="F705" s="48" t="str">
        <x:v>If the Contractor suffers delay and/or incurs Cost from complying with the Engineer’s instructions under Sub-Clause 8.8 [Suspension of Work] and/or from resuming the work, the Contractor shall give notice to the Engineer and shall be entitled subject to Sub-Clause 20.1 [Contractor’s Claims] to: 8.6</x:v>
      </x:c>
      <x:c r="G705" s="48" t="str">
        <x:v>Risk</x:v>
      </x:c>
      <x:c r="H705" s="48" t="str">
        <x:v>Contractor</x:v>
      </x:c>
      <x:c r="I705" s="48" t="n">
        <x:v>0.78</x:v>
      </x:c>
      <x:c r="J705" s="48" t="n">
        <x:v>0.92</x:v>
      </x:c>
      <x:c r="K705" s="48" t="str">
        <x:v>No</x:v>
      </x:c>
      <x:c r="L705" s="48" t="str">
        <x:v>PDF text</x:v>
      </x:c>
    </x:row>
    <x:row r="706">
      <x:c r="A706" s="48" t="str">
        <x:v>UNI-0705</x:v>
      </x:c>
      <x:c r="B706" s="48" t="str">
        <x:v>RED</x:v>
      </x:c>
      <x:c r="C706" s="48" t="str">
        <x:v>English</x:v>
      </x:c>
      <x:c r="D706" s="48" t="n">
        <x:v>44</x:v>
      </x:c>
      <x:c r="E706" s="48" t="str"/>
      <x:c r="F706" s="48" t="str">
        <x:v>Rate of Progress</x:v>
      </x:c>
      <x:c r="G706" s="48" t="str">
        <x:v>Obligation</x:v>
      </x:c>
      <x:c r="H706" s="48" t="str">
        <x:v>Shared</x:v>
      </x:c>
      <x:c r="I706" s="48" t="n">
        <x:v>0.45</x:v>
      </x:c>
      <x:c r="J706" s="48" t="n">
        <x:v>0.4</x:v>
      </x:c>
      <x:c r="K706" s="48" t="str">
        <x:v>Yes</x:v>
      </x:c>
      <x:c r="L706" s="48" t="str">
        <x:v>PDF text</x:v>
      </x:c>
    </x:row>
    <x:row r="707">
      <x:c r="A707" s="48" t="str">
        <x:v>UNI-0706</x:v>
      </x:c>
      <x:c r="B707" s="48" t="str">
        <x:v>RED</x:v>
      </x:c>
      <x:c r="C707" s="48" t="str">
        <x:v>English</x:v>
      </x:c>
      <x:c r="D707" s="48" t="n">
        <x:v>44</x:v>
      </x:c>
      <x:c r="E707" s="48" t="str"/>
      <x:c r="F707" s="48" t="str">
        <x:v>Delay Damages</x:v>
      </x:c>
      <x:c r="G707" s="48" t="str">
        <x:v>Obligation</x:v>
      </x:c>
      <x:c r="H707" s="48" t="str">
        <x:v>Shared</x:v>
      </x:c>
      <x:c r="I707" s="48" t="n">
        <x:v>0.45</x:v>
      </x:c>
      <x:c r="J707" s="48" t="n">
        <x:v>0.4</x:v>
      </x:c>
      <x:c r="K707" s="48" t="str">
        <x:v>Yes</x:v>
      </x:c>
      <x:c r="L707" s="48" t="str">
        <x:v>PDF text</x:v>
      </x:c>
    </x:row>
    <x:row r="708">
      <x:c r="A708" s="48" t="str">
        <x:v>UNI-0707</x:v>
      </x:c>
      <x:c r="B708" s="48" t="str">
        <x:v>RED</x:v>
      </x:c>
      <x:c r="C708" s="48" t="str">
        <x:v>English</x:v>
      </x:c>
      <x:c r="D708" s="48" t="n">
        <x:v>44</x:v>
      </x:c>
      <x:c r="E708" s="48" t="str"/>
      <x:c r="F708" s="48" t="str">
        <x:v>Suspension of Work</x:v>
      </x:c>
      <x:c r="G708" s="48" t="str">
        <x:v>Obligation</x:v>
      </x:c>
      <x:c r="H708" s="48" t="str">
        <x:v>Shared</x:v>
      </x:c>
      <x:c r="I708" s="48" t="n">
        <x:v>0.45</x:v>
      </x:c>
      <x:c r="J708" s="48" t="n">
        <x:v>0.4</x:v>
      </x:c>
      <x:c r="K708" s="48" t="str">
        <x:v>Yes</x:v>
      </x:c>
      <x:c r="L708" s="48" t="str">
        <x:v>PDF text</x:v>
      </x:c>
    </x:row>
    <x:row r="709">
      <x:c r="A709" s="48" t="str">
        <x:v>UNI-0708</x:v>
      </x:c>
      <x:c r="B709" s="48" t="str">
        <x:v>RED</x:v>
      </x:c>
      <x:c r="C709" s="48" t="str">
        <x:v>English</x:v>
      </x:c>
      <x:c r="D709" s="48" t="n">
        <x:v>44</x:v>
      </x:c>
      <x:c r="E709" s="48" t="str"/>
      <x:c r="F709" s="48" t="str">
        <x:v>Consequences of</x:v>
      </x:c>
      <x:c r="G709" s="48" t="str">
        <x:v>Obligation</x:v>
      </x:c>
      <x:c r="H709" s="48" t="str">
        <x:v>Shared</x:v>
      </x:c>
      <x:c r="I709" s="48" t="n">
        <x:v>0.45</x:v>
      </x:c>
      <x:c r="J709" s="48" t="n">
        <x:v>0.4</x:v>
      </x:c>
      <x:c r="K709" s="48" t="str">
        <x:v>Yes</x:v>
      </x:c>
      <x:c r="L709" s="48" t="str">
        <x:v>PDF text</x:v>
      </x:c>
    </x:row>
    <x:row r="710">
      <x:c r="A710" s="48" t="str">
        <x:v>UNI-0709</x:v>
      </x:c>
      <x:c r="B710" s="48" t="str">
        <x:v>RED</x:v>
      </x:c>
      <x:c r="C710" s="48" t="str">
        <x:v>English</x:v>
      </x:c>
      <x:c r="D710" s="48" t="n">
        <x:v>44</x:v>
      </x:c>
      <x:c r="E710" s="48" t="str"/>
      <x:c r="F710" s="48" t="str">
        <x:v>Suspension</x:v>
      </x:c>
      <x:c r="G710" s="48" t="str">
        <x:v>Obligation</x:v>
      </x:c>
      <x:c r="H710" s="48" t="str">
        <x:v>Shared</x:v>
      </x:c>
      <x:c r="I710" s="48" t="n">
        <x:v>0.45</x:v>
      </x:c>
      <x:c r="J710" s="48" t="n">
        <x:v>0.4</x:v>
      </x:c>
      <x:c r="K710" s="48" t="str">
        <x:v>Yes</x:v>
      </x:c>
      <x:c r="L710" s="48" t="str">
        <x:v>PDF text</x:v>
      </x:c>
    </x:row>
    <x:row r="711">
      <x:c r="A711" s="48" t="str">
        <x:v>UNI-0710</x:v>
      </x:c>
      <x:c r="B711" s="48" t="str">
        <x:v>RED</x:v>
      </x:c>
      <x:c r="C711" s="48" t="str">
        <x:v>English</x:v>
      </x:c>
      <x:c r="D711" s="48" t="n">
        <x:v>45</x:v>
      </x:c>
      <x:c r="E711" s="48" t="str"/>
      <x:c r="F711" s="48" t="str">
        <x:v>(a) an extension of time for any such delay, if completion is or will be delayed, under Sub-Clause 8.4 [Extension of Time for Completion], and (b) payment of any such Cost, which shall be included in the Contract Price.</x:v>
      </x:c>
      <x:c r="G711" s="48" t="str">
        <x:v>Risk</x:v>
      </x:c>
      <x:c r="H711" s="48" t="str">
        <x:v>Shared</x:v>
      </x:c>
      <x:c r="I711" s="48" t="n">
        <x:v>0.78</x:v>
      </x:c>
      <x:c r="J711" s="48" t="n">
        <x:v>0.4</x:v>
      </x:c>
      <x:c r="K711" s="48" t="str">
        <x:v>Yes</x:v>
      </x:c>
      <x:c r="L711" s="48" t="str">
        <x:v>PDF text</x:v>
      </x:c>
    </x:row>
    <x:row r="712">
      <x:c r="A712" s="48" t="str">
        <x:v>UNI-0711</x:v>
      </x:c>
      <x:c r="B712" s="48" t="str">
        <x:v>RED</x:v>
      </x:c>
      <x:c r="C712" s="48" t="str">
        <x:v>English</x:v>
      </x:c>
      <x:c r="D712" s="48" t="n">
        <x:v>45</x:v>
      </x:c>
      <x:c r="E712" s="48" t="str"/>
      <x:c r="F712" s="48" t="str">
        <x:v>The Contractor shall not be entitled to an extension of time for, or to payment of the</x:v>
      </x:c>
      <x:c r="G712" s="48" t="str">
        <x:v>Obligation</x:v>
      </x:c>
      <x:c r="H712" s="48" t="str">
        <x:v>Contractor</x:v>
      </x:c>
      <x:c r="I712" s="48" t="n">
        <x:v>0.88</x:v>
      </x:c>
      <x:c r="J712" s="48" t="n">
        <x:v>0.92</x:v>
      </x:c>
      <x:c r="K712" s="48" t="str">
        <x:v>No</x:v>
      </x:c>
      <x:c r="L712" s="48" t="str">
        <x:v>PDF text</x:v>
      </x:c>
    </x:row>
    <x:row r="713">
      <x:c r="A713" s="48" t="str">
        <x:v>UNI-0712</x:v>
      </x:c>
      <x:c r="B713" s="48" t="str">
        <x:v>RED</x:v>
      </x:c>
      <x:c r="C713" s="48" t="str">
        <x:v>English</x:v>
      </x:c>
      <x:c r="D713" s="48" t="n">
        <x:v>45</x:v>
      </x:c>
      <x:c r="E713" s="48" t="str"/>
      <x:c r="F713" s="48" t="str">
        <x:v>Cost incurred in, making good the consequences of the Contractor’s faulty design,</x:v>
      </x:c>
      <x:c r="G713" s="48" t="str">
        <x:v>Obligation</x:v>
      </x:c>
      <x:c r="H713" s="48" t="str">
        <x:v>Contractor</x:v>
      </x:c>
      <x:c r="I713" s="48" t="n">
        <x:v>0.45</x:v>
      </x:c>
      <x:c r="J713" s="48" t="n">
        <x:v>0.68</x:v>
      </x:c>
      <x:c r="K713" s="48" t="str">
        <x:v>Yes</x:v>
      </x:c>
      <x:c r="L713" s="48" t="str">
        <x:v>PDF text</x:v>
      </x:c>
    </x:row>
    <x:row r="714">
      <x:c r="A714" s="48" t="str">
        <x:v>UNI-0713</x:v>
      </x:c>
      <x:c r="B714" s="48" t="str">
        <x:v>RED</x:v>
      </x:c>
      <x:c r="C714" s="48" t="str">
        <x:v>English</x:v>
      </x:c>
      <x:c r="D714" s="48" t="n">
        <x:v>45</x:v>
      </x:c>
      <x:c r="E714" s="48" t="str"/>
      <x:c r="F714" s="48" t="str">
        <x:v>workmanship or materials, or of the Contractor’s failure to protect, store or secure in accordance with Sub-Clause 8.8 [Suspension of Work].</x:v>
      </x:c>
      <x:c r="G714" s="48" t="str">
        <x:v>Obligation</x:v>
      </x:c>
      <x:c r="H714" s="48" t="str">
        <x:v>Contractor</x:v>
      </x:c>
      <x:c r="I714" s="48" t="n">
        <x:v>0.45</x:v>
      </x:c>
      <x:c r="J714" s="48" t="n">
        <x:v>0.68</x:v>
      </x:c>
      <x:c r="K714" s="48" t="str">
        <x:v>Yes</x:v>
      </x:c>
      <x:c r="L714" s="48" t="str">
        <x:v>PDF text</x:v>
      </x:c>
    </x:row>
    <x:row r="715">
      <x:c r="A715" s="48" t="str">
        <x:v>UNI-0714</x:v>
      </x:c>
      <x:c r="B715" s="48" t="str">
        <x:v>RED</x:v>
      </x:c>
      <x:c r="C715" s="48" t="str">
        <x:v>English</x:v>
      </x:c>
      <x:c r="D715" s="48" t="n">
        <x:v>45</x:v>
      </x:c>
      <x:c r="E715" s="48" t="str"/>
      <x:c r="F715" s="48" t="str">
        <x:v>The Contractor shall be entitled to payment of the value (as at the date of suspension) of Plant and/or Materials which have not been delivered to Site, if: (a) the work on Plant or delivery of Plant and/or Materials has been suspended for more than 28 days, and (b) the Contractor has marked the Plant and/or Materials as the Employer’s property in accordance with the Engineer’s instructions.</x:v>
      </x:c>
      <x:c r="G715" s="48" t="str">
        <x:v>Obligation</x:v>
      </x:c>
      <x:c r="H715" s="48" t="str">
        <x:v>Contractor</x:v>
      </x:c>
      <x:c r="I715" s="48" t="n">
        <x:v>0.88</x:v>
      </x:c>
      <x:c r="J715" s="48" t="n">
        <x:v>0.92</x:v>
      </x:c>
      <x:c r="K715" s="48" t="str">
        <x:v>No</x:v>
      </x:c>
      <x:c r="L715" s="48" t="str">
        <x:v>PDF text</x:v>
      </x:c>
    </x:row>
    <x:row r="716">
      <x:c r="A716" s="48" t="str">
        <x:v>UNI-0715</x:v>
      </x:c>
      <x:c r="B716" s="48" t="str">
        <x:v>RED</x:v>
      </x:c>
      <x:c r="C716" s="48" t="str">
        <x:v>English</x:v>
      </x:c>
      <x:c r="D716" s="48" t="n">
        <x:v>45</x:v>
      </x:c>
      <x:c r="E716" s="48" t="str"/>
      <x:c r="F716" s="48" t="str">
        <x:v>If the suspension under Sub-Clause 8.8 [Suspension of Work] has continued for more than 84 days, the Contractor may request the Engineer’s permission to proceed.</x:v>
      </x:c>
      <x:c r="G716" s="48" t="str">
        <x:v>Right</x:v>
      </x:c>
      <x:c r="H716" s="48" t="str">
        <x:v>Contractor</x:v>
      </x:c>
      <x:c r="I716" s="48" t="n">
        <x:v>0.78</x:v>
      </x:c>
      <x:c r="J716" s="48" t="n">
        <x:v>0.92</x:v>
      </x:c>
      <x:c r="K716" s="48" t="str">
        <x:v>No</x:v>
      </x:c>
      <x:c r="L716" s="48" t="str">
        <x:v>PDF text</x:v>
      </x:c>
    </x:row>
    <x:row r="717">
      <x:c r="A717" s="48" t="str">
        <x:v>UNI-0716</x:v>
      </x:c>
      <x:c r="B717" s="48" t="str">
        <x:v>RED</x:v>
      </x:c>
      <x:c r="C717" s="48" t="str">
        <x:v>English</x:v>
      </x:c>
      <x:c r="D717" s="48" t="n">
        <x:v>45</x:v>
      </x:c>
      <x:c r="E717" s="48" t="str"/>
      <x:c r="F717" s="48" t="str">
        <x:v>If the Engineer does not give permission within 28 days after being requested to do so, the Contractor may, by giving notice to the Engineer, treat the suspension as an omission under Clause 13 [Variations and Adjustments] of the affected part of the Works.</x:v>
      </x:c>
      <x:c r="G717" s="48" t="str">
        <x:v>Obligation</x:v>
      </x:c>
      <x:c r="H717" s="48" t="str">
        <x:v>Contractor</x:v>
      </x:c>
      <x:c r="I717" s="48" t="n">
        <x:v>0.55</x:v>
      </x:c>
      <x:c r="J717" s="48" t="n">
        <x:v>0.68</x:v>
      </x:c>
      <x:c r="K717" s="48" t="str">
        <x:v>Yes</x:v>
      </x:c>
      <x:c r="L717" s="48" t="str">
        <x:v>PDF text</x:v>
      </x:c>
    </x:row>
    <x:row r="718">
      <x:c r="A718" s="48" t="str">
        <x:v>UNI-0717</x:v>
      </x:c>
      <x:c r="B718" s="48" t="str">
        <x:v>RED</x:v>
      </x:c>
      <x:c r="C718" s="48" t="str">
        <x:v>English</x:v>
      </x:c>
      <x:c r="D718" s="48" t="n">
        <x:v>45</x:v>
      </x:c>
      <x:c r="E718" s="48" t="str"/>
      <x:c r="F718" s="48" t="str">
        <x:v>If the suspension affects the whole of the Works, the Contractor may give notice of termination under Sub-Clause 16.2 [Termination by Contractor].</x:v>
      </x:c>
      <x:c r="G718" s="48" t="str">
        <x:v>Right</x:v>
      </x:c>
      <x:c r="H718" s="48" t="str">
        <x:v>Contractor</x:v>
      </x:c>
      <x:c r="I718" s="48" t="n">
        <x:v>0.78</x:v>
      </x:c>
      <x:c r="J718" s="48" t="n">
        <x:v>0.92</x:v>
      </x:c>
      <x:c r="K718" s="48" t="str">
        <x:v>No</x:v>
      </x:c>
      <x:c r="L718" s="48" t="str">
        <x:v>PDF text</x:v>
      </x:c>
    </x:row>
    <x:row r="719">
      <x:c r="A719" s="48" t="str">
        <x:v>UNI-0718</x:v>
      </x:c>
      <x:c r="B719" s="48" t="str">
        <x:v>RED</x:v>
      </x:c>
      <x:c r="C719" s="48" t="str">
        <x:v>English</x:v>
      </x:c>
      <x:c r="D719" s="48" t="n">
        <x:v>45</x:v>
      </x:c>
      <x:c r="E719" s="48" t="str"/>
      <x:c r="F719" s="48" t="str">
        <x:v>After the permission or instruction to proceed is given, the Contractor and the</x:v>
      </x:c>
      <x:c r="G719" s="48" t="str">
        <x:v>Obligation</x:v>
      </x:c>
      <x:c r="H719" s="48" t="str">
        <x:v>Contractor</x:v>
      </x:c>
      <x:c r="I719" s="48" t="n">
        <x:v>0.45</x:v>
      </x:c>
      <x:c r="J719" s="48" t="n">
        <x:v>0.68</x:v>
      </x:c>
      <x:c r="K719" s="48" t="str">
        <x:v>Yes</x:v>
      </x:c>
      <x:c r="L719" s="48" t="str">
        <x:v>PDF text</x:v>
      </x:c>
    </x:row>
    <x:row r="720">
      <x:c r="A720" s="48" t="str">
        <x:v>UNI-0719</x:v>
      </x:c>
      <x:c r="B720" s="48" t="str">
        <x:v>RED</x:v>
      </x:c>
      <x:c r="C720" s="48" t="str">
        <x:v>English</x:v>
      </x:c>
      <x:c r="D720" s="48" t="n">
        <x:v>45</x:v>
      </x:c>
      <x:c r="E720" s="48" t="str"/>
      <x:c r="F720" s="48" t="str">
        <x:v>Engineer shall jointly examine the Works and the Plant and Materials affected by the suspension.</x:v>
      </x:c>
      <x:c r="G720" s="48" t="str">
        <x:v>Obligation</x:v>
      </x:c>
      <x:c r="H720" s="48" t="str">
        <x:v>Shared</x:v>
      </x:c>
      <x:c r="I720" s="48" t="n">
        <x:v>0.88</x:v>
      </x:c>
      <x:c r="J720" s="48" t="n">
        <x:v>0.4</x:v>
      </x:c>
      <x:c r="K720" s="48" t="str">
        <x:v>Yes</x:v>
      </x:c>
      <x:c r="L720" s="48" t="str">
        <x:v>PDF text</x:v>
      </x:c>
    </x:row>
    <x:row r="721">
      <x:c r="A721" s="48" t="str">
        <x:v>UNI-0720</x:v>
      </x:c>
      <x:c r="B721" s="48" t="str">
        <x:v>RED</x:v>
      </x:c>
      <x:c r="C721" s="48" t="str">
        <x:v>English</x:v>
      </x:c>
      <x:c r="D721" s="48" t="n">
        <x:v>45</x:v>
      </x:c>
      <x:c r="E721" s="48" t="str"/>
      <x:c r="F721" s="48" t="str">
        <x:v>The Contractor shall make good any deterioration or defect in or loss of the Works or Plant or Materials, which has occurred during the suspension.</x:v>
      </x:c>
      <x:c r="G721" s="48" t="str">
        <x:v>Obligation</x:v>
      </x:c>
      <x:c r="H721" s="48" t="str">
        <x:v>Contractor</x:v>
      </x:c>
      <x:c r="I721" s="48" t="n">
        <x:v>0.88</x:v>
      </x:c>
      <x:c r="J721" s="48" t="n">
        <x:v>0.92</x:v>
      </x:c>
      <x:c r="K721" s="48" t="str">
        <x:v>No</x:v>
      </x:c>
      <x:c r="L721" s="48" t="str">
        <x:v>PDF text</x:v>
      </x:c>
    </x:row>
    <x:row r="722">
      <x:c r="A722" s="48" t="str">
        <x:v>UNI-0721</x:v>
      </x:c>
      <x:c r="B722" s="48" t="str">
        <x:v>RED</x:v>
      </x:c>
      <x:c r="C722" s="48" t="str">
        <x:v>English</x:v>
      </x:c>
      <x:c r="D722" s="48" t="n">
        <x:v>45</x:v>
      </x:c>
      <x:c r="E722" s="48" t="str"/>
      <x:c r="F722" s="48" t="str">
        <x:v>The Contractor shall carry out the Tests on Completion in accordance with this Clause and Sub-Clause 7.4 [Testing], after providing the documents in accordance with subparagraph (d) of Sub-Clause 4.1 [Contractor’s General Obligations].</x:v>
      </x:c>
      <x:c r="G722" s="48" t="str">
        <x:v>Obligation</x:v>
      </x:c>
      <x:c r="H722" s="48" t="str">
        <x:v>Contractor</x:v>
      </x:c>
      <x:c r="I722" s="48" t="n">
        <x:v>0.88</x:v>
      </x:c>
      <x:c r="J722" s="48" t="n">
        <x:v>0.92</x:v>
      </x:c>
      <x:c r="K722" s="48" t="str">
        <x:v>No</x:v>
      </x:c>
      <x:c r="L722" s="48" t="str">
        <x:v>PDF text</x:v>
      </x:c>
    </x:row>
    <x:row r="723">
      <x:c r="A723" s="48" t="str">
        <x:v>UNI-0722</x:v>
      </x:c>
      <x:c r="B723" s="48" t="str">
        <x:v>RED</x:v>
      </x:c>
      <x:c r="C723" s="48" t="str">
        <x:v>English</x:v>
      </x:c>
      <x:c r="D723" s="48" t="n">
        <x:v>45</x:v>
      </x:c>
      <x:c r="E723" s="48" t="str"/>
      <x:c r="F723" s="48" t="str">
        <x:v>The Contractor shall give to the Engineer not less than 21 days’ notice of the date after which the Contractor will be ready to carry out each of the Tests on Completion.</x:v>
      </x:c>
      <x:c r="G723" s="48" t="str">
        <x:v>Obligation</x:v>
      </x:c>
      <x:c r="H723" s="48" t="str">
        <x:v>Contractor</x:v>
      </x:c>
      <x:c r="I723" s="48" t="n">
        <x:v>0.88</x:v>
      </x:c>
      <x:c r="J723" s="48" t="n">
        <x:v>0.92</x:v>
      </x:c>
      <x:c r="K723" s="48" t="str">
        <x:v>No</x:v>
      </x:c>
      <x:c r="L723" s="48" t="str">
        <x:v>PDF text</x:v>
      </x:c>
    </x:row>
    <x:row r="724">
      <x:c r="A724" s="48" t="str">
        <x:v>UNI-0723</x:v>
      </x:c>
      <x:c r="B724" s="48" t="str">
        <x:v>RED</x:v>
      </x:c>
      <x:c r="C724" s="48" t="str">
        <x:v>English</x:v>
      </x:c>
      <x:c r="D724" s="48" t="n">
        <x:v>45</x:v>
      </x:c>
      <x:c r="E724" s="48" t="str"/>
      <x:c r="F724" s="48" t="str">
        <x:v>Unless otherwise agreed, Tests on Completion shall be carried out within 14 days after this date, on such day or days as the Engineer shall instruct.</x:v>
      </x:c>
      <x:c r="G724" s="48" t="str">
        <x:v>Obligation</x:v>
      </x:c>
      <x:c r="H724" s="48" t="str">
        <x:v>Shared</x:v>
      </x:c>
      <x:c r="I724" s="48" t="n">
        <x:v>0.88</x:v>
      </x:c>
      <x:c r="J724" s="48" t="n">
        <x:v>0.4</x:v>
      </x:c>
      <x:c r="K724" s="48" t="str">
        <x:v>Yes</x:v>
      </x:c>
      <x:c r="L724" s="48" t="str">
        <x:v>PDF text</x:v>
      </x:c>
    </x:row>
    <x:row r="725">
      <x:c r="A725" s="48" t="str">
        <x:v>UNI-0724</x:v>
      </x:c>
      <x:c r="B725" s="48" t="str">
        <x:v>RED</x:v>
      </x:c>
      <x:c r="C725" s="48" t="str">
        <x:v>English</x:v>
      </x:c>
      <x:c r="D725" s="48" t="n">
        <x:v>45</x:v>
      </x:c>
      <x:c r="E725" s="48" t="str"/>
      <x:c r="F725" s="48" t="str">
        <x:v>In considering the results of the Tests on Completion, the Engineer shall make</x:v>
      </x:c>
      <x:c r="G725" s="48" t="str">
        <x:v>Obligation</x:v>
      </x:c>
      <x:c r="H725" s="48" t="str">
        <x:v>Shared</x:v>
      </x:c>
      <x:c r="I725" s="48" t="n">
        <x:v>0.88</x:v>
      </x:c>
      <x:c r="J725" s="48" t="n">
        <x:v>0.4</x:v>
      </x:c>
      <x:c r="K725" s="48" t="str">
        <x:v>Yes</x:v>
      </x:c>
      <x:c r="L725" s="48" t="str">
        <x:v>PDF text</x:v>
      </x:c>
    </x:row>
    <x:row r="726">
      <x:c r="A726" s="48" t="str">
        <x:v>UNI-0725</x:v>
      </x:c>
      <x:c r="B726" s="48" t="str">
        <x:v>RED</x:v>
      </x:c>
      <x:c r="C726" s="48" t="str">
        <x:v>English</x:v>
      </x:c>
      <x:c r="D726" s="48" t="n">
        <x:v>45</x:v>
      </x:c>
      <x:c r="E726" s="48" t="str"/>
      <x:c r="F726" s="48" t="str">
        <x:v>allowances for the effect of any use of the Works by the Employer on the performance or other characteristics of the Works.</x:v>
      </x:c>
      <x:c r="G726" s="48" t="str">
        <x:v>Obligation</x:v>
      </x:c>
      <x:c r="H726" s="48" t="str">
        <x:v>Employer</x:v>
      </x:c>
      <x:c r="I726" s="48" t="n">
        <x:v>0.45</x:v>
      </x:c>
      <x:c r="J726" s="48" t="n">
        <x:v>0.68</x:v>
      </x:c>
      <x:c r="K726" s="48" t="str">
        <x:v>Yes</x:v>
      </x:c>
      <x:c r="L726" s="48" t="str">
        <x:v>PDF text</x:v>
      </x:c>
    </x:row>
    <x:row r="727">
      <x:c r="A727" s="48" t="str">
        <x:v>UNI-0726</x:v>
      </x:c>
      <x:c r="B727" s="48" t="str">
        <x:v>RED</x:v>
      </x:c>
      <x:c r="C727" s="48" t="str">
        <x:v>English</x:v>
      </x:c>
      <x:c r="D727" s="48" t="n">
        <x:v>45</x:v>
      </x:c>
      <x:c r="E727" s="48" t="str"/>
      <x:c r="F727" s="48" t="str">
        <x:v>As soon as the Works, or a Section, have passed any Tests on Completion, the Contractor shall submit a certified report of the results of these Tests to the Engineer.</x:v>
      </x:c>
      <x:c r="G727" s="48" t="str">
        <x:v>Obligation</x:v>
      </x:c>
      <x:c r="H727" s="48" t="str">
        <x:v>Contractor</x:v>
      </x:c>
      <x:c r="I727" s="48" t="n">
        <x:v>0.88</x:v>
      </x:c>
      <x:c r="J727" s="48" t="n">
        <x:v>0.92</x:v>
      </x:c>
      <x:c r="K727" s="48" t="str">
        <x:v>No</x:v>
      </x:c>
      <x:c r="L727" s="48" t="str">
        <x:v>PDF text</x:v>
      </x:c>
    </x:row>
    <x:row r="728">
      <x:c r="A728" s="48" t="str">
        <x:v>UNI-0727</x:v>
      </x:c>
      <x:c r="B728" s="48" t="str">
        <x:v>RED</x:v>
      </x:c>
      <x:c r="C728" s="48" t="str">
        <x:v>English</x:v>
      </x:c>
      <x:c r="D728" s="48" t="n">
        <x:v>45</x:v>
      </x:c>
      <x:c r="E728" s="48" t="str"/>
      <x:c r="F728" s="48" t="str">
        <x:v>Payment for Plant and</x:v>
      </x:c>
      <x:c r="G728" s="48" t="str">
        <x:v>Obligation</x:v>
      </x:c>
      <x:c r="H728" s="48" t="str">
        <x:v>Shared</x:v>
      </x:c>
      <x:c r="I728" s="48" t="n">
        <x:v>0.55</x:v>
      </x:c>
      <x:c r="J728" s="48" t="n">
        <x:v>0.4</x:v>
      </x:c>
      <x:c r="K728" s="48" t="str">
        <x:v>Yes</x:v>
      </x:c>
      <x:c r="L728" s="48" t="str">
        <x:v>PDF text</x:v>
      </x:c>
    </x:row>
    <x:row r="729">
      <x:c r="A729" s="48" t="str">
        <x:v>UNI-0728</x:v>
      </x:c>
      <x:c r="B729" s="48" t="str">
        <x:v>RED</x:v>
      </x:c>
      <x:c r="C729" s="48" t="str">
        <x:v>English</x:v>
      </x:c>
      <x:c r="D729" s="48" t="n">
        <x:v>45</x:v>
      </x:c>
      <x:c r="E729" s="48" t="str"/>
      <x:c r="F729" s="48" t="str">
        <x:v>Materials in Event of</x:v>
      </x:c>
      <x:c r="G729" s="48" t="str">
        <x:v>Obligation</x:v>
      </x:c>
      <x:c r="H729" s="48" t="str">
        <x:v>Shared</x:v>
      </x:c>
      <x:c r="I729" s="48" t="n">
        <x:v>0.45</x:v>
      </x:c>
      <x:c r="J729" s="48" t="n">
        <x:v>0.4</x:v>
      </x:c>
      <x:c r="K729" s="48" t="str">
        <x:v>Yes</x:v>
      </x:c>
      <x:c r="L729" s="48" t="str">
        <x:v>PDF text</x:v>
      </x:c>
    </x:row>
    <x:row r="730">
      <x:c r="A730" s="48" t="str">
        <x:v>UNI-0729</x:v>
      </x:c>
      <x:c r="B730" s="48" t="str">
        <x:v>RED</x:v>
      </x:c>
      <x:c r="C730" s="48" t="str">
        <x:v>English</x:v>
      </x:c>
      <x:c r="D730" s="48" t="n">
        <x:v>45</x:v>
      </x:c>
      <x:c r="E730" s="48" t="str"/>
      <x:c r="F730" s="48" t="str">
        <x:v>Prolonged Suspension</x:v>
      </x:c>
      <x:c r="G730" s="48" t="str">
        <x:v>Obligation</x:v>
      </x:c>
      <x:c r="H730" s="48" t="str">
        <x:v>Shared</x:v>
      </x:c>
      <x:c r="I730" s="48" t="n">
        <x:v>0.45</x:v>
      </x:c>
      <x:c r="J730" s="48" t="n">
        <x:v>0.4</x:v>
      </x:c>
      <x:c r="K730" s="48" t="str">
        <x:v>Yes</x:v>
      </x:c>
      <x:c r="L730" s="48" t="str">
        <x:v>PDF text</x:v>
      </x:c>
    </x:row>
    <x:row r="731">
      <x:c r="A731" s="48" t="str">
        <x:v>UNI-0730</x:v>
      </x:c>
      <x:c r="B731" s="48" t="str">
        <x:v>RED</x:v>
      </x:c>
      <x:c r="C731" s="48" t="str">
        <x:v>English</x:v>
      </x:c>
      <x:c r="D731" s="48" t="n">
        <x:v>45</x:v>
      </x:c>
      <x:c r="E731" s="48" t="str"/>
      <x:c r="F731" s="48" t="str">
        <x:v>Resumption of Work</x:v>
      </x:c>
      <x:c r="G731" s="48" t="str">
        <x:v>Obligation</x:v>
      </x:c>
      <x:c r="H731" s="48" t="str">
        <x:v>Shared</x:v>
      </x:c>
      <x:c r="I731" s="48" t="n">
        <x:v>0.45</x:v>
      </x:c>
      <x:c r="J731" s="48" t="n">
        <x:v>0.4</x:v>
      </x:c>
      <x:c r="K731" s="48" t="str">
        <x:v>Yes</x:v>
      </x:c>
      <x:c r="L731" s="48" t="str">
        <x:v>PDF text</x:v>
      </x:c>
    </x:row>
    <x:row r="732">
      <x:c r="A732" s="48" t="str">
        <x:v>UNI-0731</x:v>
      </x:c>
      <x:c r="B732" s="48" t="str">
        <x:v>RED</x:v>
      </x:c>
      <x:c r="C732" s="48" t="str">
        <x:v>English</x:v>
      </x:c>
      <x:c r="D732" s="48" t="n">
        <x:v>45</x:v>
      </x:c>
      <x:c r="E732" s="48" t="str">
        <x:v>9.1</x:v>
      </x:c>
      <x:c r="F732" s="48" t="str">
        <x:v>9.1 Contractor’s Obligations9</x:v>
      </x:c>
      <x:c r="G732" s="48" t="str">
        <x:v>Heading</x:v>
      </x:c>
      <x:c r="H732" s="48" t="str"/>
      <x:c r="I732" s="48" t="n">
        <x:v>0.9</x:v>
      </x:c>
      <x:c r="J732" s="48" t="n">
        <x:v>0.99</x:v>
      </x:c>
      <x:c r="K732" s="48" t="str">
        <x:v>No</x:v>
      </x:c>
      <x:c r="L732" s="48" t="str">
        <x:v>PDF text</x:v>
      </x:c>
    </x:row>
    <x:row r="733">
      <x:c r="A733" s="48" t="str">
        <x:v>UNI-0732</x:v>
      </x:c>
      <x:c r="B733" s="48" t="str">
        <x:v>RED</x:v>
      </x:c>
      <x:c r="C733" s="48" t="str">
        <x:v>English</x:v>
      </x:c>
      <x:c r="D733" s="48" t="n">
        <x:v>45</x:v>
      </x:c>
      <x:c r="E733" s="48" t="str"/>
      <x:c r="F733" s="48" t="str">
        <x:v>Tests on Completion</x:v>
      </x:c>
      <x:c r="G733" s="48" t="str">
        <x:v>Obligation</x:v>
      </x:c>
      <x:c r="H733" s="48" t="str">
        <x:v>Shared</x:v>
      </x:c>
      <x:c r="I733" s="48" t="n">
        <x:v>0.45</x:v>
      </x:c>
      <x:c r="J733" s="48" t="n">
        <x:v>0.4</x:v>
      </x:c>
      <x:c r="K733" s="48" t="str">
        <x:v>Yes</x:v>
      </x:c>
      <x:c r="L733" s="48" t="str">
        <x:v>PDF text</x:v>
      </x:c>
    </x:row>
    <x:row r="734">
      <x:c r="A734" s="48" t="str">
        <x:v>UNI-0733</x:v>
      </x:c>
      <x:c r="B734" s="48" t="str">
        <x:v>RED</x:v>
      </x:c>
      <x:c r="C734" s="48" t="str">
        <x:v>English</x:v>
      </x:c>
      <x:c r="D734" s="48" t="n">
        <x:v>46</x:v>
      </x:c>
      <x:c r="E734" s="48" t="str"/>
      <x:c r="F734" s="48" t="str">
        <x:v>If the Tests on Completion are being unduly delayed by the Employer, Sub-Clause 7.4 [Testing] (fifth paragraph) and/or Sub-Clause 10.3 [Interference with Tests on Completion] shall be applicable.</x:v>
      </x:c>
      <x:c r="G734" s="48" t="str">
        <x:v>Obligation</x:v>
      </x:c>
      <x:c r="H734" s="48" t="str">
        <x:v>Employer</x:v>
      </x:c>
      <x:c r="I734" s="48" t="n">
        <x:v>0.88</x:v>
      </x:c>
      <x:c r="J734" s="48" t="n">
        <x:v>0.68</x:v>
      </x:c>
      <x:c r="K734" s="48" t="str">
        <x:v>Yes</x:v>
      </x:c>
      <x:c r="L734" s="48" t="str">
        <x:v>PDF text</x:v>
      </x:c>
    </x:row>
    <x:row r="735">
      <x:c r="A735" s="48" t="str">
        <x:v>UNI-0734</x:v>
      </x:c>
      <x:c r="B735" s="48" t="str">
        <x:v>RED</x:v>
      </x:c>
      <x:c r="C735" s="48" t="str">
        <x:v>English</x:v>
      </x:c>
      <x:c r="D735" s="48" t="n">
        <x:v>46</x:v>
      </x:c>
      <x:c r="E735" s="48" t="str"/>
      <x:c r="F735" s="48" t="str">
        <x:v>If the Tests on Completion are being unduly delayed by the Contractor, the Engineer may by notice require the Contractor to carry out the Tests within 21 days after receiving the notice.</x:v>
      </x:c>
      <x:c r="G735" s="48" t="str">
        <x:v>Right</x:v>
      </x:c>
      <x:c r="H735" s="48" t="str">
        <x:v>Contractor</x:v>
      </x:c>
      <x:c r="I735" s="48" t="n">
        <x:v>0.78</x:v>
      </x:c>
      <x:c r="J735" s="48" t="n">
        <x:v>0.68</x:v>
      </x:c>
      <x:c r="K735" s="48" t="str">
        <x:v>Yes</x:v>
      </x:c>
      <x:c r="L735" s="48" t="str">
        <x:v>PDF text</x:v>
      </x:c>
    </x:row>
    <x:row r="736">
      <x:c r="A736" s="48" t="str">
        <x:v>UNI-0735</x:v>
      </x:c>
      <x:c r="B736" s="48" t="str">
        <x:v>RED</x:v>
      </x:c>
      <x:c r="C736" s="48" t="str">
        <x:v>English</x:v>
      </x:c>
      <x:c r="D736" s="48" t="n">
        <x:v>46</x:v>
      </x:c>
      <x:c r="E736" s="48" t="str"/>
      <x:c r="F736" s="48" t="str">
        <x:v>The Contractor shall carry out the Tests on such day or days within that period as the Contractor may fix and of which he shall give notice to the Engineer.</x:v>
      </x:c>
      <x:c r="G736" s="48" t="str">
        <x:v>Obligation</x:v>
      </x:c>
      <x:c r="H736" s="48" t="str">
        <x:v>Contractor</x:v>
      </x:c>
      <x:c r="I736" s="48" t="n">
        <x:v>0.88</x:v>
      </x:c>
      <x:c r="J736" s="48" t="n">
        <x:v>0.92</x:v>
      </x:c>
      <x:c r="K736" s="48" t="str">
        <x:v>No</x:v>
      </x:c>
      <x:c r="L736" s="48" t="str">
        <x:v>PDF text</x:v>
      </x:c>
    </x:row>
    <x:row r="737">
      <x:c r="A737" s="48" t="str">
        <x:v>UNI-0736</x:v>
      </x:c>
      <x:c r="B737" s="48" t="str">
        <x:v>RED</x:v>
      </x:c>
      <x:c r="C737" s="48" t="str">
        <x:v>English</x:v>
      </x:c>
      <x:c r="D737" s="48" t="n">
        <x:v>46</x:v>
      </x:c>
      <x:c r="E737" s="48" t="str"/>
      <x:c r="F737" s="48" t="str">
        <x:v>If the Contractor fails to carry out the Tests on Completion within the period of 21 days, the Employer’s Personnel may proceed with the Tests at the risk and cost of the Contractor.</x:v>
      </x:c>
      <x:c r="G737" s="48" t="str">
        <x:v>Risk</x:v>
      </x:c>
      <x:c r="H737" s="48" t="str">
        <x:v>Shared</x:v>
      </x:c>
      <x:c r="I737" s="48" t="n">
        <x:v>0.78</x:v>
      </x:c>
      <x:c r="J737" s="48" t="n">
        <x:v>0.6</x:v>
      </x:c>
      <x:c r="K737" s="48" t="str">
        <x:v>Yes</x:v>
      </x:c>
      <x:c r="L737" s="48" t="str">
        <x:v>PDF text</x:v>
      </x:c>
    </x:row>
    <x:row r="738">
      <x:c r="A738" s="48" t="str">
        <x:v>UNI-0737</x:v>
      </x:c>
      <x:c r="B738" s="48" t="str">
        <x:v>RED</x:v>
      </x:c>
      <x:c r="C738" s="48" t="str">
        <x:v>English</x:v>
      </x:c>
      <x:c r="D738" s="48" t="n">
        <x:v>46</x:v>
      </x:c>
      <x:c r="E738" s="48" t="str"/>
      <x:c r="F738" s="48" t="str">
        <x:v>The Tests on Completion shall then be deemed to have been carried out in the presence of the Contractor and the results of the Tests shall be accepted as accurate.</x:v>
      </x:c>
      <x:c r="G738" s="48" t="str">
        <x:v>Obligation</x:v>
      </x:c>
      <x:c r="H738" s="48" t="str">
        <x:v>Contractor</x:v>
      </x:c>
      <x:c r="I738" s="48" t="n">
        <x:v>0.88</x:v>
      </x:c>
      <x:c r="J738" s="48" t="n">
        <x:v>0.68</x:v>
      </x:c>
      <x:c r="K738" s="48" t="str">
        <x:v>Yes</x:v>
      </x:c>
      <x:c r="L738" s="48" t="str">
        <x:v>PDF text</x:v>
      </x:c>
    </x:row>
    <x:row r="739">
      <x:c r="A739" s="48" t="str">
        <x:v>UNI-0738</x:v>
      </x:c>
      <x:c r="B739" s="48" t="str">
        <x:v>RED</x:v>
      </x:c>
      <x:c r="C739" s="48" t="str">
        <x:v>English</x:v>
      </x:c>
      <x:c r="D739" s="48" t="n">
        <x:v>46</x:v>
      </x:c>
      <x:c r="E739" s="48" t="str"/>
      <x:c r="F739" s="48" t="str">
        <x:v>If the Works, or a Section, fail to pass the Tests on Completion, Sub-Clause 7.5 [Rejection] shall apply, and the Engineer or the Contractor may require the failed Tests, and Tests on Completion on any related work, to be repeated under the same terms and conditions.</x:v>
      </x:c>
      <x:c r="G739" s="48" t="str">
        <x:v>Obligation</x:v>
      </x:c>
      <x:c r="H739" s="48" t="str">
        <x:v>Contractor</x:v>
      </x:c>
      <x:c r="I739" s="48" t="n">
        <x:v>0.88</x:v>
      </x:c>
      <x:c r="J739" s="48" t="n">
        <x:v>0.68</x:v>
      </x:c>
      <x:c r="K739" s="48" t="str">
        <x:v>Yes</x:v>
      </x:c>
      <x:c r="L739" s="48" t="str">
        <x:v>PDF text</x:v>
      </x:c>
    </x:row>
    <x:row r="740">
      <x:c r="A740" s="48" t="str">
        <x:v>UNI-0739</x:v>
      </x:c>
      <x:c r="B740" s="48" t="str">
        <x:v>RED</x:v>
      </x:c>
      <x:c r="C740" s="48" t="str">
        <x:v>English</x:v>
      </x:c>
      <x:c r="D740" s="48" t="n">
        <x:v>46</x:v>
      </x:c>
      <x:c r="E740" s="48" t="str"/>
      <x:c r="F740" s="48" t="str">
        <x:v>If the Works, or a Section, fail to pass the Tests on Completion repeated under SubClause 9.3 [Retesting], the Engineer shall be entitled to: (a) order further repetition of Tests on Completion under Sub-Clause 9.3; (b) if the failure deprives the Employer of substantially the whole benefit of the</x:v>
      </x:c>
      <x:c r="G740" s="48" t="str">
        <x:v>Risk</x:v>
      </x:c>
      <x:c r="H740" s="48" t="str">
        <x:v>Employer</x:v>
      </x:c>
      <x:c r="I740" s="48" t="n">
        <x:v>0.78</x:v>
      </x:c>
      <x:c r="J740" s="48" t="n">
        <x:v>0.68</x:v>
      </x:c>
      <x:c r="K740" s="48" t="str">
        <x:v>Yes</x:v>
      </x:c>
      <x:c r="L740" s="48" t="str">
        <x:v>PDF text</x:v>
      </x:c>
    </x:row>
    <x:row r="741">
      <x:c r="A741" s="48" t="str">
        <x:v>UNI-0740</x:v>
      </x:c>
      <x:c r="B741" s="48" t="str">
        <x:v>RED</x:v>
      </x:c>
      <x:c r="C741" s="48" t="str">
        <x:v>English</x:v>
      </x:c>
      <x:c r="D741" s="48" t="n">
        <x:v>46</x:v>
      </x:c>
      <x:c r="E741" s="48" t="str"/>
      <x:c r="F741" s="48" t="str">
        <x:v>Works or Section, reject the Works or Section (as the case may be), in which</x:v>
      </x:c>
      <x:c r="G741" s="48" t="str">
        <x:v>Right</x:v>
      </x:c>
      <x:c r="H741" s="48" t="str">
        <x:v>Shared</x:v>
      </x:c>
      <x:c r="I741" s="48" t="n">
        <x:v>0.78</x:v>
      </x:c>
      <x:c r="J741" s="48" t="n">
        <x:v>0.4</x:v>
      </x:c>
      <x:c r="K741" s="48" t="str">
        <x:v>Yes</x:v>
      </x:c>
      <x:c r="L741" s="48" t="str">
        <x:v>PDF text</x:v>
      </x:c>
    </x:row>
    <x:row r="742">
      <x:c r="A742" s="48" t="str">
        <x:v>UNI-0741</x:v>
      </x:c>
      <x:c r="B742" s="48" t="str">
        <x:v>RED</x:v>
      </x:c>
      <x:c r="C742" s="48" t="str">
        <x:v>English</x:v>
      </x:c>
      <x:c r="D742" s="48" t="n">
        <x:v>46</x:v>
      </x:c>
      <x:c r="E742" s="48" t="str"/>
      <x:c r="F742" s="48" t="str">
        <x:v>event the Employer shall have the same remedies as are provided in subparagraph (c) of Sub-Clause 11.4 [Failure to Remedy Defects]; or (c) issue a Taking-Over Certificate, if the Employer so requests.</x:v>
      </x:c>
      <x:c r="G742" s="48" t="str">
        <x:v>Risk</x:v>
      </x:c>
      <x:c r="H742" s="48" t="str">
        <x:v>Employer</x:v>
      </x:c>
      <x:c r="I742" s="48" t="n">
        <x:v>0.78</x:v>
      </x:c>
      <x:c r="J742" s="48" t="n">
        <x:v>0.92</x:v>
      </x:c>
      <x:c r="K742" s="48" t="str">
        <x:v>No</x:v>
      </x:c>
      <x:c r="L742" s="48" t="str">
        <x:v>PDF text</x:v>
      </x:c>
    </x:row>
    <x:row r="743">
      <x:c r="A743" s="48" t="str">
        <x:v>UNI-0742</x:v>
      </x:c>
      <x:c r="B743" s="48" t="str">
        <x:v>RED</x:v>
      </x:c>
      <x:c r="C743" s="48" t="str">
        <x:v>English</x:v>
      </x:c>
      <x:c r="D743" s="48" t="n">
        <x:v>46</x:v>
      </x:c>
      <x:c r="E743" s="48" t="str"/>
      <x:c r="F743" s="48" t="str">
        <x:v>In the event of sub-paragraph (c), the Contractor shall proceed in accordance with all other obligations under the Contract, and the Contract Price shall be reduced by such amount as shall be appropriate to cover the reduced value to the Employer as a result of this failure.</x:v>
      </x:c>
      <x:c r="G743" s="48" t="str">
        <x:v>Risk</x:v>
      </x:c>
      <x:c r="H743" s="48" t="str">
        <x:v>Contractor</x:v>
      </x:c>
      <x:c r="I743" s="48" t="n">
        <x:v>0.78</x:v>
      </x:c>
      <x:c r="J743" s="48" t="n">
        <x:v>0.92</x:v>
      </x:c>
      <x:c r="K743" s="48" t="str">
        <x:v>No</x:v>
      </x:c>
      <x:c r="L743" s="48" t="str">
        <x:v>PDF text</x:v>
      </x:c>
    </x:row>
    <x:row r="744">
      <x:c r="A744" s="48" t="str">
        <x:v>UNI-0743</x:v>
      </x:c>
      <x:c r="B744" s="48" t="str">
        <x:v>RED</x:v>
      </x:c>
      <x:c r="C744" s="48" t="str">
        <x:v>English</x:v>
      </x:c>
      <x:c r="D744" s="48" t="n">
        <x:v>46</x:v>
      </x:c>
      <x:c r="E744" s="48" t="str"/>
      <x:c r="F744" s="48" t="str">
        <x:v>Unless the relevant reduction for this failure is stated (or its method of calculation is defined) in the Contract, the Employer may require the reduction to be (i) agreed by both Parties (in full satisfaction of this failure only) and paid before this Taking-Over Certificate is issued, or (ii) determined and paid under Sub-Clause 2.5 [Employer’s Claims] and Sub-Clause 3.5 [Determinations].</x:v>
      </x:c>
      <x:c r="G744" s="48" t="str">
        <x:v>Right</x:v>
      </x:c>
      <x:c r="H744" s="48" t="str">
        <x:v>Shared</x:v>
      </x:c>
      <x:c r="I744" s="48" t="n">
        <x:v>0.78</x:v>
      </x:c>
      <x:c r="J744" s="48" t="n">
        <x:v>0.93</x:v>
      </x:c>
      <x:c r="K744" s="48" t="str">
        <x:v>No</x:v>
      </x:c>
      <x:c r="L744" s="48" t="str">
        <x:v>PDF text</x:v>
      </x:c>
    </x:row>
    <x:row r="745">
      <x:c r="A745" s="48" t="str">
        <x:v>UNI-0744</x:v>
      </x:c>
      <x:c r="B745" s="48" t="str">
        <x:v>RED</x:v>
      </x:c>
      <x:c r="C745" s="48" t="str">
        <x:v>English</x:v>
      </x:c>
      <x:c r="D745" s="48" t="n">
        <x:v>46</x:v>
      </x:c>
      <x:c r="E745" s="48" t="str"/>
      <x:c r="F745" s="48" t="str">
        <x:v>Except as stated in Sub-Clause 9.4 [Failure to Pass Tests on Completion], the Works shall be taken over by the Employer when (i) the Works have been completed in accordance with the Contract, including the matters described in Sub-Clause 8.2 [Time for Completion] and except as allowed in sub-paragraph (a) below, and (ii) a</x:v>
      </x:c>
      <x:c r="G745" s="48" t="str">
        <x:v>Risk</x:v>
      </x:c>
      <x:c r="H745" s="48" t="str">
        <x:v>Employer</x:v>
      </x:c>
      <x:c r="I745" s="48" t="n">
        <x:v>0.78</x:v>
      </x:c>
      <x:c r="J745" s="48" t="n">
        <x:v>0.68</x:v>
      </x:c>
      <x:c r="K745" s="48" t="str">
        <x:v>Yes</x:v>
      </x:c>
      <x:c r="L745" s="48" t="str">
        <x:v>PDF text</x:v>
      </x:c>
    </x:row>
    <x:row r="746">
      <x:c r="A746" s="48" t="str">
        <x:v>UNI-0745</x:v>
      </x:c>
      <x:c r="B746" s="48" t="str">
        <x:v>RED</x:v>
      </x:c>
      <x:c r="C746" s="48" t="str">
        <x:v>English</x:v>
      </x:c>
      <x:c r="D746" s="48" t="n">
        <x:v>46</x:v>
      </x:c>
      <x:c r="E746" s="48" t="str"/>
      <x:c r="F746" s="48" t="str">
        <x:v>Taking-Over Certificate for the Works has been issued, or is deemed to have been</x:v>
      </x:c>
      <x:c r="G746" s="48" t="str">
        <x:v>Obligation</x:v>
      </x:c>
      <x:c r="H746" s="48" t="str">
        <x:v>Shared</x:v>
      </x:c>
      <x:c r="I746" s="48" t="n">
        <x:v>0.55</x:v>
      </x:c>
      <x:c r="J746" s="48" t="n">
        <x:v>0.4</x:v>
      </x:c>
      <x:c r="K746" s="48" t="str">
        <x:v>Yes</x:v>
      </x:c>
      <x:c r="L746" s="48" t="str">
        <x:v>PDF text</x:v>
      </x:c>
    </x:row>
    <x:row r="747">
      <x:c r="A747" s="48" t="str">
        <x:v>UNI-0746</x:v>
      </x:c>
      <x:c r="B747" s="48" t="str">
        <x:v>RED</x:v>
      </x:c>
      <x:c r="C747" s="48" t="str">
        <x:v>English</x:v>
      </x:c>
      <x:c r="D747" s="48" t="n">
        <x:v>46</x:v>
      </x:c>
      <x:c r="E747" s="48" t="str"/>
      <x:c r="F747" s="48" t="str">
        <x:v>issued in accordance with this Sub-Clause.</x:v>
      </x:c>
      <x:c r="G747" s="48" t="str">
        <x:v>Obligation</x:v>
      </x:c>
      <x:c r="H747" s="48" t="str">
        <x:v>Shared</x:v>
      </x:c>
      <x:c r="I747" s="48" t="n">
        <x:v>0.45</x:v>
      </x:c>
      <x:c r="J747" s="48" t="n">
        <x:v>0.4</x:v>
      </x:c>
      <x:c r="K747" s="48" t="str">
        <x:v>Yes</x:v>
      </x:c>
      <x:c r="L747" s="48" t="str">
        <x:v>PDF text</x:v>
      </x:c>
    </x:row>
    <x:row r="748">
      <x:c r="A748" s="48" t="str">
        <x:v>UNI-0747</x:v>
      </x:c>
      <x:c r="B748" s="48" t="str">
        <x:v>RED</x:v>
      </x:c>
      <x:c r="C748" s="48" t="str">
        <x:v>English</x:v>
      </x:c>
      <x:c r="D748" s="48" t="n">
        <x:v>46</x:v>
      </x:c>
      <x:c r="E748" s="48" t="str"/>
      <x:c r="F748" s="48" t="str">
        <x:v>The Contractor may apply by notice to the Engineer for a Taking-Over Certificate not earlier than 14 days before the Works will, in the Contractor’s opinion, be complete 9.2</x:v>
      </x:c>
      <x:c r="G748" s="48" t="str">
        <x:v>Right</x:v>
      </x:c>
      <x:c r="H748" s="48" t="str">
        <x:v>Contractor</x:v>
      </x:c>
      <x:c r="I748" s="48" t="n">
        <x:v>0.78</x:v>
      </x:c>
      <x:c r="J748" s="48" t="n">
        <x:v>0.92</x:v>
      </x:c>
      <x:c r="K748" s="48" t="str">
        <x:v>No</x:v>
      </x:c>
      <x:c r="L748" s="48" t="str">
        <x:v>PDF text</x:v>
      </x:c>
    </x:row>
    <x:row r="749">
      <x:c r="A749" s="48" t="str">
        <x:v>UNI-0748</x:v>
      </x:c>
      <x:c r="B749" s="48" t="str">
        <x:v>RED</x:v>
      </x:c>
      <x:c r="C749" s="48" t="str">
        <x:v>English</x:v>
      </x:c>
      <x:c r="D749" s="48" t="n">
        <x:v>46</x:v>
      </x:c>
      <x:c r="E749" s="48" t="str"/>
      <x:c r="F749" s="48" t="str">
        <x:v>Delayed Tests</x:v>
      </x:c>
      <x:c r="G749" s="48" t="str">
        <x:v>Obligation</x:v>
      </x:c>
      <x:c r="H749" s="48" t="str">
        <x:v>Shared</x:v>
      </x:c>
      <x:c r="I749" s="48" t="n">
        <x:v>0.45</x:v>
      </x:c>
      <x:c r="J749" s="48" t="n">
        <x:v>0.4</x:v>
      </x:c>
      <x:c r="K749" s="48" t="str">
        <x:v>Yes</x:v>
      </x:c>
      <x:c r="L749" s="48" t="str">
        <x:v>PDF text</x:v>
      </x:c>
    </x:row>
    <x:row r="750">
      <x:c r="A750" s="48" t="str">
        <x:v>UNI-0749</x:v>
      </x:c>
      <x:c r="B750" s="48" t="str">
        <x:v>RED</x:v>
      </x:c>
      <x:c r="C750" s="48" t="str">
        <x:v>English</x:v>
      </x:c>
      <x:c r="D750" s="48" t="n">
        <x:v>46</x:v>
      </x:c>
      <x:c r="E750" s="48" t="str"/>
      <x:c r="F750" s="48" t="str">
        <x:v>Retesting</x:v>
      </x:c>
      <x:c r="G750" s="48" t="str">
        <x:v>Obligation</x:v>
      </x:c>
      <x:c r="H750" s="48" t="str">
        <x:v>Shared</x:v>
      </x:c>
      <x:c r="I750" s="48" t="n">
        <x:v>0.45</x:v>
      </x:c>
      <x:c r="J750" s="48" t="n">
        <x:v>0.4</x:v>
      </x:c>
      <x:c r="K750" s="48" t="str">
        <x:v>Yes</x:v>
      </x:c>
      <x:c r="L750" s="48" t="str">
        <x:v>PDF text</x:v>
      </x:c>
    </x:row>
    <x:row r="751">
      <x:c r="A751" s="48" t="str">
        <x:v>UNI-0750</x:v>
      </x:c>
      <x:c r="B751" s="48" t="str">
        <x:v>RED</x:v>
      </x:c>
      <x:c r="C751" s="48" t="str">
        <x:v>English</x:v>
      </x:c>
      <x:c r="D751" s="48" t="n">
        <x:v>46</x:v>
      </x:c>
      <x:c r="E751" s="48" t="str"/>
      <x:c r="F751" s="48" t="str">
        <x:v>Failure to Pass Tests on</x:v>
      </x:c>
      <x:c r="G751" s="48" t="str">
        <x:v>Obligation</x:v>
      </x:c>
      <x:c r="H751" s="48" t="str">
        <x:v>Shared</x:v>
      </x:c>
      <x:c r="I751" s="48" t="n">
        <x:v>0.45</x:v>
      </x:c>
      <x:c r="J751" s="48" t="n">
        <x:v>0.4</x:v>
      </x:c>
      <x:c r="K751" s="48" t="str">
        <x:v>Yes</x:v>
      </x:c>
      <x:c r="L751" s="48" t="str">
        <x:v>PDF text</x:v>
      </x:c>
    </x:row>
    <x:row r="752">
      <x:c r="A752" s="48" t="str">
        <x:v>UNI-0751</x:v>
      </x:c>
      <x:c r="B752" s="48" t="str">
        <x:v>RED</x:v>
      </x:c>
      <x:c r="C752" s="48" t="str">
        <x:v>English</x:v>
      </x:c>
      <x:c r="D752" s="48" t="n">
        <x:v>46</x:v>
      </x:c>
      <x:c r="E752" s="48" t="str"/>
      <x:c r="F752" s="48" t="str">
        <x:v>Taking Over of the</x:v>
      </x:c>
      <x:c r="G752" s="48" t="str">
        <x:v>Obligation</x:v>
      </x:c>
      <x:c r="H752" s="48" t="str">
        <x:v>Shared</x:v>
      </x:c>
      <x:c r="I752" s="48" t="n">
        <x:v>0.45</x:v>
      </x:c>
      <x:c r="J752" s="48" t="n">
        <x:v>0.4</x:v>
      </x:c>
      <x:c r="K752" s="48" t="str">
        <x:v>Yes</x:v>
      </x:c>
      <x:c r="L752" s="48" t="str">
        <x:v>PDF text</x:v>
      </x:c>
    </x:row>
    <x:row r="753">
      <x:c r="A753" s="48" t="str">
        <x:v>UNI-0752</x:v>
      </x:c>
      <x:c r="B753" s="48" t="str">
        <x:v>RED</x:v>
      </x:c>
      <x:c r="C753" s="48" t="str">
        <x:v>English</x:v>
      </x:c>
      <x:c r="D753" s="48" t="n">
        <x:v>46</x:v>
      </x:c>
      <x:c r="E753" s="48" t="str"/>
      <x:c r="F753" s="48" t="str">
        <x:v>Works and Sections10</x:v>
      </x:c>
      <x:c r="G753" s="48" t="str">
        <x:v>Obligation</x:v>
      </x:c>
      <x:c r="H753" s="48" t="str">
        <x:v>Shared</x:v>
      </x:c>
      <x:c r="I753" s="48" t="n">
        <x:v>0.45</x:v>
      </x:c>
      <x:c r="J753" s="48" t="n">
        <x:v>0.4</x:v>
      </x:c>
      <x:c r="K753" s="48" t="str">
        <x:v>Yes</x:v>
      </x:c>
      <x:c r="L753" s="48" t="str">
        <x:v>PDF text</x:v>
      </x:c>
    </x:row>
    <x:row r="754">
      <x:c r="A754" s="48" t="str">
        <x:v>UNI-0753</x:v>
      </x:c>
      <x:c r="B754" s="48" t="str">
        <x:v>RED</x:v>
      </x:c>
      <x:c r="C754" s="48" t="str">
        <x:v>English</x:v>
      </x:c>
      <x:c r="D754" s="48" t="n">
        <x:v>46</x:v>
      </x:c>
      <x:c r="E754" s="48" t="str"/>
      <x:c r="F754" s="48" t="str">
        <x:v>Employer’s Taking Over</x:v>
      </x:c>
      <x:c r="G754" s="48" t="str">
        <x:v>Obligation</x:v>
      </x:c>
      <x:c r="H754" s="48" t="str">
        <x:v>Employer</x:v>
      </x:c>
      <x:c r="I754" s="48" t="n">
        <x:v>0.45</x:v>
      </x:c>
      <x:c r="J754" s="48" t="n">
        <x:v>0.68</x:v>
      </x:c>
      <x:c r="K754" s="48" t="str">
        <x:v>Yes</x:v>
      </x:c>
      <x:c r="L754" s="48" t="str">
        <x:v>PDF text</x:v>
      </x:c>
    </x:row>
    <x:row r="755">
      <x:c r="A755" s="48" t="str">
        <x:v>UNI-0754</x:v>
      </x:c>
      <x:c r="B755" s="48" t="str">
        <x:v>RED</x:v>
      </x:c>
      <x:c r="C755" s="48" t="str">
        <x:v>English</x:v>
      </x:c>
      <x:c r="D755" s="48" t="n">
        <x:v>47</x:v>
      </x:c>
      <x:c r="E755" s="48" t="str"/>
      <x:c r="F755" s="48" t="str">
        <x:v>and ready for taking over.</x:v>
      </x:c>
      <x:c r="G755" s="48" t="str">
        <x:v>Obligation</x:v>
      </x:c>
      <x:c r="H755" s="48" t="str">
        <x:v>Shared</x:v>
      </x:c>
      <x:c r="I755" s="48" t="n">
        <x:v>0.45</x:v>
      </x:c>
      <x:c r="J755" s="48" t="n">
        <x:v>0.4</x:v>
      </x:c>
      <x:c r="K755" s="48" t="str">
        <x:v>Yes</x:v>
      </x:c>
      <x:c r="L755" s="48" t="str">
        <x:v>PDF text</x:v>
      </x:c>
    </x:row>
    <x:row r="756">
      <x:c r="A756" s="48" t="str">
        <x:v>UNI-0755</x:v>
      </x:c>
      <x:c r="B756" s="48" t="str">
        <x:v>RED</x:v>
      </x:c>
      <x:c r="C756" s="48" t="str">
        <x:v>English</x:v>
      </x:c>
      <x:c r="D756" s="48" t="n">
        <x:v>47</x:v>
      </x:c>
      <x:c r="E756" s="48" t="str"/>
      <x:c r="F756" s="48" t="str">
        <x:v>If the Works are divided into Sections, the Contractor may similarly apply for a Taking-Over Certificate for each Section.</x:v>
      </x:c>
      <x:c r="G756" s="48" t="str">
        <x:v>Right</x:v>
      </x:c>
      <x:c r="H756" s="48" t="str">
        <x:v>Contractor</x:v>
      </x:c>
      <x:c r="I756" s="48" t="n">
        <x:v>0.78</x:v>
      </x:c>
      <x:c r="J756" s="48" t="n">
        <x:v>0.92</x:v>
      </x:c>
      <x:c r="K756" s="48" t="str">
        <x:v>No</x:v>
      </x:c>
      <x:c r="L756" s="48" t="str">
        <x:v>PDF text</x:v>
      </x:c>
    </x:row>
    <x:row r="757">
      <x:c r="A757" s="48" t="str">
        <x:v>UNI-0756</x:v>
      </x:c>
      <x:c r="B757" s="48" t="str">
        <x:v>RED</x:v>
      </x:c>
      <x:c r="C757" s="48" t="str">
        <x:v>English</x:v>
      </x:c>
      <x:c r="D757" s="48" t="n">
        <x:v>47</x:v>
      </x:c>
      <x:c r="E757" s="48" t="str"/>
      <x:c r="F757" s="48" t="str">
        <x:v>The Engineer shall, within 28 days after receiving the Contractor’s application: (a) issue the Taking-Over Certificate to the Contractor, stating the date on which the Works or Section were completed in accordance with the Contract, except for any minor outstanding work and defects which will not substantially affect the use of the Works or Section for their intended purpose (either until or whilst this work is completed and these defects are remedied); or (b) reject the application, giving reasons and specifying the work required to be done by the Contractor to enable the Taking-Over Certificate to be issued.</x:v>
      </x:c>
      <x:c r="G757" s="48" t="str">
        <x:v>Obligation</x:v>
      </x:c>
      <x:c r="H757" s="48" t="str">
        <x:v>Contractor</x:v>
      </x:c>
      <x:c r="I757" s="48" t="n">
        <x:v>0.88</x:v>
      </x:c>
      <x:c r="J757" s="48" t="n">
        <x:v>0.68</x:v>
      </x:c>
      <x:c r="K757" s="48" t="str">
        <x:v>Yes</x:v>
      </x:c>
      <x:c r="L757" s="48" t="str">
        <x:v>PDF text</x:v>
      </x:c>
    </x:row>
    <x:row r="758">
      <x:c r="A758" s="48" t="str">
        <x:v>UNI-0757</x:v>
      </x:c>
      <x:c r="B758" s="48" t="str">
        <x:v>RED</x:v>
      </x:c>
      <x:c r="C758" s="48" t="str">
        <x:v>English</x:v>
      </x:c>
      <x:c r="D758" s="48" t="n">
        <x:v>47</x:v>
      </x:c>
      <x:c r="E758" s="48" t="str"/>
      <x:c r="F758" s="48" t="str">
        <x:v>Contractor shall then complete this work before issuing a further notice under</x:v>
      </x:c>
      <x:c r="G758" s="48" t="str">
        <x:v>Obligation</x:v>
      </x:c>
      <x:c r="H758" s="48" t="str">
        <x:v>Contractor</x:v>
      </x:c>
      <x:c r="I758" s="48" t="n">
        <x:v>0.88</x:v>
      </x:c>
      <x:c r="J758" s="48" t="n">
        <x:v>0.68</x:v>
      </x:c>
      <x:c r="K758" s="48" t="str">
        <x:v>Yes</x:v>
      </x:c>
      <x:c r="L758" s="48" t="str">
        <x:v>PDF text</x:v>
      </x:c>
    </x:row>
    <x:row r="759">
      <x:c r="A759" s="48" t="str">
        <x:v>UNI-0758</x:v>
      </x:c>
      <x:c r="B759" s="48" t="str">
        <x:v>RED</x:v>
      </x:c>
      <x:c r="C759" s="48" t="str">
        <x:v>English</x:v>
      </x:c>
      <x:c r="D759" s="48" t="n">
        <x:v>47</x:v>
      </x:c>
      <x:c r="E759" s="48" t="str"/>
      <x:c r="F759" s="48" t="str">
        <x:v>this Sub-Clause.</x:v>
      </x:c>
      <x:c r="G759" s="48" t="str">
        <x:v>Obligation</x:v>
      </x:c>
      <x:c r="H759" s="48" t="str">
        <x:v>Shared</x:v>
      </x:c>
      <x:c r="I759" s="48" t="n">
        <x:v>0.45</x:v>
      </x:c>
      <x:c r="J759" s="48" t="n">
        <x:v>0.4</x:v>
      </x:c>
      <x:c r="K759" s="48" t="str">
        <x:v>Yes</x:v>
      </x:c>
      <x:c r="L759" s="48" t="str">
        <x:v>PDF text</x:v>
      </x:c>
    </x:row>
    <x:row r="760">
      <x:c r="A760" s="48" t="str">
        <x:v>UNI-0759</x:v>
      </x:c>
      <x:c r="B760" s="48" t="str">
        <x:v>RED</x:v>
      </x:c>
      <x:c r="C760" s="48" t="str">
        <x:v>English</x:v>
      </x:c>
      <x:c r="D760" s="48" t="n">
        <x:v>47</x:v>
      </x:c>
      <x:c r="E760" s="48" t="str"/>
      <x:c r="F760" s="48" t="str">
        <x:v>If the Engineer fails either to issue the Taking-Over Certificate or to reject the Contractor’s application within the period of 28 days, and if the Works or Section (as the case may be) are substantially in accordance with the Contract, the Taking-Over Certificate shall be deemed to have been issued on the last day of that period.</x:v>
      </x:c>
      <x:c r="G760" s="48" t="str">
        <x:v>Obligation</x:v>
      </x:c>
      <x:c r="H760" s="48" t="str">
        <x:v>Contractor</x:v>
      </x:c>
      <x:c r="I760" s="48" t="n">
        <x:v>0.88</x:v>
      </x:c>
      <x:c r="J760" s="48" t="n">
        <x:v>0.68</x:v>
      </x:c>
      <x:c r="K760" s="48" t="str">
        <x:v>Yes</x:v>
      </x:c>
      <x:c r="L760" s="48" t="str">
        <x:v>PDF text</x:v>
      </x:c>
    </x:row>
    <x:row r="761">
      <x:c r="A761" s="48" t="str">
        <x:v>UNI-0760</x:v>
      </x:c>
      <x:c r="B761" s="48" t="str">
        <x:v>RED</x:v>
      </x:c>
      <x:c r="C761" s="48" t="str">
        <x:v>English</x:v>
      </x:c>
      <x:c r="D761" s="48" t="n">
        <x:v>47</x:v>
      </x:c>
      <x:c r="E761" s="48" t="str"/>
      <x:c r="F761" s="48" t="str">
        <x:v>The Engineer may, at the sole discretion of the Employer, issue a Taking-Over</x:v>
      </x:c>
      <x:c r="G761" s="48" t="str">
        <x:v>Obligation</x:v>
      </x:c>
      <x:c r="H761" s="48" t="str">
        <x:v>Employer</x:v>
      </x:c>
      <x:c r="I761" s="48" t="n">
        <x:v>0.45</x:v>
      </x:c>
      <x:c r="J761" s="48" t="n">
        <x:v>0.68</x:v>
      </x:c>
      <x:c r="K761" s="48" t="str">
        <x:v>Yes</x:v>
      </x:c>
      <x:c r="L761" s="48" t="str">
        <x:v>PDF text</x:v>
      </x:c>
    </x:row>
    <x:row r="762">
      <x:c r="A762" s="48" t="str">
        <x:v>UNI-0761</x:v>
      </x:c>
      <x:c r="B762" s="48" t="str">
        <x:v>RED</x:v>
      </x:c>
      <x:c r="C762" s="48" t="str">
        <x:v>English</x:v>
      </x:c>
      <x:c r="D762" s="48" t="n">
        <x:v>47</x:v>
      </x:c>
      <x:c r="E762" s="48" t="str"/>
      <x:c r="F762" s="48" t="str">
        <x:v>Certificate for any part of the Permanent Works.</x:v>
      </x:c>
      <x:c r="G762" s="48" t="str">
        <x:v>Obligation</x:v>
      </x:c>
      <x:c r="H762" s="48" t="str">
        <x:v>Shared</x:v>
      </x:c>
      <x:c r="I762" s="48" t="n">
        <x:v>0.55</x:v>
      </x:c>
      <x:c r="J762" s="48" t="n">
        <x:v>0.4</x:v>
      </x:c>
      <x:c r="K762" s="48" t="str">
        <x:v>Yes</x:v>
      </x:c>
      <x:c r="L762" s="48" t="str">
        <x:v>PDF text</x:v>
      </x:c>
    </x:row>
    <x:row r="763">
      <x:c r="A763" s="48" t="str">
        <x:v>UNI-0762</x:v>
      </x:c>
      <x:c r="B763" s="48" t="str">
        <x:v>RED</x:v>
      </x:c>
      <x:c r="C763" s="48" t="str">
        <x:v>English</x:v>
      </x:c>
      <x:c r="D763" s="48" t="n">
        <x:v>47</x:v>
      </x:c>
      <x:c r="E763" s="48" t="str"/>
      <x:c r="F763" s="48" t="str">
        <x:v>The Employer shall not use any part of the Works (other than as a temporary measure which is either specified in the Contract or agreed by both Parties) unless and until the Engineer has issued a Taking-Over Certificate for this part.</x:v>
      </x:c>
      <x:c r="G763" s="48" t="str">
        <x:v>Obligation</x:v>
      </x:c>
      <x:c r="H763" s="48" t="str">
        <x:v>Shared</x:v>
      </x:c>
      <x:c r="I763" s="48" t="n">
        <x:v>0.88</x:v>
      </x:c>
      <x:c r="J763" s="48" t="n">
        <x:v>0.93</x:v>
      </x:c>
      <x:c r="K763" s="48" t="str">
        <x:v>No</x:v>
      </x:c>
      <x:c r="L763" s="48" t="str">
        <x:v>PDF text</x:v>
      </x:c>
    </x:row>
    <x:row r="764">
      <x:c r="A764" s="48" t="str">
        <x:v>UNI-0763</x:v>
      </x:c>
      <x:c r="B764" s="48" t="str">
        <x:v>RED</x:v>
      </x:c>
      <x:c r="C764" s="48" t="str">
        <x:v>English</x:v>
      </x:c>
      <x:c r="D764" s="48" t="n">
        <x:v>47</x:v>
      </x:c>
      <x:c r="E764" s="48" t="str"/>
      <x:c r="F764" s="48" t="str">
        <x:v>However, if the Employer does use any part of the Works before the Taking-Over Certificate is issued: (a) the part which is used shall be deemed to have been taken over as from the date on which it is used, (b) the Contractor shall cease to be liable for the care of such part as from this date, when responsibility shall pass to the Employer, and (c) if requested by the Contractor, the Engineer shall issue a Taking-Over Certificate for this part.</x:v>
      </x:c>
      <x:c r="G764" s="48" t="str">
        <x:v>Risk</x:v>
      </x:c>
      <x:c r="H764" s="48" t="str">
        <x:v>Contractor</x:v>
      </x:c>
      <x:c r="I764" s="48" t="n">
        <x:v>0.78</x:v>
      </x:c>
      <x:c r="J764" s="48" t="n">
        <x:v>0.92</x:v>
      </x:c>
      <x:c r="K764" s="48" t="str">
        <x:v>No</x:v>
      </x:c>
      <x:c r="L764" s="48" t="str">
        <x:v>PDF text</x:v>
      </x:c>
    </x:row>
    <x:row r="765">
      <x:c r="A765" s="48" t="str">
        <x:v>UNI-0764</x:v>
      </x:c>
      <x:c r="B765" s="48" t="str">
        <x:v>RED</x:v>
      </x:c>
      <x:c r="C765" s="48" t="str">
        <x:v>English</x:v>
      </x:c>
      <x:c r="D765" s="48" t="n">
        <x:v>47</x:v>
      </x:c>
      <x:c r="E765" s="48" t="str"/>
      <x:c r="F765" s="48" t="str">
        <x:v>After the Engineer has issued a Taking-Over Certificate for a part of the Works, the</x:v>
      </x:c>
      <x:c r="G765" s="48" t="str">
        <x:v>Obligation</x:v>
      </x:c>
      <x:c r="H765" s="48" t="str">
        <x:v>Shared</x:v>
      </x:c>
      <x:c r="I765" s="48" t="n">
        <x:v>0.55</x:v>
      </x:c>
      <x:c r="J765" s="48" t="n">
        <x:v>0.4</x:v>
      </x:c>
      <x:c r="K765" s="48" t="str">
        <x:v>Yes</x:v>
      </x:c>
      <x:c r="L765" s="48" t="str">
        <x:v>PDF text</x:v>
      </x:c>
    </x:row>
    <x:row r="766">
      <x:c r="A766" s="48" t="str">
        <x:v>UNI-0765</x:v>
      </x:c>
      <x:c r="B766" s="48" t="str">
        <x:v>RED</x:v>
      </x:c>
      <x:c r="C766" s="48" t="str">
        <x:v>English</x:v>
      </x:c>
      <x:c r="D766" s="48" t="n">
        <x:v>47</x:v>
      </x:c>
      <x:c r="E766" s="48" t="str"/>
      <x:c r="F766" s="48" t="str">
        <x:v>Contractor shall be given the earliest opportunity to take such steps as may be</x:v>
      </x:c>
      <x:c r="G766" s="48" t="str">
        <x:v>Obligation</x:v>
      </x:c>
      <x:c r="H766" s="48" t="str">
        <x:v>Contractor</x:v>
      </x:c>
      <x:c r="I766" s="48" t="n">
        <x:v>0.88</x:v>
      </x:c>
      <x:c r="J766" s="48" t="n">
        <x:v>0.68</x:v>
      </x:c>
      <x:c r="K766" s="48" t="str">
        <x:v>Yes</x:v>
      </x:c>
      <x:c r="L766" s="48" t="str">
        <x:v>PDF text</x:v>
      </x:c>
    </x:row>
    <x:row r="767">
      <x:c r="A767" s="48" t="str">
        <x:v>UNI-0766</x:v>
      </x:c>
      <x:c r="B767" s="48" t="str">
        <x:v>RED</x:v>
      </x:c>
      <x:c r="C767" s="48" t="str">
        <x:v>English</x:v>
      </x:c>
      <x:c r="D767" s="48" t="n">
        <x:v>47</x:v>
      </x:c>
      <x:c r="E767" s="48" t="str"/>
      <x:c r="F767" s="48" t="str">
        <x:v>necessary to carry out any outstanding Tests on Completion.</x:v>
      </x:c>
      <x:c r="G767" s="48" t="str">
        <x:v>Obligation</x:v>
      </x:c>
      <x:c r="H767" s="48" t="str">
        <x:v>Shared</x:v>
      </x:c>
      <x:c r="I767" s="48" t="n">
        <x:v>0.45</x:v>
      </x:c>
      <x:c r="J767" s="48" t="n">
        <x:v>0.4</x:v>
      </x:c>
      <x:c r="K767" s="48" t="str">
        <x:v>Yes</x:v>
      </x:c>
      <x:c r="L767" s="48" t="str">
        <x:v>PDF text</x:v>
      </x:c>
    </x:row>
    <x:row r="768">
      <x:c r="A768" s="48" t="str">
        <x:v>UNI-0767</x:v>
      </x:c>
      <x:c r="B768" s="48" t="str">
        <x:v>RED</x:v>
      </x:c>
      <x:c r="C768" s="48" t="str">
        <x:v>English</x:v>
      </x:c>
      <x:c r="D768" s="48" t="n">
        <x:v>47</x:v>
      </x:c>
      <x:c r="E768" s="48" t="str"/>
      <x:c r="F768" s="48" t="str">
        <x:v>The Contractor shall carry out these Tests on Completion as soon as practicable before the expiry date of the relevant Defects Notification Period.</x:v>
      </x:c>
      <x:c r="G768" s="48" t="str">
        <x:v>Obligation</x:v>
      </x:c>
      <x:c r="H768" s="48" t="str">
        <x:v>Contractor</x:v>
      </x:c>
      <x:c r="I768" s="48" t="n">
        <x:v>0.88</x:v>
      </x:c>
      <x:c r="J768" s="48" t="n">
        <x:v>0.92</x:v>
      </x:c>
      <x:c r="K768" s="48" t="str">
        <x:v>No</x:v>
      </x:c>
      <x:c r="L768" s="48" t="str">
        <x:v>PDF text</x:v>
      </x:c>
    </x:row>
    <x:row r="769">
      <x:c r="A769" s="48" t="str">
        <x:v>UNI-0768</x:v>
      </x:c>
      <x:c r="B769" s="48" t="str">
        <x:v>RED</x:v>
      </x:c>
      <x:c r="C769" s="48" t="str">
        <x:v>English</x:v>
      </x:c>
      <x:c r="D769" s="48" t="n">
        <x:v>47</x:v>
      </x:c>
      <x:c r="E769" s="48" t="str"/>
      <x:c r="F769" s="48" t="str">
        <x:v>If the Contractor incurs Cost as a result of the Employer taking over and/or using a part of the Works, other than such use as is specified in the Contract or agreed by the Contractor, the Contractor shall (i) give notice to the Engineer and (ii) be entitled subject to Sub-Clause 20.1 [Contractor’s Claims] to payment of any such Cost plus profit, which shall be included in the Contract Price.</x:v>
      </x:c>
      <x:c r="G769" s="48" t="str">
        <x:v>Risk</x:v>
      </x:c>
      <x:c r="H769" s="48" t="str">
        <x:v>Contractor</x:v>
      </x:c>
      <x:c r="I769" s="48" t="n">
        <x:v>0.78</x:v>
      </x:c>
      <x:c r="J769" s="48" t="n">
        <x:v>0.92</x:v>
      </x:c>
      <x:c r="K769" s="48" t="str">
        <x:v>No</x:v>
      </x:c>
      <x:c r="L769" s="48" t="str">
        <x:v>PDF text</x:v>
      </x:c>
    </x:row>
    <x:row r="770">
      <x:c r="A770" s="48" t="str">
        <x:v>UNI-0769</x:v>
      </x:c>
      <x:c r="B770" s="48" t="str">
        <x:v>RED</x:v>
      </x:c>
      <x:c r="C770" s="48" t="str">
        <x:v>English</x:v>
      </x:c>
      <x:c r="D770" s="48" t="n">
        <x:v>47</x:v>
      </x:c>
      <x:c r="E770" s="48" t="str"/>
      <x:c r="F770" s="48" t="str">
        <x:v>After receiving this notice, the Engineer shall proceed in accordance with Sub-Clause 3.5 [Determinations] to agree or determine this Cost and profit.</x:v>
      </x:c>
      <x:c r="G770" s="48" t="str">
        <x:v>Obligation</x:v>
      </x:c>
      <x:c r="H770" s="48" t="str">
        <x:v>Shared</x:v>
      </x:c>
      <x:c r="I770" s="48" t="n">
        <x:v>0.88</x:v>
      </x:c>
      <x:c r="J770" s="48" t="n">
        <x:v>0.4</x:v>
      </x:c>
      <x:c r="K770" s="48" t="str">
        <x:v>Yes</x:v>
      </x:c>
      <x:c r="L770" s="48" t="str">
        <x:v>PDF text</x:v>
      </x:c>
    </x:row>
    <x:row r="771">
      <x:c r="A771" s="48" t="str">
        <x:v>UNI-0770</x:v>
      </x:c>
      <x:c r="B771" s="48" t="str">
        <x:v>RED</x:v>
      </x:c>
      <x:c r="C771" s="48" t="str">
        <x:v>English</x:v>
      </x:c>
      <x:c r="D771" s="48" t="n">
        <x:v>47</x:v>
      </x:c>
      <x:c r="E771" s="48" t="str"/>
      <x:c r="F771" s="48" t="str">
        <x:v>If a Taking-Over Certificate has been issued for a part of the Works (other than a Section), the delay damages thereafter for completion of the remainder of the Works shall be reduced.</x:v>
      </x:c>
      <x:c r="G771" s="48" t="str">
        <x:v>Risk</x:v>
      </x:c>
      <x:c r="H771" s="48" t="str">
        <x:v>Shared</x:v>
      </x:c>
      <x:c r="I771" s="48" t="n">
        <x:v>0.78</x:v>
      </x:c>
      <x:c r="J771" s="48" t="n">
        <x:v>0.4</x:v>
      </x:c>
      <x:c r="K771" s="48" t="str">
        <x:v>Yes</x:v>
      </x:c>
      <x:c r="L771" s="48" t="str">
        <x:v>PDF text</x:v>
      </x:c>
    </x:row>
    <x:row r="772">
      <x:c r="A772" s="48" t="str">
        <x:v>UNI-0771</x:v>
      </x:c>
      <x:c r="B772" s="48" t="str">
        <x:v>RED</x:v>
      </x:c>
      <x:c r="C772" s="48" t="str">
        <x:v>English</x:v>
      </x:c>
      <x:c r="D772" s="48" t="n">
        <x:v>47</x:v>
      </x:c>
      <x:c r="E772" s="48" t="str"/>
      <x:c r="F772" s="48" t="str">
        <x:v>Similarly, the delay damages for the remainder of the Section (if any) in which this part is included shall also be reduced.</x:v>
      </x:c>
      <x:c r="G772" s="48" t="str">
        <x:v>Risk</x:v>
      </x:c>
      <x:c r="H772" s="48" t="str">
        <x:v>Shared</x:v>
      </x:c>
      <x:c r="I772" s="48" t="n">
        <x:v>0.78</x:v>
      </x:c>
      <x:c r="J772" s="48" t="n">
        <x:v>0.4</x:v>
      </x:c>
      <x:c r="K772" s="48" t="str">
        <x:v>Yes</x:v>
      </x:c>
      <x:c r="L772" s="48" t="str">
        <x:v>PDF text</x:v>
      </x:c>
    </x:row>
    <x:row r="773">
      <x:c r="A773" s="48" t="str">
        <x:v>UNI-0772</x:v>
      </x:c>
      <x:c r="B773" s="48" t="str">
        <x:v>RED</x:v>
      </x:c>
      <x:c r="C773" s="48" t="str">
        <x:v>English</x:v>
      </x:c>
      <x:c r="D773" s="48" t="n">
        <x:v>47</x:v>
      </x:c>
      <x:c r="E773" s="48" t="str"/>
      <x:c r="F773" s="48" t="str">
        <x:v>For any period of delay after the date stated in this Taking-Over Certificate, the proportional reduction in these delay damages shall be calculated as the proportion which the value of the part so certified 10.2</x:v>
      </x:c>
      <x:c r="G773" s="48" t="str">
        <x:v>Obligation</x:v>
      </x:c>
      <x:c r="H773" s="48" t="str">
        <x:v>Shared</x:v>
      </x:c>
      <x:c r="I773" s="48" t="n">
        <x:v>0.88</x:v>
      </x:c>
      <x:c r="J773" s="48" t="n">
        <x:v>0.4</x:v>
      </x:c>
      <x:c r="K773" s="48" t="str">
        <x:v>Yes</x:v>
      </x:c>
      <x:c r="L773" s="48" t="str">
        <x:v>PDF text</x:v>
      </x:c>
    </x:row>
    <x:row r="774">
      <x:c r="A774" s="48" t="str">
        <x:v>UNI-0773</x:v>
      </x:c>
      <x:c r="B774" s="48" t="str">
        <x:v>RED</x:v>
      </x:c>
      <x:c r="C774" s="48" t="str">
        <x:v>English</x:v>
      </x:c>
      <x:c r="D774" s="48" t="n">
        <x:v>47</x:v>
      </x:c>
      <x:c r="E774" s="48" t="str"/>
      <x:c r="F774" s="48" t="str">
        <x:v>Taking Over</x:v>
      </x:c>
      <x:c r="G774" s="48" t="str">
        <x:v>Obligation</x:v>
      </x:c>
      <x:c r="H774" s="48" t="str">
        <x:v>Shared</x:v>
      </x:c>
      <x:c r="I774" s="48" t="n">
        <x:v>0.45</x:v>
      </x:c>
      <x:c r="J774" s="48" t="n">
        <x:v>0.4</x:v>
      </x:c>
      <x:c r="K774" s="48" t="str">
        <x:v>Yes</x:v>
      </x:c>
      <x:c r="L774" s="48" t="str">
        <x:v>PDF text</x:v>
      </x:c>
    </x:row>
    <x:row r="775">
      <x:c r="A775" s="48" t="str">
        <x:v>UNI-0774</x:v>
      </x:c>
      <x:c r="B775" s="48" t="str">
        <x:v>RED</x:v>
      </x:c>
      <x:c r="C775" s="48" t="str">
        <x:v>English</x:v>
      </x:c>
      <x:c r="D775" s="48" t="n">
        <x:v>47</x:v>
      </x:c>
      <x:c r="E775" s="48" t="str"/>
      <x:c r="F775" s="48" t="str">
        <x:v>of Parts of the Works</x:v>
      </x:c>
      <x:c r="G775" s="48" t="str">
        <x:v>Obligation</x:v>
      </x:c>
      <x:c r="H775" s="48" t="str">
        <x:v>Shared</x:v>
      </x:c>
      <x:c r="I775" s="48" t="n">
        <x:v>0.45</x:v>
      </x:c>
      <x:c r="J775" s="48" t="n">
        <x:v>0.4</x:v>
      </x:c>
      <x:c r="K775" s="48" t="str">
        <x:v>Yes</x:v>
      </x:c>
      <x:c r="L775" s="48" t="str">
        <x:v>PDF text</x:v>
      </x:c>
    </x:row>
    <x:row r="776">
      <x:c r="A776" s="48" t="str">
        <x:v>UNI-0775</x:v>
      </x:c>
      <x:c r="B776" s="48" t="str">
        <x:v>RED</x:v>
      </x:c>
      <x:c r="C776" s="48" t="str">
        <x:v>English</x:v>
      </x:c>
      <x:c r="D776" s="48" t="n">
        <x:v>48</x:v>
      </x:c>
      <x:c r="E776" s="48" t="str"/>
      <x:c r="F776" s="48" t="str">
        <x:v>bears to the value of the Works or Section (as the case may be) as a whole.</x:v>
      </x:c>
      <x:c r="G776" s="48" t="str">
        <x:v>Right</x:v>
      </x:c>
      <x:c r="H776" s="48" t="str">
        <x:v>Shared</x:v>
      </x:c>
      <x:c r="I776" s="48" t="n">
        <x:v>0.78</x:v>
      </x:c>
      <x:c r="J776" s="48" t="n">
        <x:v>0.4</x:v>
      </x:c>
      <x:c r="K776" s="48" t="str">
        <x:v>Yes</x:v>
      </x:c>
      <x:c r="L776" s="48" t="str">
        <x:v>PDF text</x:v>
      </x:c>
    </x:row>
    <x:row r="777">
      <x:c r="A777" s="48" t="str">
        <x:v>UNI-0776</x:v>
      </x:c>
      <x:c r="B777" s="48" t="str">
        <x:v>RED</x:v>
      </x:c>
      <x:c r="C777" s="48" t="str">
        <x:v>English</x:v>
      </x:c>
      <x:c r="D777" s="48" t="n">
        <x:v>48</x:v>
      </x:c>
      <x:c r="E777" s="48" t="str"/>
      <x:c r="F777" s="48" t="str">
        <x:v>The Engineer shall proceed in accordance with Sub-Clause 3.5 [Determinations] to agree or determine these proportions.</x:v>
      </x:c>
      <x:c r="G777" s="48" t="str">
        <x:v>Obligation</x:v>
      </x:c>
      <x:c r="H777" s="48" t="str">
        <x:v>Shared</x:v>
      </x:c>
      <x:c r="I777" s="48" t="n">
        <x:v>0.88</x:v>
      </x:c>
      <x:c r="J777" s="48" t="n">
        <x:v>0.4</x:v>
      </x:c>
      <x:c r="K777" s="48" t="str">
        <x:v>Yes</x:v>
      </x:c>
      <x:c r="L777" s="48" t="str">
        <x:v>PDF text</x:v>
      </x:c>
    </x:row>
    <x:row r="778">
      <x:c r="A778" s="48" t="str">
        <x:v>UNI-0777</x:v>
      </x:c>
      <x:c r="B778" s="48" t="str">
        <x:v>RED</x:v>
      </x:c>
      <x:c r="C778" s="48" t="str">
        <x:v>English</x:v>
      </x:c>
      <x:c r="D778" s="48" t="n">
        <x:v>48</x:v>
      </x:c>
      <x:c r="E778" s="48" t="str"/>
      <x:c r="F778" s="48" t="str">
        <x:v>The provisions of this paragraph shall only apply to the daily rate of delay damages under Sub-Clause 8.7 [Delay Damages], and shall not affect the maximum amount of these damages.</x:v>
      </x:c>
      <x:c r="G778" s="48" t="str">
        <x:v>Obligation</x:v>
      </x:c>
      <x:c r="H778" s="48" t="str">
        <x:v>Shared</x:v>
      </x:c>
      <x:c r="I778" s="48" t="n">
        <x:v>0.88</x:v>
      </x:c>
      <x:c r="J778" s="48" t="n">
        <x:v>0.4</x:v>
      </x:c>
      <x:c r="K778" s="48" t="str">
        <x:v>Yes</x:v>
      </x:c>
      <x:c r="L778" s="48" t="str">
        <x:v>PDF text</x:v>
      </x:c>
    </x:row>
    <x:row r="779">
      <x:c r="A779" s="48" t="str">
        <x:v>UNI-0778</x:v>
      </x:c>
      <x:c r="B779" s="48" t="str">
        <x:v>RED</x:v>
      </x:c>
      <x:c r="C779" s="48" t="str">
        <x:v>English</x:v>
      </x:c>
      <x:c r="D779" s="48" t="n">
        <x:v>48</x:v>
      </x:c>
      <x:c r="E779" s="48" t="str"/>
      <x:c r="F779" s="48" t="str">
        <x:v>If the Contractor is prevented, for more than 14 days, from carrying out the Tests on Completion by a cause for which the Employer is responsible, the Employer shall be deemed to have taken over the Works or Section (as the case may be) on the date when the Tests on Completion would otherwise have been completed.</x:v>
      </x:c>
      <x:c r="G779" s="48" t="str">
        <x:v>Obligation</x:v>
      </x:c>
      <x:c r="H779" s="48" t="str">
        <x:v>Employer</x:v>
      </x:c>
      <x:c r="I779" s="48" t="n">
        <x:v>0.88</x:v>
      </x:c>
      <x:c r="J779" s="48" t="n">
        <x:v>0.92</x:v>
      </x:c>
      <x:c r="K779" s="48" t="str">
        <x:v>No</x:v>
      </x:c>
      <x:c r="L779" s="48" t="str">
        <x:v>PDF text</x:v>
      </x:c>
    </x:row>
    <x:row r="780">
      <x:c r="A780" s="48" t="str">
        <x:v>UNI-0779</x:v>
      </x:c>
      <x:c r="B780" s="48" t="str">
        <x:v>RED</x:v>
      </x:c>
      <x:c r="C780" s="48" t="str">
        <x:v>English</x:v>
      </x:c>
      <x:c r="D780" s="48" t="n">
        <x:v>48</x:v>
      </x:c>
      <x:c r="E780" s="48" t="str"/>
      <x:c r="F780" s="48" t="str">
        <x:v>The Engineer shall then issue a Taking-Over Certificate accordingly, and the</x:v>
      </x:c>
      <x:c r="G780" s="48" t="str">
        <x:v>Obligation</x:v>
      </x:c>
      <x:c r="H780" s="48" t="str">
        <x:v>Shared</x:v>
      </x:c>
      <x:c r="I780" s="48" t="n">
        <x:v>0.88</x:v>
      </x:c>
      <x:c r="J780" s="48" t="n">
        <x:v>0.4</x:v>
      </x:c>
      <x:c r="K780" s="48" t="str">
        <x:v>Yes</x:v>
      </x:c>
      <x:c r="L780" s="48" t="str">
        <x:v>PDF text</x:v>
      </x:c>
    </x:row>
    <x:row r="781">
      <x:c r="A781" s="48" t="str">
        <x:v>UNI-0780</x:v>
      </x:c>
      <x:c r="B781" s="48" t="str">
        <x:v>RED</x:v>
      </x:c>
      <x:c r="C781" s="48" t="str">
        <x:v>English</x:v>
      </x:c>
      <x:c r="D781" s="48" t="n">
        <x:v>48</x:v>
      </x:c>
      <x:c r="E781" s="48" t="str"/>
      <x:c r="F781" s="48" t="str">
        <x:v>Contractor shall carry out the Tests on Completion as soon as practicable, before the expiry date of the Defects Notification Period.</x:v>
      </x:c>
      <x:c r="G781" s="48" t="str">
        <x:v>Obligation</x:v>
      </x:c>
      <x:c r="H781" s="48" t="str">
        <x:v>Contractor</x:v>
      </x:c>
      <x:c r="I781" s="48" t="n">
        <x:v>0.88</x:v>
      </x:c>
      <x:c r="J781" s="48" t="n">
        <x:v>0.68</x:v>
      </x:c>
      <x:c r="K781" s="48" t="str">
        <x:v>Yes</x:v>
      </x:c>
      <x:c r="L781" s="48" t="str">
        <x:v>PDF text</x:v>
      </x:c>
    </x:row>
    <x:row r="782">
      <x:c r="A782" s="48" t="str">
        <x:v>UNI-0781</x:v>
      </x:c>
      <x:c r="B782" s="48" t="str">
        <x:v>RED</x:v>
      </x:c>
      <x:c r="C782" s="48" t="str">
        <x:v>English</x:v>
      </x:c>
      <x:c r="D782" s="48" t="n">
        <x:v>48</x:v>
      </x:c>
      <x:c r="E782" s="48" t="str"/>
      <x:c r="F782" s="48" t="str">
        <x:v>The Engineer shall require the Tests on Completion to be carried out by giving 14 days’ notice and in accordance with the relevant provisions of the Contract.</x:v>
      </x:c>
      <x:c r="G782" s="48" t="str">
        <x:v>Obligation</x:v>
      </x:c>
      <x:c r="H782" s="48" t="str">
        <x:v>Shared</x:v>
      </x:c>
      <x:c r="I782" s="48" t="n">
        <x:v>0.88</x:v>
      </x:c>
      <x:c r="J782" s="48" t="n">
        <x:v>0.4</x:v>
      </x:c>
      <x:c r="K782" s="48" t="str">
        <x:v>Yes</x:v>
      </x:c>
      <x:c r="L782" s="48" t="str">
        <x:v>PDF text</x:v>
      </x:c>
    </x:row>
    <x:row r="783">
      <x:c r="A783" s="48" t="str">
        <x:v>UNI-0782</x:v>
      </x:c>
      <x:c r="B783" s="48" t="str">
        <x:v>RED</x:v>
      </x:c>
      <x:c r="C783" s="48" t="str">
        <x:v>English</x:v>
      </x:c>
      <x:c r="D783" s="48" t="n">
        <x:v>48</x:v>
      </x:c>
      <x:c r="E783" s="48" t="str"/>
      <x:c r="F783" s="48" t="str">
        <x:v>If the Contractor suffers delay and/or incurs Cost as a result of this delay in carrying out the Tests on Completion, the Contractor shall give notice to the Engineer and shall be entitled subject to Sub-Clause 20.1 [Contractor’s Claims] to: (a) an extension of time for any such delay, if completion is or will be delayed, under Sub-Clause 8.4 [Extension of Time for Completion], and (b) payment of any such Cost plus profit, which shall be included in the Contract Price.</x:v>
      </x:c>
      <x:c r="G783" s="48" t="str">
        <x:v>Risk</x:v>
      </x:c>
      <x:c r="H783" s="48" t="str">
        <x:v>Contractor</x:v>
      </x:c>
      <x:c r="I783" s="48" t="n">
        <x:v>0.78</x:v>
      </x:c>
      <x:c r="J783" s="48" t="n">
        <x:v>0.92</x:v>
      </x:c>
      <x:c r="K783" s="48" t="str">
        <x:v>No</x:v>
      </x:c>
      <x:c r="L783" s="48" t="str">
        <x:v>PDF text</x:v>
      </x:c>
    </x:row>
    <x:row r="784">
      <x:c r="A784" s="48" t="str">
        <x:v>UNI-0783</x:v>
      </x:c>
      <x:c r="B784" s="48" t="str">
        <x:v>RED</x:v>
      </x:c>
      <x:c r="C784" s="48" t="str">
        <x:v>English</x:v>
      </x:c>
      <x:c r="D784" s="48" t="n">
        <x:v>48</x:v>
      </x:c>
      <x:c r="E784" s="48" t="str"/>
      <x:c r="F784" s="48" t="str">
        <x:v>Except as otherwise stated in a Taking-Over Certificate, a certificate for a Section or part of the Works shall not be deemed to certify completion of any ground or other surfaces requiring reinstatement.</x:v>
      </x:c>
      <x:c r="G784" s="48" t="str">
        <x:v>Obligation</x:v>
      </x:c>
      <x:c r="H784" s="48" t="str">
        <x:v>Shared</x:v>
      </x:c>
      <x:c r="I784" s="48" t="n">
        <x:v>0.88</x:v>
      </x:c>
      <x:c r="J784" s="48" t="n">
        <x:v>0.4</x:v>
      </x:c>
      <x:c r="K784" s="48" t="str">
        <x:v>Yes</x:v>
      </x:c>
      <x:c r="L784" s="48" t="str">
        <x:v>PDF text</x:v>
      </x:c>
    </x:row>
    <x:row r="785">
      <x:c r="A785" s="48" t="str">
        <x:v>UNI-0784</x:v>
      </x:c>
      <x:c r="B785" s="48" t="str">
        <x:v>RED</x:v>
      </x:c>
      <x:c r="C785" s="48" t="str">
        <x:v>English</x:v>
      </x:c>
      <x:c r="D785" s="48" t="n">
        <x:v>48</x:v>
      </x:c>
      <x:c r="E785" s="48" t="str"/>
      <x:c r="F785" s="48" t="str">
        <x:v>In order that the Works and Contractor’s Documents, and each Section, shall be in</x:v>
      </x:c>
      <x:c r="G785" s="48" t="str">
        <x:v>Obligation</x:v>
      </x:c>
      <x:c r="H785" s="48" t="str">
        <x:v>Contractor</x:v>
      </x:c>
      <x:c r="I785" s="48" t="n">
        <x:v>0.88</x:v>
      </x:c>
      <x:c r="J785" s="48" t="n">
        <x:v>0.68</x:v>
      </x:c>
      <x:c r="K785" s="48" t="str">
        <x:v>Yes</x:v>
      </x:c>
      <x:c r="L785" s="48" t="str">
        <x:v>PDF text</x:v>
      </x:c>
    </x:row>
    <x:row r="786">
      <x:c r="A786" s="48" t="str">
        <x:v>UNI-0785</x:v>
      </x:c>
      <x:c r="B786" s="48" t="str">
        <x:v>RED</x:v>
      </x:c>
      <x:c r="C786" s="48" t="str">
        <x:v>English</x:v>
      </x:c>
      <x:c r="D786" s="48" t="n">
        <x:v>48</x:v>
      </x:c>
      <x:c r="E786" s="48" t="str"/>
      <x:c r="F786" s="48" t="str">
        <x:v>the condition required by the Contract (fair wear and tear excepted) by the expiry date of the relevant Defects Notification Period or as soon as practicable thereafter, the Contractor shall: (a) complete any work which is outstanding on the date stated in a Taking-Over</x:v>
      </x:c>
      <x:c r="G786" s="48" t="str">
        <x:v>Obligation</x:v>
      </x:c>
      <x:c r="H786" s="48" t="str">
        <x:v>Contractor</x:v>
      </x:c>
      <x:c r="I786" s="48" t="n">
        <x:v>0.88</x:v>
      </x:c>
      <x:c r="J786" s="48" t="n">
        <x:v>0.92</x:v>
      </x:c>
      <x:c r="K786" s="48" t="str">
        <x:v>No</x:v>
      </x:c>
      <x:c r="L786" s="48" t="str">
        <x:v>PDF text</x:v>
      </x:c>
    </x:row>
    <x:row r="787">
      <x:c r="A787" s="48" t="str">
        <x:v>UNI-0786</x:v>
      </x:c>
      <x:c r="B787" s="48" t="str">
        <x:v>RED</x:v>
      </x:c>
      <x:c r="C787" s="48" t="str">
        <x:v>English</x:v>
      </x:c>
      <x:c r="D787" s="48" t="n">
        <x:v>48</x:v>
      </x:c>
      <x:c r="E787" s="48" t="str"/>
      <x:c r="F787" s="48" t="str">
        <x:v>Certificate, within such reasonable time as is instructed by the Engineer, and</x:v>
      </x:c>
      <x:c r="G787" s="48" t="str">
        <x:v>Obligation</x:v>
      </x:c>
      <x:c r="H787" s="48" t="str">
        <x:v>Shared</x:v>
      </x:c>
      <x:c r="I787" s="48" t="n">
        <x:v>0.55</x:v>
      </x:c>
      <x:c r="J787" s="48" t="n">
        <x:v>0.4</x:v>
      </x:c>
      <x:c r="K787" s="48" t="str">
        <x:v>Yes</x:v>
      </x:c>
      <x:c r="L787" s="48" t="str">
        <x:v>PDF text</x:v>
      </x:c>
    </x:row>
    <x:row r="788">
      <x:c r="A788" s="48" t="str">
        <x:v>UNI-0787</x:v>
      </x:c>
      <x:c r="B788" s="48" t="str">
        <x:v>RED</x:v>
      </x:c>
      <x:c r="C788" s="48" t="str">
        <x:v>English</x:v>
      </x:c>
      <x:c r="D788" s="48" t="n">
        <x:v>48</x:v>
      </x:c>
      <x:c r="E788" s="48" t="str"/>
      <x:c r="F788" s="48" t="str">
        <x:v>(b) execute all work required to remedy defects or damage, as may be notified by (or on behalf of) the Employer on or before the expiry date of the Defects Notification Period for the Works or Section (as the case may be).</x:v>
      </x:c>
      <x:c r="G788" s="48" t="str">
        <x:v>Right</x:v>
      </x:c>
      <x:c r="H788" s="48" t="str">
        <x:v>Employer</x:v>
      </x:c>
      <x:c r="I788" s="48" t="n">
        <x:v>0.78</x:v>
      </x:c>
      <x:c r="J788" s="48" t="n">
        <x:v>0.68</x:v>
      </x:c>
      <x:c r="K788" s="48" t="str">
        <x:v>Yes</x:v>
      </x:c>
      <x:c r="L788" s="48" t="str">
        <x:v>PDF text</x:v>
      </x:c>
    </x:row>
    <x:row r="789">
      <x:c r="A789" s="48" t="str">
        <x:v>UNI-0788</x:v>
      </x:c>
      <x:c r="B789" s="48" t="str">
        <x:v>RED</x:v>
      </x:c>
      <x:c r="C789" s="48" t="str">
        <x:v>English</x:v>
      </x:c>
      <x:c r="D789" s="48" t="n">
        <x:v>48</x:v>
      </x:c>
      <x:c r="E789" s="48" t="str"/>
      <x:c r="F789" s="48" t="str">
        <x:v>If a defect appears or damage occurs, the Contractor shall be notified accordingly, by (or on behalf of) the Employer.</x:v>
      </x:c>
      <x:c r="G789" s="48" t="str">
        <x:v>Risk</x:v>
      </x:c>
      <x:c r="H789" s="48" t="str">
        <x:v>Contractor</x:v>
      </x:c>
      <x:c r="I789" s="48" t="n">
        <x:v>0.78</x:v>
      </x:c>
      <x:c r="J789" s="48" t="n">
        <x:v>0.92</x:v>
      </x:c>
      <x:c r="K789" s="48" t="str">
        <x:v>No</x:v>
      </x:c>
      <x:c r="L789" s="48" t="str">
        <x:v>PDF text</x:v>
      </x:c>
    </x:row>
    <x:row r="790">
      <x:c r="A790" s="48" t="str">
        <x:v>UNI-0789</x:v>
      </x:c>
      <x:c r="B790" s="48" t="str">
        <x:v>RED</x:v>
      </x:c>
      <x:c r="C790" s="48" t="str">
        <x:v>English</x:v>
      </x:c>
      <x:c r="D790" s="48" t="n">
        <x:v>48</x:v>
      </x:c>
      <x:c r="E790" s="48" t="str"/>
      <x:c r="F790" s="48" t="str">
        <x:v>All work referred to in sub-paragraph (b) of Sub-Clause 11.1 [Completion of Outstanding Work and Remedying Defects] shall be executed at the risk and cost of 10.3</x:v>
      </x:c>
      <x:c r="G790" s="48" t="str">
        <x:v>Risk</x:v>
      </x:c>
      <x:c r="H790" s="48" t="str">
        <x:v>Shared</x:v>
      </x:c>
      <x:c r="I790" s="48" t="n">
        <x:v>0.78</x:v>
      </x:c>
      <x:c r="J790" s="48" t="n">
        <x:v>0.4</x:v>
      </x:c>
      <x:c r="K790" s="48" t="str">
        <x:v>Yes</x:v>
      </x:c>
      <x:c r="L790" s="48" t="str">
        <x:v>PDF text</x:v>
      </x:c>
    </x:row>
    <x:row r="791">
      <x:c r="A791" s="48" t="str">
        <x:v>UNI-0790</x:v>
      </x:c>
      <x:c r="B791" s="48" t="str">
        <x:v>RED</x:v>
      </x:c>
      <x:c r="C791" s="48" t="str">
        <x:v>English</x:v>
      </x:c>
      <x:c r="D791" s="48" t="n">
        <x:v>48</x:v>
      </x:c>
      <x:c r="E791" s="48" t="str"/>
      <x:c r="F791" s="48" t="str">
        <x:v>Interference with Tests on</x:v>
      </x:c>
      <x:c r="G791" s="48" t="str">
        <x:v>Obligation</x:v>
      </x:c>
      <x:c r="H791" s="48" t="str">
        <x:v>Shared</x:v>
      </x:c>
      <x:c r="I791" s="48" t="n">
        <x:v>0.45</x:v>
      </x:c>
      <x:c r="J791" s="48" t="n">
        <x:v>0.4</x:v>
      </x:c>
      <x:c r="K791" s="48" t="str">
        <x:v>Yes</x:v>
      </x:c>
      <x:c r="L791" s="48" t="str">
        <x:v>PDF text</x:v>
      </x:c>
    </x:row>
    <x:row r="792">
      <x:c r="A792" s="48" t="str">
        <x:v>UNI-0791</x:v>
      </x:c>
      <x:c r="B792" s="48" t="str">
        <x:v>RED</x:v>
      </x:c>
      <x:c r="C792" s="48" t="str">
        <x:v>English</x:v>
      </x:c>
      <x:c r="D792" s="48" t="n">
        <x:v>48</x:v>
      </x:c>
      <x:c r="E792" s="48" t="str"/>
      <x:c r="F792" s="48" t="str">
        <x:v>Surfaces Requiring</x:v>
      </x:c>
      <x:c r="G792" s="48" t="str">
        <x:v>Obligation</x:v>
      </x:c>
      <x:c r="H792" s="48" t="str">
        <x:v>Shared</x:v>
      </x:c>
      <x:c r="I792" s="48" t="n">
        <x:v>0.45</x:v>
      </x:c>
      <x:c r="J792" s="48" t="n">
        <x:v>0.4</x:v>
      </x:c>
      <x:c r="K792" s="48" t="str">
        <x:v>Yes</x:v>
      </x:c>
      <x:c r="L792" s="48" t="str">
        <x:v>PDF text</x:v>
      </x:c>
    </x:row>
    <x:row r="793">
      <x:c r="A793" s="48" t="str">
        <x:v>UNI-0792</x:v>
      </x:c>
      <x:c r="B793" s="48" t="str">
        <x:v>RED</x:v>
      </x:c>
      <x:c r="C793" s="48" t="str">
        <x:v>English</x:v>
      </x:c>
      <x:c r="D793" s="48" t="n">
        <x:v>48</x:v>
      </x:c>
      <x:c r="E793" s="48" t="str"/>
      <x:c r="F793" s="48" t="str">
        <x:v>Reinstatement</x:v>
      </x:c>
      <x:c r="G793" s="48" t="str">
        <x:v>Obligation</x:v>
      </x:c>
      <x:c r="H793" s="48" t="str">
        <x:v>Shared</x:v>
      </x:c>
      <x:c r="I793" s="48" t="n">
        <x:v>0.45</x:v>
      </x:c>
      <x:c r="J793" s="48" t="n">
        <x:v>0.4</x:v>
      </x:c>
      <x:c r="K793" s="48" t="str">
        <x:v>Yes</x:v>
      </x:c>
      <x:c r="L793" s="48" t="str">
        <x:v>PDF text</x:v>
      </x:c>
    </x:row>
    <x:row r="794">
      <x:c r="A794" s="48" t="str">
        <x:v>UNI-0793</x:v>
      </x:c>
      <x:c r="B794" s="48" t="str">
        <x:v>RED</x:v>
      </x:c>
      <x:c r="C794" s="48" t="str">
        <x:v>English</x:v>
      </x:c>
      <x:c r="D794" s="48" t="n">
        <x:v>48</x:v>
      </x:c>
      <x:c r="E794" s="48" t="str"/>
      <x:c r="F794" s="48" t="str">
        <x:v>Completion of</x:v>
      </x:c>
      <x:c r="G794" s="48" t="str">
        <x:v>Obligation</x:v>
      </x:c>
      <x:c r="H794" s="48" t="str">
        <x:v>Shared</x:v>
      </x:c>
      <x:c r="I794" s="48" t="n">
        <x:v>0.45</x:v>
      </x:c>
      <x:c r="J794" s="48" t="n">
        <x:v>0.4</x:v>
      </x:c>
      <x:c r="K794" s="48" t="str">
        <x:v>Yes</x:v>
      </x:c>
      <x:c r="L794" s="48" t="str">
        <x:v>PDF text</x:v>
      </x:c>
    </x:row>
    <x:row r="795">
      <x:c r="A795" s="48" t="str">
        <x:v>UNI-0794</x:v>
      </x:c>
      <x:c r="B795" s="48" t="str">
        <x:v>RED</x:v>
      </x:c>
      <x:c r="C795" s="48" t="str">
        <x:v>English</x:v>
      </x:c>
      <x:c r="D795" s="48" t="n">
        <x:v>48</x:v>
      </x:c>
      <x:c r="E795" s="48" t="str"/>
      <x:c r="F795" s="48" t="str">
        <x:v>Outstanding Work and</x:v>
      </x:c>
      <x:c r="G795" s="48" t="str">
        <x:v>Obligation</x:v>
      </x:c>
      <x:c r="H795" s="48" t="str">
        <x:v>Shared</x:v>
      </x:c>
      <x:c r="I795" s="48" t="n">
        <x:v>0.45</x:v>
      </x:c>
      <x:c r="J795" s="48" t="n">
        <x:v>0.4</x:v>
      </x:c>
      <x:c r="K795" s="48" t="str">
        <x:v>Yes</x:v>
      </x:c>
      <x:c r="L795" s="48" t="str">
        <x:v>PDF text</x:v>
      </x:c>
    </x:row>
    <x:row r="796">
      <x:c r="A796" s="48" t="str">
        <x:v>UNI-0795</x:v>
      </x:c>
      <x:c r="B796" s="48" t="str">
        <x:v>RED</x:v>
      </x:c>
      <x:c r="C796" s="48" t="str">
        <x:v>English</x:v>
      </x:c>
      <x:c r="D796" s="48" t="n">
        <x:v>48</x:v>
      </x:c>
      <x:c r="E796" s="48" t="str"/>
      <x:c r="F796" s="48" t="str">
        <x:v>Remedying Defects</x:v>
      </x:c>
      <x:c r="G796" s="48" t="str">
        <x:v>Obligation</x:v>
      </x:c>
      <x:c r="H796" s="48" t="str">
        <x:v>Shared</x:v>
      </x:c>
      <x:c r="I796" s="48" t="n">
        <x:v>0.45</x:v>
      </x:c>
      <x:c r="J796" s="48" t="n">
        <x:v>0.4</x:v>
      </x:c>
      <x:c r="K796" s="48" t="str">
        <x:v>Yes</x:v>
      </x:c>
      <x:c r="L796" s="48" t="str">
        <x:v>PDF text</x:v>
      </x:c>
    </x:row>
    <x:row r="797">
      <x:c r="A797" s="48" t="str">
        <x:v>UNI-0796</x:v>
      </x:c>
      <x:c r="B797" s="48" t="str">
        <x:v>RED</x:v>
      </x:c>
      <x:c r="C797" s="48" t="str">
        <x:v>English</x:v>
      </x:c>
      <x:c r="D797" s="48" t="n">
        <x:v>48</x:v>
      </x:c>
      <x:c r="E797" s="48" t="str"/>
      <x:c r="F797" s="48" t="str">
        <x:v>Cost of Remedying</x:v>
      </x:c>
      <x:c r="G797" s="48" t="str">
        <x:v>Obligation</x:v>
      </x:c>
      <x:c r="H797" s="48" t="str">
        <x:v>Shared</x:v>
      </x:c>
      <x:c r="I797" s="48" t="n">
        <x:v>0.45</x:v>
      </x:c>
      <x:c r="J797" s="48" t="n">
        <x:v>0.4</x:v>
      </x:c>
      <x:c r="K797" s="48" t="str">
        <x:v>Yes</x:v>
      </x:c>
      <x:c r="L797" s="48" t="str">
        <x:v>PDF text</x:v>
      </x:c>
    </x:row>
    <x:row r="798">
      <x:c r="A798" s="48" t="str">
        <x:v>UNI-0797</x:v>
      </x:c>
      <x:c r="B798" s="48" t="str">
        <x:v>RED</x:v>
      </x:c>
      <x:c r="C798" s="48" t="str">
        <x:v>English</x:v>
      </x:c>
      <x:c r="D798" s="48" t="n">
        <x:v>48</x:v>
      </x:c>
      <x:c r="E798" s="48" t="str"/>
      <x:c r="F798" s="48" t="str">
        <x:v>Defects Liability</x:v>
      </x:c>
      <x:c r="G798" s="48" t="str">
        <x:v>Risk</x:v>
      </x:c>
      <x:c r="H798" s="48" t="str">
        <x:v>Shared</x:v>
      </x:c>
      <x:c r="I798" s="48" t="n">
        <x:v>0.78</x:v>
      </x:c>
      <x:c r="J798" s="48" t="n">
        <x:v>0.4</x:v>
      </x:c>
      <x:c r="K798" s="48" t="str">
        <x:v>Yes</x:v>
      </x:c>
      <x:c r="L798" s="48" t="str">
        <x:v>PDF text</x:v>
      </x:c>
    </x:row>
    <x:row r="799">
      <x:c r="A799" s="48" t="str">
        <x:v>UNI-0798</x:v>
      </x:c>
      <x:c r="B799" s="48" t="str">
        <x:v>RED</x:v>
      </x:c>
      <x:c r="C799" s="48" t="str">
        <x:v>English</x:v>
      </x:c>
      <x:c r="D799" s="48" t="n">
        <x:v>49</x:v>
      </x:c>
      <x:c r="E799" s="48" t="str"/>
      <x:c r="F799" s="48" t="str">
        <x:v>the Contractor, if and to the extent that the work is attributable to: (a) any design for which the Contractor is responsible, (b)</x:v>
      </x:c>
      <x:c r="G799" s="48" t="str">
        <x:v>Obligation</x:v>
      </x:c>
      <x:c r="H799" s="48" t="str">
        <x:v>Contractor</x:v>
      </x:c>
      <x:c r="I799" s="48" t="n">
        <x:v>0.45</x:v>
      </x:c>
      <x:c r="J799" s="48" t="n">
        <x:v>0.68</x:v>
      </x:c>
      <x:c r="K799" s="48" t="str">
        <x:v>Yes</x:v>
      </x:c>
      <x:c r="L799" s="48" t="str">
        <x:v>PDF text</x:v>
      </x:c>
    </x:row>
    <x:row r="800">
      <x:c r="A800" s="48" t="str">
        <x:v>UNI-0799</x:v>
      </x:c>
      <x:c r="B800" s="48" t="str">
        <x:v>RED</x:v>
      </x:c>
      <x:c r="C800" s="48" t="str">
        <x:v>English</x:v>
      </x:c>
      <x:c r="D800" s="48" t="n">
        <x:v>49</x:v>
      </x:c>
      <x:c r="E800" s="48" t="str"/>
      <x:c r="F800" s="48" t="str">
        <x:v>Plant, Materials or workmanship not being in accordance with the Contract, or</x:v>
      </x:c>
      <x:c r="G800" s="48" t="str">
        <x:v>Obligation</x:v>
      </x:c>
      <x:c r="H800" s="48" t="str">
        <x:v>Shared</x:v>
      </x:c>
      <x:c r="I800" s="48" t="n">
        <x:v>0.45</x:v>
      </x:c>
      <x:c r="J800" s="48" t="n">
        <x:v>0.4</x:v>
      </x:c>
      <x:c r="K800" s="48" t="str">
        <x:v>Yes</x:v>
      </x:c>
      <x:c r="L800" s="48" t="str">
        <x:v>PDF text</x:v>
      </x:c>
    </x:row>
    <x:row r="801">
      <x:c r="A801" s="48" t="str">
        <x:v>UNI-0800</x:v>
      </x:c>
      <x:c r="B801" s="48" t="str">
        <x:v>RED</x:v>
      </x:c>
      <x:c r="C801" s="48" t="str">
        <x:v>English</x:v>
      </x:c>
      <x:c r="D801" s="48" t="n">
        <x:v>49</x:v>
      </x:c>
      <x:c r="E801" s="48" t="str"/>
      <x:c r="F801" s="48" t="str">
        <x:v>(c) failure by the Contractor to comply with any other obligation.</x:v>
      </x:c>
      <x:c r="G801" s="48" t="str">
        <x:v>Obligation</x:v>
      </x:c>
      <x:c r="H801" s="48" t="str">
        <x:v>Contractor</x:v>
      </x:c>
      <x:c r="I801" s="48" t="n">
        <x:v>0.45</x:v>
      </x:c>
      <x:c r="J801" s="48" t="n">
        <x:v>0.68</x:v>
      </x:c>
      <x:c r="K801" s="48" t="str">
        <x:v>Yes</x:v>
      </x:c>
      <x:c r="L801" s="48" t="str">
        <x:v>PDF text</x:v>
      </x:c>
    </x:row>
    <x:row r="802">
      <x:c r="A802" s="48" t="str">
        <x:v>UNI-0801</x:v>
      </x:c>
      <x:c r="B802" s="48" t="str">
        <x:v>RED</x:v>
      </x:c>
      <x:c r="C802" s="48" t="str">
        <x:v>English</x:v>
      </x:c>
      <x:c r="D802" s="48" t="n">
        <x:v>49</x:v>
      </x:c>
      <x:c r="E802" s="48" t="str"/>
      <x:c r="F802" s="48" t="str">
        <x:v>If and to the extent that such work is attributable to any other cause, the Contractor shall be notified promptly by (or on behalf of) the Employer, and Sub-Clause 13.3 [Variation Procedure] shall apply.</x:v>
      </x:c>
      <x:c r="G802" s="48" t="str">
        <x:v>Obligation</x:v>
      </x:c>
      <x:c r="H802" s="48" t="str">
        <x:v>Contractor</x:v>
      </x:c>
      <x:c r="I802" s="48" t="n">
        <x:v>0.88</x:v>
      </x:c>
      <x:c r="J802" s="48" t="n">
        <x:v>0.92</x:v>
      </x:c>
      <x:c r="K802" s="48" t="str">
        <x:v>No</x:v>
      </x:c>
      <x:c r="L802" s="48" t="str">
        <x:v>PDF text</x:v>
      </x:c>
    </x:row>
    <x:row r="803">
      <x:c r="A803" s="48" t="str">
        <x:v>UNI-0802</x:v>
      </x:c>
      <x:c r="B803" s="48" t="str">
        <x:v>RED</x:v>
      </x:c>
      <x:c r="C803" s="48" t="str">
        <x:v>English</x:v>
      </x:c>
      <x:c r="D803" s="48" t="n">
        <x:v>49</x:v>
      </x:c>
      <x:c r="E803" s="48" t="str"/>
      <x:c r="F803" s="48" t="str">
        <x:v>The Employer shall be entitled subject to Sub-Clause 2.5 [Employer’s Claims] to an extension of the Defects Notification Period for the Works or a Section if and to the extent that the Works, Section or a major item of Plant (as the case may be, and after taking over) cannot be used for the purposes for which they are intended by reason of a defect or damage.</x:v>
      </x:c>
      <x:c r="G803" s="48" t="str">
        <x:v>Risk</x:v>
      </x:c>
      <x:c r="H803" s="48" t="str">
        <x:v>Employer</x:v>
      </x:c>
      <x:c r="I803" s="48" t="n">
        <x:v>0.78</x:v>
      </x:c>
      <x:c r="J803" s="48" t="n">
        <x:v>0.92</x:v>
      </x:c>
      <x:c r="K803" s="48" t="str">
        <x:v>No</x:v>
      </x:c>
      <x:c r="L803" s="48" t="str">
        <x:v>PDF text</x:v>
      </x:c>
    </x:row>
    <x:row r="804">
      <x:c r="A804" s="48" t="str">
        <x:v>UNI-0803</x:v>
      </x:c>
      <x:c r="B804" s="48" t="str">
        <x:v>RED</x:v>
      </x:c>
      <x:c r="C804" s="48" t="str">
        <x:v>English</x:v>
      </x:c>
      <x:c r="D804" s="48" t="n">
        <x:v>49</x:v>
      </x:c>
      <x:c r="E804" s="48" t="str"/>
      <x:c r="F804" s="48" t="str">
        <x:v>However, a Defects Notification Period shall not be extended by more than two years.</x:v>
      </x:c>
      <x:c r="G804" s="48" t="str">
        <x:v>Obligation</x:v>
      </x:c>
      <x:c r="H804" s="48" t="str">
        <x:v>Shared</x:v>
      </x:c>
      <x:c r="I804" s="48" t="n">
        <x:v>0.88</x:v>
      </x:c>
      <x:c r="J804" s="48" t="n">
        <x:v>0.4</x:v>
      </x:c>
      <x:c r="K804" s="48" t="str">
        <x:v>Yes</x:v>
      </x:c>
      <x:c r="L804" s="48" t="str">
        <x:v>PDF text</x:v>
      </x:c>
    </x:row>
    <x:row r="805">
      <x:c r="A805" s="48" t="str">
        <x:v>UNI-0804</x:v>
      </x:c>
      <x:c r="B805" s="48" t="str">
        <x:v>RED</x:v>
      </x:c>
      <x:c r="C805" s="48" t="str">
        <x:v>English</x:v>
      </x:c>
      <x:c r="D805" s="48" t="n">
        <x:v>49</x:v>
      </x:c>
      <x:c r="E805" s="48" t="str"/>
      <x:c r="F805" s="48" t="str">
        <x:v>If delivery and/or erection of Plant and/or Materials was suspended under Sub-Clause</x:v>
      </x:c>
      <x:c r="G805" s="48" t="str">
        <x:v>Obligation</x:v>
      </x:c>
      <x:c r="H805" s="48" t="str">
        <x:v>Shared</x:v>
      </x:c>
      <x:c r="I805" s="48" t="n">
        <x:v>0.45</x:v>
      </x:c>
      <x:c r="J805" s="48" t="n">
        <x:v>0.4</x:v>
      </x:c>
      <x:c r="K805" s="48" t="str">
        <x:v>Yes</x:v>
      </x:c>
      <x:c r="L805" s="48" t="str">
        <x:v>PDF text</x:v>
      </x:c>
    </x:row>
    <x:row r="806">
      <x:c r="A806" s="48" t="str">
        <x:v>UNI-0805</x:v>
      </x:c>
      <x:c r="B806" s="48" t="str">
        <x:v>RED</x:v>
      </x:c>
      <x:c r="C806" s="48" t="str">
        <x:v>English</x:v>
      </x:c>
      <x:c r="D806" s="48" t="n">
        <x:v>49</x:v>
      </x:c>
      <x:c r="E806" s="48" t="str">
        <x:v>8.8</x:v>
      </x:c>
      <x:c r="F806" s="48" t="str">
        <x:v>8.8 [Suspension of Work] or Sub-Clause 16.1 [ Contractor’s Entitlement to Suspend</x:v>
      </x:c>
      <x:c r="G806" s="48" t="str">
        <x:v>Obligation</x:v>
      </x:c>
      <x:c r="H806" s="48" t="str">
        <x:v>Contractor</x:v>
      </x:c>
      <x:c r="I806" s="48" t="n">
        <x:v>0.45</x:v>
      </x:c>
      <x:c r="J806" s="48" t="n">
        <x:v>0.68</x:v>
      </x:c>
      <x:c r="K806" s="48" t="str">
        <x:v>Yes</x:v>
      </x:c>
      <x:c r="L806" s="48" t="str">
        <x:v>PDF text</x:v>
      </x:c>
    </x:row>
    <x:row r="807">
      <x:c r="A807" s="48" t="str">
        <x:v>UNI-0806</x:v>
      </x:c>
      <x:c r="B807" s="48" t="str">
        <x:v>RED</x:v>
      </x:c>
      <x:c r="C807" s="48" t="str">
        <x:v>English</x:v>
      </x:c>
      <x:c r="D807" s="48" t="n">
        <x:v>49</x:v>
      </x:c>
      <x:c r="E807" s="48" t="str"/>
      <x:c r="F807" s="48" t="str">
        <x:v>Work], the Contractor’s obligations under this Clause shall not apply to any defects or damage occurring more than two years after the Defects Notification Period for the Plant and/or Materials would otherwise have expired.</x:v>
      </x:c>
      <x:c r="G807" s="48" t="str">
        <x:v>Obligation</x:v>
      </x:c>
      <x:c r="H807" s="48" t="str">
        <x:v>Contractor</x:v>
      </x:c>
      <x:c r="I807" s="48" t="n">
        <x:v>0.88</x:v>
      </x:c>
      <x:c r="J807" s="48" t="n">
        <x:v>0.68</x:v>
      </x:c>
      <x:c r="K807" s="48" t="str">
        <x:v>Yes</x:v>
      </x:c>
      <x:c r="L807" s="48" t="str">
        <x:v>PDF text</x:v>
      </x:c>
    </x:row>
    <x:row r="808">
      <x:c r="A808" s="48" t="str">
        <x:v>UNI-0807</x:v>
      </x:c>
      <x:c r="B808" s="48" t="str">
        <x:v>RED</x:v>
      </x:c>
      <x:c r="C808" s="48" t="str">
        <x:v>English</x:v>
      </x:c>
      <x:c r="D808" s="48" t="n">
        <x:v>49</x:v>
      </x:c>
      <x:c r="E808" s="48" t="str"/>
      <x:c r="F808" s="48" t="str">
        <x:v>If the Contractor fails to remedy any defect or damage within a reasonable time, a date may be fixed by (or on behalf of) the Employer, on or by which the defect or damage is to be remedied.</x:v>
      </x:c>
      <x:c r="G808" s="48" t="str">
        <x:v>Risk</x:v>
      </x:c>
      <x:c r="H808" s="48" t="str">
        <x:v>Shared</x:v>
      </x:c>
      <x:c r="I808" s="48" t="n">
        <x:v>0.78</x:v>
      </x:c>
      <x:c r="J808" s="48" t="n">
        <x:v>0.6</x:v>
      </x:c>
      <x:c r="K808" s="48" t="str">
        <x:v>Yes</x:v>
      </x:c>
      <x:c r="L808" s="48" t="str">
        <x:v>PDF text</x:v>
      </x:c>
    </x:row>
    <x:row r="809">
      <x:c r="A809" s="48" t="str">
        <x:v>UNI-0808</x:v>
      </x:c>
      <x:c r="B809" s="48" t="str">
        <x:v>RED</x:v>
      </x:c>
      <x:c r="C809" s="48" t="str">
        <x:v>English</x:v>
      </x:c>
      <x:c r="D809" s="48" t="n">
        <x:v>49</x:v>
      </x:c>
      <x:c r="E809" s="48" t="str"/>
      <x:c r="F809" s="48" t="str">
        <x:v>The Contractor shall be given reasonable notice of this date.</x:v>
      </x:c>
      <x:c r="G809" s="48" t="str">
        <x:v>Obligation</x:v>
      </x:c>
      <x:c r="H809" s="48" t="str">
        <x:v>Contractor</x:v>
      </x:c>
      <x:c r="I809" s="48" t="n">
        <x:v>0.88</x:v>
      </x:c>
      <x:c r="J809" s="48" t="n">
        <x:v>0.92</x:v>
      </x:c>
      <x:c r="K809" s="48" t="str">
        <x:v>No</x:v>
      </x:c>
      <x:c r="L809" s="48" t="str">
        <x:v>PDF text</x:v>
      </x:c>
    </x:row>
    <x:row r="810">
      <x:c r="A810" s="48" t="str">
        <x:v>UNI-0809</x:v>
      </x:c>
      <x:c r="B810" s="48" t="str">
        <x:v>RED</x:v>
      </x:c>
      <x:c r="C810" s="48" t="str">
        <x:v>English</x:v>
      </x:c>
      <x:c r="D810" s="48" t="n">
        <x:v>49</x:v>
      </x:c>
      <x:c r="E810" s="48" t="str"/>
      <x:c r="F810" s="48" t="str">
        <x:v>If the Contractor fails to remedy the defect or damage by this notified date and this remedial work was to be executed at the cost of the Contractor under Sub-Clause</x:v>
      </x:c>
      <x:c r="G810" s="48" t="str">
        <x:v>Risk</x:v>
      </x:c>
      <x:c r="H810" s="48" t="str">
        <x:v>Contractor</x:v>
      </x:c>
      <x:c r="I810" s="48" t="n">
        <x:v>0.78</x:v>
      </x:c>
      <x:c r="J810" s="48" t="n">
        <x:v>0.68</x:v>
      </x:c>
      <x:c r="K810" s="48" t="str">
        <x:v>Yes</x:v>
      </x:c>
      <x:c r="L810" s="48" t="str">
        <x:v>PDF text</x:v>
      </x:c>
    </x:row>
    <x:row r="811">
      <x:c r="A811" s="48" t="str">
        <x:v>UNI-0810</x:v>
      </x:c>
      <x:c r="B811" s="48" t="str">
        <x:v>RED</x:v>
      </x:c>
      <x:c r="C811" s="48" t="str">
        <x:v>English</x:v>
      </x:c>
      <x:c r="D811" s="48" t="n">
        <x:v>49</x:v>
      </x:c>
      <x:c r="E811" s="48" t="str">
        <x:v>11.2</x:v>
      </x:c>
      <x:c r="F811" s="48" t="str">
        <x:v>11.2 [Cost of Remedying Defects], the Employer may (at his option):</x:v>
      </x:c>
      <x:c r="G811" s="48" t="str">
        <x:v>Obligation</x:v>
      </x:c>
      <x:c r="H811" s="48" t="str">
        <x:v>Employer</x:v>
      </x:c>
      <x:c r="I811" s="48" t="n">
        <x:v>0.45</x:v>
      </x:c>
      <x:c r="J811" s="48" t="n">
        <x:v>0.68</x:v>
      </x:c>
      <x:c r="K811" s="48" t="str">
        <x:v>Yes</x:v>
      </x:c>
      <x:c r="L811" s="48" t="str">
        <x:v>PDF text</x:v>
      </x:c>
    </x:row>
    <x:row r="812">
      <x:c r="A812" s="48" t="str">
        <x:v>UNI-0811</x:v>
      </x:c>
      <x:c r="B812" s="48" t="str">
        <x:v>RED</x:v>
      </x:c>
      <x:c r="C812" s="48" t="str">
        <x:v>English</x:v>
      </x:c>
      <x:c r="D812" s="48" t="n">
        <x:v>49</x:v>
      </x:c>
      <x:c r="E812" s="48" t="str"/>
      <x:c r="F812" s="48" t="str">
        <x:v>(a) carry out the work himself or by others, in a reasonable manner and at the Contractor’s cost, but the Contractor shall have no responsibility for this work; and the Contractor shall subject to Sub-Clause 2.5 [Employer’s Claims] pay to the Employer the costs reasonably incurred by the Employer in remedying the defect or damage; (b) require the Engineer to agree or determine a reasonable reduction in the Contract Price in accordance with Sub-Clause 3.5 [Determinations]; or (c) if the defect or damage deprives the Employer of substantially the whole benefit of the Works or any major part of the Works, terminate the Contract as a whole, or in respect of such major part which cannot be put to the intended use.</x:v>
      </x:c>
      <x:c r="G812" s="48" t="str">
        <x:v>Risk</x:v>
      </x:c>
      <x:c r="H812" s="48" t="str">
        <x:v>Contractor</x:v>
      </x:c>
      <x:c r="I812" s="48" t="n">
        <x:v>0.78</x:v>
      </x:c>
      <x:c r="J812" s="48" t="n">
        <x:v>0.92</x:v>
      </x:c>
      <x:c r="K812" s="48" t="str">
        <x:v>No</x:v>
      </x:c>
      <x:c r="L812" s="48" t="str">
        <x:v>PDF text</x:v>
      </x:c>
    </x:row>
    <x:row r="813">
      <x:c r="A813" s="48" t="str">
        <x:v>UNI-0812</x:v>
      </x:c>
      <x:c r="B813" s="48" t="str">
        <x:v>RED</x:v>
      </x:c>
      <x:c r="C813" s="48" t="str">
        <x:v>English</x:v>
      </x:c>
      <x:c r="D813" s="48" t="n">
        <x:v>49</x:v>
      </x:c>
      <x:c r="E813" s="48" t="str"/>
      <x:c r="F813" s="48" t="str">
        <x:v>Without prejudice to any other rights, under the Contract or otherwise, the Employer shall then be entitled to recover all sums paid for the Works or for such part (as the case may be), plus financing costs and the cost of dismantling the same, clearing the Site and returning Plant and Materials to the Contractor.</x:v>
      </x:c>
      <x:c r="G813" s="48" t="str">
        <x:v>Obligation</x:v>
      </x:c>
      <x:c r="H813" s="48" t="str">
        <x:v>Employer</x:v>
      </x:c>
      <x:c r="I813" s="48" t="n">
        <x:v>0.88</x:v>
      </x:c>
      <x:c r="J813" s="48" t="n">
        <x:v>0.92</x:v>
      </x:c>
      <x:c r="K813" s="48" t="str">
        <x:v>No</x:v>
      </x:c>
      <x:c r="L813" s="48" t="str">
        <x:v>PDF text</x:v>
      </x:c>
    </x:row>
    <x:row r="814">
      <x:c r="A814" s="48" t="str">
        <x:v>UNI-0813</x:v>
      </x:c>
      <x:c r="B814" s="48" t="str">
        <x:v>RED</x:v>
      </x:c>
      <x:c r="C814" s="48" t="str">
        <x:v>English</x:v>
      </x:c>
      <x:c r="D814" s="48" t="n">
        <x:v>49</x:v>
      </x:c>
      <x:c r="E814" s="48" t="str"/>
      <x:c r="F814" s="48" t="str">
        <x:v>If the defect or damage cannot be remedied expeditiously on the Site and the</x:v>
      </x:c>
      <x:c r="G814" s="48" t="str">
        <x:v>Risk</x:v>
      </x:c>
      <x:c r="H814" s="48" t="str">
        <x:v>Shared</x:v>
      </x:c>
      <x:c r="I814" s="48" t="n">
        <x:v>0.78</x:v>
      </x:c>
      <x:c r="J814" s="48" t="n">
        <x:v>0.4</x:v>
      </x:c>
      <x:c r="K814" s="48" t="str">
        <x:v>Yes</x:v>
      </x:c>
      <x:c r="L814" s="48" t="str">
        <x:v>PDF text</x:v>
      </x:c>
    </x:row>
    <x:row r="815">
      <x:c r="A815" s="48" t="str">
        <x:v>UNI-0814</x:v>
      </x:c>
      <x:c r="B815" s="48" t="str">
        <x:v>RED</x:v>
      </x:c>
      <x:c r="C815" s="48" t="str">
        <x:v>English</x:v>
      </x:c>
      <x:c r="D815" s="48" t="n">
        <x:v>49</x:v>
      </x:c>
      <x:c r="E815" s="48" t="str"/>
      <x:c r="F815" s="48" t="str">
        <x:v>Employer gives consent, the Contractor may remove from the Site for the purposes</x:v>
      </x:c>
      <x:c r="G815" s="48" t="str">
        <x:v>Right</x:v>
      </x:c>
      <x:c r="H815" s="48" t="str">
        <x:v>Contractor</x:v>
      </x:c>
      <x:c r="I815" s="48" t="n">
        <x:v>0.78</x:v>
      </x:c>
      <x:c r="J815" s="48" t="n">
        <x:v>0.92</x:v>
      </x:c>
      <x:c r="K815" s="48" t="str">
        <x:v>No</x:v>
      </x:c>
      <x:c r="L815" s="48" t="str">
        <x:v>PDF text</x:v>
      </x:c>
    </x:row>
    <x:row r="816">
      <x:c r="A816" s="48" t="str">
        <x:v>UNI-0815</x:v>
      </x:c>
      <x:c r="B816" s="48" t="str">
        <x:v>RED</x:v>
      </x:c>
      <x:c r="C816" s="48" t="str">
        <x:v>English</x:v>
      </x:c>
      <x:c r="D816" s="48" t="n">
        <x:v>49</x:v>
      </x:c>
      <x:c r="E816" s="48" t="str"/>
      <x:c r="F816" s="48" t="str">
        <x:v>of repair such items of Plant as are defective or damaged.</x:v>
      </x:c>
      <x:c r="G816" s="48" t="str">
        <x:v>Obligation</x:v>
      </x:c>
      <x:c r="H816" s="48" t="str">
        <x:v>Shared</x:v>
      </x:c>
      <x:c r="I816" s="48" t="n">
        <x:v>0.45</x:v>
      </x:c>
      <x:c r="J816" s="48" t="n">
        <x:v>0.4</x:v>
      </x:c>
      <x:c r="K816" s="48" t="str">
        <x:v>Yes</x:v>
      </x:c>
      <x:c r="L816" s="48" t="str">
        <x:v>PDF text</x:v>
      </x:c>
    </x:row>
    <x:row r="817">
      <x:c r="A817" s="48" t="str">
        <x:v>UNI-0816</x:v>
      </x:c>
      <x:c r="B817" s="48" t="str">
        <x:v>RED</x:v>
      </x:c>
      <x:c r="C817" s="48" t="str">
        <x:v>English</x:v>
      </x:c>
      <x:c r="D817" s="48" t="n">
        <x:v>49</x:v>
      </x:c>
      <x:c r="E817" s="48" t="str"/>
      <x:c r="F817" s="48" t="str">
        <x:v>This consent may require the Contractor to increase the amount of the Performance Security by the full replacement cost of these items, or to provide other appropriate security.</x:v>
      </x:c>
      <x:c r="G817" s="48" t="str">
        <x:v>Right</x:v>
      </x:c>
      <x:c r="H817" s="48" t="str">
        <x:v>Contractor</x:v>
      </x:c>
      <x:c r="I817" s="48" t="n">
        <x:v>0.78</x:v>
      </x:c>
      <x:c r="J817" s="48" t="n">
        <x:v>0.68</x:v>
      </x:c>
      <x:c r="K817" s="48" t="str">
        <x:v>Yes</x:v>
      </x:c>
      <x:c r="L817" s="48" t="str">
        <x:v>PDF text</x:v>
      </x:c>
    </x:row>
    <x:row r="818">
      <x:c r="A818" s="48" t="str">
        <x:v>UNI-0817</x:v>
      </x:c>
      <x:c r="B818" s="48" t="str">
        <x:v>RED</x:v>
      </x:c>
      <x:c r="C818" s="48" t="str">
        <x:v>English</x:v>
      </x:c>
      <x:c r="D818" s="48" t="n">
        <x:v>49</x:v>
      </x:c>
      <x:c r="E818" s="48" t="str"/>
      <x:c r="F818" s="48" t="str">
        <x:v>Extension of Defects</x:v>
      </x:c>
      <x:c r="G818" s="48" t="str">
        <x:v>Obligation</x:v>
      </x:c>
      <x:c r="H818" s="48" t="str">
        <x:v>Shared</x:v>
      </x:c>
      <x:c r="I818" s="48" t="n">
        <x:v>0.45</x:v>
      </x:c>
      <x:c r="J818" s="48" t="n">
        <x:v>0.4</x:v>
      </x:c>
      <x:c r="K818" s="48" t="str">
        <x:v>Yes</x:v>
      </x:c>
      <x:c r="L818" s="48" t="str">
        <x:v>PDF text</x:v>
      </x:c>
    </x:row>
    <x:row r="819">
      <x:c r="A819" s="48" t="str">
        <x:v>UNI-0818</x:v>
      </x:c>
      <x:c r="B819" s="48" t="str">
        <x:v>RED</x:v>
      </x:c>
      <x:c r="C819" s="48" t="str">
        <x:v>English</x:v>
      </x:c>
      <x:c r="D819" s="48" t="n">
        <x:v>49</x:v>
      </x:c>
      <x:c r="E819" s="48" t="str"/>
      <x:c r="F819" s="48" t="str">
        <x:v>Notification Period</x:v>
      </x:c>
      <x:c r="G819" s="48" t="str">
        <x:v>Obligation</x:v>
      </x:c>
      <x:c r="H819" s="48" t="str">
        <x:v>Shared</x:v>
      </x:c>
      <x:c r="I819" s="48" t="n">
        <x:v>0.45</x:v>
      </x:c>
      <x:c r="J819" s="48" t="n">
        <x:v>0.4</x:v>
      </x:c>
      <x:c r="K819" s="48" t="str">
        <x:v>Yes</x:v>
      </x:c>
      <x:c r="L819" s="48" t="str">
        <x:v>PDF text</x:v>
      </x:c>
    </x:row>
    <x:row r="820">
      <x:c r="A820" s="48" t="str">
        <x:v>UNI-0819</x:v>
      </x:c>
      <x:c r="B820" s="48" t="str">
        <x:v>RED</x:v>
      </x:c>
      <x:c r="C820" s="48" t="str">
        <x:v>English</x:v>
      </x:c>
      <x:c r="D820" s="48" t="n">
        <x:v>49</x:v>
      </x:c>
      <x:c r="E820" s="48" t="str"/>
      <x:c r="F820" s="48" t="str">
        <x:v>Failure to Remedy</x:v>
      </x:c>
      <x:c r="G820" s="48" t="str">
        <x:v>Obligation</x:v>
      </x:c>
      <x:c r="H820" s="48" t="str">
        <x:v>Shared</x:v>
      </x:c>
      <x:c r="I820" s="48" t="n">
        <x:v>0.45</x:v>
      </x:c>
      <x:c r="J820" s="48" t="n">
        <x:v>0.4</x:v>
      </x:c>
      <x:c r="K820" s="48" t="str">
        <x:v>Yes</x:v>
      </x:c>
      <x:c r="L820" s="48" t="str">
        <x:v>PDF text</x:v>
      </x:c>
    </x:row>
    <x:row r="821">
      <x:c r="A821" s="48" t="str">
        <x:v>UNI-0820</x:v>
      </x:c>
      <x:c r="B821" s="48" t="str">
        <x:v>RED</x:v>
      </x:c>
      <x:c r="C821" s="48" t="str">
        <x:v>English</x:v>
      </x:c>
      <x:c r="D821" s="48" t="n">
        <x:v>49</x:v>
      </x:c>
      <x:c r="E821" s="48" t="str"/>
      <x:c r="F821" s="48" t="str">
        <x:v>Removal of Defective</x:v>
      </x:c>
      <x:c r="G821" s="48" t="str">
        <x:v>Obligation</x:v>
      </x:c>
      <x:c r="H821" s="48" t="str">
        <x:v>Shared</x:v>
      </x:c>
      <x:c r="I821" s="48" t="n">
        <x:v>0.45</x:v>
      </x:c>
      <x:c r="J821" s="48" t="n">
        <x:v>0.4</x:v>
      </x:c>
      <x:c r="K821" s="48" t="str">
        <x:v>Yes</x:v>
      </x:c>
      <x:c r="L821" s="48" t="str">
        <x:v>PDF text</x:v>
      </x:c>
    </x:row>
    <x:row r="822">
      <x:c r="A822" s="48" t="str">
        <x:v>UNI-0821</x:v>
      </x:c>
      <x:c r="B822" s="48" t="str">
        <x:v>RED</x:v>
      </x:c>
      <x:c r="C822" s="48" t="str">
        <x:v>English</x:v>
      </x:c>
      <x:c r="D822" s="48" t="n">
        <x:v>50</x:v>
      </x:c>
      <x:c r="E822" s="48" t="str"/>
      <x:c r="F822" s="48" t="str">
        <x:v>If the work of remedying of any defect or damage may affect the performance of the Works, the Engineer may require the repetition of any of the tests described in the Contract.</x:v>
      </x:c>
      <x:c r="G822" s="48" t="str">
        <x:v>Risk</x:v>
      </x:c>
      <x:c r="H822" s="48" t="str">
        <x:v>Shared</x:v>
      </x:c>
      <x:c r="I822" s="48" t="n">
        <x:v>0.78</x:v>
      </x:c>
      <x:c r="J822" s="48" t="n">
        <x:v>0.4</x:v>
      </x:c>
      <x:c r="K822" s="48" t="str">
        <x:v>Yes</x:v>
      </x:c>
      <x:c r="L822" s="48" t="str">
        <x:v>PDF text</x:v>
      </x:c>
    </x:row>
    <x:row r="823">
      <x:c r="A823" s="48" t="str">
        <x:v>UNI-0822</x:v>
      </x:c>
      <x:c r="B823" s="48" t="str">
        <x:v>RED</x:v>
      </x:c>
      <x:c r="C823" s="48" t="str">
        <x:v>English</x:v>
      </x:c>
      <x:c r="D823" s="48" t="n">
        <x:v>50</x:v>
      </x:c>
      <x:c r="E823" s="48" t="str"/>
      <x:c r="F823" s="48" t="str">
        <x:v>The requirement shall be made by notice within 28 days after the defect or damage is remedied.</x:v>
      </x:c>
      <x:c r="G823" s="48" t="str">
        <x:v>Obligation</x:v>
      </x:c>
      <x:c r="H823" s="48" t="str">
        <x:v>Shared</x:v>
      </x:c>
      <x:c r="I823" s="48" t="n">
        <x:v>0.88</x:v>
      </x:c>
      <x:c r="J823" s="48" t="n">
        <x:v>0.4</x:v>
      </x:c>
      <x:c r="K823" s="48" t="str">
        <x:v>Yes</x:v>
      </x:c>
      <x:c r="L823" s="48" t="str">
        <x:v>PDF text</x:v>
      </x:c>
    </x:row>
    <x:row r="824">
      <x:c r="A824" s="48" t="str">
        <x:v>UNI-0823</x:v>
      </x:c>
      <x:c r="B824" s="48" t="str">
        <x:v>RED</x:v>
      </x:c>
      <x:c r="C824" s="48" t="str">
        <x:v>English</x:v>
      </x:c>
      <x:c r="D824" s="48" t="n">
        <x:v>50</x:v>
      </x:c>
      <x:c r="E824" s="48" t="str"/>
      <x:c r="F824" s="48" t="str">
        <x:v>These tests shall be carried out in accordance with the terms applicable to the</x:v>
      </x:c>
      <x:c r="G824" s="48" t="str">
        <x:v>Obligation</x:v>
      </x:c>
      <x:c r="H824" s="48" t="str">
        <x:v>Shared</x:v>
      </x:c>
      <x:c r="I824" s="48" t="n">
        <x:v>0.88</x:v>
      </x:c>
      <x:c r="J824" s="48" t="n">
        <x:v>0.4</x:v>
      </x:c>
      <x:c r="K824" s="48" t="str">
        <x:v>Yes</x:v>
      </x:c>
      <x:c r="L824" s="48" t="str">
        <x:v>PDF text</x:v>
      </x:c>
    </x:row>
    <x:row r="825">
      <x:c r="A825" s="48" t="str">
        <x:v>UNI-0824</x:v>
      </x:c>
      <x:c r="B825" s="48" t="str">
        <x:v>RED</x:v>
      </x:c>
      <x:c r="C825" s="48" t="str">
        <x:v>English</x:v>
      </x:c>
      <x:c r="D825" s="48" t="n">
        <x:v>50</x:v>
      </x:c>
      <x:c r="E825" s="48" t="str"/>
      <x:c r="F825" s="48" t="str">
        <x:v>previous tests, except that they shall be carried out at the risk and cost of the Party liable, under Sub-Clause 11.2 [Cost of Remedying Defects], for the cost of the remedial work.</x:v>
      </x:c>
      <x:c r="G825" s="48" t="str">
        <x:v>Risk</x:v>
      </x:c>
      <x:c r="H825" s="48" t="str">
        <x:v>Shared</x:v>
      </x:c>
      <x:c r="I825" s="48" t="n">
        <x:v>0.78</x:v>
      </x:c>
      <x:c r="J825" s="48" t="n">
        <x:v>0.4</x:v>
      </x:c>
      <x:c r="K825" s="48" t="str">
        <x:v>Yes</x:v>
      </x:c>
      <x:c r="L825" s="48" t="str">
        <x:v>PDF text</x:v>
      </x:c>
    </x:row>
    <x:row r="826">
      <x:c r="A826" s="48" t="str">
        <x:v>UNI-0825</x:v>
      </x:c>
      <x:c r="B826" s="48" t="str">
        <x:v>RED</x:v>
      </x:c>
      <x:c r="C826" s="48" t="str">
        <x:v>English</x:v>
      </x:c>
      <x:c r="D826" s="48" t="n">
        <x:v>50</x:v>
      </x:c>
      <x:c r="E826" s="48" t="str"/>
      <x:c r="F826" s="48" t="str">
        <x:v>Until the Performance Certificate has been issued, the Contractor shall have such right of access to the Works as is reasonably required in order to comply with this Clause, except as may be inconsistent with the Employer’s reasonable security restrictions.</x:v>
      </x:c>
      <x:c r="G826" s="48" t="str">
        <x:v>Obligation</x:v>
      </x:c>
      <x:c r="H826" s="48" t="str">
        <x:v>Contractor</x:v>
      </x:c>
      <x:c r="I826" s="48" t="n">
        <x:v>0.88</x:v>
      </x:c>
      <x:c r="J826" s="48" t="n">
        <x:v>0.92</x:v>
      </x:c>
      <x:c r="K826" s="48" t="str">
        <x:v>No</x:v>
      </x:c>
      <x:c r="L826" s="48" t="str">
        <x:v>PDF text</x:v>
      </x:c>
    </x:row>
    <x:row r="827">
      <x:c r="A827" s="48" t="str">
        <x:v>UNI-0826</x:v>
      </x:c>
      <x:c r="B827" s="48" t="str">
        <x:v>RED</x:v>
      </x:c>
      <x:c r="C827" s="48" t="str">
        <x:v>English</x:v>
      </x:c>
      <x:c r="D827" s="48" t="n">
        <x:v>50</x:v>
      </x:c>
      <x:c r="E827" s="48" t="str"/>
      <x:c r="F827" s="48" t="str">
        <x:v>The Contractor shall, if required by the Engineer, search for the cause of any defect, under the direction of the Engineer.</x:v>
      </x:c>
      <x:c r="G827" s="48" t="str">
        <x:v>Risk</x:v>
      </x:c>
      <x:c r="H827" s="48" t="str">
        <x:v>Contractor</x:v>
      </x:c>
      <x:c r="I827" s="48" t="n">
        <x:v>0.78</x:v>
      </x:c>
      <x:c r="J827" s="48" t="n">
        <x:v>0.92</x:v>
      </x:c>
      <x:c r="K827" s="48" t="str">
        <x:v>No</x:v>
      </x:c>
      <x:c r="L827" s="48" t="str">
        <x:v>PDF text</x:v>
      </x:c>
    </x:row>
    <x:row r="828">
      <x:c r="A828" s="48" t="str">
        <x:v>UNI-0827</x:v>
      </x:c>
      <x:c r="B828" s="48" t="str">
        <x:v>RED</x:v>
      </x:c>
      <x:c r="C828" s="48" t="str">
        <x:v>English</x:v>
      </x:c>
      <x:c r="D828" s="48" t="n">
        <x:v>50</x:v>
      </x:c>
      <x:c r="E828" s="48" t="str"/>
      <x:c r="F828" s="48" t="str">
        <x:v>Unless the defect is to be remedied at the cost of the Contractor under Sub-Clause 11.2 [Cost of Remedying Defects], the Cost of the search plus profit shall be agreed or determined by the Engineer in accordance with Sub-Clause 3.5 [Determinations] and shall be included in the Contract Price.</x:v>
      </x:c>
      <x:c r="G828" s="48" t="str">
        <x:v>Obligation</x:v>
      </x:c>
      <x:c r="H828" s="48" t="str">
        <x:v>Contractor</x:v>
      </x:c>
      <x:c r="I828" s="48" t="n">
        <x:v>0.88</x:v>
      </x:c>
      <x:c r="J828" s="48" t="n">
        <x:v>0.68</x:v>
      </x:c>
      <x:c r="K828" s="48" t="str">
        <x:v>Yes</x:v>
      </x:c>
      <x:c r="L828" s="48" t="str">
        <x:v>PDF text</x:v>
      </x:c>
    </x:row>
    <x:row r="829">
      <x:c r="A829" s="48" t="str">
        <x:v>UNI-0828</x:v>
      </x:c>
      <x:c r="B829" s="48" t="str">
        <x:v>RED</x:v>
      </x:c>
      <x:c r="C829" s="48" t="str">
        <x:v>English</x:v>
      </x:c>
      <x:c r="D829" s="48" t="n">
        <x:v>50</x:v>
      </x:c>
      <x:c r="E829" s="48" t="str"/>
      <x:c r="F829" s="48" t="str">
        <x:v>Performance of the Contractor’s obligations shall not be considered to have been</x:v>
      </x:c>
      <x:c r="G829" s="48" t="str">
        <x:v>Obligation</x:v>
      </x:c>
      <x:c r="H829" s="48" t="str">
        <x:v>Contractor</x:v>
      </x:c>
      <x:c r="I829" s="48" t="n">
        <x:v>0.88</x:v>
      </x:c>
      <x:c r="J829" s="48" t="n">
        <x:v>0.68</x:v>
      </x:c>
      <x:c r="K829" s="48" t="str">
        <x:v>Yes</x:v>
      </x:c>
      <x:c r="L829" s="48" t="str">
        <x:v>PDF text</x:v>
      </x:c>
    </x:row>
    <x:row r="830">
      <x:c r="A830" s="48" t="str">
        <x:v>UNI-0829</x:v>
      </x:c>
      <x:c r="B830" s="48" t="str">
        <x:v>RED</x:v>
      </x:c>
      <x:c r="C830" s="48" t="str">
        <x:v>English</x:v>
      </x:c>
      <x:c r="D830" s="48" t="n">
        <x:v>50</x:v>
      </x:c>
      <x:c r="E830" s="48" t="str"/>
      <x:c r="F830" s="48" t="str">
        <x:v>completed until the Engineer has issued the Performance Certificate to the Contractor, stating the date on which the Contractor completed his obligations under the Contract.</x:v>
      </x:c>
      <x:c r="G830" s="48" t="str">
        <x:v>Obligation</x:v>
      </x:c>
      <x:c r="H830" s="48" t="str">
        <x:v>Contractor</x:v>
      </x:c>
      <x:c r="I830" s="48" t="n">
        <x:v>0.55</x:v>
      </x:c>
      <x:c r="J830" s="48" t="n">
        <x:v>0.68</x:v>
      </x:c>
      <x:c r="K830" s="48" t="str">
        <x:v>Yes</x:v>
      </x:c>
      <x:c r="L830" s="48" t="str">
        <x:v>PDF text</x:v>
      </x:c>
    </x:row>
    <x:row r="831">
      <x:c r="A831" s="48" t="str">
        <x:v>UNI-0830</x:v>
      </x:c>
      <x:c r="B831" s="48" t="str">
        <x:v>RED</x:v>
      </x:c>
      <x:c r="C831" s="48" t="str">
        <x:v>English</x:v>
      </x:c>
      <x:c r="D831" s="48" t="n">
        <x:v>50</x:v>
      </x:c>
      <x:c r="E831" s="48" t="str"/>
      <x:c r="F831" s="48" t="str">
        <x:v>The Engineer shall issue the Performance Certificate within 28 days after the latest of the expiry dates of the Defects Notification Periods, or as soon thereafter as the Contractor has supplied all the Contractor’s Documents and completed and tested all the Works, including remedying any defects.</x:v>
      </x:c>
      <x:c r="G831" s="48" t="str">
        <x:v>Obligation</x:v>
      </x:c>
      <x:c r="H831" s="48" t="str">
        <x:v>Contractor</x:v>
      </x:c>
      <x:c r="I831" s="48" t="n">
        <x:v>0.88</x:v>
      </x:c>
      <x:c r="J831" s="48" t="n">
        <x:v>0.68</x:v>
      </x:c>
      <x:c r="K831" s="48" t="str">
        <x:v>Yes</x:v>
      </x:c>
      <x:c r="L831" s="48" t="str">
        <x:v>PDF text</x:v>
      </x:c>
    </x:row>
    <x:row r="832">
      <x:c r="A832" s="48" t="str">
        <x:v>UNI-0831</x:v>
      </x:c>
      <x:c r="B832" s="48" t="str">
        <x:v>RED</x:v>
      </x:c>
      <x:c r="C832" s="48" t="str">
        <x:v>English</x:v>
      </x:c>
      <x:c r="D832" s="48" t="n">
        <x:v>50</x:v>
      </x:c>
      <x:c r="E832" s="48" t="str"/>
      <x:c r="F832" s="48" t="str">
        <x:v>A copy of the Performance Certificate shall be issued to the Employer.</x:v>
      </x:c>
      <x:c r="G832" s="48" t="str">
        <x:v>Obligation</x:v>
      </x:c>
      <x:c r="H832" s="48" t="str">
        <x:v>Employer</x:v>
      </x:c>
      <x:c r="I832" s="48" t="n">
        <x:v>0.88</x:v>
      </x:c>
      <x:c r="J832" s="48" t="n">
        <x:v>0.68</x:v>
      </x:c>
      <x:c r="K832" s="48" t="str">
        <x:v>Yes</x:v>
      </x:c>
      <x:c r="L832" s="48" t="str">
        <x:v>PDF text</x:v>
      </x:c>
    </x:row>
    <x:row r="833">
      <x:c r="A833" s="48" t="str">
        <x:v>UNI-0832</x:v>
      </x:c>
      <x:c r="B833" s="48" t="str">
        <x:v>RED</x:v>
      </x:c>
      <x:c r="C833" s="48" t="str">
        <x:v>English</x:v>
      </x:c>
      <x:c r="D833" s="48" t="n">
        <x:v>50</x:v>
      </x:c>
      <x:c r="E833" s="48" t="str"/>
      <x:c r="F833" s="48" t="str">
        <x:v>Only the Performance Certificate shall be deemed to constitute acceptance of the</x:v>
      </x:c>
      <x:c r="G833" s="48" t="str">
        <x:v>Obligation</x:v>
      </x:c>
      <x:c r="H833" s="48" t="str">
        <x:v>Shared</x:v>
      </x:c>
      <x:c r="I833" s="48" t="n">
        <x:v>0.88</x:v>
      </x:c>
      <x:c r="J833" s="48" t="n">
        <x:v>0.4</x:v>
      </x:c>
      <x:c r="K833" s="48" t="str">
        <x:v>Yes</x:v>
      </x:c>
      <x:c r="L833" s="48" t="str">
        <x:v>PDF text</x:v>
      </x:c>
    </x:row>
    <x:row r="834">
      <x:c r="A834" s="48" t="str">
        <x:v>UNI-0833</x:v>
      </x:c>
      <x:c r="B834" s="48" t="str">
        <x:v>RED</x:v>
      </x:c>
      <x:c r="C834" s="48" t="str">
        <x:v>English</x:v>
      </x:c>
      <x:c r="D834" s="48" t="n">
        <x:v>50</x:v>
      </x:c>
      <x:c r="E834" s="48" t="str"/>
      <x:c r="F834" s="48" t="str">
        <x:v>After the Performance Certificate has been issued, each Party shall remain liable for the fulfilment of any obligation which remains unperformed at that time.</x:v>
      </x:c>
      <x:c r="G834" s="48" t="str">
        <x:v>Risk</x:v>
      </x:c>
      <x:c r="H834" s="48" t="str">
        <x:v>Shared</x:v>
      </x:c>
      <x:c r="I834" s="48" t="n">
        <x:v>0.78</x:v>
      </x:c>
      <x:c r="J834" s="48" t="n">
        <x:v>0.93</x:v>
      </x:c>
      <x:c r="K834" s="48" t="str">
        <x:v>No</x:v>
      </x:c>
      <x:c r="L834" s="48" t="str">
        <x:v>PDF text</x:v>
      </x:c>
    </x:row>
    <x:row r="835">
      <x:c r="A835" s="48" t="str">
        <x:v>UNI-0834</x:v>
      </x:c>
      <x:c r="B835" s="48" t="str">
        <x:v>RED</x:v>
      </x:c>
      <x:c r="C835" s="48" t="str">
        <x:v>English</x:v>
      </x:c>
      <x:c r="D835" s="48" t="n">
        <x:v>50</x:v>
      </x:c>
      <x:c r="E835" s="48" t="str"/>
      <x:c r="F835" s="48" t="str">
        <x:v>For the purposes of determining the nature and extent of unperformed obligations, the Contract shall be deemed to remain in force.</x:v>
      </x:c>
      <x:c r="G835" s="48" t="str">
        <x:v>Obligation</x:v>
      </x:c>
      <x:c r="H835" s="48" t="str">
        <x:v>Shared</x:v>
      </x:c>
      <x:c r="I835" s="48" t="n">
        <x:v>0.88</x:v>
      </x:c>
      <x:c r="J835" s="48" t="n">
        <x:v>0.4</x:v>
      </x:c>
      <x:c r="K835" s="48" t="str">
        <x:v>Yes</x:v>
      </x:c>
      <x:c r="L835" s="48" t="str">
        <x:v>PDF text</x:v>
      </x:c>
    </x:row>
    <x:row r="836">
      <x:c r="A836" s="48" t="str">
        <x:v>UNI-0835</x:v>
      </x:c>
      <x:c r="B836" s="48" t="str">
        <x:v>RED</x:v>
      </x:c>
      <x:c r="C836" s="48" t="str">
        <x:v>English</x:v>
      </x:c>
      <x:c r="D836" s="48" t="n">
        <x:v>50</x:v>
      </x:c>
      <x:c r="E836" s="48" t="str"/>
      <x:c r="F836" s="48" t="str">
        <x:v>Upon receiving the Performance Certificate, the Contractor shall remove any</x:v>
      </x:c>
      <x:c r="G836" s="48" t="str">
        <x:v>Obligation</x:v>
      </x:c>
      <x:c r="H836" s="48" t="str">
        <x:v>Contractor</x:v>
      </x:c>
      <x:c r="I836" s="48" t="n">
        <x:v>0.88</x:v>
      </x:c>
      <x:c r="J836" s="48" t="n">
        <x:v>0.92</x:v>
      </x:c>
      <x:c r="K836" s="48" t="str">
        <x:v>No</x:v>
      </x:c>
      <x:c r="L836" s="48" t="str">
        <x:v>PDF text</x:v>
      </x:c>
    </x:row>
    <x:row r="837">
      <x:c r="A837" s="48" t="str">
        <x:v>UNI-0836</x:v>
      </x:c>
      <x:c r="B837" s="48" t="str">
        <x:v>RED</x:v>
      </x:c>
      <x:c r="C837" s="48" t="str">
        <x:v>English</x:v>
      </x:c>
      <x:c r="D837" s="48" t="n">
        <x:v>50</x:v>
      </x:c>
      <x:c r="E837" s="48" t="str"/>
      <x:c r="F837" s="48" t="str">
        <x:v>remaining Contractor’s Equipment, surplus material, wreckage, rubbish and Temporary Works from the Site.</x:v>
      </x:c>
      <x:c r="G837" s="48" t="str">
        <x:v>Obligation</x:v>
      </x:c>
      <x:c r="H837" s="48" t="str">
        <x:v>Contractor</x:v>
      </x:c>
      <x:c r="I837" s="48" t="n">
        <x:v>0.45</x:v>
      </x:c>
      <x:c r="J837" s="48" t="n">
        <x:v>0.68</x:v>
      </x:c>
      <x:c r="K837" s="48" t="str">
        <x:v>Yes</x:v>
      </x:c>
      <x:c r="L837" s="48" t="str">
        <x:v>PDF text</x:v>
      </x:c>
    </x:row>
    <x:row r="838">
      <x:c r="A838" s="48" t="str">
        <x:v>UNI-0837</x:v>
      </x:c>
      <x:c r="B838" s="48" t="str">
        <x:v>RED</x:v>
      </x:c>
      <x:c r="C838" s="48" t="str">
        <x:v>English</x:v>
      </x:c>
      <x:c r="D838" s="48" t="n">
        <x:v>50</x:v>
      </x:c>
      <x:c r="E838" s="48" t="str"/>
      <x:c r="F838" s="48" t="str">
        <x:v>If all these items have not been removed within 28 days after the Employer receives a copy of the Performance Certificate, the Employer may sell or otherwise dispose of any remaining items.</x:v>
      </x:c>
      <x:c r="G838" s="48" t="str">
        <x:v>Right</x:v>
      </x:c>
      <x:c r="H838" s="48" t="str">
        <x:v>Employer</x:v>
      </x:c>
      <x:c r="I838" s="48" t="n">
        <x:v>0.78</x:v>
      </x:c>
      <x:c r="J838" s="48" t="n">
        <x:v>0.92</x:v>
      </x:c>
      <x:c r="K838" s="48" t="str">
        <x:v>No</x:v>
      </x:c>
      <x:c r="L838" s="48" t="str">
        <x:v>PDF text</x:v>
      </x:c>
    </x:row>
    <x:row r="839">
      <x:c r="A839" s="48" t="str">
        <x:v>UNI-0838</x:v>
      </x:c>
      <x:c r="B839" s="48" t="str">
        <x:v>RED</x:v>
      </x:c>
      <x:c r="C839" s="48" t="str">
        <x:v>English</x:v>
      </x:c>
      <x:c r="D839" s="48" t="n">
        <x:v>50</x:v>
      </x:c>
      <x:c r="E839" s="48" t="str"/>
      <x:c r="F839" s="48" t="str">
        <x:v>The Employer shall be entitled to be paid the costs incurred in connection with, or attributable to, such sale or disposal and restoring the Site.</x:v>
      </x:c>
      <x:c r="G839" s="48" t="str">
        <x:v>Obligation</x:v>
      </x:c>
      <x:c r="H839" s="48" t="str">
        <x:v>Employer</x:v>
      </x:c>
      <x:c r="I839" s="48" t="n">
        <x:v>0.88</x:v>
      </x:c>
      <x:c r="J839" s="48" t="n">
        <x:v>0.92</x:v>
      </x:c>
      <x:c r="K839" s="48" t="str">
        <x:v>No</x:v>
      </x:c>
      <x:c r="L839" s="48" t="str">
        <x:v>PDF text</x:v>
      </x:c>
    </x:row>
    <x:row r="840">
      <x:c r="A840" s="48" t="str">
        <x:v>UNI-0839</x:v>
      </x:c>
      <x:c r="B840" s="48" t="str">
        <x:v>RED</x:v>
      </x:c>
      <x:c r="C840" s="48" t="str">
        <x:v>English</x:v>
      </x:c>
      <x:c r="D840" s="48" t="n">
        <x:v>50</x:v>
      </x:c>
      <x:c r="E840" s="48" t="str"/>
      <x:c r="F840" s="48" t="str">
        <x:v>Any balance of the moneys from the sale shall be paid to the Contractor.</x:v>
      </x:c>
      <x:c r="G840" s="48" t="str">
        <x:v>Obligation</x:v>
      </x:c>
      <x:c r="H840" s="48" t="str">
        <x:v>Contractor</x:v>
      </x:c>
      <x:c r="I840" s="48" t="n">
        <x:v>0.88</x:v>
      </x:c>
      <x:c r="J840" s="48" t="n">
        <x:v>0.68</x:v>
      </x:c>
      <x:c r="K840" s="48" t="str">
        <x:v>Yes</x:v>
      </x:c>
      <x:c r="L840" s="48" t="str">
        <x:v>PDF text</x:v>
      </x:c>
    </x:row>
    <x:row r="841">
      <x:c r="A841" s="48" t="str">
        <x:v>UNI-0840</x:v>
      </x:c>
      <x:c r="B841" s="48" t="str">
        <x:v>RED</x:v>
      </x:c>
      <x:c r="C841" s="48" t="str">
        <x:v>English</x:v>
      </x:c>
      <x:c r="D841" s="48" t="n">
        <x:v>50</x:v>
      </x:c>
      <x:c r="E841" s="48" t="str"/>
      <x:c r="F841" s="48" t="str">
        <x:v>If these moneys are less than the Employer’s costs, the Contractor shall pay the outstanding balance to the Employer.</x:v>
      </x:c>
      <x:c r="G841" s="48" t="str">
        <x:v>Obligation</x:v>
      </x:c>
      <x:c r="H841" s="48" t="str">
        <x:v>Contractor</x:v>
      </x:c>
      <x:c r="I841" s="48" t="n">
        <x:v>0.88</x:v>
      </x:c>
      <x:c r="J841" s="48" t="n">
        <x:v>0.92</x:v>
      </x:c>
      <x:c r="K841" s="48" t="str">
        <x:v>No</x:v>
      </x:c>
      <x:c r="L841" s="48" t="str">
        <x:v>PDF text</x:v>
      </x:c>
    </x:row>
    <x:row r="842">
      <x:c r="A842" s="48" t="str">
        <x:v>UNI-0841</x:v>
      </x:c>
      <x:c r="B842" s="48" t="str">
        <x:v>RED</x:v>
      </x:c>
      <x:c r="C842" s="48" t="str">
        <x:v>English</x:v>
      </x:c>
      <x:c r="D842" s="48" t="n">
        <x:v>50</x:v>
      </x:c>
      <x:c r="E842" s="48" t="str"/>
      <x:c r="F842" s="48" t="str">
        <x:v>Further Tests</x:v>
      </x:c>
      <x:c r="G842" s="48" t="str">
        <x:v>Obligation</x:v>
      </x:c>
      <x:c r="H842" s="48" t="str">
        <x:v>Shared</x:v>
      </x:c>
      <x:c r="I842" s="48" t="n">
        <x:v>0.45</x:v>
      </x:c>
      <x:c r="J842" s="48" t="n">
        <x:v>0.4</x:v>
      </x:c>
      <x:c r="K842" s="48" t="str">
        <x:v>Yes</x:v>
      </x:c>
      <x:c r="L842" s="48" t="str">
        <x:v>PDF text</x:v>
      </x:c>
    </x:row>
    <x:row r="843">
      <x:c r="A843" s="48" t="str">
        <x:v>UNI-0842</x:v>
      </x:c>
      <x:c r="B843" s="48" t="str">
        <x:v>RED</x:v>
      </x:c>
      <x:c r="C843" s="48" t="str">
        <x:v>English</x:v>
      </x:c>
      <x:c r="D843" s="48" t="n">
        <x:v>50</x:v>
      </x:c>
      <x:c r="E843" s="48" t="str"/>
      <x:c r="F843" s="48" t="str">
        <x:v>Right of Access</x:v>
      </x:c>
      <x:c r="G843" s="48" t="str">
        <x:v>Obligation</x:v>
      </x:c>
      <x:c r="H843" s="48" t="str">
        <x:v>Shared</x:v>
      </x:c>
      <x:c r="I843" s="48" t="n">
        <x:v>0.45</x:v>
      </x:c>
      <x:c r="J843" s="48" t="n">
        <x:v>0.4</x:v>
      </x:c>
      <x:c r="K843" s="48" t="str">
        <x:v>Yes</x:v>
      </x:c>
      <x:c r="L843" s="48" t="str">
        <x:v>PDF text</x:v>
      </x:c>
    </x:row>
    <x:row r="844">
      <x:c r="A844" s="48" t="str">
        <x:v>UNI-0843</x:v>
      </x:c>
      <x:c r="B844" s="48" t="str">
        <x:v>RED</x:v>
      </x:c>
      <x:c r="C844" s="48" t="str">
        <x:v>English</x:v>
      </x:c>
      <x:c r="D844" s="48" t="n">
        <x:v>50</x:v>
      </x:c>
      <x:c r="E844" s="48" t="str"/>
      <x:c r="F844" s="48" t="str">
        <x:v>Contractor to Search</x:v>
      </x:c>
      <x:c r="G844" s="48" t="str">
        <x:v>Obligation</x:v>
      </x:c>
      <x:c r="H844" s="48" t="str">
        <x:v>Contractor</x:v>
      </x:c>
      <x:c r="I844" s="48" t="n">
        <x:v>0.45</x:v>
      </x:c>
      <x:c r="J844" s="48" t="n">
        <x:v>0.68</x:v>
      </x:c>
      <x:c r="K844" s="48" t="str">
        <x:v>Yes</x:v>
      </x:c>
      <x:c r="L844" s="48" t="str">
        <x:v>PDF text</x:v>
      </x:c>
    </x:row>
    <x:row r="845">
      <x:c r="A845" s="48" t="str">
        <x:v>UNI-0844</x:v>
      </x:c>
      <x:c r="B845" s="48" t="str">
        <x:v>RED</x:v>
      </x:c>
      <x:c r="C845" s="48" t="str">
        <x:v>English</x:v>
      </x:c>
      <x:c r="D845" s="48" t="n">
        <x:v>50</x:v>
      </x:c>
      <x:c r="E845" s="48" t="str"/>
      <x:c r="F845" s="48" t="str">
        <x:v>Unfulfilled Obligations</x:v>
      </x:c>
      <x:c r="G845" s="48" t="str">
        <x:v>Obligation</x:v>
      </x:c>
      <x:c r="H845" s="48" t="str">
        <x:v>Shared</x:v>
      </x:c>
      <x:c r="I845" s="48" t="n">
        <x:v>0.45</x:v>
      </x:c>
      <x:c r="J845" s="48" t="n">
        <x:v>0.4</x:v>
      </x:c>
      <x:c r="K845" s="48" t="str">
        <x:v>Yes</x:v>
      </x:c>
      <x:c r="L845" s="48" t="str">
        <x:v>PDF text</x:v>
      </x:c>
    </x:row>
    <x:row r="846">
      <x:c r="A846" s="48" t="str">
        <x:v>UNI-0845</x:v>
      </x:c>
      <x:c r="B846" s="48" t="str">
        <x:v>RED</x:v>
      </x:c>
      <x:c r="C846" s="48" t="str">
        <x:v>English</x:v>
      </x:c>
      <x:c r="D846" s="48" t="n">
        <x:v>50</x:v>
      </x:c>
      <x:c r="E846" s="48" t="str"/>
      <x:c r="F846" s="48" t="str">
        <x:v>Clearance of Site</x:v>
      </x:c>
      <x:c r="G846" s="48" t="str">
        <x:v>Obligation</x:v>
      </x:c>
      <x:c r="H846" s="48" t="str">
        <x:v>Shared</x:v>
      </x:c>
      <x:c r="I846" s="48" t="n">
        <x:v>0.45</x:v>
      </x:c>
      <x:c r="J846" s="48" t="n">
        <x:v>0.4</x:v>
      </x:c>
      <x:c r="K846" s="48" t="str">
        <x:v>Yes</x:v>
      </x:c>
      <x:c r="L846" s="48" t="str">
        <x:v>PDF text</x:v>
      </x:c>
    </x:row>
    <x:row r="847">
      <x:c r="A847" s="48" t="str">
        <x:v>UNI-0846</x:v>
      </x:c>
      <x:c r="B847" s="48" t="str">
        <x:v>RED</x:v>
      </x:c>
      <x:c r="C847" s="48" t="str">
        <x:v>English</x:v>
      </x:c>
      <x:c r="D847" s="48" t="n">
        <x:v>51</x:v>
      </x:c>
      <x:c r="E847" s="48" t="str"/>
      <x:c r="F847" s="48" t="str">
        <x:v>The Works shall be measured, and valued for payment, in accordance with this</x:v>
      </x:c>
      <x:c r="G847" s="48" t="str">
        <x:v>Obligation</x:v>
      </x:c>
      <x:c r="H847" s="48" t="str">
        <x:v>Shared</x:v>
      </x:c>
      <x:c r="I847" s="48" t="n">
        <x:v>0.88</x:v>
      </x:c>
      <x:c r="J847" s="48" t="n">
        <x:v>0.4</x:v>
      </x:c>
      <x:c r="K847" s="48" t="str">
        <x:v>Yes</x:v>
      </x:c>
      <x:c r="L847" s="48" t="str">
        <x:v>PDF text</x:v>
      </x:c>
    </x:row>
    <x:row r="848">
      <x:c r="A848" s="48" t="str">
        <x:v>UNI-0847</x:v>
      </x:c>
      <x:c r="B848" s="48" t="str">
        <x:v>RED</x:v>
      </x:c>
      <x:c r="C848" s="48" t="str">
        <x:v>English</x:v>
      </x:c>
      <x:c r="D848" s="48" t="n">
        <x:v>51</x:v>
      </x:c>
      <x:c r="E848" s="48" t="str"/>
      <x:c r="F848" s="48" t="str">
        <x:v>Whenever the Engineer requires any part of the Works to be measured, reasonable</x:v>
      </x:c>
      <x:c r="G848" s="48" t="str">
        <x:v>Obligation</x:v>
      </x:c>
      <x:c r="H848" s="48" t="str">
        <x:v>Shared</x:v>
      </x:c>
      <x:c r="I848" s="48" t="n">
        <x:v>0.45</x:v>
      </x:c>
      <x:c r="J848" s="48" t="n">
        <x:v>0.4</x:v>
      </x:c>
      <x:c r="K848" s="48" t="str">
        <x:v>Yes</x:v>
      </x:c>
      <x:c r="L848" s="48" t="str">
        <x:v>PDF text</x:v>
      </x:c>
    </x:row>
    <x:row r="849">
      <x:c r="A849" s="48" t="str">
        <x:v>UNI-0848</x:v>
      </x:c>
      <x:c r="B849" s="48" t="str">
        <x:v>RED</x:v>
      </x:c>
      <x:c r="C849" s="48" t="str">
        <x:v>English</x:v>
      </x:c>
      <x:c r="D849" s="48" t="n">
        <x:v>51</x:v>
      </x:c>
      <x:c r="E849" s="48" t="str"/>
      <x:c r="F849" s="48" t="str">
        <x:v>notice shall be given to the Contractor’s Representative, who shall: (a) promptly either attend or send another qualified representative to assist the</x:v>
      </x:c>
      <x:c r="G849" s="48" t="str">
        <x:v>Obligation</x:v>
      </x:c>
      <x:c r="H849" s="48" t="str">
        <x:v>Contractor</x:v>
      </x:c>
      <x:c r="I849" s="48" t="n">
        <x:v>0.88</x:v>
      </x:c>
      <x:c r="J849" s="48" t="n">
        <x:v>0.68</x:v>
      </x:c>
      <x:c r="K849" s="48" t="str">
        <x:v>Yes</x:v>
      </x:c>
      <x:c r="L849" s="48" t="str">
        <x:v>PDF text</x:v>
      </x:c>
    </x:row>
    <x:row r="850">
      <x:c r="A850" s="48" t="str">
        <x:v>UNI-0849</x:v>
      </x:c>
      <x:c r="B850" s="48" t="str">
        <x:v>RED</x:v>
      </x:c>
      <x:c r="C850" s="48" t="str">
        <x:v>English</x:v>
      </x:c>
      <x:c r="D850" s="48" t="n">
        <x:v>51</x:v>
      </x:c>
      <x:c r="E850" s="48" t="str"/>
      <x:c r="F850" s="48" t="str">
        <x:v>Engineer in making the measurement, and</x:v>
      </x:c>
      <x:c r="G850" s="48" t="str">
        <x:v>Obligation</x:v>
      </x:c>
      <x:c r="H850" s="48" t="str">
        <x:v>Shared</x:v>
      </x:c>
      <x:c r="I850" s="48" t="n">
        <x:v>0.45</x:v>
      </x:c>
      <x:c r="J850" s="48" t="n">
        <x:v>0.4</x:v>
      </x:c>
      <x:c r="K850" s="48" t="str">
        <x:v>Yes</x:v>
      </x:c>
      <x:c r="L850" s="48" t="str">
        <x:v>PDF text</x:v>
      </x:c>
    </x:row>
    <x:row r="851">
      <x:c r="A851" s="48" t="str">
        <x:v>UNI-0850</x:v>
      </x:c>
      <x:c r="B851" s="48" t="str">
        <x:v>RED</x:v>
      </x:c>
      <x:c r="C851" s="48" t="str">
        <x:v>English</x:v>
      </x:c>
      <x:c r="D851" s="48" t="n">
        <x:v>51</x:v>
      </x:c>
      <x:c r="E851" s="48" t="str"/>
      <x:c r="F851" s="48" t="str">
        <x:v>(b) supply any particulars requested by the Engineer.</x:v>
      </x:c>
      <x:c r="G851" s="48" t="str">
        <x:v>Obligation</x:v>
      </x:c>
      <x:c r="H851" s="48" t="str">
        <x:v>Shared</x:v>
      </x:c>
      <x:c r="I851" s="48" t="n">
        <x:v>0.45</x:v>
      </x:c>
      <x:c r="J851" s="48" t="n">
        <x:v>0.4</x:v>
      </x:c>
      <x:c r="K851" s="48" t="str">
        <x:v>Yes</x:v>
      </x:c>
      <x:c r="L851" s="48" t="str">
        <x:v>PDF text</x:v>
      </x:c>
    </x:row>
    <x:row r="852">
      <x:c r="A852" s="48" t="str">
        <x:v>UNI-0851</x:v>
      </x:c>
      <x:c r="B852" s="48" t="str">
        <x:v>RED</x:v>
      </x:c>
      <x:c r="C852" s="48" t="str">
        <x:v>English</x:v>
      </x:c>
      <x:c r="D852" s="48" t="n">
        <x:v>51</x:v>
      </x:c>
      <x:c r="E852" s="48" t="str"/>
      <x:c r="F852" s="48" t="str">
        <x:v>If the Contractor fails to attend or send a representative, the measurement made by (or on behalf of) the Engineer shall be accepted as accurate.</x:v>
      </x:c>
      <x:c r="G852" s="48" t="str">
        <x:v>Obligation</x:v>
      </x:c>
      <x:c r="H852" s="48" t="str">
        <x:v>Contractor</x:v>
      </x:c>
      <x:c r="I852" s="48" t="n">
        <x:v>0.88</x:v>
      </x:c>
      <x:c r="J852" s="48" t="n">
        <x:v>0.68</x:v>
      </x:c>
      <x:c r="K852" s="48" t="str">
        <x:v>Yes</x:v>
      </x:c>
      <x:c r="L852" s="48" t="str">
        <x:v>PDF text</x:v>
      </x:c>
    </x:row>
    <x:row r="853">
      <x:c r="A853" s="48" t="str">
        <x:v>UNI-0852</x:v>
      </x:c>
      <x:c r="B853" s="48" t="str">
        <x:v>RED</x:v>
      </x:c>
      <x:c r="C853" s="48" t="str">
        <x:v>English</x:v>
      </x:c>
      <x:c r="D853" s="48" t="n">
        <x:v>51</x:v>
      </x:c>
      <x:c r="E853" s="48" t="str"/>
      <x:c r="F853" s="48" t="str">
        <x:v>Except as otherwise stated in the Contract, wherever any Permanent Works are to be measured from records, these shall be prepared by the Engineer.</x:v>
      </x:c>
      <x:c r="G853" s="48" t="str">
        <x:v>Obligation</x:v>
      </x:c>
      <x:c r="H853" s="48" t="str">
        <x:v>Shared</x:v>
      </x:c>
      <x:c r="I853" s="48" t="n">
        <x:v>0.88</x:v>
      </x:c>
      <x:c r="J853" s="48" t="n">
        <x:v>0.4</x:v>
      </x:c>
      <x:c r="K853" s="48" t="str">
        <x:v>Yes</x:v>
      </x:c>
      <x:c r="L853" s="48" t="str">
        <x:v>PDF text</x:v>
      </x:c>
    </x:row>
    <x:row r="854">
      <x:c r="A854" s="48" t="str">
        <x:v>UNI-0853</x:v>
      </x:c>
      <x:c r="B854" s="48" t="str">
        <x:v>RED</x:v>
      </x:c>
      <x:c r="C854" s="48" t="str">
        <x:v>English</x:v>
      </x:c>
      <x:c r="D854" s="48" t="n">
        <x:v>51</x:v>
      </x:c>
      <x:c r="E854" s="48" t="str"/>
      <x:c r="F854" s="48" t="str">
        <x:v>The Contractor shall, as and when requested, attend to examine and agree the records with the Engineer, and shall sign the same when agreed.</x:v>
      </x:c>
      <x:c r="G854" s="48" t="str">
        <x:v>Obligation</x:v>
      </x:c>
      <x:c r="H854" s="48" t="str">
        <x:v>Contractor</x:v>
      </x:c>
      <x:c r="I854" s="48" t="n">
        <x:v>0.88</x:v>
      </x:c>
      <x:c r="J854" s="48" t="n">
        <x:v>0.92</x:v>
      </x:c>
      <x:c r="K854" s="48" t="str">
        <x:v>No</x:v>
      </x:c>
      <x:c r="L854" s="48" t="str">
        <x:v>PDF text</x:v>
      </x:c>
    </x:row>
    <x:row r="855">
      <x:c r="A855" s="48" t="str">
        <x:v>UNI-0854</x:v>
      </x:c>
      <x:c r="B855" s="48" t="str">
        <x:v>RED</x:v>
      </x:c>
      <x:c r="C855" s="48" t="str">
        <x:v>English</x:v>
      </x:c>
      <x:c r="D855" s="48" t="n">
        <x:v>51</x:v>
      </x:c>
      <x:c r="E855" s="48" t="str"/>
      <x:c r="F855" s="48" t="str">
        <x:v>If the Contractor does not attend, the records shall be accepted as accurate.</x:v>
      </x:c>
      <x:c r="G855" s="48" t="str">
        <x:v>Obligation</x:v>
      </x:c>
      <x:c r="H855" s="48" t="str">
        <x:v>Contractor</x:v>
      </x:c>
      <x:c r="I855" s="48" t="n">
        <x:v>0.88</x:v>
      </x:c>
      <x:c r="J855" s="48" t="n">
        <x:v>0.68</x:v>
      </x:c>
      <x:c r="K855" s="48" t="str">
        <x:v>Yes</x:v>
      </x:c>
      <x:c r="L855" s="48" t="str">
        <x:v>PDF text</x:v>
      </x:c>
    </x:row>
    <x:row r="856">
      <x:c r="A856" s="48" t="str">
        <x:v>UNI-0855</x:v>
      </x:c>
      <x:c r="B856" s="48" t="str">
        <x:v>RED</x:v>
      </x:c>
      <x:c r="C856" s="48" t="str">
        <x:v>English</x:v>
      </x:c>
      <x:c r="D856" s="48" t="n">
        <x:v>51</x:v>
      </x:c>
      <x:c r="E856" s="48" t="str"/>
      <x:c r="F856" s="48" t="str">
        <x:v>If the Contractor examines and disagrees the records, and/or does not sign them as agreed, then the Contractor shall give notice to the Engineer of the respects in which the records are asserted to be inaccurate.</x:v>
      </x:c>
      <x:c r="G856" s="48" t="str">
        <x:v>Obligation</x:v>
      </x:c>
      <x:c r="H856" s="48" t="str">
        <x:v>Contractor</x:v>
      </x:c>
      <x:c r="I856" s="48" t="n">
        <x:v>0.88</x:v>
      </x:c>
      <x:c r="J856" s="48" t="n">
        <x:v>0.92</x:v>
      </x:c>
      <x:c r="K856" s="48" t="str">
        <x:v>No</x:v>
      </x:c>
      <x:c r="L856" s="48" t="str">
        <x:v>PDF text</x:v>
      </x:c>
    </x:row>
    <x:row r="857">
      <x:c r="A857" s="48" t="str">
        <x:v>UNI-0856</x:v>
      </x:c>
      <x:c r="B857" s="48" t="str">
        <x:v>RED</x:v>
      </x:c>
      <x:c r="C857" s="48" t="str">
        <x:v>English</x:v>
      </x:c>
      <x:c r="D857" s="48" t="n">
        <x:v>51</x:v>
      </x:c>
      <x:c r="E857" s="48" t="str"/>
      <x:c r="F857" s="48" t="str">
        <x:v>After receiving this notice, the Engineer shall review the records and either confirm or vary them.</x:v>
      </x:c>
      <x:c r="G857" s="48" t="str">
        <x:v>Obligation</x:v>
      </x:c>
      <x:c r="H857" s="48" t="str">
        <x:v>Shared</x:v>
      </x:c>
      <x:c r="I857" s="48" t="n">
        <x:v>0.88</x:v>
      </x:c>
      <x:c r="J857" s="48" t="n">
        <x:v>0.4</x:v>
      </x:c>
      <x:c r="K857" s="48" t="str">
        <x:v>Yes</x:v>
      </x:c>
      <x:c r="L857" s="48" t="str">
        <x:v>PDF text</x:v>
      </x:c>
    </x:row>
    <x:row r="858">
      <x:c r="A858" s="48" t="str">
        <x:v>UNI-0857</x:v>
      </x:c>
      <x:c r="B858" s="48" t="str">
        <x:v>RED</x:v>
      </x:c>
      <x:c r="C858" s="48" t="str">
        <x:v>English</x:v>
      </x:c>
      <x:c r="D858" s="48" t="n">
        <x:v>51</x:v>
      </x:c>
      <x:c r="E858" s="48" t="str"/>
      <x:c r="F858" s="48" t="str">
        <x:v>If the Contractor does not so give notice to the Engineer within 14 days after being requested to examine the records, they shall be accepted as accurate.</x:v>
      </x:c>
      <x:c r="G858" s="48" t="str">
        <x:v>Obligation</x:v>
      </x:c>
      <x:c r="H858" s="48" t="str">
        <x:v>Contractor</x:v>
      </x:c>
      <x:c r="I858" s="48" t="n">
        <x:v>0.88</x:v>
      </x:c>
      <x:c r="J858" s="48" t="n">
        <x:v>0.68</x:v>
      </x:c>
      <x:c r="K858" s="48" t="str">
        <x:v>Yes</x:v>
      </x:c>
      <x:c r="L858" s="48" t="str">
        <x:v>PDF text</x:v>
      </x:c>
    </x:row>
    <x:row r="859">
      <x:c r="A859" s="48" t="str">
        <x:v>UNI-0858</x:v>
      </x:c>
      <x:c r="B859" s="48" t="str">
        <x:v>RED</x:v>
      </x:c>
      <x:c r="C859" s="48" t="str">
        <x:v>English</x:v>
      </x:c>
      <x:c r="D859" s="48" t="n">
        <x:v>51</x:v>
      </x:c>
      <x:c r="E859" s="48" t="str"/>
      <x:c r="F859" s="48" t="str">
        <x:v>Except as otherwise stated in the Contract and notwithstanding local practice: (a) measurement shall be made of the net actual quantity of each item of the</x:v>
      </x:c>
      <x:c r="G859" s="48" t="str">
        <x:v>Obligation</x:v>
      </x:c>
      <x:c r="H859" s="48" t="str">
        <x:v>Shared</x:v>
      </x:c>
      <x:c r="I859" s="48" t="n">
        <x:v>0.88</x:v>
      </x:c>
      <x:c r="J859" s="48" t="n">
        <x:v>0.4</x:v>
      </x:c>
      <x:c r="K859" s="48" t="str">
        <x:v>Yes</x:v>
      </x:c>
      <x:c r="L859" s="48" t="str">
        <x:v>PDF text</x:v>
      </x:c>
    </x:row>
    <x:row r="860">
      <x:c r="A860" s="48" t="str">
        <x:v>UNI-0859</x:v>
      </x:c>
      <x:c r="B860" s="48" t="str">
        <x:v>RED</x:v>
      </x:c>
      <x:c r="C860" s="48" t="str">
        <x:v>English</x:v>
      </x:c>
      <x:c r="D860" s="48" t="n">
        <x:v>51</x:v>
      </x:c>
      <x:c r="E860" s="48" t="str"/>
      <x:c r="F860" s="48" t="str">
        <x:v>Permanent Works, and</x:v>
      </x:c>
      <x:c r="G860" s="48" t="str">
        <x:v>Obligation</x:v>
      </x:c>
      <x:c r="H860" s="48" t="str">
        <x:v>Shared</x:v>
      </x:c>
      <x:c r="I860" s="48" t="n">
        <x:v>0.45</x:v>
      </x:c>
      <x:c r="J860" s="48" t="n">
        <x:v>0.4</x:v>
      </x:c>
      <x:c r="K860" s="48" t="str">
        <x:v>Yes</x:v>
      </x:c>
      <x:c r="L860" s="48" t="str">
        <x:v>PDF text</x:v>
      </x:c>
    </x:row>
    <x:row r="861">
      <x:c r="A861" s="48" t="str">
        <x:v>UNI-0860</x:v>
      </x:c>
      <x:c r="B861" s="48" t="str">
        <x:v>RED</x:v>
      </x:c>
      <x:c r="C861" s="48" t="str">
        <x:v>English</x:v>
      </x:c>
      <x:c r="D861" s="48" t="n">
        <x:v>51</x:v>
      </x:c>
      <x:c r="E861" s="48" t="str"/>
      <x:c r="F861" s="48" t="str">
        <x:v>(b) the method of measurement shall be in accordance with the Bill of Quantities or other applicable Schedules.</x:v>
      </x:c>
      <x:c r="G861" s="48" t="str">
        <x:v>Obligation</x:v>
      </x:c>
      <x:c r="H861" s="48" t="str">
        <x:v>Shared</x:v>
      </x:c>
      <x:c r="I861" s="48" t="n">
        <x:v>0.88</x:v>
      </x:c>
      <x:c r="J861" s="48" t="n">
        <x:v>0.4</x:v>
      </x:c>
      <x:c r="K861" s="48" t="str">
        <x:v>Yes</x:v>
      </x:c>
      <x:c r="L861" s="48" t="str">
        <x:v>PDF text</x:v>
      </x:c>
    </x:row>
    <x:row r="862">
      <x:c r="A862" s="48" t="str">
        <x:v>UNI-0861</x:v>
      </x:c>
      <x:c r="B862" s="48" t="str">
        <x:v>RED</x:v>
      </x:c>
      <x:c r="C862" s="48" t="str">
        <x:v>English</x:v>
      </x:c>
      <x:c r="D862" s="48" t="n">
        <x:v>51</x:v>
      </x:c>
      <x:c r="E862" s="48" t="str"/>
      <x:c r="F862" s="48" t="str">
        <x:v>Except as otherwise stated in the Contract, the Engineer shall proceed in accordance with Sub-Clause 3.5 [Determinations] to agree or determine the Contract Price by evaluating each item of work, applying the measurement agreed or determined in accordance with the above Sub-Clauses 12.1 and 12.2 and the appropriate rate or price for the item.</x:v>
      </x:c>
      <x:c r="G862" s="48" t="str">
        <x:v>Obligation</x:v>
      </x:c>
      <x:c r="H862" s="48" t="str">
        <x:v>Shared</x:v>
      </x:c>
      <x:c r="I862" s="48" t="n">
        <x:v>0.88</x:v>
      </x:c>
      <x:c r="J862" s="48" t="n">
        <x:v>0.4</x:v>
      </x:c>
      <x:c r="K862" s="48" t="str">
        <x:v>Yes</x:v>
      </x:c>
      <x:c r="L862" s="48" t="str">
        <x:v>PDF text</x:v>
      </x:c>
    </x:row>
    <x:row r="863">
      <x:c r="A863" s="48" t="str">
        <x:v>UNI-0862</x:v>
      </x:c>
      <x:c r="B863" s="48" t="str">
        <x:v>RED</x:v>
      </x:c>
      <x:c r="C863" s="48" t="str">
        <x:v>English</x:v>
      </x:c>
      <x:c r="D863" s="48" t="n">
        <x:v>51</x:v>
      </x:c>
      <x:c r="E863" s="48" t="str"/>
      <x:c r="F863" s="48" t="str">
        <x:v>For each item of work, the appropriate rate or price for the item shall be the rate or price specified for such item in the Contract or, if there is no such item, specified for similar work.</x:v>
      </x:c>
      <x:c r="G863" s="48" t="str">
        <x:v>Obligation</x:v>
      </x:c>
      <x:c r="H863" s="48" t="str">
        <x:v>Shared</x:v>
      </x:c>
      <x:c r="I863" s="48" t="n">
        <x:v>0.88</x:v>
      </x:c>
      <x:c r="J863" s="48" t="n">
        <x:v>0.4</x:v>
      </x:c>
      <x:c r="K863" s="48" t="str">
        <x:v>Yes</x:v>
      </x:c>
      <x:c r="L863" s="48" t="str">
        <x:v>PDF text</x:v>
      </x:c>
    </x:row>
    <x:row r="864">
      <x:c r="A864" s="48" t="str">
        <x:v>UNI-0863</x:v>
      </x:c>
      <x:c r="B864" s="48" t="str">
        <x:v>RED</x:v>
      </x:c>
      <x:c r="C864" s="48" t="str">
        <x:v>English</x:v>
      </x:c>
      <x:c r="D864" s="48" t="n">
        <x:v>51</x:v>
      </x:c>
      <x:c r="E864" s="48" t="str"/>
      <x:c r="F864" s="48" t="str">
        <x:v>Any item of work included in the Bill of Quantities for which no rate or price was specified shall be considered as included in other rates and prices in the Bill of Quantities and will not be paid for separately.</x:v>
      </x:c>
      <x:c r="G864" s="48" t="str">
        <x:v>Obligation</x:v>
      </x:c>
      <x:c r="H864" s="48" t="str">
        <x:v>Shared</x:v>
      </x:c>
      <x:c r="I864" s="48" t="n">
        <x:v>0.88</x:v>
      </x:c>
      <x:c r="J864" s="48" t="n">
        <x:v>0.4</x:v>
      </x:c>
      <x:c r="K864" s="48" t="str">
        <x:v>Yes</x:v>
      </x:c>
      <x:c r="L864" s="48" t="str">
        <x:v>PDF text</x:v>
      </x:c>
    </x:row>
    <x:row r="865">
      <x:c r="A865" s="48" t="str">
        <x:v>UNI-0864</x:v>
      </x:c>
      <x:c r="B865" s="48" t="str">
        <x:v>RED</x:v>
      </x:c>
      <x:c r="C865" s="48" t="str">
        <x:v>English</x:v>
      </x:c>
      <x:c r="D865" s="48" t="n">
        <x:v>51</x:v>
      </x:c>
      <x:c r="E865" s="48" t="str"/>
      <x:c r="F865" s="48" t="str">
        <x:v>However, a new rate or price shall be appropriate for an item of work if: 12.1</x:v>
      </x:c>
      <x:c r="G865" s="48" t="str">
        <x:v>Obligation</x:v>
      </x:c>
      <x:c r="H865" s="48" t="str">
        <x:v>Shared</x:v>
      </x:c>
      <x:c r="I865" s="48" t="n">
        <x:v>0.88</x:v>
      </x:c>
      <x:c r="J865" s="48" t="n">
        <x:v>0.4</x:v>
      </x:c>
      <x:c r="K865" s="48" t="str">
        <x:v>Yes</x:v>
      </x:c>
      <x:c r="L865" s="48" t="str">
        <x:v>PDF text</x:v>
      </x:c>
    </x:row>
    <x:row r="866">
      <x:c r="A866" s="48" t="str">
        <x:v>UNI-0865</x:v>
      </x:c>
      <x:c r="B866" s="48" t="str">
        <x:v>RED</x:v>
      </x:c>
      <x:c r="C866" s="48" t="str">
        <x:v>English</x:v>
      </x:c>
      <x:c r="D866" s="48" t="n">
        <x:v>51</x:v>
      </x:c>
      <x:c r="E866" s="48" t="str"/>
      <x:c r="F866" s="48" t="str">
        <x:v>Works to be Measured</x:v>
      </x:c>
      <x:c r="G866" s="48" t="str">
        <x:v>Obligation</x:v>
      </x:c>
      <x:c r="H866" s="48" t="str">
        <x:v>Shared</x:v>
      </x:c>
      <x:c r="I866" s="48" t="n">
        <x:v>0.45</x:v>
      </x:c>
      <x:c r="J866" s="48" t="n">
        <x:v>0.4</x:v>
      </x:c>
      <x:c r="K866" s="48" t="str">
        <x:v>Yes</x:v>
      </x:c>
      <x:c r="L866" s="48" t="str">
        <x:v>PDF text</x:v>
      </x:c>
    </x:row>
    <x:row r="867">
      <x:c r="A867" s="48" t="str">
        <x:v>UNI-0866</x:v>
      </x:c>
      <x:c r="B867" s="48" t="str">
        <x:v>RED</x:v>
      </x:c>
      <x:c r="C867" s="48" t="str">
        <x:v>English</x:v>
      </x:c>
      <x:c r="D867" s="48" t="n">
        <x:v>51</x:v>
      </x:c>
      <x:c r="E867" s="48" t="str"/>
      <x:c r="F867" s="48" t="str">
        <x:v>Method of Measurement</x:v>
      </x:c>
      <x:c r="G867" s="48" t="str">
        <x:v>Obligation</x:v>
      </x:c>
      <x:c r="H867" s="48" t="str">
        <x:v>Shared</x:v>
      </x:c>
      <x:c r="I867" s="48" t="n">
        <x:v>0.45</x:v>
      </x:c>
      <x:c r="J867" s="48" t="n">
        <x:v>0.4</x:v>
      </x:c>
      <x:c r="K867" s="48" t="str">
        <x:v>Yes</x:v>
      </x:c>
      <x:c r="L867" s="48" t="str">
        <x:v>PDF text</x:v>
      </x:c>
    </x:row>
    <x:row r="868">
      <x:c r="A868" s="48" t="str">
        <x:v>UNI-0867</x:v>
      </x:c>
      <x:c r="B868" s="48" t="str">
        <x:v>RED</x:v>
      </x:c>
      <x:c r="C868" s="48" t="str">
        <x:v>English</x:v>
      </x:c>
      <x:c r="D868" s="48" t="n">
        <x:v>51</x:v>
      </x:c>
      <x:c r="E868" s="48" t="str"/>
      <x:c r="F868" s="48" t="str">
        <x:v>Evaluation</x:v>
      </x:c>
      <x:c r="G868" s="48" t="str">
        <x:v>Obligation</x:v>
      </x:c>
      <x:c r="H868" s="48" t="str">
        <x:v>Shared</x:v>
      </x:c>
      <x:c r="I868" s="48" t="n">
        <x:v>0.45</x:v>
      </x:c>
      <x:c r="J868" s="48" t="n">
        <x:v>0.4</x:v>
      </x:c>
      <x:c r="K868" s="48" t="str">
        <x:v>Yes</x:v>
      </x:c>
      <x:c r="L868" s="48" t="str">
        <x:v>PDF text</x:v>
      </x:c>
    </x:row>
    <x:row r="869">
      <x:c r="A869" s="48" t="str">
        <x:v>UNI-0868</x:v>
      </x:c>
      <x:c r="B869" s="48" t="str">
        <x:v>RED</x:v>
      </x:c>
      <x:c r="C869" s="48" t="str">
        <x:v>English</x:v>
      </x:c>
      <x:c r="D869" s="48" t="n">
        <x:v>51</x:v>
      </x:c>
      <x:c r="E869" s="48" t="str"/>
      <x:c r="F869" s="48" t="str">
        <x:v>Measurement and Evaluation</x:v>
      </x:c>
      <x:c r="G869" s="48" t="str">
        <x:v>Obligation</x:v>
      </x:c>
      <x:c r="H869" s="48" t="str">
        <x:v>Shared</x:v>
      </x:c>
      <x:c r="I869" s="48" t="n">
        <x:v>0.45</x:v>
      </x:c>
      <x:c r="J869" s="48" t="n">
        <x:v>0.4</x:v>
      </x:c>
      <x:c r="K869" s="48" t="str">
        <x:v>Yes</x:v>
      </x:c>
      <x:c r="L869" s="48" t="str">
        <x:v>PDF text</x:v>
      </x:c>
    </x:row>
    <x:row r="870">
      <x:c r="A870" s="48" t="str">
        <x:v>UNI-0869</x:v>
      </x:c>
      <x:c r="B870" s="48" t="str">
        <x:v>RED</x:v>
      </x:c>
      <x:c r="C870" s="48" t="str">
        <x:v>English</x:v>
      </x:c>
      <x:c r="D870" s="48" t="n">
        <x:v>52</x:v>
      </x:c>
      <x:c r="E870" s="48" t="str"/>
      <x:c r="F870" s="48" t="str">
        <x:v>Omissions</x:v>
      </x:c>
      <x:c r="G870" s="48" t="str">
        <x:v>Obligation</x:v>
      </x:c>
      <x:c r="H870" s="48" t="str">
        <x:v>Shared</x:v>
      </x:c>
      <x:c r="I870" s="48" t="n">
        <x:v>0.45</x:v>
      </x:c>
      <x:c r="J870" s="48" t="n">
        <x:v>0.4</x:v>
      </x:c>
      <x:c r="K870" s="48" t="str">
        <x:v>Yes</x:v>
      </x:c>
      <x:c r="L870" s="48" t="str">
        <x:v>PDF text</x:v>
      </x:c>
    </x:row>
    <x:row r="871">
      <x:c r="A871" s="48" t="str">
        <x:v>UNI-0870</x:v>
      </x:c>
      <x:c r="B871" s="48" t="str">
        <x:v>RED</x:v>
      </x:c>
      <x:c r="C871" s="48" t="str">
        <x:v>English</x:v>
      </x:c>
      <x:c r="D871" s="48" t="n">
        <x:v>52</x:v>
      </x:c>
      <x:c r="E871" s="48" t="str"/>
      <x:c r="F871" s="48" t="str">
        <x:v>Right to Vary</x:v>
      </x:c>
      <x:c r="G871" s="48" t="str">
        <x:v>Right</x:v>
      </x:c>
      <x:c r="H871" s="48" t="str">
        <x:v>Shared</x:v>
      </x:c>
      <x:c r="I871" s="48" t="n">
        <x:v>0.78</x:v>
      </x:c>
      <x:c r="J871" s="48" t="n">
        <x:v>0.4</x:v>
      </x:c>
      <x:c r="K871" s="48" t="str">
        <x:v>Yes</x:v>
      </x:c>
      <x:c r="L871" s="48" t="str">
        <x:v>PDF text</x:v>
      </x:c>
    </x:row>
    <x:row r="872">
      <x:c r="A872" s="48" t="str">
        <x:v>UNI-0871</x:v>
      </x:c>
      <x:c r="B872" s="48" t="str">
        <x:v>RED</x:v>
      </x:c>
      <x:c r="C872" s="48" t="str">
        <x:v>English</x:v>
      </x:c>
      <x:c r="D872" s="48" t="n">
        <x:v>52</x:v>
      </x:c>
      <x:c r="E872" s="48" t="str"/>
      <x:c r="F872" s="48" t="str">
        <x:v>(a) (i) the measured quantity of the item is changed by more than 25% from the quantity of this item in the Bill of Quantities or other Schedule, (ii) this change in quantity multiplied by such specified rate for this item exceeds 0.25% of the Accepted Contract Amount, (iii) this change in quantity directly changes the Cost per unit quantity of this item by more than 1%, and (iv) this item is not specified in the Contract as a “fixed rate item"; or (b) (i) the work is instructed under Clause 13 [Variations and Adjustments], (ii) no rate or price is specified in the Contract for this item, and (iii) no specified rate or price is appropriate because the item of work is not of similar character, or is not executed under similar conditions, as any item in the Contract.</x:v>
      </x:c>
      <x:c r="G872" s="48" t="str">
        <x:v>Obligation</x:v>
      </x:c>
      <x:c r="H872" s="48" t="str">
        <x:v>Shared</x:v>
      </x:c>
      <x:c r="I872" s="48" t="n">
        <x:v>0.45</x:v>
      </x:c>
      <x:c r="J872" s="48" t="n">
        <x:v>0.4</x:v>
      </x:c>
      <x:c r="K872" s="48" t="str">
        <x:v>Yes</x:v>
      </x:c>
      <x:c r="L872" s="48" t="str">
        <x:v>PDF text</x:v>
      </x:c>
    </x:row>
    <x:row r="873">
      <x:c r="A873" s="48" t="str">
        <x:v>UNI-0872</x:v>
      </x:c>
      <x:c r="B873" s="48" t="str">
        <x:v>RED</x:v>
      </x:c>
      <x:c r="C873" s="48" t="str">
        <x:v>English</x:v>
      </x:c>
      <x:c r="D873" s="48" t="n">
        <x:v>52</x:v>
      </x:c>
      <x:c r="E873" s="48" t="str"/>
      <x:c r="F873" s="48" t="str">
        <x:v>Each new rate or price shall be derived from any relevant rates or prices in the</x:v>
      </x:c>
      <x:c r="G873" s="48" t="str">
        <x:v>Obligation</x:v>
      </x:c>
      <x:c r="H873" s="48" t="str">
        <x:v>Shared</x:v>
      </x:c>
      <x:c r="I873" s="48" t="n">
        <x:v>0.88</x:v>
      </x:c>
      <x:c r="J873" s="48" t="n">
        <x:v>0.4</x:v>
      </x:c>
      <x:c r="K873" s="48" t="str">
        <x:v>Yes</x:v>
      </x:c>
      <x:c r="L873" s="48" t="str">
        <x:v>PDF text</x:v>
      </x:c>
    </x:row>
    <x:row r="874">
      <x:c r="A874" s="48" t="str">
        <x:v>UNI-0873</x:v>
      </x:c>
      <x:c r="B874" s="48" t="str">
        <x:v>RED</x:v>
      </x:c>
      <x:c r="C874" s="48" t="str">
        <x:v>English</x:v>
      </x:c>
      <x:c r="D874" s="48" t="n">
        <x:v>52</x:v>
      </x:c>
      <x:c r="E874" s="48" t="str"/>
      <x:c r="F874" s="48" t="str">
        <x:v>Contract, with reasonable adjustments to take account of the matters described in</x:v>
      </x:c>
      <x:c r="G874" s="48" t="str">
        <x:v>Obligation</x:v>
      </x:c>
      <x:c r="H874" s="48" t="str">
        <x:v>Shared</x:v>
      </x:c>
      <x:c r="I874" s="48" t="n">
        <x:v>0.45</x:v>
      </x:c>
      <x:c r="J874" s="48" t="n">
        <x:v>0.4</x:v>
      </x:c>
      <x:c r="K874" s="48" t="str">
        <x:v>Yes</x:v>
      </x:c>
      <x:c r="L874" s="48" t="str">
        <x:v>PDF text</x:v>
      </x:c>
    </x:row>
    <x:row r="875">
      <x:c r="A875" s="48" t="str">
        <x:v>UNI-0874</x:v>
      </x:c>
      <x:c r="B875" s="48" t="str">
        <x:v>RED</x:v>
      </x:c>
      <x:c r="C875" s="48" t="str">
        <x:v>English</x:v>
      </x:c>
      <x:c r="D875" s="48" t="n">
        <x:v>52</x:v>
      </x:c>
      <x:c r="E875" s="48" t="str"/>
      <x:c r="F875" s="48" t="str">
        <x:v>sub-paragraph (a) and/or (b), as applicable.</x:v>
      </x:c>
      <x:c r="G875" s="48" t="str">
        <x:v>Obligation</x:v>
      </x:c>
      <x:c r="H875" s="48" t="str">
        <x:v>Shared</x:v>
      </x:c>
      <x:c r="I875" s="48" t="n">
        <x:v>0.45</x:v>
      </x:c>
      <x:c r="J875" s="48" t="n">
        <x:v>0.4</x:v>
      </x:c>
      <x:c r="K875" s="48" t="str">
        <x:v>Yes</x:v>
      </x:c>
      <x:c r="L875" s="48" t="str">
        <x:v>PDF text</x:v>
      </x:c>
    </x:row>
    <x:row r="876">
      <x:c r="A876" s="48" t="str">
        <x:v>UNI-0875</x:v>
      </x:c>
      <x:c r="B876" s="48" t="str">
        <x:v>RED</x:v>
      </x:c>
      <x:c r="C876" s="48" t="str">
        <x:v>English</x:v>
      </x:c>
      <x:c r="D876" s="48" t="n">
        <x:v>52</x:v>
      </x:c>
      <x:c r="E876" s="48" t="str"/>
      <x:c r="F876" s="48" t="str">
        <x:v>If no rates or prices are relevant for the derivation of a new rate or price, it shall be derived from the reasonable Cost of executing the work, together with profit, taking account of any other relevant matters.</x:v>
      </x:c>
      <x:c r="G876" s="48" t="str">
        <x:v>Obligation</x:v>
      </x:c>
      <x:c r="H876" s="48" t="str">
        <x:v>Shared</x:v>
      </x:c>
      <x:c r="I876" s="48" t="n">
        <x:v>0.88</x:v>
      </x:c>
      <x:c r="J876" s="48" t="n">
        <x:v>0.4</x:v>
      </x:c>
      <x:c r="K876" s="48" t="str">
        <x:v>Yes</x:v>
      </x:c>
      <x:c r="L876" s="48" t="str">
        <x:v>PDF text</x:v>
      </x:c>
    </x:row>
    <x:row r="877">
      <x:c r="A877" s="48" t="str">
        <x:v>UNI-0876</x:v>
      </x:c>
      <x:c r="B877" s="48" t="str">
        <x:v>RED</x:v>
      </x:c>
      <x:c r="C877" s="48" t="str">
        <x:v>English</x:v>
      </x:c>
      <x:c r="D877" s="48" t="n">
        <x:v>52</x:v>
      </x:c>
      <x:c r="E877" s="48" t="str"/>
      <x:c r="F877" s="48" t="str">
        <x:v>Until such time as an appropriate rate or price is agreed or determined, the Engineer shall determine a provisional rate or price for the purposes of Interim Payment Certificates.</x:v>
      </x:c>
      <x:c r="G877" s="48" t="str">
        <x:v>Obligation</x:v>
      </x:c>
      <x:c r="H877" s="48" t="str">
        <x:v>Shared</x:v>
      </x:c>
      <x:c r="I877" s="48" t="n">
        <x:v>0.88</x:v>
      </x:c>
      <x:c r="J877" s="48" t="n">
        <x:v>0.4</x:v>
      </x:c>
      <x:c r="K877" s="48" t="str">
        <x:v>Yes</x:v>
      </x:c>
      <x:c r="L877" s="48" t="str">
        <x:v>PDF text</x:v>
      </x:c>
    </x:row>
    <x:row r="878">
      <x:c r="A878" s="48" t="str">
        <x:v>UNI-0877</x:v>
      </x:c>
      <x:c r="B878" s="48" t="str">
        <x:v>RED</x:v>
      </x:c>
      <x:c r="C878" s="48" t="str">
        <x:v>English</x:v>
      </x:c>
      <x:c r="D878" s="48" t="n">
        <x:v>52</x:v>
      </x:c>
      <x:c r="E878" s="48" t="str"/>
      <x:c r="F878" s="48" t="str">
        <x:v>Whenever the omission of any work forms part (or all) of a Variation, the value of which has not been agreed, if: (a) the Contractor will incur (or has incurred) cost which, if the work had not been omitted, would have been deemed to be covered by a sum forming part of the Accepted Contract Amount; (b) the omission of the work will result (or has resulted) in this sum not forming part of the Contract Price; and (c) this cost is not deemed to be included in the evaluation of any substituted work; then the Contractor shall give notice to the Engineer accordingly, with supporting particulars.</x:v>
      </x:c>
      <x:c r="G878" s="48" t="str">
        <x:v>Obligation</x:v>
      </x:c>
      <x:c r="H878" s="48" t="str">
        <x:v>Contractor</x:v>
      </x:c>
      <x:c r="I878" s="48" t="n">
        <x:v>0.88</x:v>
      </x:c>
      <x:c r="J878" s="48" t="n">
        <x:v>0.92</x:v>
      </x:c>
      <x:c r="K878" s="48" t="str">
        <x:v>No</x:v>
      </x:c>
      <x:c r="L878" s="48" t="str">
        <x:v>PDF text</x:v>
      </x:c>
    </x:row>
    <x:row r="879">
      <x:c r="A879" s="48" t="str">
        <x:v>UNI-0878</x:v>
      </x:c>
      <x:c r="B879" s="48" t="str">
        <x:v>RED</x:v>
      </x:c>
      <x:c r="C879" s="48" t="str">
        <x:v>English</x:v>
      </x:c>
      <x:c r="D879" s="48" t="n">
        <x:v>52</x:v>
      </x:c>
      <x:c r="E879" s="48" t="str"/>
      <x:c r="F879" s="48" t="str">
        <x:v>Upon receiving this notice, the Engineer shall proceed in accordance with Sub-Clause 3.5 [Determinations] to agree or determine this cost, which shall be included in the Contract Price.</x:v>
      </x:c>
      <x:c r="G879" s="48" t="str">
        <x:v>Obligation</x:v>
      </x:c>
      <x:c r="H879" s="48" t="str">
        <x:v>Shared</x:v>
      </x:c>
      <x:c r="I879" s="48" t="n">
        <x:v>0.88</x:v>
      </x:c>
      <x:c r="J879" s="48" t="n">
        <x:v>0.4</x:v>
      </x:c>
      <x:c r="K879" s="48" t="str">
        <x:v>Yes</x:v>
      </x:c>
      <x:c r="L879" s="48" t="str">
        <x:v>PDF text</x:v>
      </x:c>
    </x:row>
    <x:row r="880">
      <x:c r="A880" s="48" t="str">
        <x:v>UNI-0879</x:v>
      </x:c>
      <x:c r="B880" s="48" t="str">
        <x:v>RED</x:v>
      </x:c>
      <x:c r="C880" s="48" t="str">
        <x:v>English</x:v>
      </x:c>
      <x:c r="D880" s="48" t="n">
        <x:v>52</x:v>
      </x:c>
      <x:c r="E880" s="48" t="str"/>
      <x:c r="F880" s="48" t="str">
        <x:v>Variations may be initiated by the Engineer at any time prior to issuing the Taking-Over Certificate for the Works, either by an instruction or by a request for the Contractor to submit a proposal.</x:v>
      </x:c>
      <x:c r="G880" s="48" t="str">
        <x:v>Right</x:v>
      </x:c>
      <x:c r="H880" s="48" t="str">
        <x:v>Contractor</x:v>
      </x:c>
      <x:c r="I880" s="48" t="n">
        <x:v>0.78</x:v>
      </x:c>
      <x:c r="J880" s="48" t="n">
        <x:v>0.68</x:v>
      </x:c>
      <x:c r="K880" s="48" t="str">
        <x:v>Yes</x:v>
      </x:c>
      <x:c r="L880" s="48" t="str">
        <x:v>PDF text</x:v>
      </x:c>
    </x:row>
    <x:row r="881">
      <x:c r="A881" s="48" t="str">
        <x:v>UNI-0880</x:v>
      </x:c>
      <x:c r="B881" s="48" t="str">
        <x:v>RED</x:v>
      </x:c>
      <x:c r="C881" s="48" t="str">
        <x:v>English</x:v>
      </x:c>
      <x:c r="D881" s="48" t="n">
        <x:v>52</x:v>
      </x:c>
      <x:c r="E881" s="48" t="str"/>
      <x:c r="F881" s="48" t="str">
        <x:v>The Contractor shall execute and be bound by each Variation, unless the Contractor promptly gives notice to the Engineer stating (with supporting particulars) that the Contractor cannot readily obtain the Goods required for the Variation.</x:v>
      </x:c>
      <x:c r="G881" s="48" t="str">
        <x:v>Obligation</x:v>
      </x:c>
      <x:c r="H881" s="48" t="str">
        <x:v>Contractor</x:v>
      </x:c>
      <x:c r="I881" s="48" t="n">
        <x:v>0.88</x:v>
      </x:c>
      <x:c r="J881" s="48" t="n">
        <x:v>0.92</x:v>
      </x:c>
      <x:c r="K881" s="48" t="str">
        <x:v>No</x:v>
      </x:c>
      <x:c r="L881" s="48" t="str">
        <x:v>PDF text</x:v>
      </x:c>
    </x:row>
    <x:row r="882">
      <x:c r="A882" s="48" t="str">
        <x:v>UNI-0881</x:v>
      </x:c>
      <x:c r="B882" s="48" t="str">
        <x:v>RED</x:v>
      </x:c>
      <x:c r="C882" s="48" t="str">
        <x:v>English</x:v>
      </x:c>
      <x:c r="D882" s="48" t="n">
        <x:v>52</x:v>
      </x:c>
      <x:c r="E882" s="48" t="str"/>
      <x:c r="F882" s="48" t="str">
        <x:v>Upon receiving this notice, the Engineer shall cancel, confirm or vary the instruction.</x:v>
      </x:c>
      <x:c r="G882" s="48" t="str">
        <x:v>Obligation</x:v>
      </x:c>
      <x:c r="H882" s="48" t="str">
        <x:v>Shared</x:v>
      </x:c>
      <x:c r="I882" s="48" t="n">
        <x:v>0.88</x:v>
      </x:c>
      <x:c r="J882" s="48" t="n">
        <x:v>0.4</x:v>
      </x:c>
      <x:c r="K882" s="48" t="str">
        <x:v>Yes</x:v>
      </x:c>
      <x:c r="L882" s="48" t="str">
        <x:v>PDF text</x:v>
      </x:c>
    </x:row>
    <x:row r="883">
      <x:c r="A883" s="48" t="str">
        <x:v>UNI-0882</x:v>
      </x:c>
      <x:c r="B883" s="48" t="str">
        <x:v>RED</x:v>
      </x:c>
      <x:c r="C883" s="48" t="str">
        <x:v>English</x:v>
      </x:c>
      <x:c r="D883" s="48" t="n">
        <x:v>52</x:v>
      </x:c>
      <x:c r="E883" s="48" t="str"/>
      <x:c r="F883" s="48" t="str">
        <x:v>Each Variation may include:</x:v>
      </x:c>
      <x:c r="G883" s="48" t="str">
        <x:v>Right</x:v>
      </x:c>
      <x:c r="H883" s="48" t="str">
        <x:v>Shared</x:v>
      </x:c>
      <x:c r="I883" s="48" t="n">
        <x:v>0.78</x:v>
      </x:c>
      <x:c r="J883" s="48" t="n">
        <x:v>0.4</x:v>
      </x:c>
      <x:c r="K883" s="48" t="str">
        <x:v>Yes</x:v>
      </x:c>
      <x:c r="L883" s="48" t="str">
        <x:v>PDF text</x:v>
      </x:c>
    </x:row>
    <x:row r="884">
      <x:c r="A884" s="48" t="str">
        <x:v>UNI-0883</x:v>
      </x:c>
      <x:c r="B884" s="48" t="str">
        <x:v>RED</x:v>
      </x:c>
      <x:c r="C884" s="48" t="str">
        <x:v>English</x:v>
      </x:c>
      <x:c r="D884" s="48" t="n">
        <x:v>52</x:v>
      </x:c>
      <x:c r="E884" s="48" t="str"/>
      <x:c r="F884" s="48" t="str">
        <x:v>Variations and Adjustments</x:v>
      </x:c>
      <x:c r="G884" s="48" t="str">
        <x:v>Obligation</x:v>
      </x:c>
      <x:c r="H884" s="48" t="str">
        <x:v>Shared</x:v>
      </x:c>
      <x:c r="I884" s="48" t="n">
        <x:v>0.45</x:v>
      </x:c>
      <x:c r="J884" s="48" t="n">
        <x:v>0.4</x:v>
      </x:c>
      <x:c r="K884" s="48" t="str">
        <x:v>Yes</x:v>
      </x:c>
      <x:c r="L884" s="48" t="str">
        <x:v>PDF text</x:v>
      </x:c>
    </x:row>
    <x:row r="885">
      <x:c r="A885" s="48" t="str">
        <x:v>UNI-0884</x:v>
      </x:c>
      <x:c r="B885" s="48" t="str">
        <x:v>RED</x:v>
      </x:c>
      <x:c r="C885" s="48" t="str">
        <x:v>English</x:v>
      </x:c>
      <x:c r="D885" s="48" t="n">
        <x:v>53</x:v>
      </x:c>
      <x:c r="E885" s="48" t="str"/>
      <x:c r="F885" s="48" t="str">
        <x:v>(a) changes to the quantities of any item of work included in the Contract (however, such changes do not necessarily constitute a Variation), (b) changes to the quality and other characteristics of any item of work, (c) changes to the levels, positions and/or dimensions of any part of the Works, (d) omission of any work unless it is to be carried out by others, (e) any additional work, Plant, Materials or services necessary for the Permanent</x:v>
      </x:c>
      <x:c r="G885" s="48" t="str">
        <x:v>Obligation</x:v>
      </x:c>
      <x:c r="H885" s="48" t="str">
        <x:v>Shared</x:v>
      </x:c>
      <x:c r="I885" s="48" t="n">
        <x:v>0.55</x:v>
      </x:c>
      <x:c r="J885" s="48" t="n">
        <x:v>0.4</x:v>
      </x:c>
      <x:c r="K885" s="48" t="str">
        <x:v>Yes</x:v>
      </x:c>
      <x:c r="L885" s="48" t="str">
        <x:v>PDF text</x:v>
      </x:c>
    </x:row>
    <x:row r="886">
      <x:c r="A886" s="48" t="str">
        <x:v>UNI-0885</x:v>
      </x:c>
      <x:c r="B886" s="48" t="str">
        <x:v>RED</x:v>
      </x:c>
      <x:c r="C886" s="48" t="str">
        <x:v>English</x:v>
      </x:c>
      <x:c r="D886" s="48" t="n">
        <x:v>53</x:v>
      </x:c>
      <x:c r="E886" s="48" t="str"/>
      <x:c r="F886" s="48" t="str">
        <x:v>Works, including any associated Tests on Completion, boreholes and other</x:v>
      </x:c>
      <x:c r="G886" s="48" t="str">
        <x:v>Obligation</x:v>
      </x:c>
      <x:c r="H886" s="48" t="str">
        <x:v>Shared</x:v>
      </x:c>
      <x:c r="I886" s="48" t="n">
        <x:v>0.45</x:v>
      </x:c>
      <x:c r="J886" s="48" t="n">
        <x:v>0.4</x:v>
      </x:c>
      <x:c r="K886" s="48" t="str">
        <x:v>Yes</x:v>
      </x:c>
      <x:c r="L886" s="48" t="str">
        <x:v>PDF text</x:v>
      </x:c>
    </x:row>
    <x:row r="887">
      <x:c r="A887" s="48" t="str">
        <x:v>UNI-0886</x:v>
      </x:c>
      <x:c r="B887" s="48" t="str">
        <x:v>RED</x:v>
      </x:c>
      <x:c r="C887" s="48" t="str">
        <x:v>English</x:v>
      </x:c>
      <x:c r="D887" s="48" t="n">
        <x:v>53</x:v>
      </x:c>
      <x:c r="E887" s="48" t="str"/>
      <x:c r="F887" s="48" t="str">
        <x:v>testing and exploratory work, or (f) changes to the sequence or timing of the execution of the Works.</x:v>
      </x:c>
      <x:c r="G887" s="48" t="str">
        <x:v>Obligation</x:v>
      </x:c>
      <x:c r="H887" s="48" t="str">
        <x:v>Shared</x:v>
      </x:c>
      <x:c r="I887" s="48" t="n">
        <x:v>0.45</x:v>
      </x:c>
      <x:c r="J887" s="48" t="n">
        <x:v>0.4</x:v>
      </x:c>
      <x:c r="K887" s="48" t="str">
        <x:v>Yes</x:v>
      </x:c>
      <x:c r="L887" s="48" t="str">
        <x:v>PDF text</x:v>
      </x:c>
    </x:row>
    <x:row r="888">
      <x:c r="A888" s="48" t="str">
        <x:v>UNI-0887</x:v>
      </x:c>
      <x:c r="B888" s="48" t="str">
        <x:v>RED</x:v>
      </x:c>
      <x:c r="C888" s="48" t="str">
        <x:v>English</x:v>
      </x:c>
      <x:c r="D888" s="48" t="n">
        <x:v>53</x:v>
      </x:c>
      <x:c r="E888" s="48" t="str"/>
      <x:c r="F888" s="48" t="str">
        <x:v>The Contractor shall not make any alteration and/or modification of the Permanent</x:v>
      </x:c>
      <x:c r="G888" s="48" t="str">
        <x:v>Obligation</x:v>
      </x:c>
      <x:c r="H888" s="48" t="str">
        <x:v>Contractor</x:v>
      </x:c>
      <x:c r="I888" s="48" t="n">
        <x:v>0.88</x:v>
      </x:c>
      <x:c r="J888" s="48" t="n">
        <x:v>0.92</x:v>
      </x:c>
      <x:c r="K888" s="48" t="str">
        <x:v>No</x:v>
      </x:c>
      <x:c r="L888" s="48" t="str">
        <x:v>PDF text</x:v>
      </x:c>
    </x:row>
    <x:row r="889">
      <x:c r="A889" s="48" t="str">
        <x:v>UNI-0888</x:v>
      </x:c>
      <x:c r="B889" s="48" t="str">
        <x:v>RED</x:v>
      </x:c>
      <x:c r="C889" s="48" t="str">
        <x:v>English</x:v>
      </x:c>
      <x:c r="D889" s="48" t="n">
        <x:v>53</x:v>
      </x:c>
      <x:c r="E889" s="48" t="str"/>
      <x:c r="F889" s="48" t="str">
        <x:v>Works, unless and until the Engineer instructs or approves a Variation.</x:v>
      </x:c>
      <x:c r="G889" s="48" t="str">
        <x:v>Obligation</x:v>
      </x:c>
      <x:c r="H889" s="48" t="str">
        <x:v>Shared</x:v>
      </x:c>
      <x:c r="I889" s="48" t="n">
        <x:v>0.55</x:v>
      </x:c>
      <x:c r="J889" s="48" t="n">
        <x:v>0.4</x:v>
      </x:c>
      <x:c r="K889" s="48" t="str">
        <x:v>Yes</x:v>
      </x:c>
      <x:c r="L889" s="48" t="str">
        <x:v>PDF text</x:v>
      </x:c>
    </x:row>
    <x:row r="890">
      <x:c r="A890" s="48" t="str">
        <x:v>UNI-0889</x:v>
      </x:c>
      <x:c r="B890" s="48" t="str">
        <x:v>RED</x:v>
      </x:c>
      <x:c r="C890" s="48" t="str">
        <x:v>English</x:v>
      </x:c>
      <x:c r="D890" s="48" t="n">
        <x:v>53</x:v>
      </x:c>
      <x:c r="E890" s="48" t="str"/>
      <x:c r="F890" s="48" t="str">
        <x:v>The Contractor may, at any time, submit to the Engineer a written proposal which (in the Contractor’s opinion) will, if adopted, (i) accelerate completion, (ii) reduce the cost to the Employer of executing, maintaining or operating the Works, (iii) improve the efficiency or value to the Employer of the completed Works, or (iv) otherwise be of benefit to the Employer.</x:v>
      </x:c>
      <x:c r="G890" s="48" t="str">
        <x:v>Obligation</x:v>
      </x:c>
      <x:c r="H890" s="48" t="str">
        <x:v>Shared</x:v>
      </x:c>
      <x:c r="I890" s="48" t="n">
        <x:v>0.45</x:v>
      </x:c>
      <x:c r="J890" s="48" t="n">
        <x:v>0.6</x:v>
      </x:c>
      <x:c r="K890" s="48" t="str">
        <x:v>Yes</x:v>
      </x:c>
      <x:c r="L890" s="48" t="str">
        <x:v>PDF text</x:v>
      </x:c>
    </x:row>
    <x:row r="891">
      <x:c r="A891" s="48" t="str">
        <x:v>UNI-0890</x:v>
      </x:c>
      <x:c r="B891" s="48" t="str">
        <x:v>RED</x:v>
      </x:c>
      <x:c r="C891" s="48" t="str">
        <x:v>English</x:v>
      </x:c>
      <x:c r="D891" s="48" t="n">
        <x:v>53</x:v>
      </x:c>
      <x:c r="E891" s="48" t="str"/>
      <x:c r="F891" s="48" t="str">
        <x:v>The proposal shall be prepared at the cost of the Contractor and shall include the items listed in Sub-Clause 13.3 [Variation Procedure].</x:v>
      </x:c>
      <x:c r="G891" s="48" t="str">
        <x:v>Obligation</x:v>
      </x:c>
      <x:c r="H891" s="48" t="str">
        <x:v>Contractor</x:v>
      </x:c>
      <x:c r="I891" s="48" t="n">
        <x:v>0.88</x:v>
      </x:c>
      <x:c r="J891" s="48" t="n">
        <x:v>0.68</x:v>
      </x:c>
      <x:c r="K891" s="48" t="str">
        <x:v>Yes</x:v>
      </x:c>
      <x:c r="L891" s="48" t="str">
        <x:v>PDF text</x:v>
      </x:c>
    </x:row>
    <x:row r="892">
      <x:c r="A892" s="48" t="str">
        <x:v>UNI-0891</x:v>
      </x:c>
      <x:c r="B892" s="48" t="str">
        <x:v>RED</x:v>
      </x:c>
      <x:c r="C892" s="48" t="str">
        <x:v>English</x:v>
      </x:c>
      <x:c r="D892" s="48" t="n">
        <x:v>53</x:v>
      </x:c>
      <x:c r="E892" s="48" t="str"/>
      <x:c r="F892" s="48" t="str">
        <x:v>If a proposal, which is approved by the Engineer, includes a change in the design of part of the Permanent Works, then unless otherwise agreed by both Parties: (a) the Contractor shall design this part, (b) sub-paragraphs (a) to (d) of Sub-Clause 4.1 [Contractor’s General Obligations] shall apply, and (c) if this change results in a reduction in the contract value of this part, the Engineer shall proceed in accordance with Sub-Clause 3.5 [Determinations] to agree or determine a fee, which shall be included in the Contract Price.</x:v>
      </x:c>
      <x:c r="G892" s="48" t="str">
        <x:v>Obligation</x:v>
      </x:c>
      <x:c r="H892" s="48" t="str">
        <x:v>Shared</x:v>
      </x:c>
      <x:c r="I892" s="48" t="n">
        <x:v>0.88</x:v>
      </x:c>
      <x:c r="J892" s="48" t="n">
        <x:v>0.93</x:v>
      </x:c>
      <x:c r="K892" s="48" t="str">
        <x:v>No</x:v>
      </x:c>
      <x:c r="L892" s="48" t="str">
        <x:v>PDF text</x:v>
      </x:c>
    </x:row>
    <x:row r="893">
      <x:c r="A893" s="48" t="str">
        <x:v>UNI-0892</x:v>
      </x:c>
      <x:c r="B893" s="48" t="str">
        <x:v>RED</x:v>
      </x:c>
      <x:c r="C893" s="48" t="str">
        <x:v>English</x:v>
      </x:c>
      <x:c r="D893" s="48" t="n">
        <x:v>53</x:v>
      </x:c>
      <x:c r="E893" s="48" t="str"/>
      <x:c r="F893" s="48" t="str">
        <x:v>This fee shall be half (50%) of the difference between the following amounts: (i) such reduction in contract value, resulting from the change, excluding adjustments under Sub-Clause 13.7 [Adjustments for Changes in Legislation] and Sub-Clause 13.8 [Adjustments for Changes in Cost], and (ii) the reduction (if any) in the value to the Employer of the varied works, taking account of any reductions in quality, anticipated life or operational efficiencies.</x:v>
      </x:c>
      <x:c r="G893" s="48" t="str">
        <x:v>Obligation</x:v>
      </x:c>
      <x:c r="H893" s="48" t="str">
        <x:v>Employer</x:v>
      </x:c>
      <x:c r="I893" s="48" t="n">
        <x:v>0.88</x:v>
      </x:c>
      <x:c r="J893" s="48" t="n">
        <x:v>0.68</x:v>
      </x:c>
      <x:c r="K893" s="48" t="str">
        <x:v>Yes</x:v>
      </x:c>
      <x:c r="L893" s="48" t="str">
        <x:v>PDF text</x:v>
      </x:c>
    </x:row>
    <x:row r="894">
      <x:c r="A894" s="48" t="str">
        <x:v>UNI-0893</x:v>
      </x:c>
      <x:c r="B894" s="48" t="str">
        <x:v>RED</x:v>
      </x:c>
      <x:c r="C894" s="48" t="str">
        <x:v>English</x:v>
      </x:c>
      <x:c r="D894" s="48" t="n">
        <x:v>53</x:v>
      </x:c>
      <x:c r="E894" s="48" t="str"/>
      <x:c r="F894" s="48" t="str">
        <x:v>However, if amount (i) is less than amount (ii), there shall not be a fee.</x:v>
      </x:c>
      <x:c r="G894" s="48" t="str">
        <x:v>Obligation</x:v>
      </x:c>
      <x:c r="H894" s="48" t="str">
        <x:v>Shared</x:v>
      </x:c>
      <x:c r="I894" s="48" t="n">
        <x:v>0.88</x:v>
      </x:c>
      <x:c r="J894" s="48" t="n">
        <x:v>0.4</x:v>
      </x:c>
      <x:c r="K894" s="48" t="str">
        <x:v>Yes</x:v>
      </x:c>
      <x:c r="L894" s="48" t="str">
        <x:v>PDF text</x:v>
      </x:c>
    </x:row>
    <x:row r="895">
      <x:c r="A895" s="48" t="str">
        <x:v>UNI-0894</x:v>
      </x:c>
      <x:c r="B895" s="48" t="str">
        <x:v>RED</x:v>
      </x:c>
      <x:c r="C895" s="48" t="str">
        <x:v>English</x:v>
      </x:c>
      <x:c r="D895" s="48" t="n">
        <x:v>53</x:v>
      </x:c>
      <x:c r="E895" s="48" t="str"/>
      <x:c r="F895" s="48" t="str">
        <x:v>If the Engineer requests a proposal, prior to instructing a Variation, the Contractor shall respond in writing as soon as practicable, either by giving reasons why he cannot comply (if this is the case) or by submitting: (a) a description of the proposed work to be performed and a programme for its execution, (b) the Contractor’s proposal for any necessary modifications to the programme according to Sub-Clause 8.3 [Programme] and to the Time for Completion, and (c) the Contractor’s proposal for evaluation of the Variation.</x:v>
      </x:c>
      <x:c r="G895" s="48" t="str">
        <x:v>Obligation</x:v>
      </x:c>
      <x:c r="H895" s="48" t="str">
        <x:v>Contractor</x:v>
      </x:c>
      <x:c r="I895" s="48" t="n">
        <x:v>0.88</x:v>
      </x:c>
      <x:c r="J895" s="48" t="n">
        <x:v>0.92</x:v>
      </x:c>
      <x:c r="K895" s="48" t="str">
        <x:v>No</x:v>
      </x:c>
      <x:c r="L895" s="48" t="str">
        <x:v>PDF text</x:v>
      </x:c>
    </x:row>
    <x:row r="896">
      <x:c r="A896" s="48" t="str">
        <x:v>UNI-0895</x:v>
      </x:c>
      <x:c r="B896" s="48" t="str">
        <x:v>RED</x:v>
      </x:c>
      <x:c r="C896" s="48" t="str">
        <x:v>English</x:v>
      </x:c>
      <x:c r="D896" s="48" t="n">
        <x:v>53</x:v>
      </x:c>
      <x:c r="E896" s="48" t="str"/>
      <x:c r="F896" s="48" t="str">
        <x:v>The Engineer shall, as soon as practicable after receiving such proposal (under Sub13.2</x:v>
      </x:c>
      <x:c r="G896" s="48" t="str">
        <x:v>Obligation</x:v>
      </x:c>
      <x:c r="H896" s="48" t="str">
        <x:v>Shared</x:v>
      </x:c>
      <x:c r="I896" s="48" t="n">
        <x:v>0.88</x:v>
      </x:c>
      <x:c r="J896" s="48" t="n">
        <x:v>0.4</x:v>
      </x:c>
      <x:c r="K896" s="48" t="str">
        <x:v>Yes</x:v>
      </x:c>
      <x:c r="L896" s="48" t="str">
        <x:v>PDF text</x:v>
      </x:c>
    </x:row>
    <x:row r="897">
      <x:c r="A897" s="48" t="str">
        <x:v>UNI-0896</x:v>
      </x:c>
      <x:c r="B897" s="48" t="str">
        <x:v>RED</x:v>
      </x:c>
      <x:c r="C897" s="48" t="str">
        <x:v>English</x:v>
      </x:c>
      <x:c r="D897" s="48" t="n">
        <x:v>53</x:v>
      </x:c>
      <x:c r="E897" s="48" t="str"/>
      <x:c r="F897" s="48" t="str">
        <x:v>Value Engineering</x:v>
      </x:c>
      <x:c r="G897" s="48" t="str">
        <x:v>Obligation</x:v>
      </x:c>
      <x:c r="H897" s="48" t="str">
        <x:v>Shared</x:v>
      </x:c>
      <x:c r="I897" s="48" t="n">
        <x:v>0.45</x:v>
      </x:c>
      <x:c r="J897" s="48" t="n">
        <x:v>0.4</x:v>
      </x:c>
      <x:c r="K897" s="48" t="str">
        <x:v>Yes</x:v>
      </x:c>
      <x:c r="L897" s="48" t="str">
        <x:v>PDF text</x:v>
      </x:c>
    </x:row>
    <x:row r="898">
      <x:c r="A898" s="48" t="str">
        <x:v>UNI-0897</x:v>
      </x:c>
      <x:c r="B898" s="48" t="str">
        <x:v>RED</x:v>
      </x:c>
      <x:c r="C898" s="48" t="str">
        <x:v>English</x:v>
      </x:c>
      <x:c r="D898" s="48" t="n">
        <x:v>53</x:v>
      </x:c>
      <x:c r="E898" s="48" t="str"/>
      <x:c r="F898" s="48" t="str">
        <x:v>Variation Procedure</x:v>
      </x:c>
      <x:c r="G898" s="48" t="str">
        <x:v>Obligation</x:v>
      </x:c>
      <x:c r="H898" s="48" t="str">
        <x:v>Shared</x:v>
      </x:c>
      <x:c r="I898" s="48" t="n">
        <x:v>0.55</x:v>
      </x:c>
      <x:c r="J898" s="48" t="n">
        <x:v>0.4</x:v>
      </x:c>
      <x:c r="K898" s="48" t="str">
        <x:v>Yes</x:v>
      </x:c>
      <x:c r="L898" s="48" t="str">
        <x:v>PDF text</x:v>
      </x:c>
    </x:row>
    <x:row r="899">
      <x:c r="A899" s="48" t="str">
        <x:v>UNI-0898</x:v>
      </x:c>
      <x:c r="B899" s="48" t="str">
        <x:v>RED</x:v>
      </x:c>
      <x:c r="C899" s="48" t="str">
        <x:v>English</x:v>
      </x:c>
      <x:c r="D899" s="48" t="n">
        <x:v>54</x:v>
      </x:c>
      <x:c r="E899" s="48" t="str"/>
      <x:c r="F899" s="48" t="str">
        <x:v>Clause 13.2 [Value Engineering] or otherwise), respond with approval, disapproval or comments.</x:v>
      </x:c>
      <x:c r="G899" s="48" t="str">
        <x:v>Obligation</x:v>
      </x:c>
      <x:c r="H899" s="48" t="str">
        <x:v>Shared</x:v>
      </x:c>
      <x:c r="I899" s="48" t="n">
        <x:v>0.45</x:v>
      </x:c>
      <x:c r="J899" s="48" t="n">
        <x:v>0.4</x:v>
      </x:c>
      <x:c r="K899" s="48" t="str">
        <x:v>Yes</x:v>
      </x:c>
      <x:c r="L899" s="48" t="str">
        <x:v>PDF text</x:v>
      </x:c>
    </x:row>
    <x:row r="900">
      <x:c r="A900" s="48" t="str">
        <x:v>UNI-0899</x:v>
      </x:c>
      <x:c r="B900" s="48" t="str">
        <x:v>RED</x:v>
      </x:c>
      <x:c r="C900" s="48" t="str">
        <x:v>English</x:v>
      </x:c>
      <x:c r="D900" s="48" t="n">
        <x:v>54</x:v>
      </x:c>
      <x:c r="E900" s="48" t="str"/>
      <x:c r="F900" s="48" t="str">
        <x:v>The Contractor shall not delay any work whilst awaiting a response.</x:v>
      </x:c>
      <x:c r="G900" s="48" t="str">
        <x:v>Obligation</x:v>
      </x:c>
      <x:c r="H900" s="48" t="str">
        <x:v>Contractor</x:v>
      </x:c>
      <x:c r="I900" s="48" t="n">
        <x:v>0.88</x:v>
      </x:c>
      <x:c r="J900" s="48" t="n">
        <x:v>0.92</x:v>
      </x:c>
      <x:c r="K900" s="48" t="str">
        <x:v>No</x:v>
      </x:c>
      <x:c r="L900" s="48" t="str">
        <x:v>PDF text</x:v>
      </x:c>
    </x:row>
    <x:row r="901">
      <x:c r="A901" s="48" t="str">
        <x:v>UNI-0900</x:v>
      </x:c>
      <x:c r="B901" s="48" t="str">
        <x:v>RED</x:v>
      </x:c>
      <x:c r="C901" s="48" t="str">
        <x:v>English</x:v>
      </x:c>
      <x:c r="D901" s="48" t="n">
        <x:v>54</x:v>
      </x:c>
      <x:c r="E901" s="48" t="str"/>
      <x:c r="F901" s="48" t="str">
        <x:v>Each instruction to execute a Variation, with any requirements for the recording of Costs, shall be issued by the Engineer to the Contractor, who shall acknowledge receipt.</x:v>
      </x:c>
      <x:c r="G901" s="48" t="str">
        <x:v>Obligation</x:v>
      </x:c>
      <x:c r="H901" s="48" t="str">
        <x:v>Contractor</x:v>
      </x:c>
      <x:c r="I901" s="48" t="n">
        <x:v>0.88</x:v>
      </x:c>
      <x:c r="J901" s="48" t="n">
        <x:v>0.68</x:v>
      </x:c>
      <x:c r="K901" s="48" t="str">
        <x:v>Yes</x:v>
      </x:c>
      <x:c r="L901" s="48" t="str">
        <x:v>PDF text</x:v>
      </x:c>
    </x:row>
    <x:row r="902">
      <x:c r="A902" s="48" t="str">
        <x:v>UNI-0901</x:v>
      </x:c>
      <x:c r="B902" s="48" t="str">
        <x:v>RED</x:v>
      </x:c>
      <x:c r="C902" s="48" t="str">
        <x:v>English</x:v>
      </x:c>
      <x:c r="D902" s="48" t="n">
        <x:v>54</x:v>
      </x:c>
      <x:c r="E902" s="48" t="str"/>
      <x:c r="F902" s="48" t="str">
        <x:v>Each Variation shall be evaluated in accordance with Clause 12 [Measurement and Evaluation], unless the Engineer instructs or approves otherwise in accordance with this Clause.</x:v>
      </x:c>
      <x:c r="G902" s="48" t="str">
        <x:v>Obligation</x:v>
      </x:c>
      <x:c r="H902" s="48" t="str">
        <x:v>Shared</x:v>
      </x:c>
      <x:c r="I902" s="48" t="n">
        <x:v>0.88</x:v>
      </x:c>
      <x:c r="J902" s="48" t="n">
        <x:v>0.4</x:v>
      </x:c>
      <x:c r="K902" s="48" t="str">
        <x:v>Yes</x:v>
      </x:c>
      <x:c r="L902" s="48" t="str">
        <x:v>PDF text</x:v>
      </x:c>
    </x:row>
    <x:row r="903">
      <x:c r="A903" s="48" t="str">
        <x:v>UNI-0902</x:v>
      </x:c>
      <x:c r="B903" s="48" t="str">
        <x:v>RED</x:v>
      </x:c>
      <x:c r="C903" s="48" t="str">
        <x:v>English</x:v>
      </x:c>
      <x:c r="D903" s="48" t="n">
        <x:v>54</x:v>
      </x:c>
      <x:c r="E903" s="48" t="str"/>
      <x:c r="F903" s="48" t="str">
        <x:v>If the Contract provides for payment of the Contract Price in more than one currency, then whenever an adjustment is agreed, approved or determined as stated above, the amount payable in each of the applicable currencies shall be specified.</x:v>
      </x:c>
      <x:c r="G903" s="48" t="str">
        <x:v>Obligation</x:v>
      </x:c>
      <x:c r="H903" s="48" t="str">
        <x:v>Shared</x:v>
      </x:c>
      <x:c r="I903" s="48" t="n">
        <x:v>0.88</x:v>
      </x:c>
      <x:c r="J903" s="48" t="n">
        <x:v>0.4</x:v>
      </x:c>
      <x:c r="K903" s="48" t="str">
        <x:v>Yes</x:v>
      </x:c>
      <x:c r="L903" s="48" t="str">
        <x:v>PDF text</x:v>
      </x:c>
    </x:row>
    <x:row r="904">
      <x:c r="A904" s="48" t="str">
        <x:v>UNI-0903</x:v>
      </x:c>
      <x:c r="B904" s="48" t="str">
        <x:v>RED</x:v>
      </x:c>
      <x:c r="C904" s="48" t="str">
        <x:v>English</x:v>
      </x:c>
      <x:c r="D904" s="48" t="n">
        <x:v>54</x:v>
      </x:c>
      <x:c r="E904" s="48" t="str"/>
      <x:c r="F904" s="48" t="str">
        <x:v>For this purpose, reference shall be made to the actual or expected currency proportions of the Cost of the varied work, and to the proportions of various currencies specified for payment of the Contract Price.</x:v>
      </x:c>
      <x:c r="G904" s="48" t="str">
        <x:v>Obligation</x:v>
      </x:c>
      <x:c r="H904" s="48" t="str">
        <x:v>Shared</x:v>
      </x:c>
      <x:c r="I904" s="48" t="n">
        <x:v>0.88</x:v>
      </x:c>
      <x:c r="J904" s="48" t="n">
        <x:v>0.4</x:v>
      </x:c>
      <x:c r="K904" s="48" t="str">
        <x:v>Yes</x:v>
      </x:c>
      <x:c r="L904" s="48" t="str">
        <x:v>PDF text</x:v>
      </x:c>
    </x:row>
    <x:row r="905">
      <x:c r="A905" s="48" t="str">
        <x:v>UNI-0904</x:v>
      </x:c>
      <x:c r="B905" s="48" t="str">
        <x:v>RED</x:v>
      </x:c>
      <x:c r="C905" s="48" t="str">
        <x:v>English</x:v>
      </x:c>
      <x:c r="D905" s="48" t="n">
        <x:v>54</x:v>
      </x:c>
      <x:c r="E905" s="48" t="str"/>
      <x:c r="F905" s="48" t="str">
        <x:v>Each Provisional Sum shall only be used, in whole or in part, in accordance with the Engineer’s instructions, and the Contract Price shall be adjusted accordingly.</x:v>
      </x:c>
      <x:c r="G905" s="48" t="str">
        <x:v>Obligation</x:v>
      </x:c>
      <x:c r="H905" s="48" t="str">
        <x:v>Shared</x:v>
      </x:c>
      <x:c r="I905" s="48" t="n">
        <x:v>0.88</x:v>
      </x:c>
      <x:c r="J905" s="48" t="n">
        <x:v>0.4</x:v>
      </x:c>
      <x:c r="K905" s="48" t="str">
        <x:v>Yes</x:v>
      </x:c>
      <x:c r="L905" s="48" t="str">
        <x:v>PDF text</x:v>
      </x:c>
    </x:row>
    <x:row r="906">
      <x:c r="A906" s="48" t="str">
        <x:v>UNI-0905</x:v>
      </x:c>
      <x:c r="B906" s="48" t="str">
        <x:v>RED</x:v>
      </x:c>
      <x:c r="C906" s="48" t="str">
        <x:v>English</x:v>
      </x:c>
      <x:c r="D906" s="48" t="n">
        <x:v>54</x:v>
      </x:c>
      <x:c r="E906" s="48" t="str"/>
      <x:c r="F906" s="48" t="str">
        <x:v>The total sum paid to the Contractor shall include only such amounts, for the work, supplies or services to which the Provisional Sum relates, as the Engineer shall have instructed.</x:v>
      </x:c>
      <x:c r="G906" s="48" t="str">
        <x:v>Obligation</x:v>
      </x:c>
      <x:c r="H906" s="48" t="str">
        <x:v>Contractor</x:v>
      </x:c>
      <x:c r="I906" s="48" t="n">
        <x:v>0.88</x:v>
      </x:c>
      <x:c r="J906" s="48" t="n">
        <x:v>0.92</x:v>
      </x:c>
      <x:c r="K906" s="48" t="str">
        <x:v>No</x:v>
      </x:c>
      <x:c r="L906" s="48" t="str">
        <x:v>PDF text</x:v>
      </x:c>
    </x:row>
    <x:row r="907">
      <x:c r="A907" s="48" t="str">
        <x:v>UNI-0906</x:v>
      </x:c>
      <x:c r="B907" s="48" t="str">
        <x:v>RED</x:v>
      </x:c>
      <x:c r="C907" s="48" t="str">
        <x:v>English</x:v>
      </x:c>
      <x:c r="D907" s="48" t="n">
        <x:v>54</x:v>
      </x:c>
      <x:c r="E907" s="48" t="str"/>
      <x:c r="F907" s="48" t="str">
        <x:v>For each Provisional Sum, the Engineer may instruct: (a) work to be executed (including Plant, Materials or services to be supplied) by the Contractor and valued under Sub-Clause 13.3 [Variation Procedure]; and/or (b)</x:v>
      </x:c>
      <x:c r="G907" s="48" t="str">
        <x:v>Right</x:v>
      </x:c>
      <x:c r="H907" s="48" t="str">
        <x:v>Contractor</x:v>
      </x:c>
      <x:c r="I907" s="48" t="n">
        <x:v>0.78</x:v>
      </x:c>
      <x:c r="J907" s="48" t="n">
        <x:v>0.68</x:v>
      </x:c>
      <x:c r="K907" s="48" t="str">
        <x:v>Yes</x:v>
      </x:c>
      <x:c r="L907" s="48" t="str">
        <x:v>PDF text</x:v>
      </x:c>
    </x:row>
    <x:row r="908">
      <x:c r="A908" s="48" t="str">
        <x:v>UNI-0907</x:v>
      </x:c>
      <x:c r="B908" s="48" t="str">
        <x:v>RED</x:v>
      </x:c>
      <x:c r="C908" s="48" t="str">
        <x:v>English</x:v>
      </x:c>
      <x:c r="D908" s="48" t="n">
        <x:v>54</x:v>
      </x:c>
      <x:c r="E908" s="48" t="str"/>
      <x:c r="F908" s="48" t="str">
        <x:v>Plant, Materials or services to be purchased by the Contractor, from a</x:v>
      </x:c>
      <x:c r="G908" s="48" t="str">
        <x:v>Obligation</x:v>
      </x:c>
      <x:c r="H908" s="48" t="str">
        <x:v>Contractor</x:v>
      </x:c>
      <x:c r="I908" s="48" t="n">
        <x:v>0.45</x:v>
      </x:c>
      <x:c r="J908" s="48" t="n">
        <x:v>0.68</x:v>
      </x:c>
      <x:c r="K908" s="48" t="str">
        <x:v>Yes</x:v>
      </x:c>
      <x:c r="L908" s="48" t="str">
        <x:v>PDF text</x:v>
      </x:c>
    </x:row>
    <x:row r="909">
      <x:c r="A909" s="48" t="str">
        <x:v>UNI-0908</x:v>
      </x:c>
      <x:c r="B909" s="48" t="str">
        <x:v>RED</x:v>
      </x:c>
      <x:c r="C909" s="48" t="str">
        <x:v>English</x:v>
      </x:c>
      <x:c r="D909" s="48" t="n">
        <x:v>54</x:v>
      </x:c>
      <x:c r="E909" s="48" t="str"/>
      <x:c r="F909" s="48" t="str">
        <x:v>nominated Subcontractor (as defined in Clause 5 [Nominated Subcontractors] or otherwise; and for which there shall be included in the Contract Price: (i) the actual amounts paid (or due to be paid) by the Contractor, and (ii) a sum for overhead charges and profit, calculated as a percentage of these actual amounts by applying the relevant percentage rate (if any) stated in the appropriate Schedule.</x:v>
      </x:c>
      <x:c r="G909" s="48" t="str">
        <x:v>Obligation</x:v>
      </x:c>
      <x:c r="H909" s="48" t="str">
        <x:v>Contractor</x:v>
      </x:c>
      <x:c r="I909" s="48" t="n">
        <x:v>0.88</x:v>
      </x:c>
      <x:c r="J909" s="48" t="n">
        <x:v>0.68</x:v>
      </x:c>
      <x:c r="K909" s="48" t="str">
        <x:v>Yes</x:v>
      </x:c>
      <x:c r="L909" s="48" t="str">
        <x:v>PDF text</x:v>
      </x:c>
    </x:row>
    <x:row r="910">
      <x:c r="A910" s="48" t="str">
        <x:v>UNI-0909</x:v>
      </x:c>
      <x:c r="B910" s="48" t="str">
        <x:v>RED</x:v>
      </x:c>
      <x:c r="C910" s="48" t="str">
        <x:v>English</x:v>
      </x:c>
      <x:c r="D910" s="48" t="n">
        <x:v>54</x:v>
      </x:c>
      <x:c r="E910" s="48" t="str"/>
      <x:c r="F910" s="48" t="str">
        <x:v>If there is no such rate, the percentage rate stated in the Contract Data shall be applied.</x:v>
      </x:c>
      <x:c r="G910" s="48" t="str">
        <x:v>Obligation</x:v>
      </x:c>
      <x:c r="H910" s="48" t="str">
        <x:v>Shared</x:v>
      </x:c>
      <x:c r="I910" s="48" t="n">
        <x:v>0.88</x:v>
      </x:c>
      <x:c r="J910" s="48" t="n">
        <x:v>0.4</x:v>
      </x:c>
      <x:c r="K910" s="48" t="str">
        <x:v>Yes</x:v>
      </x:c>
      <x:c r="L910" s="48" t="str">
        <x:v>PDF text</x:v>
      </x:c>
    </x:row>
    <x:row r="911">
      <x:c r="A911" s="48" t="str">
        <x:v>UNI-0910</x:v>
      </x:c>
      <x:c r="B911" s="48" t="str">
        <x:v>RED</x:v>
      </x:c>
      <x:c r="C911" s="48" t="str">
        <x:v>English</x:v>
      </x:c>
      <x:c r="D911" s="48" t="n">
        <x:v>54</x:v>
      </x:c>
      <x:c r="E911" s="48" t="str"/>
      <x:c r="F911" s="48" t="str">
        <x:v>The Contractor shall, when required by the Engineer, produce quotations, invoices, vouchers and accounts or receipts in substantiation.</x:v>
      </x:c>
      <x:c r="G911" s="48" t="str">
        <x:v>Obligation</x:v>
      </x:c>
      <x:c r="H911" s="48" t="str">
        <x:v>Contractor</x:v>
      </x:c>
      <x:c r="I911" s="48" t="n">
        <x:v>0.88</x:v>
      </x:c>
      <x:c r="J911" s="48" t="n">
        <x:v>0.92</x:v>
      </x:c>
      <x:c r="K911" s="48" t="str">
        <x:v>No</x:v>
      </x:c>
      <x:c r="L911" s="48" t="str">
        <x:v>PDF text</x:v>
      </x:c>
    </x:row>
    <x:row r="912">
      <x:c r="A912" s="48" t="str">
        <x:v>UNI-0911</x:v>
      </x:c>
      <x:c r="B912" s="48" t="str">
        <x:v>RED</x:v>
      </x:c>
      <x:c r="C912" s="48" t="str">
        <x:v>English</x:v>
      </x:c>
      <x:c r="D912" s="48" t="n">
        <x:v>54</x:v>
      </x:c>
      <x:c r="E912" s="48" t="str"/>
      <x:c r="F912" s="48" t="str">
        <x:v>For work of a minor or incidental nature, the Engineer may instruct that a Variation shall be executed on a daywork basis.</x:v>
      </x:c>
      <x:c r="G912" s="48" t="str">
        <x:v>Obligation</x:v>
      </x:c>
      <x:c r="H912" s="48" t="str">
        <x:v>Shared</x:v>
      </x:c>
      <x:c r="I912" s="48" t="n">
        <x:v>0.88</x:v>
      </x:c>
      <x:c r="J912" s="48" t="n">
        <x:v>0.4</x:v>
      </x:c>
      <x:c r="K912" s="48" t="str">
        <x:v>Yes</x:v>
      </x:c>
      <x:c r="L912" s="48" t="str">
        <x:v>PDF text</x:v>
      </x:c>
    </x:row>
    <x:row r="913">
      <x:c r="A913" s="48" t="str">
        <x:v>UNI-0912</x:v>
      </x:c>
      <x:c r="B913" s="48" t="str">
        <x:v>RED</x:v>
      </x:c>
      <x:c r="C913" s="48" t="str">
        <x:v>English</x:v>
      </x:c>
      <x:c r="D913" s="48" t="n">
        <x:v>54</x:v>
      </x:c>
      <x:c r="E913" s="48" t="str"/>
      <x:c r="F913" s="48" t="str">
        <x:v>The work shall then be valued in accordance with the Daywork Schedule included in the Contract, and the following procedure shall apply.</x:v>
      </x:c>
      <x:c r="G913" s="48" t="str">
        <x:v>Obligation</x:v>
      </x:c>
      <x:c r="H913" s="48" t="str">
        <x:v>Shared</x:v>
      </x:c>
      <x:c r="I913" s="48" t="n">
        <x:v>0.88</x:v>
      </x:c>
      <x:c r="J913" s="48" t="n">
        <x:v>0.4</x:v>
      </x:c>
      <x:c r="K913" s="48" t="str">
        <x:v>Yes</x:v>
      </x:c>
      <x:c r="L913" s="48" t="str">
        <x:v>PDF text</x:v>
      </x:c>
    </x:row>
    <x:row r="914">
      <x:c r="A914" s="48" t="str">
        <x:v>UNI-0913</x:v>
      </x:c>
      <x:c r="B914" s="48" t="str">
        <x:v>RED</x:v>
      </x:c>
      <x:c r="C914" s="48" t="str">
        <x:v>English</x:v>
      </x:c>
      <x:c r="D914" s="48" t="n">
        <x:v>54</x:v>
      </x:c>
      <x:c r="E914" s="48" t="str"/>
      <x:c r="F914" s="48" t="str">
        <x:v>If a Daywork Schedule is not included in the Contract, this Sub-Clause shall not apply.</x:v>
      </x:c>
      <x:c r="G914" s="48" t="str">
        <x:v>Obligation</x:v>
      </x:c>
      <x:c r="H914" s="48" t="str">
        <x:v>Shared</x:v>
      </x:c>
      <x:c r="I914" s="48" t="n">
        <x:v>0.88</x:v>
      </x:c>
      <x:c r="J914" s="48" t="n">
        <x:v>0.4</x:v>
      </x:c>
      <x:c r="K914" s="48" t="str">
        <x:v>Yes</x:v>
      </x:c>
      <x:c r="L914" s="48" t="str">
        <x:v>PDF text</x:v>
      </x:c>
    </x:row>
    <x:row r="915">
      <x:c r="A915" s="48" t="str">
        <x:v>UNI-0914</x:v>
      </x:c>
      <x:c r="B915" s="48" t="str">
        <x:v>RED</x:v>
      </x:c>
      <x:c r="C915" s="48" t="str">
        <x:v>English</x:v>
      </x:c>
      <x:c r="D915" s="48" t="n">
        <x:v>54</x:v>
      </x:c>
      <x:c r="E915" s="48" t="str"/>
      <x:c r="F915" s="48" t="str">
        <x:v>Before ordering Goods for the work, the Contractor shall submit quotations to the</x:v>
      </x:c>
      <x:c r="G915" s="48" t="str">
        <x:v>Obligation</x:v>
      </x:c>
      <x:c r="H915" s="48" t="str">
        <x:v>Contractor</x:v>
      </x:c>
      <x:c r="I915" s="48" t="n">
        <x:v>0.88</x:v>
      </x:c>
      <x:c r="J915" s="48" t="n">
        <x:v>0.92</x:v>
      </x:c>
      <x:c r="K915" s="48" t="str">
        <x:v>No</x:v>
      </x:c>
      <x:c r="L915" s="48" t="str">
        <x:v>PDF text</x:v>
      </x:c>
    </x:row>
    <x:row r="916">
      <x:c r="A916" s="48" t="str">
        <x:v>UNI-0915</x:v>
      </x:c>
      <x:c r="B916" s="48" t="str">
        <x:v>RED</x:v>
      </x:c>
      <x:c r="C916" s="48" t="str">
        <x:v>English</x:v>
      </x:c>
      <x:c r="D916" s="48" t="n">
        <x:v>54</x:v>
      </x:c>
      <x:c r="E916" s="48" t="str"/>
      <x:c r="F916" s="48" t="str">
        <x:v>When applying for payment, the Contractor shall submit invoices, vouchers and accounts or receipts for any Goods.</x:v>
      </x:c>
      <x:c r="G916" s="48" t="str">
        <x:v>Obligation</x:v>
      </x:c>
      <x:c r="H916" s="48" t="str">
        <x:v>Contractor</x:v>
      </x:c>
      <x:c r="I916" s="48" t="n">
        <x:v>0.88</x:v>
      </x:c>
      <x:c r="J916" s="48" t="n">
        <x:v>0.92</x:v>
      </x:c>
      <x:c r="K916" s="48" t="str">
        <x:v>No</x:v>
      </x:c>
      <x:c r="L916" s="48" t="str">
        <x:v>PDF text</x:v>
      </x:c>
    </x:row>
    <x:row r="917">
      <x:c r="A917" s="48" t="str">
        <x:v>UNI-0916</x:v>
      </x:c>
      <x:c r="B917" s="48" t="str">
        <x:v>RED</x:v>
      </x:c>
      <x:c r="C917" s="48" t="str">
        <x:v>English</x:v>
      </x:c>
      <x:c r="D917" s="48" t="n">
        <x:v>54</x:v>
      </x:c>
      <x:c r="E917" s="48" t="str"/>
      <x:c r="F917" s="48" t="str">
        <x:v>Except for any items for which the Daywork Schedule specifies that payment is not</x:v>
      </x:c>
      <x:c r="G917" s="48" t="str">
        <x:v>Obligation</x:v>
      </x:c>
      <x:c r="H917" s="48" t="str">
        <x:v>Shared</x:v>
      </x:c>
      <x:c r="I917" s="48" t="n">
        <x:v>0.55</x:v>
      </x:c>
      <x:c r="J917" s="48" t="n">
        <x:v>0.4</x:v>
      </x:c>
      <x:c r="K917" s="48" t="str">
        <x:v>Yes</x:v>
      </x:c>
      <x:c r="L917" s="48" t="str">
        <x:v>PDF text</x:v>
      </x:c>
    </x:row>
    <x:row r="918">
      <x:c r="A918" s="48" t="str">
        <x:v>UNI-0917</x:v>
      </x:c>
      <x:c r="B918" s="48" t="str">
        <x:v>RED</x:v>
      </x:c>
      <x:c r="C918" s="48" t="str">
        <x:v>English</x:v>
      </x:c>
      <x:c r="D918" s="48" t="n">
        <x:v>54</x:v>
      </x:c>
      <x:c r="E918" s="48" t="str"/>
      <x:c r="F918" s="48" t="str">
        <x:v>due, the Contractor shall deliver each day to the Engineer accurate statements in duplicate which shall include the following details of the resources used in executing the previous day’s work: (a) the names, occupations and time of Contractor’s Personnel, 13.4</x:v>
      </x:c>
      <x:c r="G918" s="48" t="str">
        <x:v>Obligation</x:v>
      </x:c>
      <x:c r="H918" s="48" t="str">
        <x:v>Contractor</x:v>
      </x:c>
      <x:c r="I918" s="48" t="n">
        <x:v>0.88</x:v>
      </x:c>
      <x:c r="J918" s="48" t="n">
        <x:v>0.92</x:v>
      </x:c>
      <x:c r="K918" s="48" t="str">
        <x:v>No</x:v>
      </x:c>
      <x:c r="L918" s="48" t="str">
        <x:v>PDF text</x:v>
      </x:c>
    </x:row>
    <x:row r="919">
      <x:c r="A919" s="48" t="str">
        <x:v>UNI-0918</x:v>
      </x:c>
      <x:c r="B919" s="48" t="str">
        <x:v>RED</x:v>
      </x:c>
      <x:c r="C919" s="48" t="str">
        <x:v>English</x:v>
      </x:c>
      <x:c r="D919" s="48" t="n">
        <x:v>54</x:v>
      </x:c>
      <x:c r="E919" s="48" t="str"/>
      <x:c r="F919" s="48" t="str">
        <x:v>Payment in Applicable</x:v>
      </x:c>
      <x:c r="G919" s="48" t="str">
        <x:v>Obligation</x:v>
      </x:c>
      <x:c r="H919" s="48" t="str">
        <x:v>Shared</x:v>
      </x:c>
      <x:c r="I919" s="48" t="n">
        <x:v>0.55</x:v>
      </x:c>
      <x:c r="J919" s="48" t="n">
        <x:v>0.4</x:v>
      </x:c>
      <x:c r="K919" s="48" t="str">
        <x:v>Yes</x:v>
      </x:c>
      <x:c r="L919" s="48" t="str">
        <x:v>PDF text</x:v>
      </x:c>
    </x:row>
    <x:row r="920">
      <x:c r="A920" s="48" t="str">
        <x:v>UNI-0919</x:v>
      </x:c>
      <x:c r="B920" s="48" t="str">
        <x:v>RED</x:v>
      </x:c>
      <x:c r="C920" s="48" t="str">
        <x:v>English</x:v>
      </x:c>
      <x:c r="D920" s="48" t="n">
        <x:v>54</x:v>
      </x:c>
      <x:c r="E920" s="48" t="str"/>
      <x:c r="F920" s="48" t="str">
        <x:v>Currencies</x:v>
      </x:c>
      <x:c r="G920" s="48" t="str">
        <x:v>Obligation</x:v>
      </x:c>
      <x:c r="H920" s="48" t="str">
        <x:v>Shared</x:v>
      </x:c>
      <x:c r="I920" s="48" t="n">
        <x:v>0.45</x:v>
      </x:c>
      <x:c r="J920" s="48" t="n">
        <x:v>0.4</x:v>
      </x:c>
      <x:c r="K920" s="48" t="str">
        <x:v>Yes</x:v>
      </x:c>
      <x:c r="L920" s="48" t="str">
        <x:v>PDF text</x:v>
      </x:c>
    </x:row>
    <x:row r="921">
      <x:c r="A921" s="48" t="str">
        <x:v>UNI-0920</x:v>
      </x:c>
      <x:c r="B921" s="48" t="str">
        <x:v>RED</x:v>
      </x:c>
      <x:c r="C921" s="48" t="str">
        <x:v>English</x:v>
      </x:c>
      <x:c r="D921" s="48" t="n">
        <x:v>54</x:v>
      </x:c>
      <x:c r="E921" s="48" t="str"/>
      <x:c r="F921" s="48" t="str">
        <x:v>Provisional Sums</x:v>
      </x:c>
      <x:c r="G921" s="48" t="str">
        <x:v>Obligation</x:v>
      </x:c>
      <x:c r="H921" s="48" t="str">
        <x:v>Shared</x:v>
      </x:c>
      <x:c r="I921" s="48" t="n">
        <x:v>0.45</x:v>
      </x:c>
      <x:c r="J921" s="48" t="n">
        <x:v>0.4</x:v>
      </x:c>
      <x:c r="K921" s="48" t="str">
        <x:v>Yes</x:v>
      </x:c>
      <x:c r="L921" s="48" t="str">
        <x:v>PDF text</x:v>
      </x:c>
    </x:row>
    <x:row r="922">
      <x:c r="A922" s="48" t="str">
        <x:v>UNI-0921</x:v>
      </x:c>
      <x:c r="B922" s="48" t="str">
        <x:v>RED</x:v>
      </x:c>
      <x:c r="C922" s="48" t="str">
        <x:v>English</x:v>
      </x:c>
      <x:c r="D922" s="48" t="n">
        <x:v>55</x:v>
      </x:c>
      <x:c r="E922" s="48" t="str"/>
      <x:c r="F922" s="48" t="str">
        <x:v>(b) the identification, type and time of Contractor’s Equipment and Temporary</x:v>
      </x:c>
      <x:c r="G922" s="48" t="str">
        <x:v>Obligation</x:v>
      </x:c>
      <x:c r="H922" s="48" t="str">
        <x:v>Contractor</x:v>
      </x:c>
      <x:c r="I922" s="48" t="n">
        <x:v>0.45</x:v>
      </x:c>
      <x:c r="J922" s="48" t="n">
        <x:v>0.68</x:v>
      </x:c>
      <x:c r="K922" s="48" t="str">
        <x:v>Yes</x:v>
      </x:c>
      <x:c r="L922" s="48" t="str">
        <x:v>PDF text</x:v>
      </x:c>
    </x:row>
    <x:row r="923">
      <x:c r="A923" s="48" t="str">
        <x:v>UNI-0922</x:v>
      </x:c>
      <x:c r="B923" s="48" t="str">
        <x:v>RED</x:v>
      </x:c>
      <x:c r="C923" s="48" t="str">
        <x:v>English</x:v>
      </x:c>
      <x:c r="D923" s="48" t="n">
        <x:v>55</x:v>
      </x:c>
      <x:c r="E923" s="48" t="str"/>
      <x:c r="F923" s="48" t="str">
        <x:v>Works, and</x:v>
      </x:c>
      <x:c r="G923" s="48" t="str">
        <x:v>Obligation</x:v>
      </x:c>
      <x:c r="H923" s="48" t="str">
        <x:v>Shared</x:v>
      </x:c>
      <x:c r="I923" s="48" t="n">
        <x:v>0.45</x:v>
      </x:c>
      <x:c r="J923" s="48" t="n">
        <x:v>0.4</x:v>
      </x:c>
      <x:c r="K923" s="48" t="str">
        <x:v>Yes</x:v>
      </x:c>
      <x:c r="L923" s="48" t="str">
        <x:v>PDF text</x:v>
      </x:c>
    </x:row>
    <x:row r="924">
      <x:c r="A924" s="48" t="str">
        <x:v>UNI-0923</x:v>
      </x:c>
      <x:c r="B924" s="48" t="str">
        <x:v>RED</x:v>
      </x:c>
      <x:c r="C924" s="48" t="str">
        <x:v>English</x:v>
      </x:c>
      <x:c r="D924" s="48" t="n">
        <x:v>55</x:v>
      </x:c>
      <x:c r="E924" s="48" t="str"/>
      <x:c r="F924" s="48" t="str">
        <x:v>(c) the quantities and types of Plant and Materials used.</x:v>
      </x:c>
      <x:c r="G924" s="48" t="str">
        <x:v>Obligation</x:v>
      </x:c>
      <x:c r="H924" s="48" t="str">
        <x:v>Shared</x:v>
      </x:c>
      <x:c r="I924" s="48" t="n">
        <x:v>0.45</x:v>
      </x:c>
      <x:c r="J924" s="48" t="n">
        <x:v>0.4</x:v>
      </x:c>
      <x:c r="K924" s="48" t="str">
        <x:v>Yes</x:v>
      </x:c>
      <x:c r="L924" s="48" t="str">
        <x:v>PDF text</x:v>
      </x:c>
    </x:row>
    <x:row r="925">
      <x:c r="A925" s="48" t="str">
        <x:v>UNI-0924</x:v>
      </x:c>
      <x:c r="B925" s="48" t="str">
        <x:v>RED</x:v>
      </x:c>
      <x:c r="C925" s="48" t="str">
        <x:v>English</x:v>
      </x:c>
      <x:c r="D925" s="48" t="n">
        <x:v>55</x:v>
      </x:c>
      <x:c r="E925" s="48" t="str"/>
      <x:c r="F925" s="48" t="str">
        <x:v>One copy of each statement will, if correct, or when agreed, be signed by the Engineer and returned to the Contractor.</x:v>
      </x:c>
      <x:c r="G925" s="48" t="str">
        <x:v>Obligation</x:v>
      </x:c>
      <x:c r="H925" s="48" t="str">
        <x:v>Contractor</x:v>
      </x:c>
      <x:c r="I925" s="48" t="n">
        <x:v>0.45</x:v>
      </x:c>
      <x:c r="J925" s="48" t="n">
        <x:v>0.68</x:v>
      </x:c>
      <x:c r="K925" s="48" t="str">
        <x:v>Yes</x:v>
      </x:c>
      <x:c r="L925" s="48" t="str">
        <x:v>PDF text</x:v>
      </x:c>
    </x:row>
    <x:row r="926">
      <x:c r="A926" s="48" t="str">
        <x:v>UNI-0925</x:v>
      </x:c>
      <x:c r="B926" s="48" t="str">
        <x:v>RED</x:v>
      </x:c>
      <x:c r="C926" s="48" t="str">
        <x:v>English</x:v>
      </x:c>
      <x:c r="D926" s="48" t="n">
        <x:v>55</x:v>
      </x:c>
      <x:c r="E926" s="48" t="str"/>
      <x:c r="F926" s="48" t="str">
        <x:v>The Contractor shall then submit priced statements of these resources to the Engineer, prior to their inclusion in the next Statement under Sub-Clause 14.3 [Application for Interim Payment Certificates].</x:v>
      </x:c>
      <x:c r="G926" s="48" t="str">
        <x:v>Obligation</x:v>
      </x:c>
      <x:c r="H926" s="48" t="str">
        <x:v>Contractor</x:v>
      </x:c>
      <x:c r="I926" s="48" t="n">
        <x:v>0.88</x:v>
      </x:c>
      <x:c r="J926" s="48" t="n">
        <x:v>0.92</x:v>
      </x:c>
      <x:c r="K926" s="48" t="str">
        <x:v>No</x:v>
      </x:c>
      <x:c r="L926" s="48" t="str">
        <x:v>PDF text</x:v>
      </x:c>
    </x:row>
    <x:row r="927">
      <x:c r="A927" s="48" t="str">
        <x:v>UNI-0926</x:v>
      </x:c>
      <x:c r="B927" s="48" t="str">
        <x:v>RED</x:v>
      </x:c>
      <x:c r="C927" s="48" t="str">
        <x:v>English</x:v>
      </x:c>
      <x:c r="D927" s="48" t="n">
        <x:v>55</x:v>
      </x:c>
      <x:c r="E927" s="48" t="str"/>
      <x:c r="F927" s="48" t="str">
        <x:v>The Contract Price shall be adjusted to take account of any increase or decrease in Cost resulting from a change in the Laws of the Country (including the introduction of new Laws and the repeal or modification of existing Laws) or in the judicial or official governmental interpretation of such Laws, made after the Base Date, which affect the Contractor in the performance of obligations under the Contract.</x:v>
      </x:c>
      <x:c r="G927" s="48" t="str">
        <x:v>Obligation</x:v>
      </x:c>
      <x:c r="H927" s="48" t="str">
        <x:v>Contractor</x:v>
      </x:c>
      <x:c r="I927" s="48" t="n">
        <x:v>0.88</x:v>
      </x:c>
      <x:c r="J927" s="48" t="n">
        <x:v>0.68</x:v>
      </x:c>
      <x:c r="K927" s="48" t="str">
        <x:v>Yes</x:v>
      </x:c>
      <x:c r="L927" s="48" t="str">
        <x:v>PDF text</x:v>
      </x:c>
    </x:row>
    <x:row r="928">
      <x:c r="A928" s="48" t="str">
        <x:v>UNI-0927</x:v>
      </x:c>
      <x:c r="B928" s="48" t="str">
        <x:v>RED</x:v>
      </x:c>
      <x:c r="C928" s="48" t="str">
        <x:v>English</x:v>
      </x:c>
      <x:c r="D928" s="48" t="n">
        <x:v>55</x:v>
      </x:c>
      <x:c r="E928" s="48" t="str"/>
      <x:c r="F928" s="48" t="str">
        <x:v>If the Contractor suffers (or will suffer) delay and/or incurs (or will incur) additional Cost as a result of these changes in the Laws or in such interpretations, made after the</x:v>
      </x:c>
      <x:c r="G928" s="48" t="str">
        <x:v>Risk</x:v>
      </x:c>
      <x:c r="H928" s="48" t="str">
        <x:v>Contractor</x:v>
      </x:c>
      <x:c r="I928" s="48" t="n">
        <x:v>0.78</x:v>
      </x:c>
      <x:c r="J928" s="48" t="n">
        <x:v>0.68</x:v>
      </x:c>
      <x:c r="K928" s="48" t="str">
        <x:v>Yes</x:v>
      </x:c>
      <x:c r="L928" s="48" t="str">
        <x:v>PDF text</x:v>
      </x:c>
    </x:row>
    <x:row r="929">
      <x:c r="A929" s="48" t="str">
        <x:v>UNI-0928</x:v>
      </x:c>
      <x:c r="B929" s="48" t="str">
        <x:v>RED</x:v>
      </x:c>
      <x:c r="C929" s="48" t="str">
        <x:v>English</x:v>
      </x:c>
      <x:c r="D929" s="48" t="n">
        <x:v>55</x:v>
      </x:c>
      <x:c r="E929" s="48" t="str"/>
      <x:c r="F929" s="48" t="str">
        <x:v>Base Date, the Contractor shall give notice to the Engineer and shall be entitled</x:v>
      </x:c>
      <x:c r="G929" s="48" t="str">
        <x:v>Obligation</x:v>
      </x:c>
      <x:c r="H929" s="48" t="str">
        <x:v>Contractor</x:v>
      </x:c>
      <x:c r="I929" s="48" t="n">
        <x:v>0.88</x:v>
      </x:c>
      <x:c r="J929" s="48" t="n">
        <x:v>0.92</x:v>
      </x:c>
      <x:c r="K929" s="48" t="str">
        <x:v>No</x:v>
      </x:c>
      <x:c r="L929" s="48" t="str">
        <x:v>PDF text</x:v>
      </x:c>
    </x:row>
    <x:row r="930">
      <x:c r="A930" s="48" t="str">
        <x:v>UNI-0929</x:v>
      </x:c>
      <x:c r="B930" s="48" t="str">
        <x:v>RED</x:v>
      </x:c>
      <x:c r="C930" s="48" t="str">
        <x:v>English</x:v>
      </x:c>
      <x:c r="D930" s="48" t="n">
        <x:v>55</x:v>
      </x:c>
      <x:c r="E930" s="48" t="str"/>
      <x:c r="F930" s="48" t="str">
        <x:v>subject to Sub-Clause 20.1 [Contractor’s Claims] to: (a) an extension of time for any such delay, if completion is or will be delayed, under Sub-Clause 8.4 [Extension of Time for Completion], and (b) payment of any such Cost, which shall be included in the Contract Price.</x:v>
      </x:c>
      <x:c r="G930" s="48" t="str">
        <x:v>Risk</x:v>
      </x:c>
      <x:c r="H930" s="48" t="str">
        <x:v>Contractor</x:v>
      </x:c>
      <x:c r="I930" s="48" t="n">
        <x:v>0.78</x:v>
      </x:c>
      <x:c r="J930" s="48" t="n">
        <x:v>0.68</x:v>
      </x:c>
      <x:c r="K930" s="48" t="str">
        <x:v>Yes</x:v>
      </x:c>
      <x:c r="L930" s="48" t="str">
        <x:v>PDF text</x:v>
      </x:c>
    </x:row>
    <x:row r="931">
      <x:c r="A931" s="48" t="str">
        <x:v>UNI-0930</x:v>
      </x:c>
      <x:c r="B931" s="48" t="str">
        <x:v>RED</x:v>
      </x:c>
      <x:c r="C931" s="48" t="str">
        <x:v>English</x:v>
      </x:c>
      <x:c r="D931" s="48" t="n">
        <x:v>55</x:v>
      </x:c>
      <x:c r="E931" s="48" t="str"/>
      <x:c r="F931" s="48" t="str">
        <x:v>Notwithstanding the foregoing, the Contractor shall not be entitled to such an</x:v>
      </x:c>
      <x:c r="G931" s="48" t="str">
        <x:v>Obligation</x:v>
      </x:c>
      <x:c r="H931" s="48" t="str">
        <x:v>Contractor</x:v>
      </x:c>
      <x:c r="I931" s="48" t="n">
        <x:v>0.88</x:v>
      </x:c>
      <x:c r="J931" s="48" t="n">
        <x:v>0.92</x:v>
      </x:c>
      <x:c r="K931" s="48" t="str">
        <x:v>No</x:v>
      </x:c>
      <x:c r="L931" s="48" t="str">
        <x:v>PDF text</x:v>
      </x:c>
    </x:row>
    <x:row r="932">
      <x:c r="A932" s="48" t="str">
        <x:v>UNI-0931</x:v>
      </x:c>
      <x:c r="B932" s="48" t="str">
        <x:v>RED</x:v>
      </x:c>
      <x:c r="C932" s="48" t="str">
        <x:v>English</x:v>
      </x:c>
      <x:c r="D932" s="48" t="n">
        <x:v>55</x:v>
      </x:c>
      <x:c r="E932" s="48" t="str"/>
      <x:c r="F932" s="48" t="str">
        <x:v>extension of time if the same shall already have been taken into account in determining an extension and such Cost shall not be separately paid if the same shall already have been taken into account in the indexing of any inputs to the table of adjustment data in accordance with the provisions of Sub-Clause 13.8.</x:v>
      </x:c>
      <x:c r="G932" s="48" t="str">
        <x:v>Obligation</x:v>
      </x:c>
      <x:c r="H932" s="48" t="str">
        <x:v>Shared</x:v>
      </x:c>
      <x:c r="I932" s="48" t="n">
        <x:v>0.88</x:v>
      </x:c>
      <x:c r="J932" s="48" t="n">
        <x:v>0.4</x:v>
      </x:c>
      <x:c r="K932" s="48" t="str">
        <x:v>Yes</x:v>
      </x:c>
      <x:c r="L932" s="48" t="str">
        <x:v>PDF text</x:v>
      </x:c>
    </x:row>
    <x:row r="933">
      <x:c r="A933" s="48" t="str">
        <x:v>UNI-0932</x:v>
      </x:c>
      <x:c r="B933" s="48" t="str">
        <x:v>RED</x:v>
      </x:c>
      <x:c r="C933" s="48" t="str">
        <x:v>English</x:v>
      </x:c>
      <x:c r="D933" s="48" t="n">
        <x:v>55</x:v>
      </x:c>
      <x:c r="E933" s="48" t="str"/>
      <x:c r="F933" s="48" t="str">
        <x:v>In this Sub-Clause, “table of adjustment data” means the completed table of adjustment data for local and foreign currencies included in the Schedules.</x:v>
      </x:c>
      <x:c r="G933" s="48" t="str">
        <x:v>Definition</x:v>
      </x:c>
      <x:c r="H933" s="48" t="str"/>
      <x:c r="I933" s="48" t="n">
        <x:v>0.97</x:v>
      </x:c>
      <x:c r="J933" s="48" t="n">
        <x:v>0.99</x:v>
      </x:c>
      <x:c r="K933" s="48" t="str">
        <x:v>No</x:v>
      </x:c>
      <x:c r="L933" s="48" t="str">
        <x:v>PDF text</x:v>
      </x:c>
    </x:row>
    <x:row r="934">
      <x:c r="A934" s="48" t="str">
        <x:v>UNI-0933</x:v>
      </x:c>
      <x:c r="B934" s="48" t="str">
        <x:v>RED</x:v>
      </x:c>
      <x:c r="C934" s="48" t="str">
        <x:v>English</x:v>
      </x:c>
      <x:c r="D934" s="48" t="n">
        <x:v>55</x:v>
      </x:c>
      <x:c r="E934" s="48" t="str"/>
      <x:c r="F934" s="48" t="str">
        <x:v>If there is no such table of adjustment data, this Sub-Clause shall not apply.</x:v>
      </x:c>
      <x:c r="G934" s="48" t="str">
        <x:v>Obligation</x:v>
      </x:c>
      <x:c r="H934" s="48" t="str">
        <x:v>Shared</x:v>
      </x:c>
      <x:c r="I934" s="48" t="n">
        <x:v>0.88</x:v>
      </x:c>
      <x:c r="J934" s="48" t="n">
        <x:v>0.4</x:v>
      </x:c>
      <x:c r="K934" s="48" t="str">
        <x:v>Yes</x:v>
      </x:c>
      <x:c r="L934" s="48" t="str">
        <x:v>PDF text</x:v>
      </x:c>
    </x:row>
    <x:row r="935">
      <x:c r="A935" s="48" t="str">
        <x:v>UNI-0934</x:v>
      </x:c>
      <x:c r="B935" s="48" t="str">
        <x:v>RED</x:v>
      </x:c>
      <x:c r="C935" s="48" t="str">
        <x:v>English</x:v>
      </x:c>
      <x:c r="D935" s="48" t="n">
        <x:v>55</x:v>
      </x:c>
      <x:c r="E935" s="48" t="str"/>
      <x:c r="F935" s="48" t="str">
        <x:v>If this Sub-Clause applies, the amounts payable to the Contractor shall be adjusted for rises or falls in the cost of labour, Goods and other inputs to the Works, by the addition or deduction of the amounts determined by the formulae prescribed in this Sub-Clause.</x:v>
      </x:c>
      <x:c r="G935" s="48" t="str">
        <x:v>Obligation</x:v>
      </x:c>
      <x:c r="H935" s="48" t="str">
        <x:v>Contractor</x:v>
      </x:c>
      <x:c r="I935" s="48" t="n">
        <x:v>0.88</x:v>
      </x:c>
      <x:c r="J935" s="48" t="n">
        <x:v>0.92</x:v>
      </x:c>
      <x:c r="K935" s="48" t="str">
        <x:v>No</x:v>
      </x:c>
      <x:c r="L935" s="48" t="str">
        <x:v>PDF text</x:v>
      </x:c>
    </x:row>
    <x:row r="936">
      <x:c r="A936" s="48" t="str">
        <x:v>UNI-0935</x:v>
      </x:c>
      <x:c r="B936" s="48" t="str">
        <x:v>RED</x:v>
      </x:c>
      <x:c r="C936" s="48" t="str">
        <x:v>English</x:v>
      </x:c>
      <x:c r="D936" s="48" t="n">
        <x:v>55</x:v>
      </x:c>
      <x:c r="E936" s="48" t="str"/>
      <x:c r="F936" s="48" t="str">
        <x:v>To the extent that full compensation for any rise or fall in Costs is not covered by the provisions of this or other Clauses, the Accepted Contract Amount shall be deemed to have included amounts to cover the contingency of other rises and falls in costs.</x:v>
      </x:c>
      <x:c r="G936" s="48" t="str">
        <x:v>Obligation</x:v>
      </x:c>
      <x:c r="H936" s="48" t="str">
        <x:v>Shared</x:v>
      </x:c>
      <x:c r="I936" s="48" t="n">
        <x:v>0.88</x:v>
      </x:c>
      <x:c r="J936" s="48" t="n">
        <x:v>0.4</x:v>
      </x:c>
      <x:c r="K936" s="48" t="str">
        <x:v>Yes</x:v>
      </x:c>
      <x:c r="L936" s="48" t="str">
        <x:v>PDF text</x:v>
      </x:c>
    </x:row>
    <x:row r="937">
      <x:c r="A937" s="48" t="str">
        <x:v>UNI-0936</x:v>
      </x:c>
      <x:c r="B937" s="48" t="str">
        <x:v>RED</x:v>
      </x:c>
      <x:c r="C937" s="48" t="str">
        <x:v>English</x:v>
      </x:c>
      <x:c r="D937" s="48" t="n">
        <x:v>55</x:v>
      </x:c>
      <x:c r="E937" s="48" t="str"/>
      <x:c r="F937" s="48" t="str">
        <x:v>The adjustment to be applied to the amount otherwise payable to the Contractor, as valued in accordance with the appropriate Schedule and certified in Payment Certificates, shall be determined from formulae for each of the currencies in which the Contract Price is payable.</x:v>
      </x:c>
      <x:c r="G937" s="48" t="str">
        <x:v>Obligation</x:v>
      </x:c>
      <x:c r="H937" s="48" t="str">
        <x:v>Contractor</x:v>
      </x:c>
      <x:c r="I937" s="48" t="n">
        <x:v>0.88</x:v>
      </x:c>
      <x:c r="J937" s="48" t="n">
        <x:v>0.68</x:v>
      </x:c>
      <x:c r="K937" s="48" t="str">
        <x:v>Yes</x:v>
      </x:c>
      <x:c r="L937" s="48" t="str">
        <x:v>PDF text</x:v>
      </x:c>
    </x:row>
    <x:row r="938">
      <x:c r="A938" s="48" t="str">
        <x:v>UNI-0937</x:v>
      </x:c>
      <x:c r="B938" s="48" t="str">
        <x:v>RED</x:v>
      </x:c>
      <x:c r="C938" s="48" t="str">
        <x:v>English</x:v>
      </x:c>
      <x:c r="D938" s="48" t="n">
        <x:v>55</x:v>
      </x:c>
      <x:c r="E938" s="48" t="str"/>
      <x:c r="F938" s="48" t="str">
        <x:v>No adjustment is to be applied to work valued on the basis of Cost or current prices.</x:v>
      </x:c>
      <x:c r="G938" s="48" t="str">
        <x:v>Obligation</x:v>
      </x:c>
      <x:c r="H938" s="48" t="str">
        <x:v>Shared</x:v>
      </x:c>
      <x:c r="I938" s="48" t="n">
        <x:v>0.45</x:v>
      </x:c>
      <x:c r="J938" s="48" t="n">
        <x:v>0.4</x:v>
      </x:c>
      <x:c r="K938" s="48" t="str">
        <x:v>Yes</x:v>
      </x:c>
      <x:c r="L938" s="48" t="str">
        <x:v>PDF text</x:v>
      </x:c>
    </x:row>
    <x:row r="939">
      <x:c r="A939" s="48" t="str">
        <x:v>UNI-0938</x:v>
      </x:c>
      <x:c r="B939" s="48" t="str">
        <x:v>RED</x:v>
      </x:c>
      <x:c r="C939" s="48" t="str">
        <x:v>English</x:v>
      </x:c>
      <x:c r="D939" s="48" t="n">
        <x:v>55</x:v>
      </x:c>
      <x:c r="E939" s="48" t="str"/>
      <x:c r="F939" s="48" t="str">
        <x:v>The formulae shall be of the following general type: Pn = a + b Ln + c En + d Mn + ......</x:v>
      </x:c>
      <x:c r="G939" s="48" t="str">
        <x:v>Obligation</x:v>
      </x:c>
      <x:c r="H939" s="48" t="str">
        <x:v>Shared</x:v>
      </x:c>
      <x:c r="I939" s="48" t="n">
        <x:v>0.88</x:v>
      </x:c>
      <x:c r="J939" s="48" t="n">
        <x:v>0.4</x:v>
      </x:c>
      <x:c r="K939" s="48" t="str">
        <x:v>Yes</x:v>
      </x:c>
      <x:c r="L939" s="48" t="str">
        <x:v>PDF text</x:v>
      </x:c>
    </x:row>
    <x:row r="940">
      <x:c r="A940" s="48" t="str">
        <x:v>UNI-0939</x:v>
      </x:c>
      <x:c r="B940" s="48" t="str">
        <x:v>RED</x:v>
      </x:c>
      <x:c r="C940" s="48" t="str">
        <x:v>English</x:v>
      </x:c>
      <x:c r="D940" s="48" t="n">
        <x:v>55</x:v>
      </x:c>
      <x:c r="E940" s="48" t="str"/>
      <x:c r="F940" s="48" t="str">
        <x:v>Lo Eo Mo where: 13.7</x:v>
      </x:c>
      <x:c r="G940" s="48" t="str">
        <x:v>Obligation</x:v>
      </x:c>
      <x:c r="H940" s="48" t="str">
        <x:v>Shared</x:v>
      </x:c>
      <x:c r="I940" s="48" t="n">
        <x:v>0.45</x:v>
      </x:c>
      <x:c r="J940" s="48" t="n">
        <x:v>0.4</x:v>
      </x:c>
      <x:c r="K940" s="48" t="str">
        <x:v>Yes</x:v>
      </x:c>
      <x:c r="L940" s="48" t="str">
        <x:v>PDF text</x:v>
      </x:c>
    </x:row>
    <x:row r="941">
      <x:c r="A941" s="48" t="str">
        <x:v>UNI-0940</x:v>
      </x:c>
      <x:c r="B941" s="48" t="str">
        <x:v>RED</x:v>
      </x:c>
      <x:c r="C941" s="48" t="str">
        <x:v>English</x:v>
      </x:c>
      <x:c r="D941" s="48" t="n">
        <x:v>55</x:v>
      </x:c>
      <x:c r="E941" s="48" t="str"/>
      <x:c r="F941" s="48" t="str">
        <x:v>Adjustments for</x:v>
      </x:c>
      <x:c r="G941" s="48" t="str">
        <x:v>Obligation</x:v>
      </x:c>
      <x:c r="H941" s="48" t="str">
        <x:v>Shared</x:v>
      </x:c>
      <x:c r="I941" s="48" t="n">
        <x:v>0.45</x:v>
      </x:c>
      <x:c r="J941" s="48" t="n">
        <x:v>0.4</x:v>
      </x:c>
      <x:c r="K941" s="48" t="str">
        <x:v>Yes</x:v>
      </x:c>
      <x:c r="L941" s="48" t="str">
        <x:v>PDF text</x:v>
      </x:c>
    </x:row>
    <x:row r="942">
      <x:c r="A942" s="48" t="str">
        <x:v>UNI-0941</x:v>
      </x:c>
      <x:c r="B942" s="48" t="str">
        <x:v>RED</x:v>
      </x:c>
      <x:c r="C942" s="48" t="str">
        <x:v>English</x:v>
      </x:c>
      <x:c r="D942" s="48" t="n">
        <x:v>55</x:v>
      </x:c>
      <x:c r="E942" s="48" t="str"/>
      <x:c r="F942" s="48" t="str">
        <x:v>Changes in Legislation</x:v>
      </x:c>
      <x:c r="G942" s="48" t="str">
        <x:v>Obligation</x:v>
      </x:c>
      <x:c r="H942" s="48" t="str">
        <x:v>Shared</x:v>
      </x:c>
      <x:c r="I942" s="48" t="n">
        <x:v>0.45</x:v>
      </x:c>
      <x:c r="J942" s="48" t="n">
        <x:v>0.4</x:v>
      </x:c>
      <x:c r="K942" s="48" t="str">
        <x:v>Yes</x:v>
      </x:c>
      <x:c r="L942" s="48" t="str">
        <x:v>PDF text</x:v>
      </x:c>
    </x:row>
    <x:row r="943">
      <x:c r="A943" s="48" t="str">
        <x:v>UNI-0942</x:v>
      </x:c>
      <x:c r="B943" s="48" t="str">
        <x:v>RED</x:v>
      </x:c>
      <x:c r="C943" s="48" t="str">
        <x:v>English</x:v>
      </x:c>
      <x:c r="D943" s="48" t="n">
        <x:v>55</x:v>
      </x:c>
      <x:c r="E943" s="48" t="str"/>
      <x:c r="F943" s="48" t="str">
        <x:v>Changes in Cost</x:v>
      </x:c>
      <x:c r="G943" s="48" t="str">
        <x:v>Obligation</x:v>
      </x:c>
      <x:c r="H943" s="48" t="str">
        <x:v>Shared</x:v>
      </x:c>
      <x:c r="I943" s="48" t="n">
        <x:v>0.45</x:v>
      </x:c>
      <x:c r="J943" s="48" t="n">
        <x:v>0.4</x:v>
      </x:c>
      <x:c r="K943" s="48" t="str">
        <x:v>Yes</x:v>
      </x:c>
      <x:c r="L943" s="48" t="str">
        <x:v>PDF text</x:v>
      </x:c>
    </x:row>
    <x:row r="944">
      <x:c r="A944" s="48" t="str">
        <x:v>UNI-0943</x:v>
      </x:c>
      <x:c r="B944" s="48" t="str">
        <x:v>RED</x:v>
      </x:c>
      <x:c r="C944" s="48" t="str">
        <x:v>English</x:v>
      </x:c>
      <x:c r="D944" s="48" t="n">
        <x:v>56</x:v>
      </x:c>
      <x:c r="E944" s="48" t="str"/>
      <x:c r="F944" s="48" t="str">
        <x:v>“Pn” is the adjustment multiplier to be applied to the estimated contract value in the relevant currency of the work carried out in period “n”, this period being a month unless otherwise stated in the Contract Data; “a” is a fixed coefficient, stated in the relevant table of adjustment data, representing the non-adjustable portion in contractual payments; “b”, “c”, “d”, … are coefficients representing the estimated proportion of each cost element related to the execution of the Works, as stated in the relevant table of adjustment data; such tabulated cost elements may be indicative of resources such as labour, equipment and materials; “Ln”, “En”, “Mn”, … are the current cost indices or reference prices for period “n”, expressed in the relevant currency of payment, each of which is applicable to the relevant tabulated cost element on the date 49 days prior to the last day of the period (to which the particular Payment Certificate relates); and “Lo”, “Eo”, “Mo”, … are the base cost indices or reference prices, expressed in the relevant currency of payment, each of which is applicable to the relevant tabulated cost element on the Base Date.</x:v>
      </x:c>
      <x:c r="G944" s="48" t="str">
        <x:v>Right</x:v>
      </x:c>
      <x:c r="H944" s="48" t="str">
        <x:v>Shared</x:v>
      </x:c>
      <x:c r="I944" s="48" t="n">
        <x:v>0.78</x:v>
      </x:c>
      <x:c r="J944" s="48" t="n">
        <x:v>0.4</x:v>
      </x:c>
      <x:c r="K944" s="48" t="str">
        <x:v>Yes</x:v>
      </x:c>
      <x:c r="L944" s="48" t="str">
        <x:v>PDF text</x:v>
      </x:c>
    </x:row>
    <x:row r="945">
      <x:c r="A945" s="48" t="str">
        <x:v>UNI-0944</x:v>
      </x:c>
      <x:c r="B945" s="48" t="str">
        <x:v>RED</x:v>
      </x:c>
      <x:c r="C945" s="48" t="str">
        <x:v>English</x:v>
      </x:c>
      <x:c r="D945" s="48" t="n">
        <x:v>56</x:v>
      </x:c>
      <x:c r="E945" s="48" t="str"/>
      <x:c r="F945" s="48" t="str">
        <x:v>The cost indices or reference prices stated in the table of adjustment data shall be used.</x:v>
      </x:c>
      <x:c r="G945" s="48" t="str">
        <x:v>Obligation</x:v>
      </x:c>
      <x:c r="H945" s="48" t="str">
        <x:v>Shared</x:v>
      </x:c>
      <x:c r="I945" s="48" t="n">
        <x:v>0.88</x:v>
      </x:c>
      <x:c r="J945" s="48" t="n">
        <x:v>0.4</x:v>
      </x:c>
      <x:c r="K945" s="48" t="str">
        <x:v>Yes</x:v>
      </x:c>
      <x:c r="L945" s="48" t="str">
        <x:v>PDF text</x:v>
      </x:c>
    </x:row>
    <x:row r="946">
      <x:c r="A946" s="48" t="str">
        <x:v>UNI-0945</x:v>
      </x:c>
      <x:c r="B946" s="48" t="str">
        <x:v>RED</x:v>
      </x:c>
      <x:c r="C946" s="48" t="str">
        <x:v>English</x:v>
      </x:c>
      <x:c r="D946" s="48" t="n">
        <x:v>56</x:v>
      </x:c>
      <x:c r="E946" s="48" t="str"/>
      <x:c r="F946" s="48" t="str">
        <x:v>If their source is in doubt, it shall be determined by the Engineer.</x:v>
      </x:c>
      <x:c r="G946" s="48" t="str">
        <x:v>Obligation</x:v>
      </x:c>
      <x:c r="H946" s="48" t="str">
        <x:v>Shared</x:v>
      </x:c>
      <x:c r="I946" s="48" t="n">
        <x:v>0.88</x:v>
      </x:c>
      <x:c r="J946" s="48" t="n">
        <x:v>0.4</x:v>
      </x:c>
      <x:c r="K946" s="48" t="str">
        <x:v>Yes</x:v>
      </x:c>
      <x:c r="L946" s="48" t="str">
        <x:v>PDF text</x:v>
      </x:c>
    </x:row>
    <x:row r="947">
      <x:c r="A947" s="48" t="str">
        <x:v>UNI-0946</x:v>
      </x:c>
      <x:c r="B947" s="48" t="str">
        <x:v>RED</x:v>
      </x:c>
      <x:c r="C947" s="48" t="str">
        <x:v>English</x:v>
      </x:c>
      <x:c r="D947" s="48" t="n">
        <x:v>56</x:v>
      </x:c>
      <x:c r="E947" s="48" t="str"/>
      <x:c r="F947" s="48" t="str">
        <x:v>For this purpose, reference shall be made to the values of the indices at stated dates for the purposes of clarification of the source; although these dates (and thus these values) may not correspond to the base cost indices.</x:v>
      </x:c>
      <x:c r="G947" s="48" t="str">
        <x:v>Obligation</x:v>
      </x:c>
      <x:c r="H947" s="48" t="str">
        <x:v>Shared</x:v>
      </x:c>
      <x:c r="I947" s="48" t="n">
        <x:v>0.88</x:v>
      </x:c>
      <x:c r="J947" s="48" t="n">
        <x:v>0.4</x:v>
      </x:c>
      <x:c r="K947" s="48" t="str">
        <x:v>Yes</x:v>
      </x:c>
      <x:c r="L947" s="48" t="str">
        <x:v>PDF text</x:v>
      </x:c>
    </x:row>
    <x:row r="948">
      <x:c r="A948" s="48" t="str">
        <x:v>UNI-0947</x:v>
      </x:c>
      <x:c r="B948" s="48" t="str">
        <x:v>RED</x:v>
      </x:c>
      <x:c r="C948" s="48" t="str">
        <x:v>English</x:v>
      </x:c>
      <x:c r="D948" s="48" t="n">
        <x:v>56</x:v>
      </x:c>
      <x:c r="E948" s="48" t="str"/>
      <x:c r="F948" s="48" t="str">
        <x:v>In cases where the “currency of index” is not the relevant currency of payment, each index shall be converted into the relevant currency of payment at the selling rate, established by the central bank of the Country, of this relevant currency on the above date for which the index is required to be applicable.</x:v>
      </x:c>
      <x:c r="G948" s="48" t="str">
        <x:v>Obligation</x:v>
      </x:c>
      <x:c r="H948" s="48" t="str">
        <x:v>Shared</x:v>
      </x:c>
      <x:c r="I948" s="48" t="n">
        <x:v>0.88</x:v>
      </x:c>
      <x:c r="J948" s="48" t="n">
        <x:v>0.4</x:v>
      </x:c>
      <x:c r="K948" s="48" t="str">
        <x:v>Yes</x:v>
      </x:c>
      <x:c r="L948" s="48" t="str">
        <x:v>PDF text</x:v>
      </x:c>
    </x:row>
    <x:row r="949">
      <x:c r="A949" s="48" t="str">
        <x:v>UNI-0948</x:v>
      </x:c>
      <x:c r="B949" s="48" t="str">
        <x:v>RED</x:v>
      </x:c>
      <x:c r="C949" s="48" t="str">
        <x:v>English</x:v>
      </x:c>
      <x:c r="D949" s="48" t="n">
        <x:v>56</x:v>
      </x:c>
      <x:c r="E949" s="48" t="str"/>
      <x:c r="F949" s="48" t="str">
        <x:v>Until such time as each current cost index is available, the Engineer shall determine a provisional index for the issue of Interim Payment Certificates.</x:v>
      </x:c>
      <x:c r="G949" s="48" t="str">
        <x:v>Obligation</x:v>
      </x:c>
      <x:c r="H949" s="48" t="str">
        <x:v>Shared</x:v>
      </x:c>
      <x:c r="I949" s="48" t="n">
        <x:v>0.88</x:v>
      </x:c>
      <x:c r="J949" s="48" t="n">
        <x:v>0.4</x:v>
      </x:c>
      <x:c r="K949" s="48" t="str">
        <x:v>Yes</x:v>
      </x:c>
      <x:c r="L949" s="48" t="str">
        <x:v>PDF text</x:v>
      </x:c>
    </x:row>
    <x:row r="950">
      <x:c r="A950" s="48" t="str">
        <x:v>UNI-0949</x:v>
      </x:c>
      <x:c r="B950" s="48" t="str">
        <x:v>RED</x:v>
      </x:c>
      <x:c r="C950" s="48" t="str">
        <x:v>English</x:v>
      </x:c>
      <x:c r="D950" s="48" t="n">
        <x:v>56</x:v>
      </x:c>
      <x:c r="E950" s="48" t="str"/>
      <x:c r="F950" s="48" t="str">
        <x:v>When a current cost index is available, the adjustment shall be recalculated accordingly.</x:v>
      </x:c>
      <x:c r="G950" s="48" t="str">
        <x:v>Obligation</x:v>
      </x:c>
      <x:c r="H950" s="48" t="str">
        <x:v>Shared</x:v>
      </x:c>
      <x:c r="I950" s="48" t="n">
        <x:v>0.88</x:v>
      </x:c>
      <x:c r="J950" s="48" t="n">
        <x:v>0.4</x:v>
      </x:c>
      <x:c r="K950" s="48" t="str">
        <x:v>Yes</x:v>
      </x:c>
      <x:c r="L950" s="48" t="str">
        <x:v>PDF text</x:v>
      </x:c>
    </x:row>
    <x:row r="951">
      <x:c r="A951" s="48" t="str">
        <x:v>UNI-0950</x:v>
      </x:c>
      <x:c r="B951" s="48" t="str">
        <x:v>RED</x:v>
      </x:c>
      <x:c r="C951" s="48" t="str">
        <x:v>English</x:v>
      </x:c>
      <x:c r="D951" s="48" t="n">
        <x:v>56</x:v>
      </x:c>
      <x:c r="E951" s="48" t="str"/>
      <x:c r="F951" s="48" t="str">
        <x:v>If the Contractor fails to complete the Works within the Time for Completion,</x:v>
      </x:c>
      <x:c r="G951" s="48" t="str">
        <x:v>Obligation</x:v>
      </x:c>
      <x:c r="H951" s="48" t="str">
        <x:v>Contractor</x:v>
      </x:c>
      <x:c r="I951" s="48" t="n">
        <x:v>0.45</x:v>
      </x:c>
      <x:c r="J951" s="48" t="n">
        <x:v>0.68</x:v>
      </x:c>
      <x:c r="K951" s="48" t="str">
        <x:v>Yes</x:v>
      </x:c>
      <x:c r="L951" s="48" t="str">
        <x:v>PDF text</x:v>
      </x:c>
    </x:row>
    <x:row r="952">
      <x:c r="A952" s="48" t="str">
        <x:v>UNI-0951</x:v>
      </x:c>
      <x:c r="B952" s="48" t="str">
        <x:v>RED</x:v>
      </x:c>
      <x:c r="C952" s="48" t="str">
        <x:v>English</x:v>
      </x:c>
      <x:c r="D952" s="48" t="n">
        <x:v>56</x:v>
      </x:c>
      <x:c r="E952" s="48" t="str"/>
      <x:c r="F952" s="48" t="str">
        <x:v>adjustment of prices thereafter shall be made using either (i) each index or price applicable on the date 49 days prior to the expiry of the Time for Completion of the Works, or (ii) the current index or price: whichever is more favourable to the Employer.</x:v>
      </x:c>
      <x:c r="G952" s="48" t="str">
        <x:v>Obligation</x:v>
      </x:c>
      <x:c r="H952" s="48" t="str">
        <x:v>Employer</x:v>
      </x:c>
      <x:c r="I952" s="48" t="n">
        <x:v>0.88</x:v>
      </x:c>
      <x:c r="J952" s="48" t="n">
        <x:v>0.68</x:v>
      </x:c>
      <x:c r="K952" s="48" t="str">
        <x:v>Yes</x:v>
      </x:c>
      <x:c r="L952" s="48" t="str">
        <x:v>PDF text</x:v>
      </x:c>
    </x:row>
    <x:row r="953">
      <x:c r="A953" s="48" t="str">
        <x:v>UNI-0952</x:v>
      </x:c>
      <x:c r="B953" s="48" t="str">
        <x:v>RED</x:v>
      </x:c>
      <x:c r="C953" s="48" t="str">
        <x:v>English</x:v>
      </x:c>
      <x:c r="D953" s="48" t="n">
        <x:v>56</x:v>
      </x:c>
      <x:c r="E953" s="48" t="str"/>
      <x:c r="F953" s="48" t="str">
        <x:v>The weightings (coefficients) for each of the factors of cost stated in the table(s) of adjustment data shall only be adjusted if they have been rendered unreasonable, unbalanced or inapplicable, as a result of Variations.</x:v>
      </x:c>
      <x:c r="G953" s="48" t="str">
        <x:v>Obligation</x:v>
      </x:c>
      <x:c r="H953" s="48" t="str">
        <x:v>Shared</x:v>
      </x:c>
      <x:c r="I953" s="48" t="n">
        <x:v>0.88</x:v>
      </x:c>
      <x:c r="J953" s="48" t="n">
        <x:v>0.4</x:v>
      </x:c>
      <x:c r="K953" s="48" t="str">
        <x:v>Yes</x:v>
      </x:c>
      <x:c r="L953" s="48" t="str">
        <x:v>PDF text</x:v>
      </x:c>
    </x:row>
    <x:row r="954">
      <x:c r="A954" s="48" t="str">
        <x:v>UNI-0953</x:v>
      </x:c>
      <x:c r="B954" s="48" t="str">
        <x:v>RED</x:v>
      </x:c>
      <x:c r="C954" s="48" t="str">
        <x:v>English</x:v>
      </x:c>
      <x:c r="D954" s="48" t="n">
        <x:v>56</x:v>
      </x:c>
      <x:c r="E954" s="48" t="str"/>
      <x:c r="F954" s="48" t="str">
        <x:v>Unless otherwise stated in the Particular Conditions: (a) the Contract Price shall be agreed or determined under Sub-Clause 12.3 [Evaluation] and be subject to adjustments in accordance with the Contract; (b) the Contractor shall pay all taxes, duties and fees required to be paid by him</x:v>
      </x:c>
      <x:c r="G954" s="48" t="str">
        <x:v>Obligation</x:v>
      </x:c>
      <x:c r="H954" s="48" t="str">
        <x:v>Contractor</x:v>
      </x:c>
      <x:c r="I954" s="48" t="n">
        <x:v>0.88</x:v>
      </x:c>
      <x:c r="J954" s="48" t="n">
        <x:v>0.92</x:v>
      </x:c>
      <x:c r="K954" s="48" t="str">
        <x:v>No</x:v>
      </x:c>
      <x:c r="L954" s="48" t="str">
        <x:v>PDF text</x:v>
      </x:c>
    </x:row>
    <x:row r="955">
      <x:c r="A955" s="48" t="str">
        <x:v>UNI-0954</x:v>
      </x:c>
      <x:c r="B955" s="48" t="str">
        <x:v>RED</x:v>
      </x:c>
      <x:c r="C955" s="48" t="str">
        <x:v>English</x:v>
      </x:c>
      <x:c r="D955" s="48" t="n">
        <x:v>56</x:v>
      </x:c>
      <x:c r="E955" s="48" t="str">
        <x:v>14.1</x:v>
      </x:c>
      <x:c r="F955" s="48" t="str">
        <x:v>14.1 The Contract Price14</x:v>
      </x:c>
      <x:c r="G955" s="48" t="str">
        <x:v>Heading</x:v>
      </x:c>
      <x:c r="H955" s="48" t="str"/>
      <x:c r="I955" s="48" t="n">
        <x:v>0.9</x:v>
      </x:c>
      <x:c r="J955" s="48" t="n">
        <x:v>0.99</x:v>
      </x:c>
      <x:c r="K955" s="48" t="str">
        <x:v>No</x:v>
      </x:c>
      <x:c r="L955" s="48" t="str">
        <x:v>PDF text</x:v>
      </x:c>
    </x:row>
    <x:row r="956">
      <x:c r="A956" s="48" t="str">
        <x:v>UNI-0955</x:v>
      </x:c>
      <x:c r="B956" s="48" t="str">
        <x:v>RED</x:v>
      </x:c>
      <x:c r="C956" s="48" t="str">
        <x:v>English</x:v>
      </x:c>
      <x:c r="D956" s="48" t="n">
        <x:v>56</x:v>
      </x:c>
      <x:c r="E956" s="48" t="str"/>
      <x:c r="F956" s="48" t="str">
        <x:v>Contract Price and Payment</x:v>
      </x:c>
      <x:c r="G956" s="48" t="str">
        <x:v>Obligation</x:v>
      </x:c>
      <x:c r="H956" s="48" t="str">
        <x:v>Shared</x:v>
      </x:c>
      <x:c r="I956" s="48" t="n">
        <x:v>0.55</x:v>
      </x:c>
      <x:c r="J956" s="48" t="n">
        <x:v>0.4</x:v>
      </x:c>
      <x:c r="K956" s="48" t="str">
        <x:v>Yes</x:v>
      </x:c>
      <x:c r="L956" s="48" t="str">
        <x:v>PDF text</x:v>
      </x:c>
    </x:row>
    <x:row r="957">
      <x:c r="A957" s="48" t="str">
        <x:v>UNI-0956</x:v>
      </x:c>
      <x:c r="B957" s="48" t="str">
        <x:v>RED</x:v>
      </x:c>
      <x:c r="C957" s="48" t="str">
        <x:v>English</x:v>
      </x:c>
      <x:c r="D957" s="48" t="n">
        <x:v>57</x:v>
      </x:c>
      <x:c r="E957" s="48" t="str"/>
      <x:c r="F957" s="48" t="str">
        <x:v>under the Contract, and the Contract Price shall not be adjusted for any of these costs except as stated in Sub-Clause 13.7 [Adjustments for Changes in Legislation]; (c) any quantities which may be set out in the Bill of Quantities or other Schedule are estimated quantities and are not to be taken as the actual and correct quantities: (i) of the Works which the Contractor is required to execute, or (ii) for the purposes of Clause 12 [Measurement and Evaluation]; and (d) the Contractor shall submit to the Engineer, within 28 days after the</x:v>
      </x:c>
      <x:c r="G957" s="48" t="str">
        <x:v>Obligation</x:v>
      </x:c>
      <x:c r="H957" s="48" t="str">
        <x:v>Contractor</x:v>
      </x:c>
      <x:c r="I957" s="48" t="n">
        <x:v>0.88</x:v>
      </x:c>
      <x:c r="J957" s="48" t="n">
        <x:v>0.92</x:v>
      </x:c>
      <x:c r="K957" s="48" t="str">
        <x:v>No</x:v>
      </x:c>
      <x:c r="L957" s="48" t="str">
        <x:v>PDF text</x:v>
      </x:c>
    </x:row>
    <x:row r="958">
      <x:c r="A958" s="48" t="str">
        <x:v>UNI-0957</x:v>
      </x:c>
      <x:c r="B958" s="48" t="str">
        <x:v>RED</x:v>
      </x:c>
      <x:c r="C958" s="48" t="str">
        <x:v>English</x:v>
      </x:c>
      <x:c r="D958" s="48" t="n">
        <x:v>57</x:v>
      </x:c>
      <x:c r="E958" s="48" t="str"/>
      <x:c r="F958" s="48" t="str">
        <x:v>Commencement Date, a proposed breakdown of each lump sum price in the</x:v>
      </x:c>
      <x:c r="G958" s="48" t="str">
        <x:v>Obligation</x:v>
      </x:c>
      <x:c r="H958" s="48" t="str">
        <x:v>Shared</x:v>
      </x:c>
      <x:c r="I958" s="48" t="n">
        <x:v>0.45</x:v>
      </x:c>
      <x:c r="J958" s="48" t="n">
        <x:v>0.4</x:v>
      </x:c>
      <x:c r="K958" s="48" t="str">
        <x:v>Yes</x:v>
      </x:c>
      <x:c r="L958" s="48" t="str">
        <x:v>PDF text</x:v>
      </x:c>
    </x:row>
    <x:row r="959">
      <x:c r="A959" s="48" t="str">
        <x:v>UNI-0958</x:v>
      </x:c>
      <x:c r="B959" s="48" t="str">
        <x:v>RED</x:v>
      </x:c>
      <x:c r="C959" s="48" t="str">
        <x:v>English</x:v>
      </x:c>
      <x:c r="D959" s="48" t="n">
        <x:v>57</x:v>
      </x:c>
      <x:c r="E959" s="48" t="str"/>
      <x:c r="F959" s="48" t="str">
        <x:v>Schedules.</x:v>
      </x:c>
      <x:c r="G959" s="48" t="str">
        <x:v>Obligation</x:v>
      </x:c>
      <x:c r="H959" s="48" t="str">
        <x:v>Shared</x:v>
      </x:c>
      <x:c r="I959" s="48" t="n">
        <x:v>0.45</x:v>
      </x:c>
      <x:c r="J959" s="48" t="n">
        <x:v>0.4</x:v>
      </x:c>
      <x:c r="K959" s="48" t="str">
        <x:v>Yes</x:v>
      </x:c>
      <x:c r="L959" s="48" t="str">
        <x:v>PDF text</x:v>
      </x:c>
    </x:row>
    <x:row r="960">
      <x:c r="A960" s="48" t="str">
        <x:v>UNI-0959</x:v>
      </x:c>
      <x:c r="B960" s="48" t="str">
        <x:v>RED</x:v>
      </x:c>
      <x:c r="C960" s="48" t="str">
        <x:v>English</x:v>
      </x:c>
      <x:c r="D960" s="48" t="n">
        <x:v>57</x:v>
      </x:c>
      <x:c r="E960" s="48" t="str"/>
      <x:c r="F960" s="48" t="str">
        <x:v>The Engineer may take account of the breakdown when preparing Payment Certificates, but shall not be bound by it.</x:v>
      </x:c>
      <x:c r="G960" s="48" t="str">
        <x:v>Obligation</x:v>
      </x:c>
      <x:c r="H960" s="48" t="str">
        <x:v>Shared</x:v>
      </x:c>
      <x:c r="I960" s="48" t="n">
        <x:v>0.88</x:v>
      </x:c>
      <x:c r="J960" s="48" t="n">
        <x:v>0.4</x:v>
      </x:c>
      <x:c r="K960" s="48" t="str">
        <x:v>Yes</x:v>
      </x:c>
      <x:c r="L960" s="48" t="str">
        <x:v>PDF text</x:v>
      </x:c>
    </x:row>
    <x:row r="961">
      <x:c r="A961" s="48" t="str">
        <x:v>UNI-0960</x:v>
      </x:c>
      <x:c r="B961" s="48" t="str">
        <x:v>RED</x:v>
      </x:c>
      <x:c r="C961" s="48" t="str">
        <x:v>English</x:v>
      </x:c>
      <x:c r="D961" s="48" t="n">
        <x:v>57</x:v>
      </x:c>
      <x:c r="E961" s="48" t="str"/>
      <x:c r="F961" s="48" t="str">
        <x:v>Notwithstanding the provisions of subparagraph (b), Contractor’s Equipment,</x:v>
      </x:c>
      <x:c r="G961" s="48" t="str">
        <x:v>Obligation</x:v>
      </x:c>
      <x:c r="H961" s="48" t="str">
        <x:v>Contractor</x:v>
      </x:c>
      <x:c r="I961" s="48" t="n">
        <x:v>0.45</x:v>
      </x:c>
      <x:c r="J961" s="48" t="n">
        <x:v>0.68</x:v>
      </x:c>
      <x:c r="K961" s="48" t="str">
        <x:v>Yes</x:v>
      </x:c>
      <x:c r="L961" s="48" t="str">
        <x:v>PDF text</x:v>
      </x:c>
    </x:row>
    <x:row r="962">
      <x:c r="A962" s="48" t="str">
        <x:v>UNI-0961</x:v>
      </x:c>
      <x:c r="B962" s="48" t="str">
        <x:v>RED</x:v>
      </x:c>
      <x:c r="C962" s="48" t="str">
        <x:v>English</x:v>
      </x:c>
      <x:c r="D962" s="48" t="n">
        <x:v>57</x:v>
      </x:c>
      <x:c r="E962" s="48" t="str"/>
      <x:c r="F962" s="48" t="str">
        <x:v>including essential spare parts therefor, imported by the Contractor for the sole purpose of executing the Contract shall be exempt from the payment of import duties and taxes upon importation.</x:v>
      </x:c>
      <x:c r="G962" s="48" t="str">
        <x:v>Obligation</x:v>
      </x:c>
      <x:c r="H962" s="48" t="str">
        <x:v>Contractor</x:v>
      </x:c>
      <x:c r="I962" s="48" t="n">
        <x:v>0.88</x:v>
      </x:c>
      <x:c r="J962" s="48" t="n">
        <x:v>0.68</x:v>
      </x:c>
      <x:c r="K962" s="48" t="str">
        <x:v>Yes</x:v>
      </x:c>
      <x:c r="L962" s="48" t="str">
        <x:v>PDF text</x:v>
      </x:c>
    </x:row>
    <x:row r="963">
      <x:c r="A963" s="48" t="str">
        <x:v>UNI-0962</x:v>
      </x:c>
      <x:c r="B963" s="48" t="str">
        <x:v>RED</x:v>
      </x:c>
      <x:c r="C963" s="48" t="str">
        <x:v>English</x:v>
      </x:c>
      <x:c r="D963" s="48" t="n">
        <x:v>57</x:v>
      </x:c>
      <x:c r="E963" s="48" t="str"/>
      <x:c r="F963" s="48" t="str">
        <x:v>The Employer shall make an advance payment, as an interest-free loan for</x:v>
      </x:c>
      <x:c r="G963" s="48" t="str">
        <x:v>Obligation</x:v>
      </x:c>
      <x:c r="H963" s="48" t="str">
        <x:v>Employer</x:v>
      </x:c>
      <x:c r="I963" s="48" t="n">
        <x:v>0.88</x:v>
      </x:c>
      <x:c r="J963" s="48" t="n">
        <x:v>0.92</x:v>
      </x:c>
      <x:c r="K963" s="48" t="str">
        <x:v>No</x:v>
      </x:c>
      <x:c r="L963" s="48" t="str">
        <x:v>PDF text</x:v>
      </x:c>
    </x:row>
    <x:row r="964">
      <x:c r="A964" s="48" t="str">
        <x:v>UNI-0963</x:v>
      </x:c>
      <x:c r="B964" s="48" t="str">
        <x:v>RED</x:v>
      </x:c>
      <x:c r="C964" s="48" t="str">
        <x:v>English</x:v>
      </x:c>
      <x:c r="D964" s="48" t="n">
        <x:v>57</x:v>
      </x:c>
      <x:c r="E964" s="48" t="str"/>
      <x:c r="F964" s="48" t="str">
        <x:v>mobilisation, when the Contractor submits a guarantee in accordance with this SubClause.</x:v>
      </x:c>
      <x:c r="G964" s="48" t="str">
        <x:v>Obligation</x:v>
      </x:c>
      <x:c r="H964" s="48" t="str">
        <x:v>Contractor</x:v>
      </x:c>
      <x:c r="I964" s="48" t="n">
        <x:v>0.45</x:v>
      </x:c>
      <x:c r="J964" s="48" t="n">
        <x:v>0.68</x:v>
      </x:c>
      <x:c r="K964" s="48" t="str">
        <x:v>Yes</x:v>
      </x:c>
      <x:c r="L964" s="48" t="str">
        <x:v>PDF text</x:v>
      </x:c>
    </x:row>
    <x:row r="965">
      <x:c r="A965" s="48" t="str">
        <x:v>UNI-0964</x:v>
      </x:c>
      <x:c r="B965" s="48" t="str">
        <x:v>RED</x:v>
      </x:c>
      <x:c r="C965" s="48" t="str">
        <x:v>English</x:v>
      </x:c>
      <x:c r="D965" s="48" t="n">
        <x:v>57</x:v>
      </x:c>
      <x:c r="E965" s="48" t="str"/>
      <x:c r="F965" s="48" t="str">
        <x:v>The total advance payment, the number and timing of instalments (if more than one), and the applicable currencies and proportions, shall be as stated in the Contract Data.</x:v>
      </x:c>
      <x:c r="G965" s="48" t="str">
        <x:v>Obligation</x:v>
      </x:c>
      <x:c r="H965" s="48" t="str">
        <x:v>Shared</x:v>
      </x:c>
      <x:c r="I965" s="48" t="n">
        <x:v>0.88</x:v>
      </x:c>
      <x:c r="J965" s="48" t="n">
        <x:v>0.4</x:v>
      </x:c>
      <x:c r="K965" s="48" t="str">
        <x:v>Yes</x:v>
      </x:c>
      <x:c r="L965" s="48" t="str">
        <x:v>PDF text</x:v>
      </x:c>
    </x:row>
    <x:row r="966">
      <x:c r="A966" s="48" t="str">
        <x:v>UNI-0965</x:v>
      </x:c>
      <x:c r="B966" s="48" t="str">
        <x:v>RED</x:v>
      </x:c>
      <x:c r="C966" s="48" t="str">
        <x:v>English</x:v>
      </x:c>
      <x:c r="D966" s="48" t="n">
        <x:v>57</x:v>
      </x:c>
      <x:c r="E966" s="48" t="str"/>
      <x:c r="F966" s="48" t="str">
        <x:v>Unless and until the Employer receives this guarantee, or if the total advance payment is not stated in the Contract Data, this Sub-Clause shall not apply.</x:v>
      </x:c>
      <x:c r="G966" s="48" t="str">
        <x:v>Obligation</x:v>
      </x:c>
      <x:c r="H966" s="48" t="str">
        <x:v>Employer</x:v>
      </x:c>
      <x:c r="I966" s="48" t="n">
        <x:v>0.88</x:v>
      </x:c>
      <x:c r="J966" s="48" t="n">
        <x:v>0.68</x:v>
      </x:c>
      <x:c r="K966" s="48" t="str">
        <x:v>Yes</x:v>
      </x:c>
      <x:c r="L966" s="48" t="str">
        <x:v>PDF text</x:v>
      </x:c>
    </x:row>
    <x:row r="967">
      <x:c r="A967" s="48" t="str">
        <x:v>UNI-0966</x:v>
      </x:c>
      <x:c r="B967" s="48" t="str">
        <x:v>RED</x:v>
      </x:c>
      <x:c r="C967" s="48" t="str">
        <x:v>English</x:v>
      </x:c>
      <x:c r="D967" s="48" t="n">
        <x:v>57</x:v>
      </x:c>
      <x:c r="E967" s="48" t="str"/>
      <x:c r="F967" s="48" t="str">
        <x:v>The Engineer shall issue an Interim Payment Certificate for the first instalment after receiving a Statement (under Sub-Clause 14.3 [Application for Interim Payment Certificates]) and after the Employer receives (i) the Performance Security in accordance with Sub-Clause 4.2 [Performance Security] and (ii) a guarantee in amounts and currencies equal to the advance payment.</x:v>
      </x:c>
      <x:c r="G967" s="48" t="str">
        <x:v>Obligation</x:v>
      </x:c>
      <x:c r="H967" s="48" t="str">
        <x:v>Employer</x:v>
      </x:c>
      <x:c r="I967" s="48" t="n">
        <x:v>0.88</x:v>
      </x:c>
      <x:c r="J967" s="48" t="n">
        <x:v>0.68</x:v>
      </x:c>
      <x:c r="K967" s="48" t="str">
        <x:v>Yes</x:v>
      </x:c>
      <x:c r="L967" s="48" t="str">
        <x:v>PDF text</x:v>
      </x:c>
    </x:row>
    <x:row r="968">
      <x:c r="A968" s="48" t="str">
        <x:v>UNI-0967</x:v>
      </x:c>
      <x:c r="B968" s="48" t="str">
        <x:v>RED</x:v>
      </x:c>
      <x:c r="C968" s="48" t="str">
        <x:v>English</x:v>
      </x:c>
      <x:c r="D968" s="48" t="n">
        <x:v>57</x:v>
      </x:c>
      <x:c r="E968" s="48" t="str"/>
      <x:c r="F968" s="48" t="str">
        <x:v>This guarantee shall be issued by an entity and from within a country (or other jurisdiction) approved by the Employer, and shall be in the form annexed to the Particular Conditions or in another form approved by the Employer.</x:v>
      </x:c>
      <x:c r="G968" s="48" t="str">
        <x:v>Obligation</x:v>
      </x:c>
      <x:c r="H968" s="48" t="str">
        <x:v>Employer</x:v>
      </x:c>
      <x:c r="I968" s="48" t="n">
        <x:v>0.88</x:v>
      </x:c>
      <x:c r="J968" s="48" t="n">
        <x:v>0.68</x:v>
      </x:c>
      <x:c r="K968" s="48" t="str">
        <x:v>Yes</x:v>
      </x:c>
      <x:c r="L968" s="48" t="str">
        <x:v>PDF text</x:v>
      </x:c>
    </x:row>
    <x:row r="969">
      <x:c r="A969" s="48" t="str">
        <x:v>UNI-0968</x:v>
      </x:c>
      <x:c r="B969" s="48" t="str">
        <x:v>RED</x:v>
      </x:c>
      <x:c r="C969" s="48" t="str">
        <x:v>English</x:v>
      </x:c>
      <x:c r="D969" s="48" t="n">
        <x:v>57</x:v>
      </x:c>
      <x:c r="E969" s="48" t="str"/>
      <x:c r="F969" s="48" t="str">
        <x:v>The Contractor shall ensure that the guarantee is valid and enforceable until the</x:v>
      </x:c>
      <x:c r="G969" s="48" t="str">
        <x:v>Obligation</x:v>
      </x:c>
      <x:c r="H969" s="48" t="str">
        <x:v>Contractor</x:v>
      </x:c>
      <x:c r="I969" s="48" t="n">
        <x:v>0.88</x:v>
      </x:c>
      <x:c r="J969" s="48" t="n">
        <x:v>0.92</x:v>
      </x:c>
      <x:c r="K969" s="48" t="str">
        <x:v>No</x:v>
      </x:c>
      <x:c r="L969" s="48" t="str">
        <x:v>PDF text</x:v>
      </x:c>
    </x:row>
    <x:row r="970">
      <x:c r="A970" s="48" t="str">
        <x:v>UNI-0969</x:v>
      </x:c>
      <x:c r="B970" s="48" t="str">
        <x:v>RED</x:v>
      </x:c>
      <x:c r="C970" s="48" t="str">
        <x:v>English</x:v>
      </x:c>
      <x:c r="D970" s="48" t="n">
        <x:v>57</x:v>
      </x:c>
      <x:c r="E970" s="48" t="str"/>
      <x:c r="F970" s="48" t="str">
        <x:v>advance payment has been repaid, but its amount may be progressively reduced by the amount repaid by the Contractor as indicated in the Payment Certificates.</x:v>
      </x:c>
      <x:c r="G970" s="48" t="str">
        <x:v>Right</x:v>
      </x:c>
      <x:c r="H970" s="48" t="str">
        <x:v>Contractor</x:v>
      </x:c>
      <x:c r="I970" s="48" t="n">
        <x:v>0.78</x:v>
      </x:c>
      <x:c r="J970" s="48" t="n">
        <x:v>0.68</x:v>
      </x:c>
      <x:c r="K970" s="48" t="str">
        <x:v>Yes</x:v>
      </x:c>
      <x:c r="L970" s="48" t="str">
        <x:v>PDF text</x:v>
      </x:c>
    </x:row>
    <x:row r="971">
      <x:c r="A971" s="48" t="str">
        <x:v>UNI-0970</x:v>
      </x:c>
      <x:c r="B971" s="48" t="str">
        <x:v>RED</x:v>
      </x:c>
      <x:c r="C971" s="48" t="str">
        <x:v>English</x:v>
      </x:c>
      <x:c r="D971" s="48" t="n">
        <x:v>57</x:v>
      </x:c>
      <x:c r="E971" s="48" t="str"/>
      <x:c r="F971" s="48" t="str">
        <x:v>If the terms of the guarantee specify its expiry date, and the advance payment has not been repaid by the date 28 days prior to the expiry date, the Contractor shall extend the validity of the guarantee until the advance payment has been repaid.</x:v>
      </x:c>
      <x:c r="G971" s="48" t="str">
        <x:v>Obligation</x:v>
      </x:c>
      <x:c r="H971" s="48" t="str">
        <x:v>Contractor</x:v>
      </x:c>
      <x:c r="I971" s="48" t="n">
        <x:v>0.88</x:v>
      </x:c>
      <x:c r="J971" s="48" t="n">
        <x:v>0.92</x:v>
      </x:c>
      <x:c r="K971" s="48" t="str">
        <x:v>No</x:v>
      </x:c>
      <x:c r="L971" s="48" t="str">
        <x:v>PDF text</x:v>
      </x:c>
    </x:row>
    <x:row r="972">
      <x:c r="A972" s="48" t="str">
        <x:v>UNI-0971</x:v>
      </x:c>
      <x:c r="B972" s="48" t="str">
        <x:v>RED</x:v>
      </x:c>
      <x:c r="C972" s="48" t="str">
        <x:v>English</x:v>
      </x:c>
      <x:c r="D972" s="48" t="n">
        <x:v>57</x:v>
      </x:c>
      <x:c r="E972" s="48" t="str"/>
      <x:c r="F972" s="48" t="str">
        <x:v>Unless stated otherwise in the Contract Data, the advance payment shall be repaid</x:v>
      </x:c>
      <x:c r="G972" s="48" t="str">
        <x:v>Obligation</x:v>
      </x:c>
      <x:c r="H972" s="48" t="str">
        <x:v>Shared</x:v>
      </x:c>
      <x:c r="I972" s="48" t="n">
        <x:v>0.88</x:v>
      </x:c>
      <x:c r="J972" s="48" t="n">
        <x:v>0.4</x:v>
      </x:c>
      <x:c r="K972" s="48" t="str">
        <x:v>Yes</x:v>
      </x:c>
      <x:c r="L972" s="48" t="str">
        <x:v>PDF text</x:v>
      </x:c>
    </x:row>
    <x:row r="973">
      <x:c r="A973" s="48" t="str">
        <x:v>UNI-0972</x:v>
      </x:c>
      <x:c r="B973" s="48" t="str">
        <x:v>RED</x:v>
      </x:c>
      <x:c r="C973" s="48" t="str">
        <x:v>English</x:v>
      </x:c>
      <x:c r="D973" s="48" t="n">
        <x:v>57</x:v>
      </x:c>
      <x:c r="E973" s="48" t="str"/>
      <x:c r="F973" s="48" t="str">
        <x:v>through percentage deductions from the interim payments determined by the Engineer in accordance with Sub-Clause 14.6 [Issue of Interim Payment Certificates], as follows: (a) deductions shall commence in the next interim Payment Certificate following that in which the total of all certified interim payments (excluding the advance payment and deductions and repayments of retention) exceeds 30 percent of the Accepted Contract Amount less Provisional Sums; and (b) deductions shall be made at the amortisation rate stated in the Contract Data of the amount of each Interim Payment Certificate (excluding the advance payment and deductions and repayments of retention) in the currencies and 14.2</x:v>
      </x:c>
      <x:c r="G973" s="48" t="str">
        <x:v>Obligation</x:v>
      </x:c>
      <x:c r="H973" s="48" t="str">
        <x:v>Shared</x:v>
      </x:c>
      <x:c r="I973" s="48" t="n">
        <x:v>0.88</x:v>
      </x:c>
      <x:c r="J973" s="48" t="n">
        <x:v>0.4</x:v>
      </x:c>
      <x:c r="K973" s="48" t="str">
        <x:v>Yes</x:v>
      </x:c>
      <x:c r="L973" s="48" t="str">
        <x:v>PDF text</x:v>
      </x:c>
    </x:row>
    <x:row r="974">
      <x:c r="A974" s="48" t="str">
        <x:v>UNI-0973</x:v>
      </x:c>
      <x:c r="B974" s="48" t="str">
        <x:v>RED</x:v>
      </x:c>
      <x:c r="C974" s="48" t="str">
        <x:v>English</x:v>
      </x:c>
      <x:c r="D974" s="48" t="n">
        <x:v>57</x:v>
      </x:c>
      <x:c r="E974" s="48" t="str"/>
      <x:c r="F974" s="48" t="str">
        <x:v>Advance Payment</x:v>
      </x:c>
      <x:c r="G974" s="48" t="str">
        <x:v>Obligation</x:v>
      </x:c>
      <x:c r="H974" s="48" t="str">
        <x:v>Shared</x:v>
      </x:c>
      <x:c r="I974" s="48" t="n">
        <x:v>0.55</x:v>
      </x:c>
      <x:c r="J974" s="48" t="n">
        <x:v>0.4</x:v>
      </x:c>
      <x:c r="K974" s="48" t="str">
        <x:v>Yes</x:v>
      </x:c>
      <x:c r="L974" s="48" t="str">
        <x:v>PDF text</x:v>
      </x:c>
    </x:row>
    <x:row r="975">
      <x:c r="A975" s="48" t="str">
        <x:v>UNI-0974</x:v>
      </x:c>
      <x:c r="B975" s="48" t="str">
        <x:v>RED</x:v>
      </x:c>
      <x:c r="C975" s="48" t="str">
        <x:v>English</x:v>
      </x:c>
      <x:c r="D975" s="48" t="n">
        <x:v>58</x:v>
      </x:c>
      <x:c r="E975" s="48" t="str"/>
      <x:c r="F975" s="48" t="str">
        <x:v>proportions of the advance payment until such time as the advance payment has been repaid; provided that the advance payment shall be completely repaid prior to the time when 80 percent of the Accepted Contract Amount less Provisional Sums has been certified for payment.</x:v>
      </x:c>
      <x:c r="G975" s="48" t="str">
        <x:v>Obligation</x:v>
      </x:c>
      <x:c r="H975" s="48" t="str">
        <x:v>Shared</x:v>
      </x:c>
      <x:c r="I975" s="48" t="n">
        <x:v>0.88</x:v>
      </x:c>
      <x:c r="J975" s="48" t="n">
        <x:v>0.4</x:v>
      </x:c>
      <x:c r="K975" s="48" t="str">
        <x:v>Yes</x:v>
      </x:c>
      <x:c r="L975" s="48" t="str">
        <x:v>PDF text</x:v>
      </x:c>
    </x:row>
    <x:row r="976">
      <x:c r="A976" s="48" t="str">
        <x:v>UNI-0975</x:v>
      </x:c>
      <x:c r="B976" s="48" t="str">
        <x:v>RED</x:v>
      </x:c>
      <x:c r="C976" s="48" t="str">
        <x:v>English</x:v>
      </x:c>
      <x:c r="D976" s="48" t="n">
        <x:v>58</x:v>
      </x:c>
      <x:c r="E976" s="48" t="str"/>
      <x:c r="F976" s="48" t="str">
        <x:v>If the advance payment has not been repaid prior to the issue of the Taking-Over</x:v>
      </x:c>
      <x:c r="G976" s="48" t="str">
        <x:v>Obligation</x:v>
      </x:c>
      <x:c r="H976" s="48" t="str">
        <x:v>Shared</x:v>
      </x:c>
      <x:c r="I976" s="48" t="n">
        <x:v>0.55</x:v>
      </x:c>
      <x:c r="J976" s="48" t="n">
        <x:v>0.4</x:v>
      </x:c>
      <x:c r="K976" s="48" t="str">
        <x:v>Yes</x:v>
      </x:c>
      <x:c r="L976" s="48" t="str">
        <x:v>PDF text</x:v>
      </x:c>
    </x:row>
    <x:row r="977">
      <x:c r="A977" s="48" t="str">
        <x:v>UNI-0976</x:v>
      </x:c>
      <x:c r="B977" s="48" t="str">
        <x:v>RED</x:v>
      </x:c>
      <x:c r="C977" s="48" t="str">
        <x:v>English</x:v>
      </x:c>
      <x:c r="D977" s="48" t="n">
        <x:v>58</x:v>
      </x:c>
      <x:c r="E977" s="48" t="str"/>
      <x:c r="F977" s="48" t="str">
        <x:v>Certificate for the Works or prior to termination under Clause 15 [Termination by Employer], Clause 16 [Suspension and Termination by Contractor] or Clause 19 [Force Majeure] (as the case may be), the whole of the balance then outstanding shall immediately become due and payable by the Contractor to the Employer.</x:v>
      </x:c>
      <x:c r="G977" s="48" t="str">
        <x:v>Obligation</x:v>
      </x:c>
      <x:c r="H977" s="48" t="str">
        <x:v>Shared</x:v>
      </x:c>
      <x:c r="I977" s="48" t="n">
        <x:v>0.88</x:v>
      </x:c>
      <x:c r="J977" s="48" t="n">
        <x:v>0.6</x:v>
      </x:c>
      <x:c r="K977" s="48" t="str">
        <x:v>Yes</x:v>
      </x:c>
      <x:c r="L977" s="48" t="str">
        <x:v>PDF text</x:v>
      </x:c>
    </x:row>
    <x:row r="978">
      <x:c r="A978" s="48" t="str">
        <x:v>UNI-0977</x:v>
      </x:c>
      <x:c r="B978" s="48" t="str">
        <x:v>RED</x:v>
      </x:c>
      <x:c r="C978" s="48" t="str">
        <x:v>English</x:v>
      </x:c>
      <x:c r="D978" s="48" t="n">
        <x:v>58</x:v>
      </x:c>
      <x:c r="E978" s="48" t="str"/>
      <x:c r="F978" s="48" t="str">
        <x:v>The Contractor shall submit a Statement in six copies to the Engineer after the end of each month, in a form approved by the Engineer, showing in detail the amounts to which the Contractor considers himself to be entitled, together with supporting documents which shall include the report on the progress during this month in accordance with Sub-Clause 4.21 [Progress Reports].</x:v>
      </x:c>
      <x:c r="G978" s="48" t="str">
        <x:v>Obligation</x:v>
      </x:c>
      <x:c r="H978" s="48" t="str">
        <x:v>Contractor</x:v>
      </x:c>
      <x:c r="I978" s="48" t="n">
        <x:v>0.88</x:v>
      </x:c>
      <x:c r="J978" s="48" t="n">
        <x:v>0.92</x:v>
      </x:c>
      <x:c r="K978" s="48" t="str">
        <x:v>No</x:v>
      </x:c>
      <x:c r="L978" s="48" t="str">
        <x:v>PDF text</x:v>
      </x:c>
    </x:row>
    <x:row r="979">
      <x:c r="A979" s="48" t="str">
        <x:v>UNI-0978</x:v>
      </x:c>
      <x:c r="B979" s="48" t="str">
        <x:v>RED</x:v>
      </x:c>
      <x:c r="C979" s="48" t="str">
        <x:v>English</x:v>
      </x:c>
      <x:c r="D979" s="48" t="n">
        <x:v>58</x:v>
      </x:c>
      <x:c r="E979" s="48" t="str"/>
      <x:c r="F979" s="48" t="str">
        <x:v>The Statement shall include the following items, as applicable, which shall be</x:v>
      </x:c>
      <x:c r="G979" s="48" t="str">
        <x:v>Obligation</x:v>
      </x:c>
      <x:c r="H979" s="48" t="str">
        <x:v>Shared</x:v>
      </x:c>
      <x:c r="I979" s="48" t="n">
        <x:v>0.88</x:v>
      </x:c>
      <x:c r="J979" s="48" t="n">
        <x:v>0.4</x:v>
      </x:c>
      <x:c r="K979" s="48" t="str">
        <x:v>Yes</x:v>
      </x:c>
      <x:c r="L979" s="48" t="str">
        <x:v>PDF text</x:v>
      </x:c>
    </x:row>
    <x:row r="980">
      <x:c r="A980" s="48" t="str">
        <x:v>UNI-0979</x:v>
      </x:c>
      <x:c r="B980" s="48" t="str">
        <x:v>RED</x:v>
      </x:c>
      <x:c r="C980" s="48" t="str">
        <x:v>English</x:v>
      </x:c>
      <x:c r="D980" s="48" t="n">
        <x:v>58</x:v>
      </x:c>
      <x:c r="E980" s="48" t="str"/>
      <x:c r="F980" s="48" t="str">
        <x:v>expressed in the various currencies in which the Contract Price is payable, in the sequence listed: (a) the estimated contract value of the Works executed and the Contractor’s</x:v>
      </x:c>
      <x:c r="G980" s="48" t="str">
        <x:v>Obligation</x:v>
      </x:c>
      <x:c r="H980" s="48" t="str">
        <x:v>Contractor</x:v>
      </x:c>
      <x:c r="I980" s="48" t="n">
        <x:v>0.45</x:v>
      </x:c>
      <x:c r="J980" s="48" t="n">
        <x:v>0.68</x:v>
      </x:c>
      <x:c r="K980" s="48" t="str">
        <x:v>Yes</x:v>
      </x:c>
      <x:c r="L980" s="48" t="str">
        <x:v>PDF text</x:v>
      </x:c>
    </x:row>
    <x:row r="981">
      <x:c r="A981" s="48" t="str">
        <x:v>UNI-0980</x:v>
      </x:c>
      <x:c r="B981" s="48" t="str">
        <x:v>RED</x:v>
      </x:c>
      <x:c r="C981" s="48" t="str">
        <x:v>English</x:v>
      </x:c>
      <x:c r="D981" s="48" t="n">
        <x:v>58</x:v>
      </x:c>
      <x:c r="E981" s="48" t="str"/>
      <x:c r="F981" s="48" t="str">
        <x:v>Documents produced up to the end of the month (including Variations but</x:v>
      </x:c>
      <x:c r="G981" s="48" t="str">
        <x:v>Obligation</x:v>
      </x:c>
      <x:c r="H981" s="48" t="str">
        <x:v>Shared</x:v>
      </x:c>
      <x:c r="I981" s="48" t="n">
        <x:v>0.45</x:v>
      </x:c>
      <x:c r="J981" s="48" t="n">
        <x:v>0.4</x:v>
      </x:c>
      <x:c r="K981" s="48" t="str">
        <x:v>Yes</x:v>
      </x:c>
      <x:c r="L981" s="48" t="str">
        <x:v>PDF text</x:v>
      </x:c>
    </x:row>
    <x:row r="982">
      <x:c r="A982" s="48" t="str">
        <x:v>UNI-0981</x:v>
      </x:c>
      <x:c r="B982" s="48" t="str">
        <x:v>RED</x:v>
      </x:c>
      <x:c r="C982" s="48" t="str">
        <x:v>English</x:v>
      </x:c>
      <x:c r="D982" s="48" t="n">
        <x:v>58</x:v>
      </x:c>
      <x:c r="E982" s="48" t="str"/>
      <x:c r="F982" s="48" t="str">
        <x:v>excluding items described in sub-paragraphs (b) to (g) below); (b) any amounts to be added and deducted for changes in legislation and changes in cost, in accordance with Sub-Clause 13.7 [Adjustments for Changes in Legislation] and Sub-Clause 13.8 [Adjustments for Changes in Cost]; (c) any amount to be deducted for retention, calculated by applying the percentage of retention stated in the Contract Data to the total of the above amounts, until the amount so retained by the Employer reaches the limit of Retention Money (if any) stated in the Contract Data; (d) any amounts to be added and deducted for the advance payment and repayments in accordance with Sub-Clause 14.2 [Advance Payment]; (e) any amounts to be added and deducted for Plant and Materials in accordance with Sub-Clause 14.5 [Plant and Materials intended for the Works]; (f) any other additions or deductions which may have become due under the Contract or otherwise, including those under Clause 20 [Claims, Disputes and Arbitration]; and (g) the deduction of amounts certified in all previous Payment Certificates.</x:v>
      </x:c>
      <x:c r="G982" s="48" t="str">
        <x:v>Right</x:v>
      </x:c>
      <x:c r="H982" s="48" t="str">
        <x:v>Employer</x:v>
      </x:c>
      <x:c r="I982" s="48" t="n">
        <x:v>0.78</x:v>
      </x:c>
      <x:c r="J982" s="48" t="n">
        <x:v>0.68</x:v>
      </x:c>
      <x:c r="K982" s="48" t="str">
        <x:v>Yes</x:v>
      </x:c>
      <x:c r="L982" s="48" t="str">
        <x:v>PDF text</x:v>
      </x:c>
    </x:row>
    <x:row r="983">
      <x:c r="A983" s="48" t="str">
        <x:v>UNI-0982</x:v>
      </x:c>
      <x:c r="B983" s="48" t="str">
        <x:v>RED</x:v>
      </x:c>
      <x:c r="C983" s="48" t="str">
        <x:v>English</x:v>
      </x:c>
      <x:c r="D983" s="48" t="n">
        <x:v>58</x:v>
      </x:c>
      <x:c r="E983" s="48" t="str"/>
      <x:c r="F983" s="48" t="str">
        <x:v>If the Contract includes a schedule of payments specifying the instalments in which the Contract Price will be paid, then unless otherwise stated in this schedule: (a) the instalments quoted in this schedule of payments shall be the estimated contract values for the purposes of sub-paragraph (a) of Sub-Clause 14.3 [Application for Interim Payment Certificates]; (b) Sub-Clause 14.5 [Plant and Materials intended for the Works] shall not apply; and (c) if these instalments are not defined by reference to the actual progress achieved in executing the Works, and if actual progress is found to be less than that on which this schedule of payments was based, then the Engineer may proceed in accordance with Sub-Clause 3.5 [Determinations] to agree or determine revised instalments, which shall take account of the extent to which progress is less than that on which the instalments were previously based.</x:v>
      </x:c>
      <x:c r="G983" s="48" t="str">
        <x:v>Obligation</x:v>
      </x:c>
      <x:c r="H983" s="48" t="str">
        <x:v>Shared</x:v>
      </x:c>
      <x:c r="I983" s="48" t="n">
        <x:v>0.88</x:v>
      </x:c>
      <x:c r="J983" s="48" t="n">
        <x:v>0.4</x:v>
      </x:c>
      <x:c r="K983" s="48" t="str">
        <x:v>Yes</x:v>
      </x:c>
      <x:c r="L983" s="48" t="str">
        <x:v>PDF text</x:v>
      </x:c>
    </x:row>
    <x:row r="984">
      <x:c r="A984" s="48" t="str">
        <x:v>UNI-0983</x:v>
      </x:c>
      <x:c r="B984" s="48" t="str">
        <x:v>RED</x:v>
      </x:c>
      <x:c r="C984" s="48" t="str">
        <x:v>English</x:v>
      </x:c>
      <x:c r="D984" s="48" t="n">
        <x:v>58</x:v>
      </x:c>
      <x:c r="E984" s="48" t="str"/>
      <x:c r="F984" s="48" t="str">
        <x:v>Application for Interim</x:v>
      </x:c>
      <x:c r="G984" s="48" t="str">
        <x:v>Obligation</x:v>
      </x:c>
      <x:c r="H984" s="48" t="str">
        <x:v>Shared</x:v>
      </x:c>
      <x:c r="I984" s="48" t="n">
        <x:v>0.45</x:v>
      </x:c>
      <x:c r="J984" s="48" t="n">
        <x:v>0.4</x:v>
      </x:c>
      <x:c r="K984" s="48" t="str">
        <x:v>Yes</x:v>
      </x:c>
      <x:c r="L984" s="48" t="str">
        <x:v>PDF text</x:v>
      </x:c>
    </x:row>
    <x:row r="985">
      <x:c r="A985" s="48" t="str">
        <x:v>UNI-0984</x:v>
      </x:c>
      <x:c r="B985" s="48" t="str">
        <x:v>RED</x:v>
      </x:c>
      <x:c r="C985" s="48" t="str">
        <x:v>English</x:v>
      </x:c>
      <x:c r="D985" s="48" t="n">
        <x:v>58</x:v>
      </x:c>
      <x:c r="E985" s="48" t="str"/>
      <x:c r="F985" s="48" t="str">
        <x:v>Payment Certificates</x:v>
      </x:c>
      <x:c r="G985" s="48" t="str">
        <x:v>Obligation</x:v>
      </x:c>
      <x:c r="H985" s="48" t="str">
        <x:v>Shared</x:v>
      </x:c>
      <x:c r="I985" s="48" t="n">
        <x:v>0.55</x:v>
      </x:c>
      <x:c r="J985" s="48" t="n">
        <x:v>0.4</x:v>
      </x:c>
      <x:c r="K985" s="48" t="str">
        <x:v>Yes</x:v>
      </x:c>
      <x:c r="L985" s="48" t="str">
        <x:v>PDF text</x:v>
      </x:c>
    </x:row>
    <x:row r="986">
      <x:c r="A986" s="48" t="str">
        <x:v>UNI-0985</x:v>
      </x:c>
      <x:c r="B986" s="48" t="str">
        <x:v>RED</x:v>
      </x:c>
      <x:c r="C986" s="48" t="str">
        <x:v>English</x:v>
      </x:c>
      <x:c r="D986" s="48" t="n">
        <x:v>58</x:v>
      </x:c>
      <x:c r="E986" s="48" t="str"/>
      <x:c r="F986" s="48" t="str">
        <x:v>Schedule of Payments</x:v>
      </x:c>
      <x:c r="G986" s="48" t="str">
        <x:v>Obligation</x:v>
      </x:c>
      <x:c r="H986" s="48" t="str">
        <x:v>Shared</x:v>
      </x:c>
      <x:c r="I986" s="48" t="n">
        <x:v>0.45</x:v>
      </x:c>
      <x:c r="J986" s="48" t="n">
        <x:v>0.4</x:v>
      </x:c>
      <x:c r="K986" s="48" t="str">
        <x:v>Yes</x:v>
      </x:c>
      <x:c r="L986" s="48" t="str">
        <x:v>PDF text</x:v>
      </x:c>
    </x:row>
    <x:row r="987">
      <x:c r="A987" s="48" t="str">
        <x:v>UNI-0986</x:v>
      </x:c>
      <x:c r="B987" s="48" t="str">
        <x:v>RED</x:v>
      </x:c>
      <x:c r="C987" s="48" t="str">
        <x:v>English</x:v>
      </x:c>
      <x:c r="D987" s="48" t="n">
        <x:v>59</x:v>
      </x:c>
      <x:c r="E987" s="48" t="str"/>
      <x:c r="F987" s="48" t="str">
        <x:v>If the Contract does not include a schedule of payments, the Contractor shall submit non-binding estimates of the payments which he expects to become due during each quarterly period.</x:v>
      </x:c>
      <x:c r="G987" s="48" t="str">
        <x:v>Obligation</x:v>
      </x:c>
      <x:c r="H987" s="48" t="str">
        <x:v>Contractor</x:v>
      </x:c>
      <x:c r="I987" s="48" t="n">
        <x:v>0.88</x:v>
      </x:c>
      <x:c r="J987" s="48" t="n">
        <x:v>0.92</x:v>
      </x:c>
      <x:c r="K987" s="48" t="str">
        <x:v>No</x:v>
      </x:c>
      <x:c r="L987" s="48" t="str">
        <x:v>PDF text</x:v>
      </x:c>
    </x:row>
    <x:row r="988">
      <x:c r="A988" s="48" t="str">
        <x:v>UNI-0987</x:v>
      </x:c>
      <x:c r="B988" s="48" t="str">
        <x:v>RED</x:v>
      </x:c>
      <x:c r="C988" s="48" t="str">
        <x:v>English</x:v>
      </x:c>
      <x:c r="D988" s="48" t="n">
        <x:v>59</x:v>
      </x:c>
      <x:c r="E988" s="48" t="str"/>
      <x:c r="F988" s="48" t="str">
        <x:v>The first estimate shall be submitted within 42 days after the Commencement Date.</x:v>
      </x:c>
      <x:c r="G988" s="48" t="str">
        <x:v>Obligation</x:v>
      </x:c>
      <x:c r="H988" s="48" t="str">
        <x:v>Shared</x:v>
      </x:c>
      <x:c r="I988" s="48" t="n">
        <x:v>0.88</x:v>
      </x:c>
      <x:c r="J988" s="48" t="n">
        <x:v>0.4</x:v>
      </x:c>
      <x:c r="K988" s="48" t="str">
        <x:v>Yes</x:v>
      </x:c>
      <x:c r="L988" s="48" t="str">
        <x:v>PDF text</x:v>
      </x:c>
    </x:row>
    <x:row r="989">
      <x:c r="A989" s="48" t="str">
        <x:v>UNI-0988</x:v>
      </x:c>
      <x:c r="B989" s="48" t="str">
        <x:v>RED</x:v>
      </x:c>
      <x:c r="C989" s="48" t="str">
        <x:v>English</x:v>
      </x:c>
      <x:c r="D989" s="48" t="n">
        <x:v>59</x:v>
      </x:c>
      <x:c r="E989" s="48" t="str"/>
      <x:c r="F989" s="48" t="str">
        <x:v>Revised estimates shall be submitted at quarterly intervals, until the Taking-Over Certificate has been issued for the Works.</x:v>
      </x:c>
      <x:c r="G989" s="48" t="str">
        <x:v>Obligation</x:v>
      </x:c>
      <x:c r="H989" s="48" t="str">
        <x:v>Shared</x:v>
      </x:c>
      <x:c r="I989" s="48" t="n">
        <x:v>0.88</x:v>
      </x:c>
      <x:c r="J989" s="48" t="n">
        <x:v>0.4</x:v>
      </x:c>
      <x:c r="K989" s="48" t="str">
        <x:v>Yes</x:v>
      </x:c>
      <x:c r="L989" s="48" t="str">
        <x:v>PDF text</x:v>
      </x:c>
    </x:row>
    <x:row r="990">
      <x:c r="A990" s="48" t="str">
        <x:v>UNI-0989</x:v>
      </x:c>
      <x:c r="B990" s="48" t="str">
        <x:v>RED</x:v>
      </x:c>
      <x:c r="C990" s="48" t="str">
        <x:v>English</x:v>
      </x:c>
      <x:c r="D990" s="48" t="n">
        <x:v>59</x:v>
      </x:c>
      <x:c r="E990" s="48" t="str"/>
      <x:c r="F990" s="48" t="str">
        <x:v>If this Sub-Clause applies, Interim Payment Certificates shall include, under subparagraph (e) of Sub-Clause 14.3, (i) an amount for Plant and Materials which have been sent to the Site for incorporation in the Permanent Works, and (ii) a reduction when the contract value of such Plant and Materials is included as part of the Permanent Works under sub-paragraph (a) of Sub-Clause 14.3 [Application for Interim Payment Certificates].</x:v>
      </x:c>
      <x:c r="G990" s="48" t="str">
        <x:v>Obligation</x:v>
      </x:c>
      <x:c r="H990" s="48" t="str">
        <x:v>Shared</x:v>
      </x:c>
      <x:c r="I990" s="48" t="n">
        <x:v>0.88</x:v>
      </x:c>
      <x:c r="J990" s="48" t="n">
        <x:v>0.4</x:v>
      </x:c>
      <x:c r="K990" s="48" t="str">
        <x:v>Yes</x:v>
      </x:c>
      <x:c r="L990" s="48" t="str">
        <x:v>PDF text</x:v>
      </x:c>
    </x:row>
    <x:row r="991">
      <x:c r="A991" s="48" t="str">
        <x:v>UNI-0990</x:v>
      </x:c>
      <x:c r="B991" s="48" t="str">
        <x:v>RED</x:v>
      </x:c>
      <x:c r="C991" s="48" t="str">
        <x:v>English</x:v>
      </x:c>
      <x:c r="D991" s="48" t="n">
        <x:v>59</x:v>
      </x:c>
      <x:c r="E991" s="48" t="str"/>
      <x:c r="F991" s="48" t="str">
        <x:v>If the lists referred to in sub-paragraphs (b)(i) or (c)(i) below are not included in the Contract Data, this Sub-Clause shall not apply.</x:v>
      </x:c>
      <x:c r="G991" s="48" t="str">
        <x:v>Obligation</x:v>
      </x:c>
      <x:c r="H991" s="48" t="str">
        <x:v>Shared</x:v>
      </x:c>
      <x:c r="I991" s="48" t="n">
        <x:v>0.88</x:v>
      </x:c>
      <x:c r="J991" s="48" t="n">
        <x:v>0.4</x:v>
      </x:c>
      <x:c r="K991" s="48" t="str">
        <x:v>Yes</x:v>
      </x:c>
      <x:c r="L991" s="48" t="str">
        <x:v>PDF text</x:v>
      </x:c>
    </x:row>
    <x:row r="992">
      <x:c r="A992" s="48" t="str">
        <x:v>UNI-0991</x:v>
      </x:c>
      <x:c r="B992" s="48" t="str">
        <x:v>RED</x:v>
      </x:c>
      <x:c r="C992" s="48" t="str">
        <x:v>English</x:v>
      </x:c>
      <x:c r="D992" s="48" t="n">
        <x:v>59</x:v>
      </x:c>
      <x:c r="E992" s="48" t="str"/>
      <x:c r="F992" s="48" t="str">
        <x:v>The additional amount to be certified shall be the equivalent of eighty percent of the Engineer’s determination of the cost of the Plant and Materials (including delivery to</x:v>
      </x:c>
      <x:c r="G992" s="48" t="str">
        <x:v>Obligation</x:v>
      </x:c>
      <x:c r="H992" s="48" t="str">
        <x:v>Shared</x:v>
      </x:c>
      <x:c r="I992" s="48" t="n">
        <x:v>0.88</x:v>
      </x:c>
      <x:c r="J992" s="48" t="n">
        <x:v>0.4</x:v>
      </x:c>
      <x:c r="K992" s="48" t="str">
        <x:v>Yes</x:v>
      </x:c>
      <x:c r="L992" s="48" t="str">
        <x:v>PDF text</x:v>
      </x:c>
    </x:row>
    <x:row r="993">
      <x:c r="A993" s="48" t="str">
        <x:v>UNI-0992</x:v>
      </x:c>
      <x:c r="B993" s="48" t="str">
        <x:v>RED</x:v>
      </x:c>
      <x:c r="C993" s="48" t="str">
        <x:v>English</x:v>
      </x:c>
      <x:c r="D993" s="48" t="n">
        <x:v>59</x:v>
      </x:c>
      <x:c r="E993" s="48" t="str"/>
      <x:c r="F993" s="48" t="str">
        <x:v>Site), taking account of the documents mentioned in this Sub-Clause and of the</x:v>
      </x:c>
      <x:c r="G993" s="48" t="str">
        <x:v>Obligation</x:v>
      </x:c>
      <x:c r="H993" s="48" t="str">
        <x:v>Shared</x:v>
      </x:c>
      <x:c r="I993" s="48" t="n">
        <x:v>0.45</x:v>
      </x:c>
      <x:c r="J993" s="48" t="n">
        <x:v>0.4</x:v>
      </x:c>
      <x:c r="K993" s="48" t="str">
        <x:v>Yes</x:v>
      </x:c>
      <x:c r="L993" s="48" t="str">
        <x:v>PDF text</x:v>
      </x:c>
    </x:row>
    <x:row r="994">
      <x:c r="A994" s="48" t="str">
        <x:v>UNI-0993</x:v>
      </x:c>
      <x:c r="B994" s="48" t="str">
        <x:v>RED</x:v>
      </x:c>
      <x:c r="C994" s="48" t="str">
        <x:v>English</x:v>
      </x:c>
      <x:c r="D994" s="48" t="n">
        <x:v>59</x:v>
      </x:c>
      <x:c r="E994" s="48" t="str"/>
      <x:c r="F994" s="48" t="str">
        <x:v>contract value of the Plant and Materials.</x:v>
      </x:c>
      <x:c r="G994" s="48" t="str">
        <x:v>Obligation</x:v>
      </x:c>
      <x:c r="H994" s="48" t="str">
        <x:v>Shared</x:v>
      </x:c>
      <x:c r="I994" s="48" t="n">
        <x:v>0.45</x:v>
      </x:c>
      <x:c r="J994" s="48" t="n">
        <x:v>0.4</x:v>
      </x:c>
      <x:c r="K994" s="48" t="str">
        <x:v>Yes</x:v>
      </x:c>
      <x:c r="L994" s="48" t="str">
        <x:v>PDF text</x:v>
      </x:c>
    </x:row>
    <x:row r="995">
      <x:c r="A995" s="48" t="str">
        <x:v>UNI-0994</x:v>
      </x:c>
      <x:c r="B995" s="48" t="str">
        <x:v>RED</x:v>
      </x:c>
      <x:c r="C995" s="48" t="str">
        <x:v>English</x:v>
      </x:c>
      <x:c r="D995" s="48" t="n">
        <x:v>59</x:v>
      </x:c>
      <x:c r="E995" s="48" t="str"/>
      <x:c r="F995" s="48" t="str">
        <x:v>Plant and Materials</x:v>
      </x:c>
      <x:c r="G995" s="48" t="str">
        <x:v>Obligation</x:v>
      </x:c>
      <x:c r="H995" s="48" t="str">
        <x:v>Shared</x:v>
      </x:c>
      <x:c r="I995" s="48" t="n">
        <x:v>0.45</x:v>
      </x:c>
      <x:c r="J995" s="48" t="n">
        <x:v>0.4</x:v>
      </x:c>
      <x:c r="K995" s="48" t="str">
        <x:v>Yes</x:v>
      </x:c>
      <x:c r="L995" s="48" t="str">
        <x:v>PDF text</x:v>
      </x:c>
    </x:row>
    <x:row r="996">
      <x:c r="A996" s="48" t="str">
        <x:v>UNI-0995</x:v>
      </x:c>
      <x:c r="B996" s="48" t="str">
        <x:v>RED</x:v>
      </x:c>
      <x:c r="C996" s="48" t="str">
        <x:v>English</x:v>
      </x:c>
      <x:c r="D996" s="48" t="n">
        <x:v>59</x:v>
      </x:c>
      <x:c r="E996" s="48" t="str"/>
      <x:c r="F996" s="48" t="str">
        <x:v>intended for the Works</x:v>
      </x:c>
      <x:c r="G996" s="48" t="str">
        <x:v>Obligation</x:v>
      </x:c>
      <x:c r="H996" s="48" t="str">
        <x:v>Shared</x:v>
      </x:c>
      <x:c r="I996" s="48" t="n">
        <x:v>0.45</x:v>
      </x:c>
      <x:c r="J996" s="48" t="n">
        <x:v>0.4</x:v>
      </x:c>
      <x:c r="K996" s="48" t="str">
        <x:v>Yes</x:v>
      </x:c>
      <x:c r="L996" s="48" t="str">
        <x:v>PDF text</x:v>
      </x:c>
    </x:row>
    <x:row r="997">
      <x:c r="A997" s="48" t="str">
        <x:v>UNI-0996</x:v>
      </x:c>
      <x:c r="B997" s="48" t="str">
        <x:v>RED</x:v>
      </x:c>
      <x:c r="C997" s="48" t="str">
        <x:v>English</x:v>
      </x:c>
      <x:c r="D997" s="48" t="n">
        <x:v>60</x:v>
      </x:c>
      <x:c r="E997" s="48" t="str"/>
      <x:c r="F997" s="48" t="str">
        <x:v>The currencies for this additional amount shall be the same as those in which payment will become due when the contract value is included under sub-paragraph (a) of SubClause 14.3 [Application for Interim Payment Certificates].</x:v>
      </x:c>
      <x:c r="G997" s="48" t="str">
        <x:v>Obligation</x:v>
      </x:c>
      <x:c r="H997" s="48" t="str">
        <x:v>Shared</x:v>
      </x:c>
      <x:c r="I997" s="48" t="n">
        <x:v>0.88</x:v>
      </x:c>
      <x:c r="J997" s="48" t="n">
        <x:v>0.4</x:v>
      </x:c>
      <x:c r="K997" s="48" t="str">
        <x:v>Yes</x:v>
      </x:c>
      <x:c r="L997" s="48" t="str">
        <x:v>PDF text</x:v>
      </x:c>
    </x:row>
    <x:row r="998">
      <x:c r="A998" s="48" t="str">
        <x:v>UNI-0997</x:v>
      </x:c>
      <x:c r="B998" s="48" t="str">
        <x:v>RED</x:v>
      </x:c>
      <x:c r="C998" s="48" t="str">
        <x:v>English</x:v>
      </x:c>
      <x:c r="D998" s="48" t="n">
        <x:v>60</x:v>
      </x:c>
      <x:c r="E998" s="48" t="str"/>
      <x:c r="F998" s="48" t="str">
        <x:v>At that time, the Payment Certificate shall include the applicable reduction which shall be equivalent to, and in the same currencies and proportions as, this additional amount for the relevant Plant and Materials.</x:v>
      </x:c>
      <x:c r="G998" s="48" t="str">
        <x:v>Obligation</x:v>
      </x:c>
      <x:c r="H998" s="48" t="str">
        <x:v>Shared</x:v>
      </x:c>
      <x:c r="I998" s="48" t="n">
        <x:v>0.88</x:v>
      </x:c>
      <x:c r="J998" s="48" t="n">
        <x:v>0.4</x:v>
      </x:c>
      <x:c r="K998" s="48" t="str">
        <x:v>Yes</x:v>
      </x:c>
      <x:c r="L998" s="48" t="str">
        <x:v>PDF text</x:v>
      </x:c>
    </x:row>
    <x:row r="999">
      <x:c r="A999" s="48" t="str">
        <x:v>UNI-0998</x:v>
      </x:c>
      <x:c r="B999" s="48" t="str">
        <x:v>RED</x:v>
      </x:c>
      <x:c r="C999" s="48" t="str">
        <x:v>English</x:v>
      </x:c>
      <x:c r="D999" s="48" t="n">
        <x:v>60</x:v>
      </x:c>
      <x:c r="E999" s="48" t="str"/>
      <x:c r="F999" s="48" t="str">
        <x:v>No amount will be certified or paid until the Employer has received and approved the Performance Security.</x:v>
      </x:c>
      <x:c r="G999" s="48" t="str">
        <x:v>Obligation</x:v>
      </x:c>
      <x:c r="H999" s="48" t="str">
        <x:v>Employer</x:v>
      </x:c>
      <x:c r="I999" s="48" t="n">
        <x:v>0.45</x:v>
      </x:c>
      <x:c r="J999" s="48" t="n">
        <x:v>0.68</x:v>
      </x:c>
      <x:c r="K999" s="48" t="str">
        <x:v>Yes</x:v>
      </x:c>
      <x:c r="L999" s="48" t="str">
        <x:v>PDF text</x:v>
      </x:c>
    </x:row>
    <x:row r="1000">
      <x:c r="A1000" s="48" t="str">
        <x:v>UNI-0999</x:v>
      </x:c>
      <x:c r="B1000" s="48" t="str">
        <x:v>RED</x:v>
      </x:c>
      <x:c r="C1000" s="48" t="str">
        <x:v>English</x:v>
      </x:c>
      <x:c r="D1000" s="48" t="n">
        <x:v>60</x:v>
      </x:c>
      <x:c r="E1000" s="48" t="str"/>
      <x:c r="F1000" s="48" t="str">
        <x:v>Thereafter, the Engineer shall, within 28 days after receiving a</x:v>
      </x:c>
      <x:c r="G1000" s="48" t="str">
        <x:v>Obligation</x:v>
      </x:c>
      <x:c r="H1000" s="48" t="str">
        <x:v>Shared</x:v>
      </x:c>
      <x:c r="I1000" s="48" t="n">
        <x:v>0.88</x:v>
      </x:c>
      <x:c r="J1000" s="48" t="n">
        <x:v>0.4</x:v>
      </x:c>
      <x:c r="K1000" s="48" t="str">
        <x:v>Yes</x:v>
      </x:c>
      <x:c r="L1000" s="48" t="str">
        <x:v>PDF text</x:v>
      </x:c>
    </x:row>
    <x:row r="1001">
      <x:c r="A1001" s="48" t="str">
        <x:v>UNI-1000</x:v>
      </x:c>
      <x:c r="B1001" s="48" t="str">
        <x:v>RED</x:v>
      </x:c>
      <x:c r="C1001" s="48" t="str">
        <x:v>English</x:v>
      </x:c>
      <x:c r="D1001" s="48" t="n">
        <x:v>60</x:v>
      </x:c>
      <x:c r="E1001" s="48" t="str"/>
      <x:c r="F1001" s="48" t="str">
        <x:v>Statement and supporting documents, issue to the Employer an Interim Payment</x:v>
      </x:c>
      <x:c r="G1001" s="48" t="str">
        <x:v>Obligation</x:v>
      </x:c>
      <x:c r="H1001" s="48" t="str">
        <x:v>Employer</x:v>
      </x:c>
      <x:c r="I1001" s="48" t="n">
        <x:v>0.55</x:v>
      </x:c>
      <x:c r="J1001" s="48" t="n">
        <x:v>0.68</x:v>
      </x:c>
      <x:c r="K1001" s="48" t="str">
        <x:v>Yes</x:v>
      </x:c>
      <x:c r="L1001" s="48" t="str">
        <x:v>PDF text</x:v>
      </x:c>
    </x:row>
    <x:row r="1002">
      <x:c r="A1002" s="48" t="str">
        <x:v>UNI-1001</x:v>
      </x:c>
      <x:c r="B1002" s="48" t="str">
        <x:v>RED</x:v>
      </x:c>
      <x:c r="C1002" s="48" t="str">
        <x:v>English</x:v>
      </x:c>
      <x:c r="D1002" s="48" t="n">
        <x:v>60</x:v>
      </x:c>
      <x:c r="E1002" s="48" t="str"/>
      <x:c r="F1002" s="48" t="str">
        <x:v>Certificate which shall state the amount which the Engineer fairly determines to be due, with supporting particulars.</x:v>
      </x:c>
      <x:c r="G1002" s="48" t="str">
        <x:v>Obligation</x:v>
      </x:c>
      <x:c r="H1002" s="48" t="str">
        <x:v>Shared</x:v>
      </x:c>
      <x:c r="I1002" s="48" t="n">
        <x:v>0.88</x:v>
      </x:c>
      <x:c r="J1002" s="48" t="n">
        <x:v>0.4</x:v>
      </x:c>
      <x:c r="K1002" s="48" t="str">
        <x:v>Yes</x:v>
      </x:c>
      <x:c r="L1002" s="48" t="str">
        <x:v>PDF text</x:v>
      </x:c>
    </x:row>
    <x:row r="1003">
      <x:c r="A1003" s="48" t="str">
        <x:v>UNI-1002</x:v>
      </x:c>
      <x:c r="B1003" s="48" t="str">
        <x:v>RED</x:v>
      </x:c>
      <x:c r="C1003" s="48" t="str">
        <x:v>English</x:v>
      </x:c>
      <x:c r="D1003" s="48" t="n">
        <x:v>60</x:v>
      </x:c>
      <x:c r="E1003" s="48" t="str"/>
      <x:c r="F1003" s="48" t="str">
        <x:v>However, prior to issuing the Taking-Over Certificate for the Works, the Engineer shall not be bound to issue an Interim Payment Certificate in an amount which would (after retention and other deductions) be less than the minimum amount of Interim Payment Certificates (if any) stated in the Contract Data.</x:v>
      </x:c>
      <x:c r="G1003" s="48" t="str">
        <x:v>Obligation</x:v>
      </x:c>
      <x:c r="H1003" s="48" t="str">
        <x:v>Shared</x:v>
      </x:c>
      <x:c r="I1003" s="48" t="n">
        <x:v>0.88</x:v>
      </x:c>
      <x:c r="J1003" s="48" t="n">
        <x:v>0.4</x:v>
      </x:c>
      <x:c r="K1003" s="48" t="str">
        <x:v>Yes</x:v>
      </x:c>
      <x:c r="L1003" s="48" t="str">
        <x:v>PDF text</x:v>
      </x:c>
    </x:row>
    <x:row r="1004">
      <x:c r="A1004" s="48" t="str">
        <x:v>UNI-1003</x:v>
      </x:c>
      <x:c r="B1004" s="48" t="str">
        <x:v>RED</x:v>
      </x:c>
      <x:c r="C1004" s="48" t="str">
        <x:v>English</x:v>
      </x:c>
      <x:c r="D1004" s="48" t="n">
        <x:v>60</x:v>
      </x:c>
      <x:c r="E1004" s="48" t="str"/>
      <x:c r="F1004" s="48" t="str">
        <x:v>In this event, the Engineer shall give notice to the Contractor accordingly.</x:v>
      </x:c>
      <x:c r="G1004" s="48" t="str">
        <x:v>Obligation</x:v>
      </x:c>
      <x:c r="H1004" s="48" t="str">
        <x:v>Contractor</x:v>
      </x:c>
      <x:c r="I1004" s="48" t="n">
        <x:v>0.88</x:v>
      </x:c>
      <x:c r="J1004" s="48" t="n">
        <x:v>0.68</x:v>
      </x:c>
      <x:c r="K1004" s="48" t="str">
        <x:v>Yes</x:v>
      </x:c>
      <x:c r="L1004" s="48" t="str">
        <x:v>PDF text</x:v>
      </x:c>
    </x:row>
    <x:row r="1005">
      <x:c r="A1005" s="48" t="str">
        <x:v>UNI-1004</x:v>
      </x:c>
      <x:c r="B1005" s="48" t="str">
        <x:v>RED</x:v>
      </x:c>
      <x:c r="C1005" s="48" t="str">
        <x:v>English</x:v>
      </x:c>
      <x:c r="D1005" s="48" t="n">
        <x:v>60</x:v>
      </x:c>
      <x:c r="E1005" s="48" t="str"/>
      <x:c r="F1005" s="48" t="str">
        <x:v>An Interim Payment Certificate shall not be withheld for any other reason, although: (a) if any thing supplied or work done by the Contractor is not in accordance with the Contract, the cost of rectification or replacement may be withheld until rectification or replacement has been completed; and/or (b) if the Contractor was or is failing to perform any work or obligation in accordance with the Contract, and had been so notified by the Engineer, the value of this work or obligation may be withheld until the work or obligation has been performed.</x:v>
      </x:c>
      <x:c r="G1005" s="48" t="str">
        <x:v>Obligation</x:v>
      </x:c>
      <x:c r="H1005" s="48" t="str">
        <x:v>Contractor</x:v>
      </x:c>
      <x:c r="I1005" s="48" t="n">
        <x:v>0.88</x:v>
      </x:c>
      <x:c r="J1005" s="48" t="n">
        <x:v>0.68</x:v>
      </x:c>
      <x:c r="K1005" s="48" t="str">
        <x:v>Yes</x:v>
      </x:c>
      <x:c r="L1005" s="48" t="str">
        <x:v>PDF text</x:v>
      </x:c>
    </x:row>
    <x:row r="1006">
      <x:c r="A1006" s="48" t="str">
        <x:v>UNI-1005</x:v>
      </x:c>
      <x:c r="B1006" s="48" t="str">
        <x:v>RED</x:v>
      </x:c>
      <x:c r="C1006" s="48" t="str">
        <x:v>English</x:v>
      </x:c>
      <x:c r="D1006" s="48" t="n">
        <x:v>60</x:v>
      </x:c>
      <x:c r="E1006" s="48" t="str"/>
      <x:c r="F1006" s="48" t="str">
        <x:v>The Engineer may in any Payment Certificate make any correction or modification that should properly be made to any previous Payment Certificate.</x:v>
      </x:c>
      <x:c r="G1006" s="48" t="str">
        <x:v>Right</x:v>
      </x:c>
      <x:c r="H1006" s="48" t="str">
        <x:v>Shared</x:v>
      </x:c>
      <x:c r="I1006" s="48" t="n">
        <x:v>0.78</x:v>
      </x:c>
      <x:c r="J1006" s="48" t="n">
        <x:v>0.4</x:v>
      </x:c>
      <x:c r="K1006" s="48" t="str">
        <x:v>Yes</x:v>
      </x:c>
      <x:c r="L1006" s="48" t="str">
        <x:v>PDF text</x:v>
      </x:c>
    </x:row>
    <x:row r="1007">
      <x:c r="A1007" s="48" t="str">
        <x:v>UNI-1006</x:v>
      </x:c>
      <x:c r="B1007" s="48" t="str">
        <x:v>RED</x:v>
      </x:c>
      <x:c r="C1007" s="48" t="str">
        <x:v>English</x:v>
      </x:c>
      <x:c r="D1007" s="48" t="n">
        <x:v>60</x:v>
      </x:c>
      <x:c r="E1007" s="48" t="str"/>
      <x:c r="F1007" s="48" t="str">
        <x:v>A Payment Certificate shall not be deemed to indicate the Engineer’s acceptance, approval, consent or satisfaction.</x:v>
      </x:c>
      <x:c r="G1007" s="48" t="str">
        <x:v>Obligation</x:v>
      </x:c>
      <x:c r="H1007" s="48" t="str">
        <x:v>Shared</x:v>
      </x:c>
      <x:c r="I1007" s="48" t="n">
        <x:v>0.88</x:v>
      </x:c>
      <x:c r="J1007" s="48" t="n">
        <x:v>0.4</x:v>
      </x:c>
      <x:c r="K1007" s="48" t="str">
        <x:v>Yes</x:v>
      </x:c>
      <x:c r="L1007" s="48" t="str">
        <x:v>PDF text</x:v>
      </x:c>
    </x:row>
    <x:row r="1008">
      <x:c r="A1008" s="48" t="str">
        <x:v>UNI-1007</x:v>
      </x:c>
      <x:c r="B1008" s="48" t="str">
        <x:v>RED</x:v>
      </x:c>
      <x:c r="C1008" s="48" t="str">
        <x:v>English</x:v>
      </x:c>
      <x:c r="D1008" s="48" t="n">
        <x:v>60</x:v>
      </x:c>
      <x:c r="E1008" s="48" t="str"/>
      <x:c r="F1008" s="48" t="str">
        <x:v>The Employer shall pay to the Contractor: (a) the first instalment of the advance payment within 42 days after issuing the Letter of Acceptance or within 21 days after receiving the documents in accordance with Sub-Clause 4.2 [Performance Security] and Sub-Clause 14.2 [Advance Payment], whichever is later; (b) the amount certified in each Interim Payment Certificate within 56 days after the</x:v>
      </x:c>
      <x:c r="G1008" s="48" t="str">
        <x:v>Obligation</x:v>
      </x:c>
      <x:c r="H1008" s="48" t="str">
        <x:v>Employer</x:v>
      </x:c>
      <x:c r="I1008" s="48" t="n">
        <x:v>0.88</x:v>
      </x:c>
      <x:c r="J1008" s="48" t="n">
        <x:v>0.92</x:v>
      </x:c>
      <x:c r="K1008" s="48" t="str">
        <x:v>No</x:v>
      </x:c>
      <x:c r="L1008" s="48" t="str">
        <x:v>PDF text</x:v>
      </x:c>
    </x:row>
    <x:row r="1009">
      <x:c r="A1009" s="48" t="str">
        <x:v>UNI-1008</x:v>
      </x:c>
      <x:c r="B1009" s="48" t="str">
        <x:v>RED</x:v>
      </x:c>
      <x:c r="C1009" s="48" t="str">
        <x:v>English</x:v>
      </x:c>
      <x:c r="D1009" s="48" t="n">
        <x:v>60</x:v>
      </x:c>
      <x:c r="E1009" s="48" t="str"/>
      <x:c r="F1009" s="48" t="str">
        <x:v>Engineer receives the Statement and supporting documents or, at a time when</x:v>
      </x:c>
      <x:c r="G1009" s="48" t="str">
        <x:v>Obligation</x:v>
      </x:c>
      <x:c r="H1009" s="48" t="str">
        <x:v>Shared</x:v>
      </x:c>
      <x:c r="I1009" s="48" t="n">
        <x:v>0.45</x:v>
      </x:c>
      <x:c r="J1009" s="48" t="n">
        <x:v>0.4</x:v>
      </x:c>
      <x:c r="K1009" s="48" t="str">
        <x:v>Yes</x:v>
      </x:c>
      <x:c r="L1009" s="48" t="str">
        <x:v>PDF text</x:v>
      </x:c>
    </x:row>
    <x:row r="1010">
      <x:c r="A1010" s="48" t="str">
        <x:v>UNI-1009</x:v>
      </x:c>
      <x:c r="B1010" s="48" t="str">
        <x:v>RED</x:v>
      </x:c>
      <x:c r="C1010" s="48" t="str">
        <x:v>English</x:v>
      </x:c>
      <x:c r="D1010" s="48" t="n">
        <x:v>60</x:v>
      </x:c>
      <x:c r="E1010" s="48" t="str"/>
      <x:c r="F1010" s="48" t="str">
        <x:v>the Bank’s loan or credit (from which part of the payments to the Contractor is being made) is suspended, the amount shown on any statement submitted by the Contractor, within 14 days after such statement is submitted.</x:v>
      </x:c>
      <x:c r="G1010" s="48" t="str">
        <x:v>Obligation</x:v>
      </x:c>
      <x:c r="H1010" s="48" t="str">
        <x:v>Contractor</x:v>
      </x:c>
      <x:c r="I1010" s="48" t="n">
        <x:v>0.45</x:v>
      </x:c>
      <x:c r="J1010" s="48" t="n">
        <x:v>0.68</x:v>
      </x:c>
      <x:c r="K1010" s="48" t="str">
        <x:v>Yes</x:v>
      </x:c>
      <x:c r="L1010" s="48" t="str">
        <x:v>PDF text</x:v>
      </x:c>
    </x:row>
    <x:row r="1011">
      <x:c r="A1011" s="48" t="str">
        <x:v>UNI-1010</x:v>
      </x:c>
      <x:c r="B1011" s="48" t="str">
        <x:v>RED</x:v>
      </x:c>
      <x:c r="C1011" s="48" t="str">
        <x:v>English</x:v>
      </x:c>
      <x:c r="D1011" s="48" t="n">
        <x:v>60</x:v>
      </x:c>
      <x:c r="E1011" s="48" t="str"/>
      <x:c r="F1011" s="48" t="str">
        <x:v>Any discrepancy shall be rectified in the next payment to the Contractor; and (c) the amount certified in the Final Payment Certificate within 56 days after the</x:v>
      </x:c>
      <x:c r="G1011" s="48" t="str">
        <x:v>Obligation</x:v>
      </x:c>
      <x:c r="H1011" s="48" t="str">
        <x:v>Contractor</x:v>
      </x:c>
      <x:c r="I1011" s="48" t="n">
        <x:v>0.88</x:v>
      </x:c>
      <x:c r="J1011" s="48" t="n">
        <x:v>0.68</x:v>
      </x:c>
      <x:c r="K1011" s="48" t="str">
        <x:v>Yes</x:v>
      </x:c>
      <x:c r="L1011" s="48" t="str">
        <x:v>PDF text</x:v>
      </x:c>
    </x:row>
    <x:row r="1012">
      <x:c r="A1012" s="48" t="str">
        <x:v>UNI-1011</x:v>
      </x:c>
      <x:c r="B1012" s="48" t="str">
        <x:v>RED</x:v>
      </x:c>
      <x:c r="C1012" s="48" t="str">
        <x:v>English</x:v>
      </x:c>
      <x:c r="D1012" s="48" t="n">
        <x:v>60</x:v>
      </x:c>
      <x:c r="E1012" s="48" t="str"/>
      <x:c r="F1012" s="48" t="str">
        <x:v>Employer receives this Payment Certificate or, at a time when the Bank’s loan or</x:v>
      </x:c>
      <x:c r="G1012" s="48" t="str">
        <x:v>Obligation</x:v>
      </x:c>
      <x:c r="H1012" s="48" t="str">
        <x:v>Employer</x:v>
      </x:c>
      <x:c r="I1012" s="48" t="n">
        <x:v>0.55</x:v>
      </x:c>
      <x:c r="J1012" s="48" t="n">
        <x:v>0.68</x:v>
      </x:c>
      <x:c r="K1012" s="48" t="str">
        <x:v>Yes</x:v>
      </x:c>
      <x:c r="L1012" s="48" t="str">
        <x:v>PDF text</x:v>
      </x:c>
    </x:row>
    <x:row r="1013">
      <x:c r="A1013" s="48" t="str">
        <x:v>UNI-1012</x:v>
      </x:c>
      <x:c r="B1013" s="48" t="str">
        <x:v>RED</x:v>
      </x:c>
      <x:c r="C1013" s="48" t="str">
        <x:v>English</x:v>
      </x:c>
      <x:c r="D1013" s="48" t="n">
        <x:v>60</x:v>
      </x:c>
      <x:c r="E1013" s="48" t="str"/>
      <x:c r="F1013" s="48" t="str">
        <x:v>credit (from which part of the payments to the Contractor is being made) is suspended, the undisputed amount shown in the Final Statement, within 56 days after the date of notification of the suspension in accordance with Sub-Clause 16.2.</x:v>
      </x:c>
      <x:c r="G1013" s="48" t="str">
        <x:v>Obligation</x:v>
      </x:c>
      <x:c r="H1013" s="48" t="str">
        <x:v>Contractor</x:v>
      </x:c>
      <x:c r="I1013" s="48" t="n">
        <x:v>0.45</x:v>
      </x:c>
      <x:c r="J1013" s="48" t="n">
        <x:v>0.68</x:v>
      </x:c>
      <x:c r="K1013" s="48" t="str">
        <x:v>Yes</x:v>
      </x:c>
      <x:c r="L1013" s="48" t="str">
        <x:v>PDF text</x:v>
      </x:c>
    </x:row>
    <x:row r="1014">
      <x:c r="A1014" s="48" t="str">
        <x:v>UNI-1013</x:v>
      </x:c>
      <x:c r="B1014" s="48" t="str">
        <x:v>RED</x:v>
      </x:c>
      <x:c r="C1014" s="48" t="str">
        <x:v>English</x:v>
      </x:c>
      <x:c r="D1014" s="48" t="n">
        <x:v>60</x:v>
      </x:c>
      <x:c r="E1014" s="48" t="str"/>
      <x:c r="F1014" s="48" t="str">
        <x:v>Payment of the amount due in each currency shall be made into the bank account,</x:v>
      </x:c>
      <x:c r="G1014" s="48" t="str">
        <x:v>Obligation</x:v>
      </x:c>
      <x:c r="H1014" s="48" t="str">
        <x:v>Shared</x:v>
      </x:c>
      <x:c r="I1014" s="48" t="n">
        <x:v>0.88</x:v>
      </x:c>
      <x:c r="J1014" s="48" t="n">
        <x:v>0.4</x:v>
      </x:c>
      <x:c r="K1014" s="48" t="str">
        <x:v>Yes</x:v>
      </x:c>
      <x:c r="L1014" s="48" t="str">
        <x:v>PDF text</x:v>
      </x:c>
    </x:row>
    <x:row r="1015">
      <x:c r="A1015" s="48" t="str">
        <x:v>UNI-1014</x:v>
      </x:c>
      <x:c r="B1015" s="48" t="str">
        <x:v>RED</x:v>
      </x:c>
      <x:c r="C1015" s="48" t="str">
        <x:v>English</x:v>
      </x:c>
      <x:c r="D1015" s="48" t="n">
        <x:v>60</x:v>
      </x:c>
      <x:c r="E1015" s="48" t="str"/>
      <x:c r="F1015" s="48" t="str">
        <x:v>nominated by the Contractor, in the payment country (for this currency) specified in the Contract.</x:v>
      </x:c>
      <x:c r="G1015" s="48" t="str">
        <x:v>Obligation</x:v>
      </x:c>
      <x:c r="H1015" s="48" t="str">
        <x:v>Contractor</x:v>
      </x:c>
      <x:c r="I1015" s="48" t="n">
        <x:v>0.55</x:v>
      </x:c>
      <x:c r="J1015" s="48" t="n">
        <x:v>0.68</x:v>
      </x:c>
      <x:c r="K1015" s="48" t="str">
        <x:v>Yes</x:v>
      </x:c>
      <x:c r="L1015" s="48" t="str">
        <x:v>PDF text</x:v>
      </x:c>
    </x:row>
    <x:row r="1016">
      <x:c r="A1016" s="48" t="str">
        <x:v>UNI-1015</x:v>
      </x:c>
      <x:c r="B1016" s="48" t="str">
        <x:v>RED</x:v>
      </x:c>
      <x:c r="C1016" s="48" t="str">
        <x:v>English</x:v>
      </x:c>
      <x:c r="D1016" s="48" t="n">
        <x:v>60</x:v>
      </x:c>
      <x:c r="E1016" s="48" t="str"/>
      <x:c r="F1016" s="48" t="str">
        <x:v>Issue of Interim Payment</x:v>
      </x:c>
      <x:c r="G1016" s="48" t="str">
        <x:v>Obligation</x:v>
      </x:c>
      <x:c r="H1016" s="48" t="str">
        <x:v>Shared</x:v>
      </x:c>
      <x:c r="I1016" s="48" t="n">
        <x:v>0.55</x:v>
      </x:c>
      <x:c r="J1016" s="48" t="n">
        <x:v>0.4</x:v>
      </x:c>
      <x:c r="K1016" s="48" t="str">
        <x:v>Yes</x:v>
      </x:c>
      <x:c r="L1016" s="48" t="str">
        <x:v>PDF text</x:v>
      </x:c>
    </x:row>
    <x:row r="1017">
      <x:c r="A1017" s="48" t="str">
        <x:v>UNI-1016</x:v>
      </x:c>
      <x:c r="B1017" s="48" t="str">
        <x:v>RED</x:v>
      </x:c>
      <x:c r="C1017" s="48" t="str">
        <x:v>English</x:v>
      </x:c>
      <x:c r="D1017" s="48" t="n">
        <x:v>61</x:v>
      </x:c>
      <x:c r="E1017" s="48" t="str"/>
      <x:c r="F1017" s="48" t="str">
        <x:v>If the Contractor does not receive payment in accordance with Sub-Clause 14.7 [Payment], the Contractor shall be entitled to receive financing charges compounded monthly on the amount unpaid during the period of delay.</x:v>
      </x:c>
      <x:c r="G1017" s="48" t="str">
        <x:v>Risk</x:v>
      </x:c>
      <x:c r="H1017" s="48" t="str">
        <x:v>Contractor</x:v>
      </x:c>
      <x:c r="I1017" s="48" t="n">
        <x:v>0.78</x:v>
      </x:c>
      <x:c r="J1017" s="48" t="n">
        <x:v>0.92</x:v>
      </x:c>
      <x:c r="K1017" s="48" t="str">
        <x:v>No</x:v>
      </x:c>
      <x:c r="L1017" s="48" t="str">
        <x:v>PDF text</x:v>
      </x:c>
    </x:row>
    <x:row r="1018">
      <x:c r="A1018" s="48" t="str">
        <x:v>UNI-1017</x:v>
      </x:c>
      <x:c r="B1018" s="48" t="str">
        <x:v>RED</x:v>
      </x:c>
      <x:c r="C1018" s="48" t="str">
        <x:v>English</x:v>
      </x:c>
      <x:c r="D1018" s="48" t="n">
        <x:v>61</x:v>
      </x:c>
      <x:c r="E1018" s="48" t="str"/>
      <x:c r="F1018" s="48" t="str">
        <x:v>This period shall be deemed to commence on the date for payment specified in Sub-Clause 14.7 [Payment], irrespective (in the case of its sub-paragraph (b)) of the date on which any Interim Payment Certificate is issued.</x:v>
      </x:c>
      <x:c r="G1018" s="48" t="str">
        <x:v>Obligation</x:v>
      </x:c>
      <x:c r="H1018" s="48" t="str">
        <x:v>Shared</x:v>
      </x:c>
      <x:c r="I1018" s="48" t="n">
        <x:v>0.88</x:v>
      </x:c>
      <x:c r="J1018" s="48" t="n">
        <x:v>0.4</x:v>
      </x:c>
      <x:c r="K1018" s="48" t="str">
        <x:v>Yes</x:v>
      </x:c>
      <x:c r="L1018" s="48" t="str">
        <x:v>PDF text</x:v>
      </x:c>
    </x:row>
    <x:row r="1019">
      <x:c r="A1019" s="48" t="str">
        <x:v>UNI-1018</x:v>
      </x:c>
      <x:c r="B1019" s="48" t="str">
        <x:v>RED</x:v>
      </x:c>
      <x:c r="C1019" s="48" t="str">
        <x:v>English</x:v>
      </x:c>
      <x:c r="D1019" s="48" t="n">
        <x:v>61</x:v>
      </x:c>
      <x:c r="E1019" s="48" t="str"/>
      <x:c r="F1019" s="48" t="str">
        <x:v>Unless otherwise stated in the Particular Conditions, these financing charges shall be calculated at the annual rate of three percentage points above the discount rate of the central bank in the country of the currency of payment, and shall be paid in such currency.</x:v>
      </x:c>
      <x:c r="G1019" s="48" t="str">
        <x:v>Obligation</x:v>
      </x:c>
      <x:c r="H1019" s="48" t="str">
        <x:v>Shared</x:v>
      </x:c>
      <x:c r="I1019" s="48" t="n">
        <x:v>0.88</x:v>
      </x:c>
      <x:c r="J1019" s="48" t="n">
        <x:v>0.4</x:v>
      </x:c>
      <x:c r="K1019" s="48" t="str">
        <x:v>Yes</x:v>
      </x:c>
      <x:c r="L1019" s="48" t="str">
        <x:v>PDF text</x:v>
      </x:c>
    </x:row>
    <x:row r="1020">
      <x:c r="A1020" s="48" t="str">
        <x:v>UNI-1019</x:v>
      </x:c>
      <x:c r="B1020" s="48" t="str">
        <x:v>RED</x:v>
      </x:c>
      <x:c r="C1020" s="48" t="str">
        <x:v>English</x:v>
      </x:c>
      <x:c r="D1020" s="48" t="n">
        <x:v>61</x:v>
      </x:c>
      <x:c r="E1020" s="48" t="str"/>
      <x:c r="F1020" s="48" t="str">
        <x:v>The Contractor shall be entitled to this payment without formal notice or certification, and without prejudice to any other right or remedy.</x:v>
      </x:c>
      <x:c r="G1020" s="48" t="str">
        <x:v>Obligation</x:v>
      </x:c>
      <x:c r="H1020" s="48" t="str">
        <x:v>Contractor</x:v>
      </x:c>
      <x:c r="I1020" s="48" t="n">
        <x:v>0.88</x:v>
      </x:c>
      <x:c r="J1020" s="48" t="n">
        <x:v>0.92</x:v>
      </x:c>
      <x:c r="K1020" s="48" t="str">
        <x:v>No</x:v>
      </x:c>
      <x:c r="L1020" s="48" t="str">
        <x:v>PDF text</x:v>
      </x:c>
    </x:row>
    <x:row r="1021">
      <x:c r="A1021" s="48" t="str">
        <x:v>UNI-1020</x:v>
      </x:c>
      <x:c r="B1021" s="48" t="str">
        <x:v>RED</x:v>
      </x:c>
      <x:c r="C1021" s="48" t="str">
        <x:v>English</x:v>
      </x:c>
      <x:c r="D1021" s="48" t="n">
        <x:v>61</x:v>
      </x:c>
      <x:c r="E1021" s="48" t="str"/>
      <x:c r="F1021" s="48" t="str">
        <x:v>When the Taking-Over Certificate has been issued for the Works, the first half of the Retention Money shall be certified by the Engineer for payment to the Contractor.</x:v>
      </x:c>
      <x:c r="G1021" s="48" t="str">
        <x:v>Obligation</x:v>
      </x:c>
      <x:c r="H1021" s="48" t="str">
        <x:v>Contractor</x:v>
      </x:c>
      <x:c r="I1021" s="48" t="n">
        <x:v>0.88</x:v>
      </x:c>
      <x:c r="J1021" s="48" t="n">
        <x:v>0.68</x:v>
      </x:c>
      <x:c r="K1021" s="48" t="str">
        <x:v>Yes</x:v>
      </x:c>
      <x:c r="L1021" s="48" t="str">
        <x:v>PDF text</x:v>
      </x:c>
    </x:row>
    <x:row r="1022">
      <x:c r="A1022" s="48" t="str">
        <x:v>UNI-1021</x:v>
      </x:c>
      <x:c r="B1022" s="48" t="str">
        <x:v>RED</x:v>
      </x:c>
      <x:c r="C1022" s="48" t="str">
        <x:v>English</x:v>
      </x:c>
      <x:c r="D1022" s="48" t="n">
        <x:v>61</x:v>
      </x:c>
      <x:c r="E1022" s="48" t="str"/>
      <x:c r="F1022" s="48" t="str">
        <x:v>If a Taking-Over Certificate is issued for a Section or part of the Works, a proportion of the Retention Money shall be certified and paid.</x:v>
      </x:c>
      <x:c r="G1022" s="48" t="str">
        <x:v>Obligation</x:v>
      </x:c>
      <x:c r="H1022" s="48" t="str">
        <x:v>Shared</x:v>
      </x:c>
      <x:c r="I1022" s="48" t="n">
        <x:v>0.88</x:v>
      </x:c>
      <x:c r="J1022" s="48" t="n">
        <x:v>0.4</x:v>
      </x:c>
      <x:c r="K1022" s="48" t="str">
        <x:v>Yes</x:v>
      </x:c>
      <x:c r="L1022" s="48" t="str">
        <x:v>PDF text</x:v>
      </x:c>
    </x:row>
    <x:row r="1023">
      <x:c r="A1023" s="48" t="str">
        <x:v>UNI-1022</x:v>
      </x:c>
      <x:c r="B1023" s="48" t="str">
        <x:v>RED</x:v>
      </x:c>
      <x:c r="C1023" s="48" t="str">
        <x:v>English</x:v>
      </x:c>
      <x:c r="D1023" s="48" t="n">
        <x:v>61</x:v>
      </x:c>
      <x:c r="E1023" s="48" t="str"/>
      <x:c r="F1023" s="48" t="str">
        <x:v>This proportion shall be two-fifths (40%) of the proportion calculated by dividing the estimated contract value of the Section or part, by the estimated final Contract Price.</x:v>
      </x:c>
      <x:c r="G1023" s="48" t="str">
        <x:v>Obligation</x:v>
      </x:c>
      <x:c r="H1023" s="48" t="str">
        <x:v>Shared</x:v>
      </x:c>
      <x:c r="I1023" s="48" t="n">
        <x:v>0.88</x:v>
      </x:c>
      <x:c r="J1023" s="48" t="n">
        <x:v>0.4</x:v>
      </x:c>
      <x:c r="K1023" s="48" t="str">
        <x:v>Yes</x:v>
      </x:c>
      <x:c r="L1023" s="48" t="str">
        <x:v>PDF text</x:v>
      </x:c>
    </x:row>
    <x:row r="1024">
      <x:c r="A1024" s="48" t="str">
        <x:v>UNI-1023</x:v>
      </x:c>
      <x:c r="B1024" s="48" t="str">
        <x:v>RED</x:v>
      </x:c>
      <x:c r="C1024" s="48" t="str">
        <x:v>English</x:v>
      </x:c>
      <x:c r="D1024" s="48" t="n">
        <x:v>61</x:v>
      </x:c>
      <x:c r="E1024" s="48" t="str"/>
      <x:c r="F1024" s="48" t="str">
        <x:v>Promptly after the latest of the expiry dates of the Defects Notification Periods, the outstanding balance of the Retention Money shall be certified by the Engineer for payment to the Contractor.</x:v>
      </x:c>
      <x:c r="G1024" s="48" t="str">
        <x:v>Obligation</x:v>
      </x:c>
      <x:c r="H1024" s="48" t="str">
        <x:v>Contractor</x:v>
      </x:c>
      <x:c r="I1024" s="48" t="n">
        <x:v>0.88</x:v>
      </x:c>
      <x:c r="J1024" s="48" t="n">
        <x:v>0.68</x:v>
      </x:c>
      <x:c r="K1024" s="48" t="str">
        <x:v>Yes</x:v>
      </x:c>
      <x:c r="L1024" s="48" t="str">
        <x:v>PDF text</x:v>
      </x:c>
    </x:row>
    <x:row r="1025">
      <x:c r="A1025" s="48" t="str">
        <x:v>UNI-1024</x:v>
      </x:c>
      <x:c r="B1025" s="48" t="str">
        <x:v>RED</x:v>
      </x:c>
      <x:c r="C1025" s="48" t="str">
        <x:v>English</x:v>
      </x:c>
      <x:c r="D1025" s="48" t="n">
        <x:v>61</x:v>
      </x:c>
      <x:c r="E1025" s="48" t="str"/>
      <x:c r="F1025" s="48" t="str">
        <x:v>If a Taking-Over Certificate was issued for a Section, a proportion of the second half of the Retention Money shall be certified and paid promptly after the expiry date of the Defects Notification Period for the Section.</x:v>
      </x:c>
      <x:c r="G1025" s="48" t="str">
        <x:v>Obligation</x:v>
      </x:c>
      <x:c r="H1025" s="48" t="str">
        <x:v>Shared</x:v>
      </x:c>
      <x:c r="I1025" s="48" t="n">
        <x:v>0.88</x:v>
      </x:c>
      <x:c r="J1025" s="48" t="n">
        <x:v>0.4</x:v>
      </x:c>
      <x:c r="K1025" s="48" t="str">
        <x:v>Yes</x:v>
      </x:c>
      <x:c r="L1025" s="48" t="str">
        <x:v>PDF text</x:v>
      </x:c>
    </x:row>
    <x:row r="1026">
      <x:c r="A1026" s="48" t="str">
        <x:v>UNI-1025</x:v>
      </x:c>
      <x:c r="B1026" s="48" t="str">
        <x:v>RED</x:v>
      </x:c>
      <x:c r="C1026" s="48" t="str">
        <x:v>English</x:v>
      </x:c>
      <x:c r="D1026" s="48" t="n">
        <x:v>61</x:v>
      </x:c>
      <x:c r="E1026" s="48" t="str"/>
      <x:c r="F1026" s="48" t="str">
        <x:v>This proportion shall be two-fifths (40%) of the proportion calculated by dividing the estimated contract value of the Section by the estimated final Contract Price.</x:v>
      </x:c>
      <x:c r="G1026" s="48" t="str">
        <x:v>Obligation</x:v>
      </x:c>
      <x:c r="H1026" s="48" t="str">
        <x:v>Shared</x:v>
      </x:c>
      <x:c r="I1026" s="48" t="n">
        <x:v>0.88</x:v>
      </x:c>
      <x:c r="J1026" s="48" t="n">
        <x:v>0.4</x:v>
      </x:c>
      <x:c r="K1026" s="48" t="str">
        <x:v>Yes</x:v>
      </x:c>
      <x:c r="L1026" s="48" t="str">
        <x:v>PDF text</x:v>
      </x:c>
    </x:row>
    <x:row r="1027">
      <x:c r="A1027" s="48" t="str">
        <x:v>UNI-1026</x:v>
      </x:c>
      <x:c r="B1027" s="48" t="str">
        <x:v>RED</x:v>
      </x:c>
      <x:c r="C1027" s="48" t="str">
        <x:v>English</x:v>
      </x:c>
      <x:c r="D1027" s="48" t="n">
        <x:v>61</x:v>
      </x:c>
      <x:c r="E1027" s="48" t="str"/>
      <x:c r="F1027" s="48" t="str">
        <x:v>However, if any work remains to be executed under Clause 11 [Defects Liability], the Engineer shall be entitled to withhold certification of the estimated cost of this work until it has been executed.</x:v>
      </x:c>
      <x:c r="G1027" s="48" t="str">
        <x:v>Risk</x:v>
      </x:c>
      <x:c r="H1027" s="48" t="str">
        <x:v>Shared</x:v>
      </x:c>
      <x:c r="I1027" s="48" t="n">
        <x:v>0.78</x:v>
      </x:c>
      <x:c r="J1027" s="48" t="n">
        <x:v>0.4</x:v>
      </x:c>
      <x:c r="K1027" s="48" t="str">
        <x:v>Yes</x:v>
      </x:c>
      <x:c r="L1027" s="48" t="str">
        <x:v>PDF text</x:v>
      </x:c>
    </x:row>
    <x:row r="1028">
      <x:c r="A1028" s="48" t="str">
        <x:v>UNI-1027</x:v>
      </x:c>
      <x:c r="B1028" s="48" t="str">
        <x:v>RED</x:v>
      </x:c>
      <x:c r="C1028" s="48" t="str">
        <x:v>English</x:v>
      </x:c>
      <x:c r="D1028" s="48" t="n">
        <x:v>61</x:v>
      </x:c>
      <x:c r="E1028" s="48" t="str"/>
      <x:c r="F1028" s="48" t="str">
        <x:v>When calculating these proportions, no account shall be taken of any adjustments</x:v>
      </x:c>
      <x:c r="G1028" s="48" t="str">
        <x:v>Obligation</x:v>
      </x:c>
      <x:c r="H1028" s="48" t="str">
        <x:v>Shared</x:v>
      </x:c>
      <x:c r="I1028" s="48" t="n">
        <x:v>0.88</x:v>
      </x:c>
      <x:c r="J1028" s="48" t="n">
        <x:v>0.4</x:v>
      </x:c>
      <x:c r="K1028" s="48" t="str">
        <x:v>Yes</x:v>
      </x:c>
      <x:c r="L1028" s="48" t="str">
        <x:v>PDF text</x:v>
      </x:c>
    </x:row>
    <x:row r="1029">
      <x:c r="A1029" s="48" t="str">
        <x:v>UNI-1028</x:v>
      </x:c>
      <x:c r="B1029" s="48" t="str">
        <x:v>RED</x:v>
      </x:c>
      <x:c r="C1029" s="48" t="str">
        <x:v>English</x:v>
      </x:c>
      <x:c r="D1029" s="48" t="n">
        <x:v>61</x:v>
      </x:c>
      <x:c r="E1029" s="48" t="str"/>
      <x:c r="F1029" s="48" t="str">
        <x:v>under Sub-Clause 13.7 [Adjustments for Changes in Legislation] and Sub-Clause</x:v>
      </x:c>
      <x:c r="G1029" s="48" t="str">
        <x:v>Obligation</x:v>
      </x:c>
      <x:c r="H1029" s="48" t="str">
        <x:v>Shared</x:v>
      </x:c>
      <x:c r="I1029" s="48" t="n">
        <x:v>0.45</x:v>
      </x:c>
      <x:c r="J1029" s="48" t="n">
        <x:v>0.4</x:v>
      </x:c>
      <x:c r="K1029" s="48" t="str">
        <x:v>Yes</x:v>
      </x:c>
      <x:c r="L1029" s="48" t="str">
        <x:v>PDF text</x:v>
      </x:c>
    </x:row>
    <x:row r="1030">
      <x:c r="A1030" s="48" t="str">
        <x:v>UNI-1029</x:v>
      </x:c>
      <x:c r="B1030" s="48" t="str">
        <x:v>RED</x:v>
      </x:c>
      <x:c r="C1030" s="48" t="str">
        <x:v>English</x:v>
      </x:c>
      <x:c r="D1030" s="48" t="n">
        <x:v>61</x:v>
      </x:c>
      <x:c r="E1030" s="48" t="str">
        <x:v>13.8</x:v>
      </x:c>
      <x:c r="F1030" s="48" t="str">
        <x:v>13.8 [Adjustments for Changes in Cost].</x:v>
      </x:c>
      <x:c r="G1030" s="48" t="str">
        <x:v>Obligation</x:v>
      </x:c>
      <x:c r="H1030" s="48" t="str">
        <x:v>Shared</x:v>
      </x:c>
      <x:c r="I1030" s="48" t="n">
        <x:v>0.45</x:v>
      </x:c>
      <x:c r="J1030" s="48" t="n">
        <x:v>0.4</x:v>
      </x:c>
      <x:c r="K1030" s="48" t="str">
        <x:v>Yes</x:v>
      </x:c>
      <x:c r="L1030" s="48" t="str">
        <x:v>PDF text</x:v>
      </x:c>
    </x:row>
    <x:row r="1031">
      <x:c r="A1031" s="48" t="str">
        <x:v>UNI-1030</x:v>
      </x:c>
      <x:c r="B1031" s="48" t="str">
        <x:v>RED</x:v>
      </x:c>
      <x:c r="C1031" s="48" t="str">
        <x:v>English</x:v>
      </x:c>
      <x:c r="D1031" s="48" t="n">
        <x:v>61</x:v>
      </x:c>
      <x:c r="E1031" s="48" t="str"/>
      <x:c r="F1031" s="48" t="str">
        <x:v>Unless otherwise stated in the Particular Conditions, when the Taking-Over Certificate has been issued for the Works and the first half of the Retention Money has been certified for payment by the Engineer, the Contractor shall be entitled to substitute a guarantee, in the form annexed to the Particular Conditions or in another form approved by the Employer and provided by an entity approved by the Employer, for the second half of the Retention Money.</x:v>
      </x:c>
      <x:c r="G1031" s="48" t="str">
        <x:v>Obligation</x:v>
      </x:c>
      <x:c r="H1031" s="48" t="str">
        <x:v>Contractor</x:v>
      </x:c>
      <x:c r="I1031" s="48" t="n">
        <x:v>0.88</x:v>
      </x:c>
      <x:c r="J1031" s="48" t="n">
        <x:v>0.92</x:v>
      </x:c>
      <x:c r="K1031" s="48" t="str">
        <x:v>No</x:v>
      </x:c>
      <x:c r="L1031" s="48" t="str">
        <x:v>PDF text</x:v>
      </x:c>
    </x:row>
    <x:row r="1032">
      <x:c r="A1032" s="48" t="str">
        <x:v>UNI-1031</x:v>
      </x:c>
      <x:c r="B1032" s="48" t="str">
        <x:v>RED</x:v>
      </x:c>
      <x:c r="C1032" s="48" t="str">
        <x:v>English</x:v>
      </x:c>
      <x:c r="D1032" s="48" t="n">
        <x:v>61</x:v>
      </x:c>
      <x:c r="E1032" s="48" t="str"/>
      <x:c r="F1032" s="48" t="str">
        <x:v>The Contractor shall ensure that the guarantee is in the amounts and currencies of the second half of the Retention Money and is valid and enforceable until the Contractor has executed and completed the Works and remedied any defects, as specified for the Performance Security in Sub-Clause 4.2.</x:v>
      </x:c>
      <x:c r="G1032" s="48" t="str">
        <x:v>Obligation</x:v>
      </x:c>
      <x:c r="H1032" s="48" t="str">
        <x:v>Contractor</x:v>
      </x:c>
      <x:c r="I1032" s="48" t="n">
        <x:v>0.88</x:v>
      </x:c>
      <x:c r="J1032" s="48" t="n">
        <x:v>0.92</x:v>
      </x:c>
      <x:c r="K1032" s="48" t="str">
        <x:v>No</x:v>
      </x:c>
      <x:c r="L1032" s="48" t="str">
        <x:v>PDF text</x:v>
      </x:c>
    </x:row>
    <x:row r="1033">
      <x:c r="A1033" s="48" t="str">
        <x:v>UNI-1032</x:v>
      </x:c>
      <x:c r="B1033" s="48" t="str">
        <x:v>RED</x:v>
      </x:c>
      <x:c r="C1033" s="48" t="str">
        <x:v>English</x:v>
      </x:c>
      <x:c r="D1033" s="48" t="n">
        <x:v>61</x:v>
      </x:c>
      <x:c r="E1033" s="48" t="str"/>
      <x:c r="F1033" s="48" t="str">
        <x:v>On receipt by the Employer of the required guarantee, the Engineer shall certify and the Employer shall pay the second half of the Retention Money.</x:v>
      </x:c>
      <x:c r="G1033" s="48" t="str">
        <x:v>Obligation</x:v>
      </x:c>
      <x:c r="H1033" s="48" t="str">
        <x:v>Employer</x:v>
      </x:c>
      <x:c r="I1033" s="48" t="n">
        <x:v>0.88</x:v>
      </x:c>
      <x:c r="J1033" s="48" t="n">
        <x:v>0.92</x:v>
      </x:c>
      <x:c r="K1033" s="48" t="str">
        <x:v>No</x:v>
      </x:c>
      <x:c r="L1033" s="48" t="str">
        <x:v>PDF text</x:v>
      </x:c>
    </x:row>
    <x:row r="1034">
      <x:c r="A1034" s="48" t="str">
        <x:v>UNI-1033</x:v>
      </x:c>
      <x:c r="B1034" s="48" t="str">
        <x:v>RED</x:v>
      </x:c>
      <x:c r="C1034" s="48" t="str">
        <x:v>English</x:v>
      </x:c>
      <x:c r="D1034" s="48" t="n">
        <x:v>61</x:v>
      </x:c>
      <x:c r="E1034" s="48" t="str"/>
      <x:c r="F1034" s="48" t="str">
        <x:v>The release of the second half of the Retention Money against a guarantee shall then be in lieu of the release under the second paragraph of this Sub-Clause.</x:v>
      </x:c>
      <x:c r="G1034" s="48" t="str">
        <x:v>Obligation</x:v>
      </x:c>
      <x:c r="H1034" s="48" t="str">
        <x:v>Shared</x:v>
      </x:c>
      <x:c r="I1034" s="48" t="n">
        <x:v>0.88</x:v>
      </x:c>
      <x:c r="J1034" s="48" t="n">
        <x:v>0.4</x:v>
      </x:c>
      <x:c r="K1034" s="48" t="str">
        <x:v>Yes</x:v>
      </x:c>
      <x:c r="L1034" s="48" t="str">
        <x:v>PDF text</x:v>
      </x:c>
    </x:row>
    <x:row r="1035">
      <x:c r="A1035" s="48" t="str">
        <x:v>UNI-1034</x:v>
      </x:c>
      <x:c r="B1035" s="48" t="str">
        <x:v>RED</x:v>
      </x:c>
      <x:c r="C1035" s="48" t="str">
        <x:v>English</x:v>
      </x:c>
      <x:c r="D1035" s="48" t="n">
        <x:v>61</x:v>
      </x:c>
      <x:c r="E1035" s="48" t="str"/>
      <x:c r="F1035" s="48" t="str">
        <x:v>The Employer shall return the guarantee to the Contractor within 21 days after receiving a copy of the Performance Certificate.</x:v>
      </x:c>
      <x:c r="G1035" s="48" t="str">
        <x:v>Obligation</x:v>
      </x:c>
      <x:c r="H1035" s="48" t="str">
        <x:v>Employer</x:v>
      </x:c>
      <x:c r="I1035" s="48" t="n">
        <x:v>0.88</x:v>
      </x:c>
      <x:c r="J1035" s="48" t="n">
        <x:v>0.92</x:v>
      </x:c>
      <x:c r="K1035" s="48" t="str">
        <x:v>No</x:v>
      </x:c>
      <x:c r="L1035" s="48" t="str">
        <x:v>PDF text</x:v>
      </x:c>
    </x:row>
    <x:row r="1036">
      <x:c r="A1036" s="48" t="str">
        <x:v>UNI-1035</x:v>
      </x:c>
      <x:c r="B1036" s="48" t="str">
        <x:v>RED</x:v>
      </x:c>
      <x:c r="C1036" s="48" t="str">
        <x:v>English</x:v>
      </x:c>
      <x:c r="D1036" s="48" t="n">
        <x:v>61</x:v>
      </x:c>
      <x:c r="E1036" s="48" t="str"/>
      <x:c r="F1036" s="48" t="str">
        <x:v>If the Performance Security required under Sub-Clause 4.2 is in the form of a demand guarantee, and the amount guaranteed under it when the Taking-Over Certificate is issued is more than half of the Retention Money, then the Retention Money guarantee 14.8</x:v>
      </x:c>
      <x:c r="G1036" s="48" t="str">
        <x:v>Obligation</x:v>
      </x:c>
      <x:c r="H1036" s="48" t="str">
        <x:v>Shared</x:v>
      </x:c>
      <x:c r="I1036" s="48" t="n">
        <x:v>0.55</x:v>
      </x:c>
      <x:c r="J1036" s="48" t="n">
        <x:v>0.4</x:v>
      </x:c>
      <x:c r="K1036" s="48" t="str">
        <x:v>Yes</x:v>
      </x:c>
      <x:c r="L1036" s="48" t="str">
        <x:v>PDF text</x:v>
      </x:c>
    </x:row>
    <x:row r="1037">
      <x:c r="A1037" s="48" t="str">
        <x:v>UNI-1036</x:v>
      </x:c>
      <x:c r="B1037" s="48" t="str">
        <x:v>RED</x:v>
      </x:c>
      <x:c r="C1037" s="48" t="str">
        <x:v>English</x:v>
      </x:c>
      <x:c r="D1037" s="48" t="n">
        <x:v>61</x:v>
      </x:c>
      <x:c r="E1037" s="48" t="str"/>
      <x:c r="F1037" s="48" t="str">
        <x:v>Delayed Payment</x:v>
      </x:c>
      <x:c r="G1037" s="48" t="str">
        <x:v>Obligation</x:v>
      </x:c>
      <x:c r="H1037" s="48" t="str">
        <x:v>Shared</x:v>
      </x:c>
      <x:c r="I1037" s="48" t="n">
        <x:v>0.55</x:v>
      </x:c>
      <x:c r="J1037" s="48" t="n">
        <x:v>0.4</x:v>
      </x:c>
      <x:c r="K1037" s="48" t="str">
        <x:v>Yes</x:v>
      </x:c>
      <x:c r="L1037" s="48" t="str">
        <x:v>PDF text</x:v>
      </x:c>
    </x:row>
    <x:row r="1038">
      <x:c r="A1038" s="48" t="str">
        <x:v>UNI-1037</x:v>
      </x:c>
      <x:c r="B1038" s="48" t="str">
        <x:v>RED</x:v>
      </x:c>
      <x:c r="C1038" s="48" t="str">
        <x:v>English</x:v>
      </x:c>
      <x:c r="D1038" s="48" t="n">
        <x:v>61</x:v>
      </x:c>
      <x:c r="E1038" s="48" t="str"/>
      <x:c r="F1038" s="48" t="str">
        <x:v>Payment of Retention</x:v>
      </x:c>
      <x:c r="G1038" s="48" t="str">
        <x:v>Obligation</x:v>
      </x:c>
      <x:c r="H1038" s="48" t="str">
        <x:v>Shared</x:v>
      </x:c>
      <x:c r="I1038" s="48" t="n">
        <x:v>0.55</x:v>
      </x:c>
      <x:c r="J1038" s="48" t="n">
        <x:v>0.4</x:v>
      </x:c>
      <x:c r="K1038" s="48" t="str">
        <x:v>Yes</x:v>
      </x:c>
      <x:c r="L1038" s="48" t="str">
        <x:v>PDF text</x:v>
      </x:c>
    </x:row>
    <x:row r="1039">
      <x:c r="A1039" s="48" t="str">
        <x:v>UNI-1038</x:v>
      </x:c>
      <x:c r="B1039" s="48" t="str">
        <x:v>RED</x:v>
      </x:c>
      <x:c r="C1039" s="48" t="str">
        <x:v>English</x:v>
      </x:c>
      <x:c r="D1039" s="48" t="n">
        <x:v>62</x:v>
      </x:c>
      <x:c r="E1039" s="48" t="str"/>
      <x:c r="F1039" s="48" t="str">
        <x:v>will not be required.</x:v>
      </x:c>
      <x:c r="G1039" s="48" t="str">
        <x:v>Obligation</x:v>
      </x:c>
      <x:c r="H1039" s="48" t="str">
        <x:v>Shared</x:v>
      </x:c>
      <x:c r="I1039" s="48" t="n">
        <x:v>0.45</x:v>
      </x:c>
      <x:c r="J1039" s="48" t="n">
        <x:v>0.4</x:v>
      </x:c>
      <x:c r="K1039" s="48" t="str">
        <x:v>Yes</x:v>
      </x:c>
      <x:c r="L1039" s="48" t="str">
        <x:v>PDF text</x:v>
      </x:c>
    </x:row>
    <x:row r="1040">
      <x:c r="A1040" s="48" t="str">
        <x:v>UNI-1039</x:v>
      </x:c>
      <x:c r="B1040" s="48" t="str">
        <x:v>RED</x:v>
      </x:c>
      <x:c r="C1040" s="48" t="str">
        <x:v>English</x:v>
      </x:c>
      <x:c r="D1040" s="48" t="n">
        <x:v>62</x:v>
      </x:c>
      <x:c r="E1040" s="48" t="str"/>
      <x:c r="F1040" s="48" t="str">
        <x:v>If the amount guaranteed under the Performance Security when the Taking-Over Certificate is issued is less than half of the Retention Money, the Retention Money guarantee will only be required for the difference between half of the Retention Money and the amount guaranteed under the Performance Security.</x:v>
      </x:c>
      <x:c r="G1040" s="48" t="str">
        <x:v>Obligation</x:v>
      </x:c>
      <x:c r="H1040" s="48" t="str">
        <x:v>Shared</x:v>
      </x:c>
      <x:c r="I1040" s="48" t="n">
        <x:v>0.55</x:v>
      </x:c>
      <x:c r="J1040" s="48" t="n">
        <x:v>0.4</x:v>
      </x:c>
      <x:c r="K1040" s="48" t="str">
        <x:v>Yes</x:v>
      </x:c>
      <x:c r="L1040" s="48" t="str">
        <x:v>PDF text</x:v>
      </x:c>
    </x:row>
    <x:row r="1041">
      <x:c r="A1041" s="48" t="str">
        <x:v>UNI-1040</x:v>
      </x:c>
      <x:c r="B1041" s="48" t="str">
        <x:v>RED</x:v>
      </x:c>
      <x:c r="C1041" s="48" t="str">
        <x:v>English</x:v>
      </x:c>
      <x:c r="D1041" s="48" t="n">
        <x:v>62</x:v>
      </x:c>
      <x:c r="E1041" s="48" t="str"/>
      <x:c r="F1041" s="48" t="str">
        <x:v>Within 84 days after receiving the Taking-Over Certificate for the Works, the Contractor shall submit to the Engineer six copies of a Statement at completion with supporting documents, in accordance with Sub-Clause 14.3 [Application for Interim Payment Certificates], showing: (a) the value of all work done in accordance with the Contract up to the date stated in the Taking-Over Certificate for the Works, (b) any further sums which the Contractor considers to be due, and (c) an estimate of any other amounts which the Contractor considers will become due to him under the Contract.</x:v>
      </x:c>
      <x:c r="G1041" s="48" t="str">
        <x:v>Obligation</x:v>
      </x:c>
      <x:c r="H1041" s="48" t="str">
        <x:v>Contractor</x:v>
      </x:c>
      <x:c r="I1041" s="48" t="n">
        <x:v>0.88</x:v>
      </x:c>
      <x:c r="J1041" s="48" t="n">
        <x:v>0.92</x:v>
      </x:c>
      <x:c r="K1041" s="48" t="str">
        <x:v>No</x:v>
      </x:c>
      <x:c r="L1041" s="48" t="str">
        <x:v>PDF text</x:v>
      </x:c>
    </x:row>
    <x:row r="1042">
      <x:c r="A1042" s="48" t="str">
        <x:v>UNI-1041</x:v>
      </x:c>
      <x:c r="B1042" s="48" t="str">
        <x:v>RED</x:v>
      </x:c>
      <x:c r="C1042" s="48" t="str">
        <x:v>English</x:v>
      </x:c>
      <x:c r="D1042" s="48" t="n">
        <x:v>62</x:v>
      </x:c>
      <x:c r="E1042" s="48" t="str"/>
      <x:c r="F1042" s="48" t="str">
        <x:v>Estimated amounts shall be shown separately in this Statement at completion.</x:v>
      </x:c>
      <x:c r="G1042" s="48" t="str">
        <x:v>Obligation</x:v>
      </x:c>
      <x:c r="H1042" s="48" t="str">
        <x:v>Shared</x:v>
      </x:c>
      <x:c r="I1042" s="48" t="n">
        <x:v>0.88</x:v>
      </x:c>
      <x:c r="J1042" s="48" t="n">
        <x:v>0.4</x:v>
      </x:c>
      <x:c r="K1042" s="48" t="str">
        <x:v>Yes</x:v>
      </x:c>
      <x:c r="L1042" s="48" t="str">
        <x:v>PDF text</x:v>
      </x:c>
    </x:row>
    <x:row r="1043">
      <x:c r="A1043" s="48" t="str">
        <x:v>UNI-1042</x:v>
      </x:c>
      <x:c r="B1043" s="48" t="str">
        <x:v>RED</x:v>
      </x:c>
      <x:c r="C1043" s="48" t="str">
        <x:v>English</x:v>
      </x:c>
      <x:c r="D1043" s="48" t="n">
        <x:v>62</x:v>
      </x:c>
      <x:c r="E1043" s="48" t="str"/>
      <x:c r="F1043" s="48" t="str">
        <x:v>The Engineer shall then certify in accordance with Sub-Clause 14.6 [Issue of Interim Payment Certificates].</x:v>
      </x:c>
      <x:c r="G1043" s="48" t="str">
        <x:v>Obligation</x:v>
      </x:c>
      <x:c r="H1043" s="48" t="str">
        <x:v>Shared</x:v>
      </x:c>
      <x:c r="I1043" s="48" t="n">
        <x:v>0.88</x:v>
      </x:c>
      <x:c r="J1043" s="48" t="n">
        <x:v>0.4</x:v>
      </x:c>
      <x:c r="K1043" s="48" t="str">
        <x:v>Yes</x:v>
      </x:c>
      <x:c r="L1043" s="48" t="str">
        <x:v>PDF text</x:v>
      </x:c>
    </x:row>
    <x:row r="1044">
      <x:c r="A1044" s="48" t="str">
        <x:v>UNI-1043</x:v>
      </x:c>
      <x:c r="B1044" s="48" t="str">
        <x:v>RED</x:v>
      </x:c>
      <x:c r="C1044" s="48" t="str">
        <x:v>English</x:v>
      </x:c>
      <x:c r="D1044" s="48" t="n">
        <x:v>62</x:v>
      </x:c>
      <x:c r="E1044" s="48" t="str"/>
      <x:c r="F1044" s="48" t="str">
        <x:v>Within 56 days after receiving the Performance Certificate, the Contractor shall submit, to the Engineer, six copies of a draft final statement with supporting documents showing in detail in a form approved by the Engineer: (a) the value of all work done in accordance with the Contract, and (b) any further sums which the Contractor considers to be due to him under the Contract or otherwise.</x:v>
      </x:c>
      <x:c r="G1044" s="48" t="str">
        <x:v>Obligation</x:v>
      </x:c>
      <x:c r="H1044" s="48" t="str">
        <x:v>Contractor</x:v>
      </x:c>
      <x:c r="I1044" s="48" t="n">
        <x:v>0.88</x:v>
      </x:c>
      <x:c r="J1044" s="48" t="n">
        <x:v>0.92</x:v>
      </x:c>
      <x:c r="K1044" s="48" t="str">
        <x:v>No</x:v>
      </x:c>
      <x:c r="L1044" s="48" t="str">
        <x:v>PDF text</x:v>
      </x:c>
    </x:row>
    <x:row r="1045">
      <x:c r="A1045" s="48" t="str">
        <x:v>UNI-1044</x:v>
      </x:c>
      <x:c r="B1045" s="48" t="str">
        <x:v>RED</x:v>
      </x:c>
      <x:c r="C1045" s="48" t="str">
        <x:v>English</x:v>
      </x:c>
      <x:c r="D1045" s="48" t="n">
        <x:v>62</x:v>
      </x:c>
      <x:c r="E1045" s="48" t="str"/>
      <x:c r="F1045" s="48" t="str">
        <x:v>If the Engineer disagrees with or cannot verify any part of the draft final statement, the</x:v>
      </x:c>
      <x:c r="G1045" s="48" t="str">
        <x:v>Obligation</x:v>
      </x:c>
      <x:c r="H1045" s="48" t="str">
        <x:v>Shared</x:v>
      </x:c>
      <x:c r="I1045" s="48" t="n">
        <x:v>0.45</x:v>
      </x:c>
      <x:c r="J1045" s="48" t="n">
        <x:v>0.4</x:v>
      </x:c>
      <x:c r="K1045" s="48" t="str">
        <x:v>Yes</x:v>
      </x:c>
      <x:c r="L1045" s="48" t="str">
        <x:v>PDF text</x:v>
      </x:c>
    </x:row>
    <x:row r="1046">
      <x:c r="A1046" s="48" t="str">
        <x:v>UNI-1045</x:v>
      </x:c>
      <x:c r="B1046" s="48" t="str">
        <x:v>RED</x:v>
      </x:c>
      <x:c r="C1046" s="48" t="str">
        <x:v>English</x:v>
      </x:c>
      <x:c r="D1046" s="48" t="n">
        <x:v>62</x:v>
      </x:c>
      <x:c r="E1046" s="48" t="str"/>
      <x:c r="F1046" s="48" t="str">
        <x:v>Contractor shall submit such further information as the Engineer may reasonably</x:v>
      </x:c>
      <x:c r="G1046" s="48" t="str">
        <x:v>Obligation</x:v>
      </x:c>
      <x:c r="H1046" s="48" t="str">
        <x:v>Contractor</x:v>
      </x:c>
      <x:c r="I1046" s="48" t="n">
        <x:v>0.88</x:v>
      </x:c>
      <x:c r="J1046" s="48" t="n">
        <x:v>0.68</x:v>
      </x:c>
      <x:c r="K1046" s="48" t="str">
        <x:v>Yes</x:v>
      </x:c>
      <x:c r="L1046" s="48" t="str">
        <x:v>PDF text</x:v>
      </x:c>
    </x:row>
    <x:row r="1047">
      <x:c r="A1047" s="48" t="str">
        <x:v>UNI-1046</x:v>
      </x:c>
      <x:c r="B1047" s="48" t="str">
        <x:v>RED</x:v>
      </x:c>
      <x:c r="C1047" s="48" t="str">
        <x:v>English</x:v>
      </x:c>
      <x:c r="D1047" s="48" t="n">
        <x:v>62</x:v>
      </x:c>
      <x:c r="E1047" s="48" t="str"/>
      <x:c r="F1047" s="48" t="str">
        <x:v>require and shall make such changes in the draft as may be agreed between them.</x:v>
      </x:c>
      <x:c r="G1047" s="48" t="str">
        <x:v>Obligation</x:v>
      </x:c>
      <x:c r="H1047" s="48" t="str">
        <x:v>Shared</x:v>
      </x:c>
      <x:c r="I1047" s="48" t="n">
        <x:v>0.88</x:v>
      </x:c>
      <x:c r="J1047" s="48" t="n">
        <x:v>0.4</x:v>
      </x:c>
      <x:c r="K1047" s="48" t="str">
        <x:v>Yes</x:v>
      </x:c>
      <x:c r="L1047" s="48" t="str">
        <x:v>PDF text</x:v>
      </x:c>
    </x:row>
    <x:row r="1048">
      <x:c r="A1048" s="48" t="str">
        <x:v>UNI-1047</x:v>
      </x:c>
      <x:c r="B1048" s="48" t="str">
        <x:v>RED</x:v>
      </x:c>
      <x:c r="C1048" s="48" t="str">
        <x:v>English</x:v>
      </x:c>
      <x:c r="D1048" s="48" t="n">
        <x:v>62</x:v>
      </x:c>
      <x:c r="E1048" s="48" t="str"/>
      <x:c r="F1048" s="48" t="str">
        <x:v>The Contractor shall then prepare and submit to the Engineer the final statement as agreed.</x:v>
      </x:c>
      <x:c r="G1048" s="48" t="str">
        <x:v>Obligation</x:v>
      </x:c>
      <x:c r="H1048" s="48" t="str">
        <x:v>Contractor</x:v>
      </x:c>
      <x:c r="I1048" s="48" t="n">
        <x:v>0.88</x:v>
      </x:c>
      <x:c r="J1048" s="48" t="n">
        <x:v>0.92</x:v>
      </x:c>
      <x:c r="K1048" s="48" t="str">
        <x:v>No</x:v>
      </x:c>
      <x:c r="L1048" s="48" t="str">
        <x:v>PDF text</x:v>
      </x:c>
    </x:row>
    <x:row r="1049">
      <x:c r="A1049" s="48" t="str">
        <x:v>UNI-1048</x:v>
      </x:c>
      <x:c r="B1049" s="48" t="str">
        <x:v>RED</x:v>
      </x:c>
      <x:c r="C1049" s="48" t="str">
        <x:v>English</x:v>
      </x:c>
      <x:c r="D1049" s="48" t="n">
        <x:v>62</x:v>
      </x:c>
      <x:c r="E1049" s="48" t="str"/>
      <x:c r="F1049" s="48" t="str">
        <x:v>This agreed statement is referred to in these Conditions as the “Final Statement".</x:v>
      </x:c>
      <x:c r="G1049" s="48" t="str">
        <x:v>Obligation</x:v>
      </x:c>
      <x:c r="H1049" s="48" t="str">
        <x:v>Shared</x:v>
      </x:c>
      <x:c r="I1049" s="48" t="n">
        <x:v>0.45</x:v>
      </x:c>
      <x:c r="J1049" s="48" t="n">
        <x:v>0.4</x:v>
      </x:c>
      <x:c r="K1049" s="48" t="str">
        <x:v>Yes</x:v>
      </x:c>
      <x:c r="L1049" s="48" t="str">
        <x:v>PDF text</x:v>
      </x:c>
    </x:row>
    <x:row r="1050">
      <x:c r="A1050" s="48" t="str">
        <x:v>UNI-1049</x:v>
      </x:c>
      <x:c r="B1050" s="48" t="str">
        <x:v>RED</x:v>
      </x:c>
      <x:c r="C1050" s="48" t="str">
        <x:v>English</x:v>
      </x:c>
      <x:c r="D1050" s="48" t="n">
        <x:v>62</x:v>
      </x:c>
      <x:c r="E1050" s="48" t="str"/>
      <x:c r="F1050" s="48" t="str">
        <x:v>However if, following discussions between the Engineer and the Contractor and any</x:v>
      </x:c>
      <x:c r="G1050" s="48" t="str">
        <x:v>Obligation</x:v>
      </x:c>
      <x:c r="H1050" s="48" t="str">
        <x:v>Contractor</x:v>
      </x:c>
      <x:c r="I1050" s="48" t="n">
        <x:v>0.45</x:v>
      </x:c>
      <x:c r="J1050" s="48" t="n">
        <x:v>0.68</x:v>
      </x:c>
      <x:c r="K1050" s="48" t="str">
        <x:v>Yes</x:v>
      </x:c>
      <x:c r="L1050" s="48" t="str">
        <x:v>PDF text</x:v>
      </x:c>
    </x:row>
    <x:row r="1051">
      <x:c r="A1051" s="48" t="str">
        <x:v>UNI-1050</x:v>
      </x:c>
      <x:c r="B1051" s="48" t="str">
        <x:v>RED</x:v>
      </x:c>
      <x:c r="C1051" s="48" t="str">
        <x:v>English</x:v>
      </x:c>
      <x:c r="D1051" s="48" t="n">
        <x:v>62</x:v>
      </x:c>
      <x:c r="E1051" s="48" t="str"/>
      <x:c r="F1051" s="48" t="str">
        <x:v>changes to the draft final statement which are agreed, it becomes evident that a dispute exists, the Engineer shall deliver to the Employer (with a copy to the Contractor) an Interim Payment Certificate for the agreed parts of the draft final statement.</x:v>
      </x:c>
      <x:c r="G1051" s="48" t="str">
        <x:v>Obligation</x:v>
      </x:c>
      <x:c r="H1051" s="48" t="str">
        <x:v>Shared</x:v>
      </x:c>
      <x:c r="I1051" s="48" t="n">
        <x:v>0.88</x:v>
      </x:c>
      <x:c r="J1051" s="48" t="n">
        <x:v>0.6</x:v>
      </x:c>
      <x:c r="K1051" s="48" t="str">
        <x:v>Yes</x:v>
      </x:c>
      <x:c r="L1051" s="48" t="str">
        <x:v>PDF text</x:v>
      </x:c>
    </x:row>
    <x:row r="1052">
      <x:c r="A1052" s="48" t="str">
        <x:v>UNI-1051</x:v>
      </x:c>
      <x:c r="B1052" s="48" t="str">
        <x:v>RED</x:v>
      </x:c>
      <x:c r="C1052" s="48" t="str">
        <x:v>English</x:v>
      </x:c>
      <x:c r="D1052" s="48" t="n">
        <x:v>62</x:v>
      </x:c>
      <x:c r="E1052" s="48" t="str"/>
      <x:c r="F1052" s="48" t="str">
        <x:v>Thereafter, if the dispute is finally resolved under Sub-Clause 20.4 [Obtaining Dispute Board’s Decision] or Sub-Clause 20.5 [Amicable Settlement], the</x:v>
      </x:c>
      <x:c r="G1052" s="48" t="str">
        <x:v>Obligation</x:v>
      </x:c>
      <x:c r="H1052" s="48" t="str">
        <x:v>Shared</x:v>
      </x:c>
      <x:c r="I1052" s="48" t="n">
        <x:v>0.55</x:v>
      </x:c>
      <x:c r="J1052" s="48" t="n">
        <x:v>0.4</x:v>
      </x:c>
      <x:c r="K1052" s="48" t="str">
        <x:v>Yes</x:v>
      </x:c>
      <x:c r="L1052" s="48" t="str">
        <x:v>PDF text</x:v>
      </x:c>
    </x:row>
    <x:row r="1053">
      <x:c r="A1053" s="48" t="str">
        <x:v>UNI-1052</x:v>
      </x:c>
      <x:c r="B1053" s="48" t="str">
        <x:v>RED</x:v>
      </x:c>
      <x:c r="C1053" s="48" t="str">
        <x:v>English</x:v>
      </x:c>
      <x:c r="D1053" s="48" t="n">
        <x:v>62</x:v>
      </x:c>
      <x:c r="E1053" s="48" t="str"/>
      <x:c r="F1053" s="48" t="str">
        <x:v>Contractor shall then prepare and submit to the Employer (with a copy to the</x:v>
      </x:c>
      <x:c r="G1053" s="48" t="str">
        <x:v>Obligation</x:v>
      </x:c>
      <x:c r="H1053" s="48" t="str">
        <x:v>Shared</x:v>
      </x:c>
      <x:c r="I1053" s="48" t="n">
        <x:v>0.88</x:v>
      </x:c>
      <x:c r="J1053" s="48" t="n">
        <x:v>0.6</x:v>
      </x:c>
      <x:c r="K1053" s="48" t="str">
        <x:v>Yes</x:v>
      </x:c>
      <x:c r="L1053" s="48" t="str">
        <x:v>PDF text</x:v>
      </x:c>
    </x:row>
    <x:row r="1054">
      <x:c r="A1054" s="48" t="str">
        <x:v>UNI-1053</x:v>
      </x:c>
      <x:c r="B1054" s="48" t="str">
        <x:v>RED</x:v>
      </x:c>
      <x:c r="C1054" s="48" t="str">
        <x:v>English</x:v>
      </x:c>
      <x:c r="D1054" s="48" t="n">
        <x:v>62</x:v>
      </x:c>
      <x:c r="E1054" s="48" t="str"/>
      <x:c r="F1054" s="48" t="str">
        <x:v>Engineer) a Final Statement.</x:v>
      </x:c>
      <x:c r="G1054" s="48" t="str">
        <x:v>Obligation</x:v>
      </x:c>
      <x:c r="H1054" s="48" t="str">
        <x:v>Shared</x:v>
      </x:c>
      <x:c r="I1054" s="48" t="n">
        <x:v>0.45</x:v>
      </x:c>
      <x:c r="J1054" s="48" t="n">
        <x:v>0.4</x:v>
      </x:c>
      <x:c r="K1054" s="48" t="str">
        <x:v>Yes</x:v>
      </x:c>
      <x:c r="L1054" s="48" t="str">
        <x:v>PDF text</x:v>
      </x:c>
    </x:row>
    <x:row r="1055">
      <x:c r="A1055" s="48" t="str">
        <x:v>UNI-1054</x:v>
      </x:c>
      <x:c r="B1055" s="48" t="str">
        <x:v>RED</x:v>
      </x:c>
      <x:c r="C1055" s="48" t="str">
        <x:v>English</x:v>
      </x:c>
      <x:c r="D1055" s="48" t="n">
        <x:v>62</x:v>
      </x:c>
      <x:c r="E1055" s="48" t="str"/>
      <x:c r="F1055" s="48" t="str">
        <x:v>When submitting the Final Statement, the Contractor shall submit a discharge which confirms that the total of the Final Statement represents full and final settlement of all moneys due to the Contractor under or in connection with the Contract.</x:v>
      </x:c>
      <x:c r="G1055" s="48" t="str">
        <x:v>Obligation</x:v>
      </x:c>
      <x:c r="H1055" s="48" t="str">
        <x:v>Contractor</x:v>
      </x:c>
      <x:c r="I1055" s="48" t="n">
        <x:v>0.88</x:v>
      </x:c>
      <x:c r="J1055" s="48" t="n">
        <x:v>0.92</x:v>
      </x:c>
      <x:c r="K1055" s="48" t="str">
        <x:v>No</x:v>
      </x:c>
      <x:c r="L1055" s="48" t="str">
        <x:v>PDF text</x:v>
      </x:c>
    </x:row>
    <x:row r="1056">
      <x:c r="A1056" s="48" t="str">
        <x:v>UNI-1055</x:v>
      </x:c>
      <x:c r="B1056" s="48" t="str">
        <x:v>RED</x:v>
      </x:c>
      <x:c r="C1056" s="48" t="str">
        <x:v>English</x:v>
      </x:c>
      <x:c r="D1056" s="48" t="n">
        <x:v>62</x:v>
      </x:c>
      <x:c r="E1056" s="48" t="str"/>
      <x:c r="F1056" s="48" t="str">
        <x:v>This discharge may state that it becomes effective when the Contractor has received the Performance Security and the outstanding balance of this total, in which event the discharge shall be effective on such date.</x:v>
      </x:c>
      <x:c r="G1056" s="48" t="str">
        <x:v>Obligation</x:v>
      </x:c>
      <x:c r="H1056" s="48" t="str">
        <x:v>Contractor</x:v>
      </x:c>
      <x:c r="I1056" s="48" t="n">
        <x:v>0.88</x:v>
      </x:c>
      <x:c r="J1056" s="48" t="n">
        <x:v>0.68</x:v>
      </x:c>
      <x:c r="K1056" s="48" t="str">
        <x:v>Yes</x:v>
      </x:c>
      <x:c r="L1056" s="48" t="str">
        <x:v>PDF text</x:v>
      </x:c>
    </x:row>
    <x:row r="1057">
      <x:c r="A1057" s="48" t="str">
        <x:v>UNI-1056</x:v>
      </x:c>
      <x:c r="B1057" s="48" t="str">
        <x:v>RED</x:v>
      </x:c>
      <x:c r="C1057" s="48" t="str">
        <x:v>English</x:v>
      </x:c>
      <x:c r="D1057" s="48" t="n">
        <x:v>62</x:v>
      </x:c>
      <x:c r="E1057" s="48" t="str"/>
      <x:c r="F1057" s="48" t="str">
        <x:v>Within 28 days after receiving the Final Statement and discharge in accordance with Sub-Clause 14.11 [Application for Final Payment Certificate] and Sub-Clause 14.12 14.10</x:v>
      </x:c>
      <x:c r="G1057" s="48" t="str">
        <x:v>Obligation</x:v>
      </x:c>
      <x:c r="H1057" s="48" t="str">
        <x:v>Shared</x:v>
      </x:c>
      <x:c r="I1057" s="48" t="n">
        <x:v>0.55</x:v>
      </x:c>
      <x:c r="J1057" s="48" t="n">
        <x:v>0.4</x:v>
      </x:c>
      <x:c r="K1057" s="48" t="str">
        <x:v>Yes</x:v>
      </x:c>
      <x:c r="L1057" s="48" t="str">
        <x:v>PDF text</x:v>
      </x:c>
    </x:row>
    <x:row r="1058">
      <x:c r="A1058" s="48" t="str">
        <x:v>UNI-1057</x:v>
      </x:c>
      <x:c r="B1058" s="48" t="str">
        <x:v>RED</x:v>
      </x:c>
      <x:c r="C1058" s="48" t="str">
        <x:v>English</x:v>
      </x:c>
      <x:c r="D1058" s="48" t="n">
        <x:v>62</x:v>
      </x:c>
      <x:c r="E1058" s="48" t="str"/>
      <x:c r="F1058" s="48" t="str">
        <x:v>Statement at Completion</x:v>
      </x:c>
      <x:c r="G1058" s="48" t="str">
        <x:v>Obligation</x:v>
      </x:c>
      <x:c r="H1058" s="48" t="str">
        <x:v>Shared</x:v>
      </x:c>
      <x:c r="I1058" s="48" t="n">
        <x:v>0.45</x:v>
      </x:c>
      <x:c r="J1058" s="48" t="n">
        <x:v>0.4</x:v>
      </x:c>
      <x:c r="K1058" s="48" t="str">
        <x:v>Yes</x:v>
      </x:c>
      <x:c r="L1058" s="48" t="str">
        <x:v>PDF text</x:v>
      </x:c>
    </x:row>
    <x:row r="1059">
      <x:c r="A1059" s="48" t="str">
        <x:v>UNI-1058</x:v>
      </x:c>
      <x:c r="B1059" s="48" t="str">
        <x:v>RED</x:v>
      </x:c>
      <x:c r="C1059" s="48" t="str">
        <x:v>English</x:v>
      </x:c>
      <x:c r="D1059" s="48" t="n">
        <x:v>62</x:v>
      </x:c>
      <x:c r="E1059" s="48" t="str"/>
      <x:c r="F1059" s="48" t="str">
        <x:v>Application for Final</x:v>
      </x:c>
      <x:c r="G1059" s="48" t="str">
        <x:v>Obligation</x:v>
      </x:c>
      <x:c r="H1059" s="48" t="str">
        <x:v>Shared</x:v>
      </x:c>
      <x:c r="I1059" s="48" t="n">
        <x:v>0.45</x:v>
      </x:c>
      <x:c r="J1059" s="48" t="n">
        <x:v>0.4</x:v>
      </x:c>
      <x:c r="K1059" s="48" t="str">
        <x:v>Yes</x:v>
      </x:c>
      <x:c r="L1059" s="48" t="str">
        <x:v>PDF text</x:v>
      </x:c>
    </x:row>
    <x:row r="1060">
      <x:c r="A1060" s="48" t="str">
        <x:v>UNI-1059</x:v>
      </x:c>
      <x:c r="B1060" s="48" t="str">
        <x:v>RED</x:v>
      </x:c>
      <x:c r="C1060" s="48" t="str">
        <x:v>English</x:v>
      </x:c>
      <x:c r="D1060" s="48" t="n">
        <x:v>62</x:v>
      </x:c>
      <x:c r="E1060" s="48" t="str"/>
      <x:c r="F1060" s="48" t="str">
        <x:v>Payment Certificate</x:v>
      </x:c>
      <x:c r="G1060" s="48" t="str">
        <x:v>Obligation</x:v>
      </x:c>
      <x:c r="H1060" s="48" t="str">
        <x:v>Shared</x:v>
      </x:c>
      <x:c r="I1060" s="48" t="n">
        <x:v>0.55</x:v>
      </x:c>
      <x:c r="J1060" s="48" t="n">
        <x:v>0.4</x:v>
      </x:c>
      <x:c r="K1060" s="48" t="str">
        <x:v>Yes</x:v>
      </x:c>
      <x:c r="L1060" s="48" t="str">
        <x:v>PDF text</x:v>
      </x:c>
    </x:row>
    <x:row r="1061">
      <x:c r="A1061" s="48" t="str">
        <x:v>UNI-1060</x:v>
      </x:c>
      <x:c r="B1061" s="48" t="str">
        <x:v>RED</x:v>
      </x:c>
      <x:c r="C1061" s="48" t="str">
        <x:v>English</x:v>
      </x:c>
      <x:c r="D1061" s="48" t="n">
        <x:v>62</x:v>
      </x:c>
      <x:c r="E1061" s="48" t="str"/>
      <x:c r="F1061" s="48" t="str">
        <x:v>Discharge</x:v>
      </x:c>
      <x:c r="G1061" s="48" t="str">
        <x:v>Obligation</x:v>
      </x:c>
      <x:c r="H1061" s="48" t="str">
        <x:v>Shared</x:v>
      </x:c>
      <x:c r="I1061" s="48" t="n">
        <x:v>0.45</x:v>
      </x:c>
      <x:c r="J1061" s="48" t="n">
        <x:v>0.4</x:v>
      </x:c>
      <x:c r="K1061" s="48" t="str">
        <x:v>Yes</x:v>
      </x:c>
      <x:c r="L1061" s="48" t="str">
        <x:v>PDF text</x:v>
      </x:c>
    </x:row>
    <x:row r="1062">
      <x:c r="A1062" s="48" t="str">
        <x:v>UNI-1061</x:v>
      </x:c>
      <x:c r="B1062" s="48" t="str">
        <x:v>RED</x:v>
      </x:c>
      <x:c r="C1062" s="48" t="str">
        <x:v>English</x:v>
      </x:c>
      <x:c r="D1062" s="48" t="n">
        <x:v>62</x:v>
      </x:c>
      <x:c r="E1062" s="48" t="str"/>
      <x:c r="F1062" s="48" t="str">
        <x:v>Issue of Final Payment</x:v>
      </x:c>
      <x:c r="G1062" s="48" t="str">
        <x:v>Obligation</x:v>
      </x:c>
      <x:c r="H1062" s="48" t="str">
        <x:v>Shared</x:v>
      </x:c>
      <x:c r="I1062" s="48" t="n">
        <x:v>0.55</x:v>
      </x:c>
      <x:c r="J1062" s="48" t="n">
        <x:v>0.4</x:v>
      </x:c>
      <x:c r="K1062" s="48" t="str">
        <x:v>Yes</x:v>
      </x:c>
      <x:c r="L1062" s="48" t="str">
        <x:v>PDF text</x:v>
      </x:c>
    </x:row>
    <x:row r="1063">
      <x:c r="A1063" s="48" t="str">
        <x:v>UNI-1062</x:v>
      </x:c>
      <x:c r="B1063" s="48" t="str">
        <x:v>RED</x:v>
      </x:c>
      <x:c r="C1063" s="48" t="str">
        <x:v>English</x:v>
      </x:c>
      <x:c r="D1063" s="48" t="n">
        <x:v>62</x:v>
      </x:c>
      <x:c r="E1063" s="48" t="str"/>
      <x:c r="F1063" s="48" t="str">
        <x:v>Certificate</x:v>
      </x:c>
      <x:c r="G1063" s="48" t="str">
        <x:v>Obligation</x:v>
      </x:c>
      <x:c r="H1063" s="48" t="str">
        <x:v>Shared</x:v>
      </x:c>
      <x:c r="I1063" s="48" t="n">
        <x:v>0.55</x:v>
      </x:c>
      <x:c r="J1063" s="48" t="n">
        <x:v>0.4</x:v>
      </x:c>
      <x:c r="K1063" s="48" t="str">
        <x:v>Yes</x:v>
      </x:c>
      <x:c r="L1063" s="48" t="str">
        <x:v>PDF text</x:v>
      </x:c>
    </x:row>
    <x:row r="1064">
      <x:c r="A1064" s="48" t="str">
        <x:v>UNI-1063</x:v>
      </x:c>
      <x:c r="B1064" s="48" t="str">
        <x:v>RED</x:v>
      </x:c>
      <x:c r="C1064" s="48" t="str">
        <x:v>English</x:v>
      </x:c>
      <x:c r="D1064" s="48" t="n">
        <x:v>63</x:v>
      </x:c>
      <x:c r="E1064" s="48" t="str"/>
      <x:c r="F1064" s="48" t="str">
        <x:v>[Discharge], the Engineer shall issue, to the Employer, the Final Payment Certificate which shall state: (a) the amount which he fairly determines is finally due, and (b) after giving credit to the Employer for all amounts previously paid by the</x:v>
      </x:c>
      <x:c r="G1064" s="48" t="str">
        <x:v>Obligation</x:v>
      </x:c>
      <x:c r="H1064" s="48" t="str">
        <x:v>Employer</x:v>
      </x:c>
      <x:c r="I1064" s="48" t="n">
        <x:v>0.88</x:v>
      </x:c>
      <x:c r="J1064" s="48" t="n">
        <x:v>0.68</x:v>
      </x:c>
      <x:c r="K1064" s="48" t="str">
        <x:v>Yes</x:v>
      </x:c>
      <x:c r="L1064" s="48" t="str">
        <x:v>PDF text</x:v>
      </x:c>
    </x:row>
    <x:row r="1065">
      <x:c r="A1065" s="48" t="str">
        <x:v>UNI-1064</x:v>
      </x:c>
      <x:c r="B1065" s="48" t="str">
        <x:v>RED</x:v>
      </x:c>
      <x:c r="C1065" s="48" t="str">
        <x:v>English</x:v>
      </x:c>
      <x:c r="D1065" s="48" t="n">
        <x:v>63</x:v>
      </x:c>
      <x:c r="E1065" s="48" t="str"/>
      <x:c r="F1065" s="48" t="str">
        <x:v>Employer and for all sums to which the Employer is entitled, the balance (if any)</x:v>
      </x:c>
      <x:c r="G1065" s="48" t="str">
        <x:v>Obligation</x:v>
      </x:c>
      <x:c r="H1065" s="48" t="str">
        <x:v>Employer</x:v>
      </x:c>
      <x:c r="I1065" s="48" t="n">
        <x:v>0.45</x:v>
      </x:c>
      <x:c r="J1065" s="48" t="n">
        <x:v>0.68</x:v>
      </x:c>
      <x:c r="K1065" s="48" t="str">
        <x:v>Yes</x:v>
      </x:c>
      <x:c r="L1065" s="48" t="str">
        <x:v>PDF text</x:v>
      </x:c>
    </x:row>
    <x:row r="1066">
      <x:c r="A1066" s="48" t="str">
        <x:v>UNI-1065</x:v>
      </x:c>
      <x:c r="B1066" s="48" t="str">
        <x:v>RED</x:v>
      </x:c>
      <x:c r="C1066" s="48" t="str">
        <x:v>English</x:v>
      </x:c>
      <x:c r="D1066" s="48" t="n">
        <x:v>63</x:v>
      </x:c>
      <x:c r="E1066" s="48" t="str"/>
      <x:c r="F1066" s="48" t="str">
        <x:v>due from the Employer to the Contractor or from the Contractor to the Employer, as the case may be.</x:v>
      </x:c>
      <x:c r="G1066" s="48" t="str">
        <x:v>Right</x:v>
      </x:c>
      <x:c r="H1066" s="48" t="str">
        <x:v>Shared</x:v>
      </x:c>
      <x:c r="I1066" s="48" t="n">
        <x:v>0.78</x:v>
      </x:c>
      <x:c r="J1066" s="48" t="n">
        <x:v>0.6</x:v>
      </x:c>
      <x:c r="K1066" s="48" t="str">
        <x:v>Yes</x:v>
      </x:c>
      <x:c r="L1066" s="48" t="str">
        <x:v>PDF text</x:v>
      </x:c>
    </x:row>
    <x:row r="1067">
      <x:c r="A1067" s="48" t="str">
        <x:v>UNI-1066</x:v>
      </x:c>
      <x:c r="B1067" s="48" t="str">
        <x:v>RED</x:v>
      </x:c>
      <x:c r="C1067" s="48" t="str">
        <x:v>English</x:v>
      </x:c>
      <x:c r="D1067" s="48" t="n">
        <x:v>63</x:v>
      </x:c>
      <x:c r="E1067" s="48" t="str"/>
      <x:c r="F1067" s="48" t="str">
        <x:v>If the Contractor has not applied for a Final Payment Certificate in accordance with Sub-Clause 14.11 [Application for Final Payment Certificate] and Sub-Clause 14.12 [Discharge], the Engineer shall request the Contractor to do so.</x:v>
      </x:c>
      <x:c r="G1067" s="48" t="str">
        <x:v>Obligation</x:v>
      </x:c>
      <x:c r="H1067" s="48" t="str">
        <x:v>Contractor</x:v>
      </x:c>
      <x:c r="I1067" s="48" t="n">
        <x:v>0.88</x:v>
      </x:c>
      <x:c r="J1067" s="48" t="n">
        <x:v>0.68</x:v>
      </x:c>
      <x:c r="K1067" s="48" t="str">
        <x:v>Yes</x:v>
      </x:c>
      <x:c r="L1067" s="48" t="str">
        <x:v>PDF text</x:v>
      </x:c>
    </x:row>
    <x:row r="1068">
      <x:c r="A1068" s="48" t="str">
        <x:v>UNI-1067</x:v>
      </x:c>
      <x:c r="B1068" s="48" t="str">
        <x:v>RED</x:v>
      </x:c>
      <x:c r="C1068" s="48" t="str">
        <x:v>English</x:v>
      </x:c>
      <x:c r="D1068" s="48" t="n">
        <x:v>63</x:v>
      </x:c>
      <x:c r="E1068" s="48" t="str"/>
      <x:c r="F1068" s="48" t="str">
        <x:v>If the Contractor fails to submit an application within a period of 28 days, the Engineer shall issue the Final Payment Certificate for such amount as he fairly determines to be due.</x:v>
      </x:c>
      <x:c r="G1068" s="48" t="str">
        <x:v>Obligation</x:v>
      </x:c>
      <x:c r="H1068" s="48" t="str">
        <x:v>Contractor</x:v>
      </x:c>
      <x:c r="I1068" s="48" t="n">
        <x:v>0.88</x:v>
      </x:c>
      <x:c r="J1068" s="48" t="n">
        <x:v>0.68</x:v>
      </x:c>
      <x:c r="K1068" s="48" t="str">
        <x:v>Yes</x:v>
      </x:c>
      <x:c r="L1068" s="48" t="str">
        <x:v>PDF text</x:v>
      </x:c>
    </x:row>
    <x:row r="1069">
      <x:c r="A1069" s="48" t="str">
        <x:v>UNI-1068</x:v>
      </x:c>
      <x:c r="B1069" s="48" t="str">
        <x:v>RED</x:v>
      </x:c>
      <x:c r="C1069" s="48" t="str">
        <x:v>English</x:v>
      </x:c>
      <x:c r="D1069" s="48" t="n">
        <x:v>63</x:v>
      </x:c>
      <x:c r="E1069" s="48" t="str"/>
      <x:c r="F1069" s="48" t="str">
        <x:v>The Employer shall not be liable to the Contractor for any matter or thing under or in connection with the Contract or execution of the Works, except to the extent that the Contractor shall have included an amount expressly for it: (a) in the Final Statement and also (b) (except for matters or things arising after the issue of the Taking-Over Certificate for the Works) in the Statement at completion described in Sub-Clause 14.10 [Statement at Completion].</x:v>
      </x:c>
      <x:c r="G1069" s="48" t="str">
        <x:v>Risk</x:v>
      </x:c>
      <x:c r="H1069" s="48" t="str">
        <x:v>Contractor</x:v>
      </x:c>
      <x:c r="I1069" s="48" t="n">
        <x:v>0.78</x:v>
      </x:c>
      <x:c r="J1069" s="48" t="n">
        <x:v>0.92</x:v>
      </x:c>
      <x:c r="K1069" s="48" t="str">
        <x:v>No</x:v>
      </x:c>
      <x:c r="L1069" s="48" t="str">
        <x:v>PDF text</x:v>
      </x:c>
    </x:row>
    <x:row r="1070">
      <x:c r="A1070" s="48" t="str">
        <x:v>UNI-1069</x:v>
      </x:c>
      <x:c r="B1070" s="48" t="str">
        <x:v>RED</x:v>
      </x:c>
      <x:c r="C1070" s="48" t="str">
        <x:v>English</x:v>
      </x:c>
      <x:c r="D1070" s="48" t="n">
        <x:v>63</x:v>
      </x:c>
      <x:c r="E1070" s="48" t="str"/>
      <x:c r="F1070" s="48" t="str">
        <x:v>However, this Sub-Clause shall not limit the Employer’s liability under his</x:v>
      </x:c>
      <x:c r="G1070" s="48" t="str">
        <x:v>Risk</x:v>
      </x:c>
      <x:c r="H1070" s="48" t="str">
        <x:v>Employer</x:v>
      </x:c>
      <x:c r="I1070" s="48" t="n">
        <x:v>0.78</x:v>
      </x:c>
      <x:c r="J1070" s="48" t="n">
        <x:v>0.68</x:v>
      </x:c>
      <x:c r="K1070" s="48" t="str">
        <x:v>Yes</x:v>
      </x:c>
      <x:c r="L1070" s="48" t="str">
        <x:v>PDF text</x:v>
      </x:c>
    </x:row>
    <x:row r="1071">
      <x:c r="A1071" s="48" t="str">
        <x:v>UNI-1070</x:v>
      </x:c>
      <x:c r="B1071" s="48" t="str">
        <x:v>RED</x:v>
      </x:c>
      <x:c r="C1071" s="48" t="str">
        <x:v>English</x:v>
      </x:c>
      <x:c r="D1071" s="48" t="n">
        <x:v>63</x:v>
      </x:c>
      <x:c r="E1071" s="48" t="str"/>
      <x:c r="F1071" s="48" t="str">
        <x:v>indemnification obligations, or the Employer’s liability in any case of fraud, deliberate default or reckless misconduct by the Employer.</x:v>
      </x:c>
      <x:c r="G1071" s="48" t="str">
        <x:v>Risk</x:v>
      </x:c>
      <x:c r="H1071" s="48" t="str">
        <x:v>Employer</x:v>
      </x:c>
      <x:c r="I1071" s="48" t="n">
        <x:v>0.78</x:v>
      </x:c>
      <x:c r="J1071" s="48" t="n">
        <x:v>0.68</x:v>
      </x:c>
      <x:c r="K1071" s="48" t="str">
        <x:v>Yes</x:v>
      </x:c>
      <x:c r="L1071" s="48" t="str">
        <x:v>PDF text</x:v>
      </x:c>
    </x:row>
    <x:row r="1072">
      <x:c r="A1072" s="48" t="str">
        <x:v>UNI-1071</x:v>
      </x:c>
      <x:c r="B1072" s="48" t="str">
        <x:v>RED</x:v>
      </x:c>
      <x:c r="C1072" s="48" t="str">
        <x:v>English</x:v>
      </x:c>
      <x:c r="D1072" s="48" t="n">
        <x:v>63</x:v>
      </x:c>
      <x:c r="E1072" s="48" t="str"/>
      <x:c r="F1072" s="48" t="str">
        <x:v>The Contract Price shall be paid in the currency or currencies named in the Schedule of Payment Currencies.</x:v>
      </x:c>
      <x:c r="G1072" s="48" t="str">
        <x:v>Obligation</x:v>
      </x:c>
      <x:c r="H1072" s="48" t="str">
        <x:v>Shared</x:v>
      </x:c>
      <x:c r="I1072" s="48" t="n">
        <x:v>0.88</x:v>
      </x:c>
      <x:c r="J1072" s="48" t="n">
        <x:v>0.4</x:v>
      </x:c>
      <x:c r="K1072" s="48" t="str">
        <x:v>Yes</x:v>
      </x:c>
      <x:c r="L1072" s="48" t="str">
        <x:v>PDF text</x:v>
      </x:c>
    </x:row>
    <x:row r="1073">
      <x:c r="A1073" s="48" t="str">
        <x:v>UNI-1072</x:v>
      </x:c>
      <x:c r="B1073" s="48" t="str">
        <x:v>RED</x:v>
      </x:c>
      <x:c r="C1073" s="48" t="str">
        <x:v>English</x:v>
      </x:c>
      <x:c r="D1073" s="48" t="n">
        <x:v>63</x:v>
      </x:c>
      <x:c r="E1073" s="48" t="str"/>
      <x:c r="F1073" s="48" t="str">
        <x:v>Cessation of Employer’s</x:v>
      </x:c>
      <x:c r="G1073" s="48" t="str">
        <x:v>Obligation</x:v>
      </x:c>
      <x:c r="H1073" s="48" t="str">
        <x:v>Employer</x:v>
      </x:c>
      <x:c r="I1073" s="48" t="n">
        <x:v>0.45</x:v>
      </x:c>
      <x:c r="J1073" s="48" t="n">
        <x:v>0.68</x:v>
      </x:c>
      <x:c r="K1073" s="48" t="str">
        <x:v>Yes</x:v>
      </x:c>
      <x:c r="L1073" s="48" t="str">
        <x:v>PDF text</x:v>
      </x:c>
    </x:row>
    <x:row r="1074">
      <x:c r="A1074" s="48" t="str">
        <x:v>UNI-1073</x:v>
      </x:c>
      <x:c r="B1074" s="48" t="str">
        <x:v>RED</x:v>
      </x:c>
      <x:c r="C1074" s="48" t="str">
        <x:v>English</x:v>
      </x:c>
      <x:c r="D1074" s="48" t="n">
        <x:v>63</x:v>
      </x:c>
      <x:c r="E1074" s="48" t="str"/>
      <x:c r="F1074" s="48" t="str">
        <x:v>Currencies of Payment</x:v>
      </x:c>
      <x:c r="G1074" s="48" t="str">
        <x:v>Obligation</x:v>
      </x:c>
      <x:c r="H1074" s="48" t="str">
        <x:v>Shared</x:v>
      </x:c>
      <x:c r="I1074" s="48" t="n">
        <x:v>0.55</x:v>
      </x:c>
      <x:c r="J1074" s="48" t="n">
        <x:v>0.4</x:v>
      </x:c>
      <x:c r="K1074" s="48" t="str">
        <x:v>Yes</x:v>
      </x:c>
      <x:c r="L1074" s="48" t="str">
        <x:v>PDF text</x:v>
      </x:c>
    </x:row>
    <x:row r="1075">
      <x:c r="A1075" s="48" t="str">
        <x:v>UNI-1074</x:v>
      </x:c>
      <x:c r="B1075" s="48" t="str">
        <x:v>RED</x:v>
      </x:c>
      <x:c r="C1075" s="48" t="str">
        <x:v>English</x:v>
      </x:c>
      <x:c r="D1075" s="48" t="n">
        <x:v>64</x:v>
      </x:c>
      <x:c r="E1075" s="48" t="str"/>
      <x:c r="F1075" s="48" t="str">
        <x:v>(e) if no rates of exchange are stated in the Schedule of Payment Currencies, they shall be those prevailing on the Base Date and determined by the central bank of the Country.</x:v>
      </x:c>
      <x:c r="G1075" s="48" t="str">
        <x:v>Obligation</x:v>
      </x:c>
      <x:c r="H1075" s="48" t="str">
        <x:v>Shared</x:v>
      </x:c>
      <x:c r="I1075" s="48" t="n">
        <x:v>0.88</x:v>
      </x:c>
      <x:c r="J1075" s="48" t="n">
        <x:v>0.4</x:v>
      </x:c>
      <x:c r="K1075" s="48" t="str">
        <x:v>Yes</x:v>
      </x:c>
      <x:c r="L1075" s="48" t="str">
        <x:v>PDF text</x:v>
      </x:c>
    </x:row>
    <x:row r="1076">
      <x:c r="A1076" s="48" t="str">
        <x:v>UNI-1075</x:v>
      </x:c>
      <x:c r="B1076" s="48" t="str">
        <x:v>RED</x:v>
      </x:c>
      <x:c r="C1076" s="48" t="str">
        <x:v>English</x:v>
      </x:c>
      <x:c r="D1076" s="48" t="n">
        <x:v>64</x:v>
      </x:c>
      <x:c r="E1076" s="48" t="str"/>
      <x:c r="F1076" s="48" t="str">
        <x:v>If the Contractor fails to carry out any obligation under the Contract, the Engineer may by notice require the Contractor to make good the failure and to remedy it within a specified reasonable time.</x:v>
      </x:c>
      <x:c r="G1076" s="48" t="str">
        <x:v>Risk</x:v>
      </x:c>
      <x:c r="H1076" s="48" t="str">
        <x:v>Contractor</x:v>
      </x:c>
      <x:c r="I1076" s="48" t="n">
        <x:v>0.78</x:v>
      </x:c>
      <x:c r="J1076" s="48" t="n">
        <x:v>0.68</x:v>
      </x:c>
      <x:c r="K1076" s="48" t="str">
        <x:v>Yes</x:v>
      </x:c>
      <x:c r="L1076" s="48" t="str">
        <x:v>PDF text</x:v>
      </x:c>
    </x:row>
    <x:row r="1077">
      <x:c r="A1077" s="48" t="str">
        <x:v>UNI-1076</x:v>
      </x:c>
      <x:c r="B1077" s="48" t="str">
        <x:v>RED</x:v>
      </x:c>
      <x:c r="C1077" s="48" t="str">
        <x:v>English</x:v>
      </x:c>
      <x:c r="D1077" s="48" t="n">
        <x:v>64</x:v>
      </x:c>
      <x:c r="E1077" s="48" t="str"/>
      <x:c r="F1077" s="48" t="str">
        <x:v>However, lawful inducements and rewards to Contractor’s Personnel shall not entitle termination.</x:v>
      </x:c>
      <x:c r="G1077" s="48" t="str">
        <x:v>Obligation</x:v>
      </x:c>
      <x:c r="H1077" s="48" t="str">
        <x:v>Contractor</x:v>
      </x:c>
      <x:c r="I1077" s="48" t="n">
        <x:v>0.88</x:v>
      </x:c>
      <x:c r="J1077" s="48" t="n">
        <x:v>0.68</x:v>
      </x:c>
      <x:c r="K1077" s="48" t="str">
        <x:v>Yes</x:v>
      </x:c>
      <x:c r="L1077" s="48" t="str">
        <x:v>PDF text</x:v>
      </x:c>
    </x:row>
    <x:row r="1078">
      <x:c r="A1078" s="48" t="str">
        <x:v>UNI-1077</x:v>
      </x:c>
      <x:c r="B1078" s="48" t="str">
        <x:v>RED</x:v>
      </x:c>
      <x:c r="C1078" s="48" t="str">
        <x:v>English</x:v>
      </x:c>
      <x:c r="D1078" s="48" t="n">
        <x:v>64</x:v>
      </x:c>
      <x:c r="E1078" s="48" t="str"/>
      <x:c r="F1078" s="48" t="str">
        <x:v>In any of these events or circumstances, the Employer may, upon giving 14 days’ notice to the Contractor, terminate the Contract and expel the Contractor from the Site.</x:v>
      </x:c>
      <x:c r="G1078" s="48" t="str">
        <x:v>Obligation</x:v>
      </x:c>
      <x:c r="H1078" s="48" t="str">
        <x:v>Shared</x:v>
      </x:c>
      <x:c r="I1078" s="48" t="n">
        <x:v>0.55</x:v>
      </x:c>
      <x:c r="J1078" s="48" t="n">
        <x:v>0.6</x:v>
      </x:c>
      <x:c r="K1078" s="48" t="str">
        <x:v>Yes</x:v>
      </x:c>
      <x:c r="L1078" s="48" t="str">
        <x:v>PDF text</x:v>
      </x:c>
    </x:row>
    <x:row r="1079">
      <x:c r="A1079" s="48" t="str">
        <x:v>UNI-1078</x:v>
      </x:c>
      <x:c r="B1079" s="48" t="str">
        <x:v>RED</x:v>
      </x:c>
      <x:c r="C1079" s="48" t="str">
        <x:v>English</x:v>
      </x:c>
      <x:c r="D1079" s="48" t="n">
        <x:v>64</x:v>
      </x:c>
      <x:c r="E1079" s="48" t="str"/>
      <x:c r="F1079" s="48" t="str">
        <x:v>However, in the case of sub-paragraph (e) or (f), the Employer may by notice terminate the Contract immediately.</x:v>
      </x:c>
      <x:c r="G1079" s="48" t="str">
        <x:v>Right</x:v>
      </x:c>
      <x:c r="H1079" s="48" t="str">
        <x:v>Employer</x:v>
      </x:c>
      <x:c r="I1079" s="48" t="n">
        <x:v>0.78</x:v>
      </x:c>
      <x:c r="J1079" s="48" t="n">
        <x:v>0.92</x:v>
      </x:c>
      <x:c r="K1079" s="48" t="str">
        <x:v>No</x:v>
      </x:c>
      <x:c r="L1079" s="48" t="str">
        <x:v>PDF text</x:v>
      </x:c>
    </x:row>
    <x:row r="1080">
      <x:c r="A1080" s="48" t="str">
        <x:v>UNI-1079</x:v>
      </x:c>
      <x:c r="B1080" s="48" t="str">
        <x:v>RED</x:v>
      </x:c>
      <x:c r="C1080" s="48" t="str">
        <x:v>English</x:v>
      </x:c>
      <x:c r="D1080" s="48" t="n">
        <x:v>64</x:v>
      </x:c>
      <x:c r="E1080" s="48" t="str"/>
      <x:c r="F1080" s="48" t="str">
        <x:v>The Employer’s election to terminate the Contract shall not prejudice any other rights of the Employer, under the Contract or otherwise.</x:v>
      </x:c>
      <x:c r="G1080" s="48" t="str">
        <x:v>Obligation</x:v>
      </x:c>
      <x:c r="H1080" s="48" t="str">
        <x:v>Employer</x:v>
      </x:c>
      <x:c r="I1080" s="48" t="n">
        <x:v>0.88</x:v>
      </x:c>
      <x:c r="J1080" s="48" t="n">
        <x:v>0.68</x:v>
      </x:c>
      <x:c r="K1080" s="48" t="str">
        <x:v>Yes</x:v>
      </x:c>
      <x:c r="L1080" s="48" t="str">
        <x:v>PDF text</x:v>
      </x:c>
    </x:row>
    <x:row r="1081">
      <x:c r="A1081" s="48" t="str">
        <x:v>UNI-1080</x:v>
      </x:c>
      <x:c r="B1081" s="48" t="str">
        <x:v>RED</x:v>
      </x:c>
      <x:c r="C1081" s="48" t="str">
        <x:v>English</x:v>
      </x:c>
      <x:c r="D1081" s="48" t="n">
        <x:v>64</x:v>
      </x:c>
      <x:c r="E1081" s="48" t="str"/>
      <x:c r="F1081" s="48" t="str">
        <x:v>The Contractor shall then leave the Site and deliver any required Goods, all</x:v>
      </x:c>
      <x:c r="G1081" s="48" t="str">
        <x:v>Obligation</x:v>
      </x:c>
      <x:c r="H1081" s="48" t="str">
        <x:v>Contractor</x:v>
      </x:c>
      <x:c r="I1081" s="48" t="n">
        <x:v>0.88</x:v>
      </x:c>
      <x:c r="J1081" s="48" t="n">
        <x:v>0.92</x:v>
      </x:c>
      <x:c r="K1081" s="48" t="str">
        <x:v>No</x:v>
      </x:c>
      <x:c r="L1081" s="48" t="str">
        <x:v>PDF text</x:v>
      </x:c>
    </x:row>
    <x:row r="1082">
      <x:c r="A1082" s="48" t="str">
        <x:v>UNI-1081</x:v>
      </x:c>
      <x:c r="B1082" s="48" t="str">
        <x:v>RED</x:v>
      </x:c>
      <x:c r="C1082" s="48" t="str">
        <x:v>English</x:v>
      </x:c>
      <x:c r="D1082" s="48" t="n">
        <x:v>64</x:v>
      </x:c>
      <x:c r="E1082" s="48" t="str"/>
      <x:c r="F1082" s="48" t="str">
        <x:v>Contractor’s Documents, and other design documents made by or for him, to the</x:v>
      </x:c>
      <x:c r="G1082" s="48" t="str">
        <x:v>Obligation</x:v>
      </x:c>
      <x:c r="H1082" s="48" t="str">
        <x:v>Contractor</x:v>
      </x:c>
      <x:c r="I1082" s="48" t="n">
        <x:v>0.45</x:v>
      </x:c>
      <x:c r="J1082" s="48" t="n">
        <x:v>0.68</x:v>
      </x:c>
      <x:c r="K1082" s="48" t="str">
        <x:v>Yes</x:v>
      </x:c>
      <x:c r="L1082" s="48" t="str">
        <x:v>PDF text</x:v>
      </x:c>
    </x:row>
    <x:row r="1083">
      <x:c r="A1083" s="48" t="str">
        <x:v>UNI-1082</x:v>
      </x:c>
      <x:c r="B1083" s="48" t="str">
        <x:v>RED</x:v>
      </x:c>
      <x:c r="C1083" s="48" t="str">
        <x:v>English</x:v>
      </x:c>
      <x:c r="D1083" s="48" t="n">
        <x:v>64</x:v>
      </x:c>
      <x:c r="E1083" s="48" t="str"/>
      <x:c r="F1083" s="48" t="str">
        <x:v>Notice to Correct</x:v>
      </x:c>
      <x:c r="G1083" s="48" t="str">
        <x:v>Obligation</x:v>
      </x:c>
      <x:c r="H1083" s="48" t="str">
        <x:v>Shared</x:v>
      </x:c>
      <x:c r="I1083" s="48" t="n">
        <x:v>0.55</x:v>
      </x:c>
      <x:c r="J1083" s="48" t="n">
        <x:v>0.4</x:v>
      </x:c>
      <x:c r="K1083" s="48" t="str">
        <x:v>Yes</x:v>
      </x:c>
      <x:c r="L1083" s="48" t="str">
        <x:v>PDF text</x:v>
      </x:c>
    </x:row>
    <x:row r="1084">
      <x:c r="A1084" s="48" t="str">
        <x:v>UNI-1083</x:v>
      </x:c>
      <x:c r="B1084" s="48" t="str">
        <x:v>RED</x:v>
      </x:c>
      <x:c r="C1084" s="48" t="str">
        <x:v>English</x:v>
      </x:c>
      <x:c r="D1084" s="48" t="n">
        <x:v>64</x:v>
      </x:c>
      <x:c r="E1084" s="48" t="str"/>
      <x:c r="F1084" s="48" t="str">
        <x:v>Termination by Employer</x:v>
      </x:c>
      <x:c r="G1084" s="48" t="str">
        <x:v>Obligation</x:v>
      </x:c>
      <x:c r="H1084" s="48" t="str">
        <x:v>Employer</x:v>
      </x:c>
      <x:c r="I1084" s="48" t="n">
        <x:v>0.55</x:v>
      </x:c>
      <x:c r="J1084" s="48" t="n">
        <x:v>0.68</x:v>
      </x:c>
      <x:c r="K1084" s="48" t="str">
        <x:v>Yes</x:v>
      </x:c>
      <x:c r="L1084" s="48" t="str">
        <x:v>PDF text</x:v>
      </x:c>
    </x:row>
    <x:row r="1085">
      <x:c r="A1085" s="48" t="str">
        <x:v>UNI-1084</x:v>
      </x:c>
      <x:c r="B1085" s="48" t="str">
        <x:v>RED</x:v>
      </x:c>
      <x:c r="C1085" s="48" t="str">
        <x:v>English</x:v>
      </x:c>
      <x:c r="D1085" s="48" t="n">
        <x:v>65</x:v>
      </x:c>
      <x:c r="E1085" s="48" t="str"/>
      <x:c r="F1085" s="48" t="str">
        <x:v>However, the Contractor shall use his best efforts to comply immediately with any reasonable instructions included in the notice (i) for the assignment of any subcontract, and (ii) for the protection of life or property or for the safety of the Works.</x:v>
      </x:c>
      <x:c r="G1085" s="48" t="str">
        <x:v>Obligation</x:v>
      </x:c>
      <x:c r="H1085" s="48" t="str">
        <x:v>Contractor</x:v>
      </x:c>
      <x:c r="I1085" s="48" t="n">
        <x:v>0.88</x:v>
      </x:c>
      <x:c r="J1085" s="48" t="n">
        <x:v>0.92</x:v>
      </x:c>
      <x:c r="K1085" s="48" t="str">
        <x:v>No</x:v>
      </x:c>
      <x:c r="L1085" s="48" t="str">
        <x:v>PDF text</x:v>
      </x:c>
    </x:row>
    <x:row r="1086">
      <x:c r="A1086" s="48" t="str">
        <x:v>UNI-1085</x:v>
      </x:c>
      <x:c r="B1086" s="48" t="str">
        <x:v>RED</x:v>
      </x:c>
      <x:c r="C1086" s="48" t="str">
        <x:v>English</x:v>
      </x:c>
      <x:c r="D1086" s="48" t="n">
        <x:v>65</x:v>
      </x:c>
      <x:c r="E1086" s="48" t="str"/>
      <x:c r="F1086" s="48" t="str">
        <x:v>After termination, the Employer may complete the Works and/or arrange for any other entities to do so.</x:v>
      </x:c>
      <x:c r="G1086" s="48" t="str">
        <x:v>Right</x:v>
      </x:c>
      <x:c r="H1086" s="48" t="str">
        <x:v>Employer</x:v>
      </x:c>
      <x:c r="I1086" s="48" t="n">
        <x:v>0.78</x:v>
      </x:c>
      <x:c r="J1086" s="48" t="n">
        <x:v>0.92</x:v>
      </x:c>
      <x:c r="K1086" s="48" t="str">
        <x:v>No</x:v>
      </x:c>
      <x:c r="L1086" s="48" t="str">
        <x:v>PDF text</x:v>
      </x:c>
    </x:row>
    <x:row r="1087">
      <x:c r="A1087" s="48" t="str">
        <x:v>UNI-1086</x:v>
      </x:c>
      <x:c r="B1087" s="48" t="str">
        <x:v>RED</x:v>
      </x:c>
      <x:c r="C1087" s="48" t="str">
        <x:v>English</x:v>
      </x:c>
      <x:c r="D1087" s="48" t="n">
        <x:v>65</x:v>
      </x:c>
      <x:c r="E1087" s="48" t="str"/>
      <x:c r="F1087" s="48" t="str">
        <x:v>The Employer and these entities may then use any Goods,</x:v>
      </x:c>
      <x:c r="G1087" s="48" t="str">
        <x:v>Right</x:v>
      </x:c>
      <x:c r="H1087" s="48" t="str">
        <x:v>Employer</x:v>
      </x:c>
      <x:c r="I1087" s="48" t="n">
        <x:v>0.78</x:v>
      </x:c>
      <x:c r="J1087" s="48" t="n">
        <x:v>0.68</x:v>
      </x:c>
      <x:c r="K1087" s="48" t="str">
        <x:v>Yes</x:v>
      </x:c>
      <x:c r="L1087" s="48" t="str">
        <x:v>PDF text</x:v>
      </x:c>
    </x:row>
    <x:row r="1088">
      <x:c r="A1088" s="48" t="str">
        <x:v>UNI-1087</x:v>
      </x:c>
      <x:c r="B1088" s="48" t="str">
        <x:v>RED</x:v>
      </x:c>
      <x:c r="C1088" s="48" t="str">
        <x:v>English</x:v>
      </x:c>
      <x:c r="D1088" s="48" t="n">
        <x:v>65</x:v>
      </x:c>
      <x:c r="E1088" s="48" t="str"/>
      <x:c r="F1088" s="48" t="str">
        <x:v>Contractor’s Documents and other design documents made by or on behalf of the</x:v>
      </x:c>
      <x:c r="G1088" s="48" t="str">
        <x:v>Obligation</x:v>
      </x:c>
      <x:c r="H1088" s="48" t="str">
        <x:v>Contractor</x:v>
      </x:c>
      <x:c r="I1088" s="48" t="n">
        <x:v>0.45</x:v>
      </x:c>
      <x:c r="J1088" s="48" t="n">
        <x:v>0.68</x:v>
      </x:c>
      <x:c r="K1088" s="48" t="str">
        <x:v>Yes</x:v>
      </x:c>
      <x:c r="L1088" s="48" t="str">
        <x:v>PDF text</x:v>
      </x:c>
    </x:row>
    <x:row r="1089">
      <x:c r="A1089" s="48" t="str">
        <x:v>UNI-1088</x:v>
      </x:c>
      <x:c r="B1089" s="48" t="str">
        <x:v>RED</x:v>
      </x:c>
      <x:c r="C1089" s="48" t="str">
        <x:v>English</x:v>
      </x:c>
      <x:c r="D1089" s="48" t="n">
        <x:v>65</x:v>
      </x:c>
      <x:c r="E1089" s="48" t="str"/>
      <x:c r="F1089" s="48" t="str">
        <x:v>Contractor.</x:v>
      </x:c>
      <x:c r="G1089" s="48" t="str">
        <x:v>Obligation</x:v>
      </x:c>
      <x:c r="H1089" s="48" t="str">
        <x:v>Contractor</x:v>
      </x:c>
      <x:c r="I1089" s="48" t="n">
        <x:v>0.45</x:v>
      </x:c>
      <x:c r="J1089" s="48" t="n">
        <x:v>0.68</x:v>
      </x:c>
      <x:c r="K1089" s="48" t="str">
        <x:v>Yes</x:v>
      </x:c>
      <x:c r="L1089" s="48" t="str">
        <x:v>PDF text</x:v>
      </x:c>
    </x:row>
    <x:row r="1090">
      <x:c r="A1090" s="48" t="str">
        <x:v>UNI-1089</x:v>
      </x:c>
      <x:c r="B1090" s="48" t="str">
        <x:v>RED</x:v>
      </x:c>
      <x:c r="C1090" s="48" t="str">
        <x:v>English</x:v>
      </x:c>
      <x:c r="D1090" s="48" t="n">
        <x:v>65</x:v>
      </x:c>
      <x:c r="E1090" s="48" t="str"/>
      <x:c r="F1090" s="48" t="str">
        <x:v>The Employer shall then give notice that the Contractor’s Equipment and Temporary</x:v>
      </x:c>
      <x:c r="G1090" s="48" t="str">
        <x:v>Obligation</x:v>
      </x:c>
      <x:c r="H1090" s="48" t="str">
        <x:v>Employer</x:v>
      </x:c>
      <x:c r="I1090" s="48" t="n">
        <x:v>0.88</x:v>
      </x:c>
      <x:c r="J1090" s="48" t="n">
        <x:v>0.92</x:v>
      </x:c>
      <x:c r="K1090" s="48" t="str">
        <x:v>No</x:v>
      </x:c>
      <x:c r="L1090" s="48" t="str">
        <x:v>PDF text</x:v>
      </x:c>
    </x:row>
    <x:row r="1091">
      <x:c r="A1091" s="48" t="str">
        <x:v>UNI-1090</x:v>
      </x:c>
      <x:c r="B1091" s="48" t="str">
        <x:v>RED</x:v>
      </x:c>
      <x:c r="C1091" s="48" t="str">
        <x:v>English</x:v>
      </x:c>
      <x:c r="D1091" s="48" t="n">
        <x:v>65</x:v>
      </x:c>
      <x:c r="E1091" s="48" t="str"/>
      <x:c r="F1091" s="48" t="str">
        <x:v>Works will be released to the Contractor at or near the Site.</x:v>
      </x:c>
      <x:c r="G1091" s="48" t="str">
        <x:v>Obligation</x:v>
      </x:c>
      <x:c r="H1091" s="48" t="str">
        <x:v>Contractor</x:v>
      </x:c>
      <x:c r="I1091" s="48" t="n">
        <x:v>0.45</x:v>
      </x:c>
      <x:c r="J1091" s="48" t="n">
        <x:v>0.68</x:v>
      </x:c>
      <x:c r="K1091" s="48" t="str">
        <x:v>Yes</x:v>
      </x:c>
      <x:c r="L1091" s="48" t="str">
        <x:v>PDF text</x:v>
      </x:c>
    </x:row>
    <x:row r="1092">
      <x:c r="A1092" s="48" t="str">
        <x:v>UNI-1091</x:v>
      </x:c>
      <x:c r="B1092" s="48" t="str">
        <x:v>RED</x:v>
      </x:c>
      <x:c r="C1092" s="48" t="str">
        <x:v>English</x:v>
      </x:c>
      <x:c r="D1092" s="48" t="n">
        <x:v>65</x:v>
      </x:c>
      <x:c r="E1092" s="48" t="str"/>
      <x:c r="F1092" s="48" t="str">
        <x:v>The Contractor shall promptly arrange their removal, at the risk and cost of the Contractor.</x:v>
      </x:c>
      <x:c r="G1092" s="48" t="str">
        <x:v>Risk</x:v>
      </x:c>
      <x:c r="H1092" s="48" t="str">
        <x:v>Contractor</x:v>
      </x:c>
      <x:c r="I1092" s="48" t="n">
        <x:v>0.78</x:v>
      </x:c>
      <x:c r="J1092" s="48" t="n">
        <x:v>0.92</x:v>
      </x:c>
      <x:c r="K1092" s="48" t="str">
        <x:v>No</x:v>
      </x:c>
      <x:c r="L1092" s="48" t="str">
        <x:v>PDF text</x:v>
      </x:c>
    </x:row>
    <x:row r="1093">
      <x:c r="A1093" s="48" t="str">
        <x:v>UNI-1092</x:v>
      </x:c>
      <x:c r="B1093" s="48" t="str">
        <x:v>RED</x:v>
      </x:c>
      <x:c r="C1093" s="48" t="str">
        <x:v>English</x:v>
      </x:c>
      <x:c r="D1093" s="48" t="n">
        <x:v>65</x:v>
      </x:c>
      <x:c r="E1093" s="48" t="str"/>
      <x:c r="F1093" s="48" t="str">
        <x:v>However, if by this time the Contractor has failed to make a payment due to the Employer, these items may be sold by the Employer in order to recover this payment.</x:v>
      </x:c>
      <x:c r="G1093" s="48" t="str">
        <x:v>Right</x:v>
      </x:c>
      <x:c r="H1093" s="48" t="str">
        <x:v>Shared</x:v>
      </x:c>
      <x:c r="I1093" s="48" t="n">
        <x:v>0.78</x:v>
      </x:c>
      <x:c r="J1093" s="48" t="n">
        <x:v>0.6</x:v>
      </x:c>
      <x:c r="K1093" s="48" t="str">
        <x:v>Yes</x:v>
      </x:c>
      <x:c r="L1093" s="48" t="str">
        <x:v>PDF text</x:v>
      </x:c>
    </x:row>
    <x:row r="1094">
      <x:c r="A1094" s="48" t="str">
        <x:v>UNI-1093</x:v>
      </x:c>
      <x:c r="B1094" s="48" t="str">
        <x:v>RED</x:v>
      </x:c>
      <x:c r="C1094" s="48" t="str">
        <x:v>English</x:v>
      </x:c>
      <x:c r="D1094" s="48" t="n">
        <x:v>65</x:v>
      </x:c>
      <x:c r="E1094" s="48" t="str"/>
      <x:c r="F1094" s="48" t="str">
        <x:v>Any balance of the proceeds shall then be paid to the Contractor.</x:v>
      </x:c>
      <x:c r="G1094" s="48" t="str">
        <x:v>Obligation</x:v>
      </x:c>
      <x:c r="H1094" s="48" t="str">
        <x:v>Contractor</x:v>
      </x:c>
      <x:c r="I1094" s="48" t="n">
        <x:v>0.88</x:v>
      </x:c>
      <x:c r="J1094" s="48" t="n">
        <x:v>0.68</x:v>
      </x:c>
      <x:c r="K1094" s="48" t="str">
        <x:v>Yes</x:v>
      </x:c>
      <x:c r="L1094" s="48" t="str">
        <x:v>PDF text</x:v>
      </x:c>
    </x:row>
    <x:row r="1095">
      <x:c r="A1095" s="48" t="str">
        <x:v>UNI-1094</x:v>
      </x:c>
      <x:c r="B1095" s="48" t="str">
        <x:v>RED</x:v>
      </x:c>
      <x:c r="C1095" s="48" t="str">
        <x:v>English</x:v>
      </x:c>
      <x:c r="D1095" s="48" t="n">
        <x:v>65</x:v>
      </x:c>
      <x:c r="E1095" s="48" t="str"/>
      <x:c r="F1095" s="48" t="str">
        <x:v>As soon as practicable after a notice of termination under Sub-Clause 15.2 [Termination by Employer] has taken effect, the Engineer shall proceed in accordance with Sub-Clause 3.5 [Determinations] to agree or determine the value of the Works,</x:v>
      </x:c>
      <x:c r="G1095" s="48" t="str">
        <x:v>Obligation</x:v>
      </x:c>
      <x:c r="H1095" s="48" t="str">
        <x:v>Employer</x:v>
      </x:c>
      <x:c r="I1095" s="48" t="n">
        <x:v>0.88</x:v>
      </x:c>
      <x:c r="J1095" s="48" t="n">
        <x:v>0.68</x:v>
      </x:c>
      <x:c r="K1095" s="48" t="str">
        <x:v>Yes</x:v>
      </x:c>
      <x:c r="L1095" s="48" t="str">
        <x:v>PDF text</x:v>
      </x:c>
    </x:row>
    <x:row r="1096">
      <x:c r="A1096" s="48" t="str">
        <x:v>UNI-1095</x:v>
      </x:c>
      <x:c r="B1096" s="48" t="str">
        <x:v>RED</x:v>
      </x:c>
      <x:c r="C1096" s="48" t="str">
        <x:v>English</x:v>
      </x:c>
      <x:c r="D1096" s="48" t="n">
        <x:v>65</x:v>
      </x:c>
      <x:c r="E1096" s="48" t="str"/>
      <x:c r="F1096" s="48" t="str">
        <x:v>Goods and Contractor’s Documents, and any other sums due to the Contractor for</x:v>
      </x:c>
      <x:c r="G1096" s="48" t="str">
        <x:v>Obligation</x:v>
      </x:c>
      <x:c r="H1096" s="48" t="str">
        <x:v>Contractor</x:v>
      </x:c>
      <x:c r="I1096" s="48" t="n">
        <x:v>0.45</x:v>
      </x:c>
      <x:c r="J1096" s="48" t="n">
        <x:v>0.68</x:v>
      </x:c>
      <x:c r="K1096" s="48" t="str">
        <x:v>Yes</x:v>
      </x:c>
      <x:c r="L1096" s="48" t="str">
        <x:v>PDF text</x:v>
      </x:c>
    </x:row>
    <x:row r="1097">
      <x:c r="A1097" s="48" t="str">
        <x:v>UNI-1096</x:v>
      </x:c>
      <x:c r="B1097" s="48" t="str">
        <x:v>RED</x:v>
      </x:c>
      <x:c r="C1097" s="48" t="str">
        <x:v>English</x:v>
      </x:c>
      <x:c r="D1097" s="48" t="n">
        <x:v>65</x:v>
      </x:c>
      <x:c r="E1097" s="48" t="str"/>
      <x:c r="F1097" s="48" t="str">
        <x:v>work executed in accordance with the Contract.</x:v>
      </x:c>
      <x:c r="G1097" s="48" t="str">
        <x:v>Obligation</x:v>
      </x:c>
      <x:c r="H1097" s="48" t="str">
        <x:v>Shared</x:v>
      </x:c>
      <x:c r="I1097" s="48" t="n">
        <x:v>0.45</x:v>
      </x:c>
      <x:c r="J1097" s="48" t="n">
        <x:v>0.4</x:v>
      </x:c>
      <x:c r="K1097" s="48" t="str">
        <x:v>Yes</x:v>
      </x:c>
      <x:c r="L1097" s="48" t="str">
        <x:v>PDF text</x:v>
      </x:c>
    </x:row>
    <x:row r="1098">
      <x:c r="A1098" s="48" t="str">
        <x:v>UNI-1097</x:v>
      </x:c>
      <x:c r="B1098" s="48" t="str">
        <x:v>RED</x:v>
      </x:c>
      <x:c r="C1098" s="48" t="str">
        <x:v>English</x:v>
      </x:c>
      <x:c r="D1098" s="48" t="n">
        <x:v>65</x:v>
      </x:c>
      <x:c r="E1098" s="48" t="str"/>
      <x:c r="F1098" s="48" t="str">
        <x:v>After a notice of termination under Sub-Clause 15.2 [Termination by Employer] has taken effect, the Employer may: (a) proceed in accordance with Sub-Clause 2.5 [Employer’s Claims], (b) withhold further payments to the Contractor until the costs of execution, completion and remedying of any defects, damages for delay in completion (if any), and all other costs incurred by the Employer, have been established, and/or (c) recover from the Contractor any losses and damages incurred by the Employer and any extra costs of completing the Works, after allowing for any sum due to the Contractor under Sub-Clause 15.3 [Valuation at Date of Termination].</x:v>
      </x:c>
      <x:c r="G1098" s="48" t="str">
        <x:v>Risk</x:v>
      </x:c>
      <x:c r="H1098" s="48" t="str">
        <x:v>Shared</x:v>
      </x:c>
      <x:c r="I1098" s="48" t="n">
        <x:v>0.78</x:v>
      </x:c>
      <x:c r="J1098" s="48" t="n">
        <x:v>0.6</x:v>
      </x:c>
      <x:c r="K1098" s="48" t="str">
        <x:v>Yes</x:v>
      </x:c>
      <x:c r="L1098" s="48" t="str">
        <x:v>PDF text</x:v>
      </x:c>
    </x:row>
    <x:row r="1099">
      <x:c r="A1099" s="48" t="str">
        <x:v>UNI-1098</x:v>
      </x:c>
      <x:c r="B1099" s="48" t="str">
        <x:v>RED</x:v>
      </x:c>
      <x:c r="C1099" s="48" t="str">
        <x:v>English</x:v>
      </x:c>
      <x:c r="D1099" s="48" t="n">
        <x:v>65</x:v>
      </x:c>
      <x:c r="E1099" s="48" t="str"/>
      <x:c r="F1099" s="48" t="str">
        <x:v>After recovering any such losses, damages and extra costs, the Employer shall pay any balance to the Contractor.</x:v>
      </x:c>
      <x:c r="G1099" s="48" t="str">
        <x:v>Obligation</x:v>
      </x:c>
      <x:c r="H1099" s="48" t="str">
        <x:v>Employer</x:v>
      </x:c>
      <x:c r="I1099" s="48" t="n">
        <x:v>0.88</x:v>
      </x:c>
      <x:c r="J1099" s="48" t="n">
        <x:v>0.92</x:v>
      </x:c>
      <x:c r="K1099" s="48" t="str">
        <x:v>No</x:v>
      </x:c>
      <x:c r="L1099" s="48" t="str">
        <x:v>PDF text</x:v>
      </x:c>
    </x:row>
    <x:row r="1100">
      <x:c r="A1100" s="48" t="str">
        <x:v>UNI-1099</x:v>
      </x:c>
      <x:c r="B1100" s="48" t="str">
        <x:v>RED</x:v>
      </x:c>
      <x:c r="C1100" s="48" t="str">
        <x:v>English</x:v>
      </x:c>
      <x:c r="D1100" s="48" t="n">
        <x:v>65</x:v>
      </x:c>
      <x:c r="E1100" s="48" t="str"/>
      <x:c r="F1100" s="48" t="str">
        <x:v>The Employer shall be entitled to terminate the Contract, at any time for the</x:v>
      </x:c>
      <x:c r="G1100" s="48" t="str">
        <x:v>Obligation</x:v>
      </x:c>
      <x:c r="H1100" s="48" t="str">
        <x:v>Employer</x:v>
      </x:c>
      <x:c r="I1100" s="48" t="n">
        <x:v>0.88</x:v>
      </x:c>
      <x:c r="J1100" s="48" t="n">
        <x:v>0.92</x:v>
      </x:c>
      <x:c r="K1100" s="48" t="str">
        <x:v>No</x:v>
      </x:c>
      <x:c r="L1100" s="48" t="str">
        <x:v>PDF text</x:v>
      </x:c>
    </x:row>
    <x:row r="1101">
      <x:c r="A1101" s="48" t="str">
        <x:v>UNI-1100</x:v>
      </x:c>
      <x:c r="B1101" s="48" t="str">
        <x:v>RED</x:v>
      </x:c>
      <x:c r="C1101" s="48" t="str">
        <x:v>English</x:v>
      </x:c>
      <x:c r="D1101" s="48" t="n">
        <x:v>65</x:v>
      </x:c>
      <x:c r="E1101" s="48" t="str"/>
      <x:c r="F1101" s="48" t="str">
        <x:v>Employer’s convenience, by giving notice of such termination to the Contractor.</x:v>
      </x:c>
      <x:c r="G1101" s="48" t="str">
        <x:v>Obligation</x:v>
      </x:c>
      <x:c r="H1101" s="48" t="str">
        <x:v>Shared</x:v>
      </x:c>
      <x:c r="I1101" s="48" t="n">
        <x:v>0.55</x:v>
      </x:c>
      <x:c r="J1101" s="48" t="n">
        <x:v>0.6</x:v>
      </x:c>
      <x:c r="K1101" s="48" t="str">
        <x:v>Yes</x:v>
      </x:c>
      <x:c r="L1101" s="48" t="str">
        <x:v>PDF text</x:v>
      </x:c>
    </x:row>
    <x:row r="1102">
      <x:c r="A1102" s="48" t="str">
        <x:v>UNI-1101</x:v>
      </x:c>
      <x:c r="B1102" s="48" t="str">
        <x:v>RED</x:v>
      </x:c>
      <x:c r="C1102" s="48" t="str">
        <x:v>English</x:v>
      </x:c>
      <x:c r="D1102" s="48" t="n">
        <x:v>65</x:v>
      </x:c>
      <x:c r="E1102" s="48" t="str"/>
      <x:c r="F1102" s="48" t="str">
        <x:v>The termination shall take effect 28 days after the later of the dates on which the Contractor receives this notice or the Employer returns the Performance Security.</x:v>
      </x:c>
      <x:c r="G1102" s="48" t="str">
        <x:v>Obligation</x:v>
      </x:c>
      <x:c r="H1102" s="48" t="str">
        <x:v>Shared</x:v>
      </x:c>
      <x:c r="I1102" s="48" t="n">
        <x:v>0.88</x:v>
      </x:c>
      <x:c r="J1102" s="48" t="n">
        <x:v>0.6</x:v>
      </x:c>
      <x:c r="K1102" s="48" t="str">
        <x:v>Yes</x:v>
      </x:c>
      <x:c r="L1102" s="48" t="str">
        <x:v>PDF text</x:v>
      </x:c>
    </x:row>
    <x:row r="1103">
      <x:c r="A1103" s="48" t="str">
        <x:v>UNI-1102</x:v>
      </x:c>
      <x:c r="B1103" s="48" t="str">
        <x:v>RED</x:v>
      </x:c>
      <x:c r="C1103" s="48" t="str">
        <x:v>English</x:v>
      </x:c>
      <x:c r="D1103" s="48" t="n">
        <x:v>65</x:v>
      </x:c>
      <x:c r="E1103" s="48" t="str"/>
      <x:c r="F1103" s="48" t="str">
        <x:v>The Employer shall not terminate the Contract under this Sub-Clause in order to execute the Works himself or to arrange for the Works to be executed by another contractor or to avoid a termination of the Contract by the Contractor under Clause 16.2 [Termination by Contractor].</x:v>
      </x:c>
      <x:c r="G1103" s="48" t="str">
        <x:v>Obligation</x:v>
      </x:c>
      <x:c r="H1103" s="48" t="str">
        <x:v>Employer</x:v>
      </x:c>
      <x:c r="I1103" s="48" t="n">
        <x:v>0.88</x:v>
      </x:c>
      <x:c r="J1103" s="48" t="n">
        <x:v>0.92</x:v>
      </x:c>
      <x:c r="K1103" s="48" t="str">
        <x:v>No</x:v>
      </x:c>
      <x:c r="L1103" s="48" t="str">
        <x:v>PDF text</x:v>
      </x:c>
    </x:row>
    <x:row r="1104">
      <x:c r="A1104" s="48" t="str">
        <x:v>UNI-1103</x:v>
      </x:c>
      <x:c r="B1104" s="48" t="str">
        <x:v>RED</x:v>
      </x:c>
      <x:c r="C1104" s="48" t="str">
        <x:v>English</x:v>
      </x:c>
      <x:c r="D1104" s="48" t="n">
        <x:v>65</x:v>
      </x:c>
      <x:c r="E1104" s="48" t="str"/>
      <x:c r="F1104" s="48" t="str">
        <x:v>After this termination, the Contractor shall proceed in accordance with Sub-Clause</x:v>
      </x:c>
      <x:c r="G1104" s="48" t="str">
        <x:v>Obligation</x:v>
      </x:c>
      <x:c r="H1104" s="48" t="str">
        <x:v>Contractor</x:v>
      </x:c>
      <x:c r="I1104" s="48" t="n">
        <x:v>0.88</x:v>
      </x:c>
      <x:c r="J1104" s="48" t="n">
        <x:v>0.92</x:v>
      </x:c>
      <x:c r="K1104" s="48" t="str">
        <x:v>No</x:v>
      </x:c>
      <x:c r="L1104" s="48" t="str">
        <x:v>PDF text</x:v>
      </x:c>
    </x:row>
    <x:row r="1105">
      <x:c r="A1105" s="48" t="str">
        <x:v>UNI-1104</x:v>
      </x:c>
      <x:c r="B1105" s="48" t="str">
        <x:v>RED</x:v>
      </x:c>
      <x:c r="C1105" s="48" t="str">
        <x:v>English</x:v>
      </x:c>
      <x:c r="D1105" s="48" t="n">
        <x:v>65</x:v>
      </x:c>
      <x:c r="E1105" s="48" t="str">
        <x:v>16.3</x:v>
      </x:c>
      <x:c r="F1105" s="48" t="str">
        <x:v>16.3 [Cessation of Work and Removal of Contractor’s Equipment] and shall be paid</x:v>
      </x:c>
      <x:c r="G1105" s="48" t="str">
        <x:v>Obligation</x:v>
      </x:c>
      <x:c r="H1105" s="48" t="str">
        <x:v>Contractor</x:v>
      </x:c>
      <x:c r="I1105" s="48" t="n">
        <x:v>0.88</x:v>
      </x:c>
      <x:c r="J1105" s="48" t="n">
        <x:v>0.68</x:v>
      </x:c>
      <x:c r="K1105" s="48" t="str">
        <x:v>Yes</x:v>
      </x:c>
      <x:c r="L1105" s="48" t="str">
        <x:v>PDF text</x:v>
      </x:c>
    </x:row>
    <x:row r="1106">
      <x:c r="A1106" s="48" t="str">
        <x:v>UNI-1105</x:v>
      </x:c>
      <x:c r="B1106" s="48" t="str">
        <x:v>RED</x:v>
      </x:c>
      <x:c r="C1106" s="48" t="str">
        <x:v>English</x:v>
      </x:c>
      <x:c r="D1106" s="48" t="n">
        <x:v>65</x:v>
      </x:c>
      <x:c r="E1106" s="48" t="str"/>
      <x:c r="F1106" s="48" t="str">
        <x:v>in accordance with Sub-Clause 19.6 [Optional Termination, Payment and Release].</x:v>
      </x:c>
      <x:c r="G1106" s="48" t="str">
        <x:v>Obligation</x:v>
      </x:c>
      <x:c r="H1106" s="48" t="str">
        <x:v>Shared</x:v>
      </x:c>
      <x:c r="I1106" s="48" t="n">
        <x:v>0.55</x:v>
      </x:c>
      <x:c r="J1106" s="48" t="n">
        <x:v>0.4</x:v>
      </x:c>
      <x:c r="K1106" s="48" t="str">
        <x:v>Yes</x:v>
      </x:c>
      <x:c r="L1106" s="48" t="str">
        <x:v>PDF text</x:v>
      </x:c>
    </x:row>
    <x:row r="1107">
      <x:c r="A1107" s="48" t="str">
        <x:v>UNI-1106</x:v>
      </x:c>
      <x:c r="B1107" s="48" t="str">
        <x:v>RED</x:v>
      </x:c>
      <x:c r="C1107" s="48" t="str">
        <x:v>English</x:v>
      </x:c>
      <x:c r="D1107" s="48" t="n">
        <x:v>65</x:v>
      </x:c>
      <x:c r="E1107" s="48" t="str"/>
      <x:c r="F1107" s="48" t="str">
        <x:v>If the Employer determines that the Contractor has engaged in corrupt, fraudulent, collusive or coercive practices, in competing for or in executing the Contract, then the Employer may, after giving 14 days notice to the Contractor, terminate the 15.3</x:v>
      </x:c>
      <x:c r="G1107" s="48" t="str">
        <x:v>Obligation</x:v>
      </x:c>
      <x:c r="H1107" s="48" t="str">
        <x:v>Shared</x:v>
      </x:c>
      <x:c r="I1107" s="48" t="n">
        <x:v>0.55</x:v>
      </x:c>
      <x:c r="J1107" s="48" t="n">
        <x:v>0.6</x:v>
      </x:c>
      <x:c r="K1107" s="48" t="str">
        <x:v>Yes</x:v>
      </x:c>
      <x:c r="L1107" s="48" t="str">
        <x:v>PDF text</x:v>
      </x:c>
    </x:row>
    <x:row r="1108">
      <x:c r="A1108" s="48" t="str">
        <x:v>UNI-1107</x:v>
      </x:c>
      <x:c r="B1108" s="48" t="str">
        <x:v>RED</x:v>
      </x:c>
      <x:c r="C1108" s="48" t="str">
        <x:v>English</x:v>
      </x:c>
      <x:c r="D1108" s="48" t="n">
        <x:v>65</x:v>
      </x:c>
      <x:c r="E1108" s="48" t="str"/>
      <x:c r="F1108" s="48" t="str">
        <x:v>Valuation at Date of</x:v>
      </x:c>
      <x:c r="G1108" s="48" t="str">
        <x:v>Obligation</x:v>
      </x:c>
      <x:c r="H1108" s="48" t="str">
        <x:v>Shared</x:v>
      </x:c>
      <x:c r="I1108" s="48" t="n">
        <x:v>0.45</x:v>
      </x:c>
      <x:c r="J1108" s="48" t="n">
        <x:v>0.4</x:v>
      </x:c>
      <x:c r="K1108" s="48" t="str">
        <x:v>Yes</x:v>
      </x:c>
      <x:c r="L1108" s="48" t="str">
        <x:v>PDF text</x:v>
      </x:c>
    </x:row>
    <x:row r="1109">
      <x:c r="A1109" s="48" t="str">
        <x:v>UNI-1108</x:v>
      </x:c>
      <x:c r="B1109" s="48" t="str">
        <x:v>RED</x:v>
      </x:c>
      <x:c r="C1109" s="48" t="str">
        <x:v>English</x:v>
      </x:c>
      <x:c r="D1109" s="48" t="n">
        <x:v>65</x:v>
      </x:c>
      <x:c r="E1109" s="48" t="str"/>
      <x:c r="F1109" s="48" t="str">
        <x:v>Termination</x:v>
      </x:c>
      <x:c r="G1109" s="48" t="str">
        <x:v>Obligation</x:v>
      </x:c>
      <x:c r="H1109" s="48" t="str">
        <x:v>Shared</x:v>
      </x:c>
      <x:c r="I1109" s="48" t="n">
        <x:v>0.55</x:v>
      </x:c>
      <x:c r="J1109" s="48" t="n">
        <x:v>0.4</x:v>
      </x:c>
      <x:c r="K1109" s="48" t="str">
        <x:v>Yes</x:v>
      </x:c>
      <x:c r="L1109" s="48" t="str">
        <x:v>PDF text</x:v>
      </x:c>
    </x:row>
    <x:row r="1110">
      <x:c r="A1110" s="48" t="str">
        <x:v>UNI-1109</x:v>
      </x:c>
      <x:c r="B1110" s="48" t="str">
        <x:v>RED</x:v>
      </x:c>
      <x:c r="C1110" s="48" t="str">
        <x:v>English</x:v>
      </x:c>
      <x:c r="D1110" s="48" t="n">
        <x:v>65</x:v>
      </x:c>
      <x:c r="E1110" s="48" t="str"/>
      <x:c r="F1110" s="48" t="str">
        <x:v>Payment after</x:v>
      </x:c>
      <x:c r="G1110" s="48" t="str">
        <x:v>Obligation</x:v>
      </x:c>
      <x:c r="H1110" s="48" t="str">
        <x:v>Shared</x:v>
      </x:c>
      <x:c r="I1110" s="48" t="n">
        <x:v>0.55</x:v>
      </x:c>
      <x:c r="J1110" s="48" t="n">
        <x:v>0.4</x:v>
      </x:c>
      <x:c r="K1110" s="48" t="str">
        <x:v>Yes</x:v>
      </x:c>
      <x:c r="L1110" s="48" t="str">
        <x:v>PDF text</x:v>
      </x:c>
    </x:row>
    <x:row r="1111">
      <x:c r="A1111" s="48" t="str">
        <x:v>UNI-1110</x:v>
      </x:c>
      <x:c r="B1111" s="48" t="str">
        <x:v>RED</x:v>
      </x:c>
      <x:c r="C1111" s="48" t="str">
        <x:v>English</x:v>
      </x:c>
      <x:c r="D1111" s="48" t="n">
        <x:v>65</x:v>
      </x:c>
      <x:c r="E1111" s="48" t="str"/>
      <x:c r="F1111" s="48" t="str">
        <x:v>Employer’s Entitlement</x:v>
      </x:c>
      <x:c r="G1111" s="48" t="str">
        <x:v>Obligation</x:v>
      </x:c>
      <x:c r="H1111" s="48" t="str">
        <x:v>Employer</x:v>
      </x:c>
      <x:c r="I1111" s="48" t="n">
        <x:v>0.45</x:v>
      </x:c>
      <x:c r="J1111" s="48" t="n">
        <x:v>0.68</x:v>
      </x:c>
      <x:c r="K1111" s="48" t="str">
        <x:v>Yes</x:v>
      </x:c>
      <x:c r="L1111" s="48" t="str">
        <x:v>PDF text</x:v>
      </x:c>
    </x:row>
    <x:row r="1112">
      <x:c r="A1112" s="48" t="str">
        <x:v>UNI-1111</x:v>
      </x:c>
      <x:c r="B1112" s="48" t="str">
        <x:v>RED</x:v>
      </x:c>
      <x:c r="C1112" s="48" t="str">
        <x:v>English</x:v>
      </x:c>
      <x:c r="D1112" s="48" t="n">
        <x:v>65</x:v>
      </x:c>
      <x:c r="E1112" s="48" t="str"/>
      <x:c r="F1112" s="48" t="str">
        <x:v>to Termination for</x:v>
      </x:c>
      <x:c r="G1112" s="48" t="str">
        <x:v>Obligation</x:v>
      </x:c>
      <x:c r="H1112" s="48" t="str">
        <x:v>Shared</x:v>
      </x:c>
      <x:c r="I1112" s="48" t="n">
        <x:v>0.55</x:v>
      </x:c>
      <x:c r="J1112" s="48" t="n">
        <x:v>0.4</x:v>
      </x:c>
      <x:c r="K1112" s="48" t="str">
        <x:v>Yes</x:v>
      </x:c>
      <x:c r="L1112" s="48" t="str">
        <x:v>PDF text</x:v>
      </x:c>
    </x:row>
    <x:row r="1113">
      <x:c r="A1113" s="48" t="str">
        <x:v>UNI-1112</x:v>
      </x:c>
      <x:c r="B1113" s="48" t="str">
        <x:v>RED</x:v>
      </x:c>
      <x:c r="C1113" s="48" t="str">
        <x:v>English</x:v>
      </x:c>
      <x:c r="D1113" s="48" t="n">
        <x:v>65</x:v>
      </x:c>
      <x:c r="E1113" s="48" t="str"/>
      <x:c r="F1113" s="48" t="str">
        <x:v>Convenience</x:v>
      </x:c>
      <x:c r="G1113" s="48" t="str">
        <x:v>Obligation</x:v>
      </x:c>
      <x:c r="H1113" s="48" t="str">
        <x:v>Shared</x:v>
      </x:c>
      <x:c r="I1113" s="48" t="n">
        <x:v>0.45</x:v>
      </x:c>
      <x:c r="J1113" s="48" t="n">
        <x:v>0.4</x:v>
      </x:c>
      <x:c r="K1113" s="48" t="str">
        <x:v>Yes</x:v>
      </x:c>
      <x:c r="L1113" s="48" t="str">
        <x:v>PDF text</x:v>
      </x:c>
    </x:row>
    <x:row r="1114">
      <x:c r="A1114" s="48" t="str">
        <x:v>UNI-1113</x:v>
      </x:c>
      <x:c r="B1114" s="48" t="str">
        <x:v>RED</x:v>
      </x:c>
      <x:c r="C1114" s="48" t="str">
        <x:v>English</x:v>
      </x:c>
      <x:c r="D1114" s="48" t="n">
        <x:v>65</x:v>
      </x:c>
      <x:c r="E1114" s="48" t="str"/>
      <x:c r="F1114" s="48" t="str">
        <x:v>Corrupt or Fraudulent</x:v>
      </x:c>
      <x:c r="G1114" s="48" t="str">
        <x:v>Obligation</x:v>
      </x:c>
      <x:c r="H1114" s="48" t="str">
        <x:v>Shared</x:v>
      </x:c>
      <x:c r="I1114" s="48" t="n">
        <x:v>0.45</x:v>
      </x:c>
      <x:c r="J1114" s="48" t="n">
        <x:v>0.4</x:v>
      </x:c>
      <x:c r="K1114" s="48" t="str">
        <x:v>Yes</x:v>
      </x:c>
      <x:c r="L1114" s="48" t="str">
        <x:v>PDF text</x:v>
      </x:c>
    </x:row>
    <x:row r="1115">
      <x:c r="A1115" s="48" t="str">
        <x:v>UNI-1114</x:v>
      </x:c>
      <x:c r="B1115" s="48" t="str">
        <x:v>RED</x:v>
      </x:c>
      <x:c r="C1115" s="48" t="str">
        <x:v>English</x:v>
      </x:c>
      <x:c r="D1115" s="48" t="n">
        <x:v>65</x:v>
      </x:c>
      <x:c r="E1115" s="48" t="str"/>
      <x:c r="F1115" s="48" t="str">
        <x:v>Practices</x:v>
      </x:c>
      <x:c r="G1115" s="48" t="str">
        <x:v>Obligation</x:v>
      </x:c>
      <x:c r="H1115" s="48" t="str">
        <x:v>Shared</x:v>
      </x:c>
      <x:c r="I1115" s="48" t="n">
        <x:v>0.45</x:v>
      </x:c>
      <x:c r="J1115" s="48" t="n">
        <x:v>0.4</x:v>
      </x:c>
      <x:c r="K1115" s="48" t="str">
        <x:v>Yes</x:v>
      </x:c>
      <x:c r="L1115" s="48" t="str">
        <x:v>PDF text</x:v>
      </x:c>
    </x:row>
    <x:row r="1116">
      <x:c r="A1116" s="48" t="str">
        <x:v>UNI-1115</x:v>
      </x:c>
      <x:c r="B1116" s="48" t="str">
        <x:v>RED</x:v>
      </x:c>
      <x:c r="C1116" s="48" t="str">
        <x:v>English</x:v>
      </x:c>
      <x:c r="D1116" s="48" t="n">
        <x:v>66</x:v>
      </x:c>
      <x:c r="E1116" s="48" t="str"/>
      <x:c r="F1116" s="48" t="str">
        <x:v>Contractor’s employment under the Contract and expel him from the Site, and the</x:v>
      </x:c>
      <x:c r="G1116" s="48" t="str">
        <x:v>Obligation</x:v>
      </x:c>
      <x:c r="H1116" s="48" t="str">
        <x:v>Contractor</x:v>
      </x:c>
      <x:c r="I1116" s="48" t="n">
        <x:v>0.45</x:v>
      </x:c>
      <x:c r="J1116" s="48" t="n">
        <x:v>0.68</x:v>
      </x:c>
      <x:c r="K1116" s="48" t="str">
        <x:v>Yes</x:v>
      </x:c>
      <x:c r="L1116" s="48" t="str">
        <x:v>PDF text</x:v>
      </x:c>
    </x:row>
    <x:row r="1117">
      <x:c r="A1117" s="48" t="str">
        <x:v>UNI-1116</x:v>
      </x:c>
      <x:c r="B1117" s="48" t="str">
        <x:v>RED</x:v>
      </x:c>
      <x:c r="C1117" s="48" t="str">
        <x:v>English</x:v>
      </x:c>
      <x:c r="D1117" s="48" t="n">
        <x:v>66</x:v>
      </x:c>
      <x:c r="E1117" s="48" t="str"/>
      <x:c r="F1117" s="48" t="str">
        <x:v>provisions of Clause 15 shall apply as if such expulsion had been made under SubClause 15.2.</x:v>
      </x:c>
      <x:c r="G1117" s="48" t="str">
        <x:v>Obligation</x:v>
      </x:c>
      <x:c r="H1117" s="48" t="str">
        <x:v>Shared</x:v>
      </x:c>
      <x:c r="I1117" s="48" t="n">
        <x:v>0.88</x:v>
      </x:c>
      <x:c r="J1117" s="48" t="n">
        <x:v>0.4</x:v>
      </x:c>
      <x:c r="K1117" s="48" t="str">
        <x:v>Yes</x:v>
      </x:c>
      <x:c r="L1117" s="48" t="str">
        <x:v>PDF text</x:v>
      </x:c>
    </x:row>
    <x:row r="1118">
      <x:c r="A1118" s="48" t="str">
        <x:v>UNI-1117</x:v>
      </x:c>
      <x:c r="B1118" s="48" t="str">
        <x:v>RED</x:v>
      </x:c>
      <x:c r="C1118" s="48" t="str">
        <x:v>English</x:v>
      </x:c>
      <x:c r="D1118" s="48" t="n">
        <x:v>66</x:v>
      </x:c>
      <x:c r="E1118" s="48" t="str"/>
      <x:c r="F1118" s="48" t="str">
        <x:v>For the purposes of this Sub-Clause: (a) “corrupt practice” means the offering, giving, receiving or soliciting of any thing of value to influence the action of a public official in the procurement process or in the Contract execution.</x:v>
      </x:c>
      <x:c r="G1118" s="48" t="str">
        <x:v>Definition</x:v>
      </x:c>
      <x:c r="H1118" s="48" t="str"/>
      <x:c r="I1118" s="48" t="n">
        <x:v>0.97</x:v>
      </x:c>
      <x:c r="J1118" s="48" t="n">
        <x:v>0.99</x:v>
      </x:c>
      <x:c r="K1118" s="48" t="str">
        <x:v>No</x:v>
      </x:c>
      <x:c r="L1118" s="48" t="str">
        <x:v>PDF text</x:v>
      </x:c>
    </x:row>
    <x:row r="1119">
      <x:c r="A1119" s="48" t="str">
        <x:v>UNI-1118</x:v>
      </x:c>
      <x:c r="B1119" s="48" t="str">
        <x:v>RED</x:v>
      </x:c>
      <x:c r="C1119" s="48" t="str">
        <x:v>English</x:v>
      </x:c>
      <x:c r="D1119" s="48" t="n">
        <x:v>66</x:v>
      </x:c>
      <x:c r="E1119" s="48" t="str"/>
      <x:c r="F1119" s="48" t="str">
        <x:v>(b) “fraudulent practice” means a misrepresentation of facts in order to influence a procurement process or the execution of the Contract to the detriment of the</x:v>
      </x:c>
      <x:c r="G1119" s="48" t="str">
        <x:v>Definition</x:v>
      </x:c>
      <x:c r="H1119" s="48" t="str"/>
      <x:c r="I1119" s="48" t="n">
        <x:v>0.97</x:v>
      </x:c>
      <x:c r="J1119" s="48" t="n">
        <x:v>0.99</x:v>
      </x:c>
      <x:c r="K1119" s="48" t="str">
        <x:v>No</x:v>
      </x:c>
      <x:c r="L1119" s="48" t="str">
        <x:v>PDF text</x:v>
      </x:c>
    </x:row>
    <x:row r="1120">
      <x:c r="A1120" s="48" t="str">
        <x:v>UNI-1119</x:v>
      </x:c>
      <x:c r="B1120" s="48" t="str">
        <x:v>RED</x:v>
      </x:c>
      <x:c r="C1120" s="48" t="str">
        <x:v>English</x:v>
      </x:c>
      <x:c r="D1120" s="48" t="n">
        <x:v>66</x:v>
      </x:c>
      <x:c r="E1120" s="48" t="str"/>
      <x:c r="F1120" s="48" t="str">
        <x:v>Borrower, and includes collusive practice among Bidders (prior to or after bid</x:v>
      </x:c>
      <x:c r="G1120" s="48" t="str">
        <x:v>Obligation</x:v>
      </x:c>
      <x:c r="H1120" s="48" t="str">
        <x:v>Shared</x:v>
      </x:c>
      <x:c r="I1120" s="48" t="n">
        <x:v>0.45</x:v>
      </x:c>
      <x:c r="J1120" s="48" t="n">
        <x:v>0.4</x:v>
      </x:c>
      <x:c r="K1120" s="48" t="str">
        <x:v>Yes</x:v>
      </x:c>
      <x:c r="L1120" s="48" t="str">
        <x:v>PDF text</x:v>
      </x:c>
    </x:row>
    <x:row r="1121">
      <x:c r="A1121" s="48" t="str">
        <x:v>UNI-1120</x:v>
      </x:c>
      <x:c r="B1121" s="48" t="str">
        <x:v>RED</x:v>
      </x:c>
      <x:c r="C1121" s="48" t="str">
        <x:v>English</x:v>
      </x:c>
      <x:c r="D1121" s="48" t="n">
        <x:v>66</x:v>
      </x:c>
      <x:c r="E1121" s="48" t="str"/>
      <x:c r="F1121" s="48" t="str">
        <x:v>submission) designed to establish bid prices at artificial non-competitive levels and to deprive the Borrower of the benefits of free and open competition.</x:v>
      </x:c>
      <x:c r="G1121" s="48" t="str">
        <x:v>Obligation</x:v>
      </x:c>
      <x:c r="H1121" s="48" t="str">
        <x:v>Shared</x:v>
      </x:c>
      <x:c r="I1121" s="48" t="n">
        <x:v>0.45</x:v>
      </x:c>
      <x:c r="J1121" s="48" t="n">
        <x:v>0.4</x:v>
      </x:c>
      <x:c r="K1121" s="48" t="str">
        <x:v>Yes</x:v>
      </x:c>
      <x:c r="L1121" s="48" t="str">
        <x:v>PDF text</x:v>
      </x:c>
    </x:row>
    <x:row r="1122">
      <x:c r="A1122" s="48" t="str">
        <x:v>UNI-1121</x:v>
      </x:c>
      <x:c r="B1122" s="48" t="str">
        <x:v>RED</x:v>
      </x:c>
      <x:c r="C1122" s="48" t="str">
        <x:v>English</x:v>
      </x:c>
      <x:c r="D1122" s="48" t="n">
        <x:v>66</x:v>
      </x:c>
      <x:c r="E1122" s="48" t="str"/>
      <x:c r="F1122" s="48" t="str">
        <x:v>(c) “collusive practice” means a scheme or arrangement between two or more bidders, with or without the knowledge of the Borrower, designed to establish bid prices at artificial, non-competitive levels.</x:v>
      </x:c>
      <x:c r="G1122" s="48" t="str">
        <x:v>Definition</x:v>
      </x:c>
      <x:c r="H1122" s="48" t="str"/>
      <x:c r="I1122" s="48" t="n">
        <x:v>0.97</x:v>
      </x:c>
      <x:c r="J1122" s="48" t="n">
        <x:v>0.99</x:v>
      </x:c>
      <x:c r="K1122" s="48" t="str">
        <x:v>No</x:v>
      </x:c>
      <x:c r="L1122" s="48" t="str">
        <x:v>PDF text</x:v>
      </x:c>
    </x:row>
    <x:row r="1123">
      <x:c r="A1123" s="48" t="str">
        <x:v>UNI-1122</x:v>
      </x:c>
      <x:c r="B1123" s="48" t="str">
        <x:v>RED</x:v>
      </x:c>
      <x:c r="C1123" s="48" t="str">
        <x:v>English</x:v>
      </x:c>
      <x:c r="D1123" s="48" t="n">
        <x:v>66</x:v>
      </x:c>
      <x:c r="E1123" s="48" t="str"/>
      <x:c r="F1123" s="48" t="str">
        <x:v>(d) “coercive practice” means harming or threatening to harm, directly or indirectly, persons or their property to influence their participation in the procurement process or affect the execution of a contract.</x:v>
      </x:c>
      <x:c r="G1123" s="48" t="str">
        <x:v>Definition</x:v>
      </x:c>
      <x:c r="H1123" s="48" t="str"/>
      <x:c r="I1123" s="48" t="n">
        <x:v>0.97</x:v>
      </x:c>
      <x:c r="J1123" s="48" t="n">
        <x:v>0.99</x:v>
      </x:c>
      <x:c r="K1123" s="48" t="str">
        <x:v>No</x:v>
      </x:c>
      <x:c r="L1123" s="48" t="str">
        <x:v>PDF text</x:v>
      </x:c>
    </x:row>
    <x:row r="1124">
      <x:c r="A1124" s="48" t="str">
        <x:v>UNI-1123</x:v>
      </x:c>
      <x:c r="B1124" s="48" t="str">
        <x:v>RED</x:v>
      </x:c>
      <x:c r="C1124" s="48" t="str">
        <x:v>English</x:v>
      </x:c>
      <x:c r="D1124" s="48" t="n">
        <x:v>66</x:v>
      </x:c>
      <x:c r="E1124" s="48" t="str"/>
      <x:c r="F1124" s="48" t="str">
        <x:v>If the Engineer fails to certify in accordance with Sub-Clause 14.6 [Issue of Interim Payment Certificates] or the Employer fails to comply with Sub-Clause 2.4 [Employer’s Financial Arrangements] or Sub-Clause 14.7 [Payment], the Contractor may, after giving not less than 21 days’ notice to the Employer, suspend work (or reduce the rate of work) unless and until the Contractor has received the Payment Certificate, reasonable evidence or payment, as the case may be and as described in the notice.</x:v>
      </x:c>
      <x:c r="G1124" s="48" t="str">
        <x:v>Right</x:v>
      </x:c>
      <x:c r="H1124" s="48" t="str">
        <x:v>Contractor</x:v>
      </x:c>
      <x:c r="I1124" s="48" t="n">
        <x:v>0.78</x:v>
      </x:c>
      <x:c r="J1124" s="48" t="n">
        <x:v>0.92</x:v>
      </x:c>
      <x:c r="K1124" s="48" t="str">
        <x:v>No</x:v>
      </x:c>
      <x:c r="L1124" s="48" t="str">
        <x:v>PDF text</x:v>
      </x:c>
    </x:row>
    <x:row r="1125">
      <x:c r="A1125" s="48" t="str">
        <x:v>UNI-1124</x:v>
      </x:c>
      <x:c r="B1125" s="48" t="str">
        <x:v>RED</x:v>
      </x:c>
      <x:c r="C1125" s="48" t="str">
        <x:v>English</x:v>
      </x:c>
      <x:c r="D1125" s="48" t="n">
        <x:v>66</x:v>
      </x:c>
      <x:c r="E1125" s="48" t="str"/>
      <x:c r="F1125" s="48" t="str">
        <x:v>Notwithstanding the above, if the Bank has suspended disbursements under its loan, which finances in whole or in part the execution of the Works, and no alternative funds are available as provided for in Sub-Clause 2.4 [Employer’s Financial Arrangements], the Contractor may by notice suspend work or reduce the rate of work at any time, but not less than 7 days after the Borrower having received the suspension notification from the Bank.</x:v>
      </x:c>
      <x:c r="G1125" s="48" t="str">
        <x:v>Right</x:v>
      </x:c>
      <x:c r="H1125" s="48" t="str">
        <x:v>Contractor</x:v>
      </x:c>
      <x:c r="I1125" s="48" t="n">
        <x:v>0.78</x:v>
      </x:c>
      <x:c r="J1125" s="48" t="n">
        <x:v>0.92</x:v>
      </x:c>
      <x:c r="K1125" s="48" t="str">
        <x:v>No</x:v>
      </x:c>
      <x:c r="L1125" s="48" t="str">
        <x:v>PDF text</x:v>
      </x:c>
    </x:row>
    <x:row r="1126">
      <x:c r="A1126" s="48" t="str">
        <x:v>UNI-1125</x:v>
      </x:c>
      <x:c r="B1126" s="48" t="str">
        <x:v>RED</x:v>
      </x:c>
      <x:c r="C1126" s="48" t="str">
        <x:v>English</x:v>
      </x:c>
      <x:c r="D1126" s="48" t="n">
        <x:v>66</x:v>
      </x:c>
      <x:c r="E1126" s="48" t="str"/>
      <x:c r="F1126" s="48" t="str">
        <x:v>The Contractor’s action shall not prejudice his entitlements to financing charges under Sub-Clause 14.8 [Delayed Payment] and to termination under Sub-Clause 16.2 [Termination by Contractor].</x:v>
      </x:c>
      <x:c r="G1126" s="48" t="str">
        <x:v>Obligation</x:v>
      </x:c>
      <x:c r="H1126" s="48" t="str">
        <x:v>Contractor</x:v>
      </x:c>
      <x:c r="I1126" s="48" t="n">
        <x:v>0.88</x:v>
      </x:c>
      <x:c r="J1126" s="48" t="n">
        <x:v>0.68</x:v>
      </x:c>
      <x:c r="K1126" s="48" t="str">
        <x:v>Yes</x:v>
      </x:c>
      <x:c r="L1126" s="48" t="str">
        <x:v>PDF text</x:v>
      </x:c>
    </x:row>
    <x:row r="1127">
      <x:c r="A1127" s="48" t="str">
        <x:v>UNI-1126</x:v>
      </x:c>
      <x:c r="B1127" s="48" t="str">
        <x:v>RED</x:v>
      </x:c>
      <x:c r="C1127" s="48" t="str">
        <x:v>English</x:v>
      </x:c>
      <x:c r="D1127" s="48" t="n">
        <x:v>66</x:v>
      </x:c>
      <x:c r="E1127" s="48" t="str"/>
      <x:c r="F1127" s="48" t="str">
        <x:v>If the Contractor subsequently receives such Payment Certificate, evidence or</x:v>
      </x:c>
      <x:c r="G1127" s="48" t="str">
        <x:v>Obligation</x:v>
      </x:c>
      <x:c r="H1127" s="48" t="str">
        <x:v>Contractor</x:v>
      </x:c>
      <x:c r="I1127" s="48" t="n">
        <x:v>0.55</x:v>
      </x:c>
      <x:c r="J1127" s="48" t="n">
        <x:v>0.68</x:v>
      </x:c>
      <x:c r="K1127" s="48" t="str">
        <x:v>Yes</x:v>
      </x:c>
      <x:c r="L1127" s="48" t="str">
        <x:v>PDF text</x:v>
      </x:c>
    </x:row>
    <x:row r="1128">
      <x:c r="A1128" s="48" t="str">
        <x:v>UNI-1127</x:v>
      </x:c>
      <x:c r="B1128" s="48" t="str">
        <x:v>RED</x:v>
      </x:c>
      <x:c r="C1128" s="48" t="str">
        <x:v>English</x:v>
      </x:c>
      <x:c r="D1128" s="48" t="n">
        <x:v>66</x:v>
      </x:c>
      <x:c r="E1128" s="48" t="str"/>
      <x:c r="F1128" s="48" t="str">
        <x:v>payment (as described in the relevant Sub-Clause and in the above notice) before giving a notice of termination, the Contractor shall resume normal working as soon as is reasonably practicable.</x:v>
      </x:c>
      <x:c r="G1128" s="48" t="str">
        <x:v>Obligation</x:v>
      </x:c>
      <x:c r="H1128" s="48" t="str">
        <x:v>Contractor</x:v>
      </x:c>
      <x:c r="I1128" s="48" t="n">
        <x:v>0.88</x:v>
      </x:c>
      <x:c r="J1128" s="48" t="n">
        <x:v>0.92</x:v>
      </x:c>
      <x:c r="K1128" s="48" t="str">
        <x:v>No</x:v>
      </x:c>
      <x:c r="L1128" s="48" t="str">
        <x:v>PDF text</x:v>
      </x:c>
    </x:row>
    <x:row r="1129">
      <x:c r="A1129" s="48" t="str">
        <x:v>UNI-1128</x:v>
      </x:c>
      <x:c r="B1129" s="48" t="str">
        <x:v>RED</x:v>
      </x:c>
      <x:c r="C1129" s="48" t="str">
        <x:v>English</x:v>
      </x:c>
      <x:c r="D1129" s="48" t="n">
        <x:v>66</x:v>
      </x:c>
      <x:c r="E1129" s="48" t="str"/>
      <x:c r="F1129" s="48" t="str">
        <x:v>If the Contractor suffers delay and/or incurs Cost as a result of suspending work (or reducing the rate of work) in accordance with this Sub-Clause, the Contractor shall give notice to the Engineer and shall be entitled subject to Sub-Clause 20.1 [Contractor’s Claims] to: (a) an extension of time for any such delay, if completion is or will be delayed, under Sub-Clause 8.4 [Extension of Time for Completion], and 16.1</x:v>
      </x:c>
      <x:c r="G1129" s="48" t="str">
        <x:v>Risk</x:v>
      </x:c>
      <x:c r="H1129" s="48" t="str">
        <x:v>Contractor</x:v>
      </x:c>
      <x:c r="I1129" s="48" t="n">
        <x:v>0.78</x:v>
      </x:c>
      <x:c r="J1129" s="48" t="n">
        <x:v>0.92</x:v>
      </x:c>
      <x:c r="K1129" s="48" t="str">
        <x:v>No</x:v>
      </x:c>
      <x:c r="L1129" s="48" t="str">
        <x:v>PDF text</x:v>
      </x:c>
    </x:row>
    <x:row r="1130">
      <x:c r="A1130" s="48" t="str">
        <x:v>UNI-1129</x:v>
      </x:c>
      <x:c r="B1130" s="48" t="str">
        <x:v>RED</x:v>
      </x:c>
      <x:c r="C1130" s="48" t="str">
        <x:v>English</x:v>
      </x:c>
      <x:c r="D1130" s="48" t="n">
        <x:v>66</x:v>
      </x:c>
      <x:c r="E1130" s="48" t="str"/>
      <x:c r="F1130" s="48" t="str">
        <x:v>Contractor’s Entitlement</x:v>
      </x:c>
      <x:c r="G1130" s="48" t="str">
        <x:v>Obligation</x:v>
      </x:c>
      <x:c r="H1130" s="48" t="str">
        <x:v>Contractor</x:v>
      </x:c>
      <x:c r="I1130" s="48" t="n">
        <x:v>0.45</x:v>
      </x:c>
      <x:c r="J1130" s="48" t="n">
        <x:v>0.68</x:v>
      </x:c>
      <x:c r="K1130" s="48" t="str">
        <x:v>Yes</x:v>
      </x:c>
      <x:c r="L1130" s="48" t="str">
        <x:v>PDF text</x:v>
      </x:c>
    </x:row>
    <x:row r="1131">
      <x:c r="A1131" s="48" t="str">
        <x:v>UNI-1130</x:v>
      </x:c>
      <x:c r="B1131" s="48" t="str">
        <x:v>RED</x:v>
      </x:c>
      <x:c r="C1131" s="48" t="str">
        <x:v>English</x:v>
      </x:c>
      <x:c r="D1131" s="48" t="n">
        <x:v>66</x:v>
      </x:c>
      <x:c r="E1131" s="48" t="str"/>
      <x:c r="F1131" s="48" t="str">
        <x:v>to Suspend Work16</x:v>
      </x:c>
      <x:c r="G1131" s="48" t="str">
        <x:v>Obligation</x:v>
      </x:c>
      <x:c r="H1131" s="48" t="str">
        <x:v>Shared</x:v>
      </x:c>
      <x:c r="I1131" s="48" t="n">
        <x:v>0.45</x:v>
      </x:c>
      <x:c r="J1131" s="48" t="n">
        <x:v>0.4</x:v>
      </x:c>
      <x:c r="K1131" s="48" t="str">
        <x:v>Yes</x:v>
      </x:c>
      <x:c r="L1131" s="48" t="str">
        <x:v>PDF text</x:v>
      </x:c>
    </x:row>
    <x:row r="1132">
      <x:c r="A1132" s="48" t="str">
        <x:v>UNI-1131</x:v>
      </x:c>
      <x:c r="B1132" s="48" t="str">
        <x:v>RED</x:v>
      </x:c>
      <x:c r="C1132" s="48" t="str">
        <x:v>English</x:v>
      </x:c>
      <x:c r="D1132" s="48" t="n">
        <x:v>66</x:v>
      </x:c>
      <x:c r="E1132" s="48" t="str"/>
      <x:c r="F1132" s="48" t="str">
        <x:v>Suspension and Termination by Contractor</x:v>
      </x:c>
      <x:c r="G1132" s="48" t="str">
        <x:v>Obligation</x:v>
      </x:c>
      <x:c r="H1132" s="48" t="str">
        <x:v>Contractor</x:v>
      </x:c>
      <x:c r="I1132" s="48" t="n">
        <x:v>0.55</x:v>
      </x:c>
      <x:c r="J1132" s="48" t="n">
        <x:v>0.68</x:v>
      </x:c>
      <x:c r="K1132" s="48" t="str">
        <x:v>Yes</x:v>
      </x:c>
      <x:c r="L1132" s="48" t="str">
        <x:v>PDF text</x:v>
      </x:c>
    </x:row>
    <x:row r="1133">
      <x:c r="A1133" s="48" t="str">
        <x:v>UNI-1132</x:v>
      </x:c>
      <x:c r="B1133" s="48" t="str">
        <x:v>RED</x:v>
      </x:c>
      <x:c r="C1133" s="48" t="str">
        <x:v>English</x:v>
      </x:c>
      <x:c r="D1133" s="48" t="n">
        <x:v>67</x:v>
      </x:c>
      <x:c r="E1133" s="48" t="str"/>
      <x:c r="F1133" s="48" t="str">
        <x:v>(b) payment of any such Cost plus profit, which shall be included in the Contract Price.</x:v>
      </x:c>
      <x:c r="G1133" s="48" t="str">
        <x:v>Obligation</x:v>
      </x:c>
      <x:c r="H1133" s="48" t="str">
        <x:v>Shared</x:v>
      </x:c>
      <x:c r="I1133" s="48" t="n">
        <x:v>0.88</x:v>
      </x:c>
      <x:c r="J1133" s="48" t="n">
        <x:v>0.4</x:v>
      </x:c>
      <x:c r="K1133" s="48" t="str">
        <x:v>Yes</x:v>
      </x:c>
      <x:c r="L1133" s="48" t="str">
        <x:v>PDF text</x:v>
      </x:c>
    </x:row>
    <x:row r="1134">
      <x:c r="A1134" s="48" t="str">
        <x:v>UNI-1133</x:v>
      </x:c>
      <x:c r="B1134" s="48" t="str">
        <x:v>RED</x:v>
      </x:c>
      <x:c r="C1134" s="48" t="str">
        <x:v>English</x:v>
      </x:c>
      <x:c r="D1134" s="48" t="n">
        <x:v>67</x:v>
      </x:c>
      <x:c r="E1134" s="48" t="str"/>
      <x:c r="F1134" s="48" t="str">
        <x:v>In the event the Bank suspends the loan or credit from which part of the</x:v>
      </x:c>
      <x:c r="G1134" s="48" t="str">
        <x:v>Obligation</x:v>
      </x:c>
      <x:c r="H1134" s="48" t="str">
        <x:v>Shared</x:v>
      </x:c>
      <x:c r="I1134" s="48" t="n">
        <x:v>0.45</x:v>
      </x:c>
      <x:c r="J1134" s="48" t="n">
        <x:v>0.4</x:v>
      </x:c>
      <x:c r="K1134" s="48" t="str">
        <x:v>Yes</x:v>
      </x:c>
      <x:c r="L1134" s="48" t="str">
        <x:v>PDF text</x:v>
      </x:c>
    </x:row>
    <x:row r="1135">
      <x:c r="A1135" s="48" t="str">
        <x:v>UNI-1134</x:v>
      </x:c>
      <x:c r="B1135" s="48" t="str">
        <x:v>RED</x:v>
      </x:c>
      <x:c r="C1135" s="48" t="str">
        <x:v>English</x:v>
      </x:c>
      <x:c r="D1135" s="48" t="n">
        <x:v>67</x:v>
      </x:c>
      <x:c r="E1135" s="48" t="str"/>
      <x:c r="F1135" s="48" t="str">
        <x:v>payments to the Contractor are being made, if the Contractor has not received the sums due to him upon expiration of the 14 days referred to in Sub-Clause</x:v>
      </x:c>
      <x:c r="G1135" s="48" t="str">
        <x:v>Obligation</x:v>
      </x:c>
      <x:c r="H1135" s="48" t="str">
        <x:v>Contractor</x:v>
      </x:c>
      <x:c r="I1135" s="48" t="n">
        <x:v>0.45</x:v>
      </x:c>
      <x:c r="J1135" s="48" t="n">
        <x:v>0.68</x:v>
      </x:c>
      <x:c r="K1135" s="48" t="str">
        <x:v>Yes</x:v>
      </x:c>
      <x:c r="L1135" s="48" t="str">
        <x:v>PDF text</x:v>
      </x:c>
    </x:row>
    <x:row r="1136">
      <x:c r="A1136" s="48" t="str">
        <x:v>UNI-1135</x:v>
      </x:c>
      <x:c r="B1136" s="48" t="str">
        <x:v>RED</x:v>
      </x:c>
      <x:c r="C1136" s="48" t="str">
        <x:v>English</x:v>
      </x:c>
      <x:c r="D1136" s="48" t="n">
        <x:v>67</x:v>
      </x:c>
      <x:c r="E1136" s="48" t="str">
        <x:v>14.7</x:v>
      </x:c>
      <x:c r="F1136" s="48" t="str">
        <x:v>14.7 for payments under Interim Payment certificates, the Contractor may,</x:v>
      </x:c>
      <x:c r="G1136" s="48" t="str">
        <x:v>Obligation</x:v>
      </x:c>
      <x:c r="H1136" s="48" t="str">
        <x:v>Contractor</x:v>
      </x:c>
      <x:c r="I1136" s="48" t="n">
        <x:v>0.55</x:v>
      </x:c>
      <x:c r="J1136" s="48" t="n">
        <x:v>0.68</x:v>
      </x:c>
      <x:c r="K1136" s="48" t="str">
        <x:v>Yes</x:v>
      </x:c>
      <x:c r="L1136" s="48" t="str">
        <x:v>PDF text</x:v>
      </x:c>
    </x:row>
    <x:row r="1137">
      <x:c r="A1137" s="48" t="str">
        <x:v>UNI-1136</x:v>
      </x:c>
      <x:c r="B1137" s="48" t="str">
        <x:v>RED</x:v>
      </x:c>
      <x:c r="C1137" s="48" t="str">
        <x:v>English</x:v>
      </x:c>
      <x:c r="D1137" s="48" t="n">
        <x:v>67</x:v>
      </x:c>
      <x:c r="E1137" s="48" t="str"/>
      <x:c r="F1137" s="48" t="str">
        <x:v>without prejudice to the Contractor’s entitlement to financing charges under Sub-Clause 14.8, immediately take one or both of the following actions, namely (i) suspend work or reduce the rate of work, and (ii) terminate his employment under the Contract by giving notice to the Employer, with a copy to the Engineer, such termination to take effect 14 days after the giving of the notice.</x:v>
      </x:c>
      <x:c r="G1137" s="48" t="str">
        <x:v>Obligation</x:v>
      </x:c>
      <x:c r="H1137" s="48" t="str">
        <x:v>Shared</x:v>
      </x:c>
      <x:c r="I1137" s="48" t="n">
        <x:v>0.55</x:v>
      </x:c>
      <x:c r="J1137" s="48" t="n">
        <x:v>0.6</x:v>
      </x:c>
      <x:c r="K1137" s="48" t="str">
        <x:v>Yes</x:v>
      </x:c>
      <x:c r="L1137" s="48" t="str">
        <x:v>PDF text</x:v>
      </x:c>
    </x:row>
    <x:row r="1138">
      <x:c r="A1138" s="48" t="str">
        <x:v>UNI-1137</x:v>
      </x:c>
      <x:c r="B1138" s="48" t="str">
        <x:v>RED</x:v>
      </x:c>
      <x:c r="C1138" s="48" t="str">
        <x:v>English</x:v>
      </x:c>
      <x:c r="D1138" s="48" t="n">
        <x:v>67</x:v>
      </x:c>
      <x:c r="E1138" s="48" t="str"/>
      <x:c r="F1138" s="48" t="str">
        <x:v>In any of these events or circumstances, the Contractor may, upon giving 14 days’ notice to the Employer, terminate the Contract.</x:v>
      </x:c>
      <x:c r="G1138" s="48" t="str">
        <x:v>Obligation</x:v>
      </x:c>
      <x:c r="H1138" s="48" t="str">
        <x:v>Shared</x:v>
      </x:c>
      <x:c r="I1138" s="48" t="n">
        <x:v>0.55</x:v>
      </x:c>
      <x:c r="J1138" s="48" t="n">
        <x:v>0.6</x:v>
      </x:c>
      <x:c r="K1138" s="48" t="str">
        <x:v>Yes</x:v>
      </x:c>
      <x:c r="L1138" s="48" t="str">
        <x:v>PDF text</x:v>
      </x:c>
    </x:row>
    <x:row r="1139">
      <x:c r="A1139" s="48" t="str">
        <x:v>UNI-1138</x:v>
      </x:c>
      <x:c r="B1139" s="48" t="str">
        <x:v>RED</x:v>
      </x:c>
      <x:c r="C1139" s="48" t="str">
        <x:v>English</x:v>
      </x:c>
      <x:c r="D1139" s="48" t="n">
        <x:v>67</x:v>
      </x:c>
      <x:c r="E1139" s="48" t="str"/>
      <x:c r="F1139" s="48" t="str">
        <x:v>However, in the case of subparagraph (f) or (g), the Contractor may by notice terminate the Contract immediately.</x:v>
      </x:c>
      <x:c r="G1139" s="48" t="str">
        <x:v>Right</x:v>
      </x:c>
      <x:c r="H1139" s="48" t="str">
        <x:v>Contractor</x:v>
      </x:c>
      <x:c r="I1139" s="48" t="n">
        <x:v>0.78</x:v>
      </x:c>
      <x:c r="J1139" s="48" t="n">
        <x:v>0.92</x:v>
      </x:c>
      <x:c r="K1139" s="48" t="str">
        <x:v>No</x:v>
      </x:c>
      <x:c r="L1139" s="48" t="str">
        <x:v>PDF text</x:v>
      </x:c>
    </x:row>
    <x:row r="1140">
      <x:c r="A1140" s="48" t="str">
        <x:v>UNI-1139</x:v>
      </x:c>
      <x:c r="B1140" s="48" t="str">
        <x:v>RED</x:v>
      </x:c>
      <x:c r="C1140" s="48" t="str">
        <x:v>English</x:v>
      </x:c>
      <x:c r="D1140" s="48" t="n">
        <x:v>67</x:v>
      </x:c>
      <x:c r="E1140" s="48" t="str"/>
      <x:c r="F1140" s="48" t="str">
        <x:v>The Contractor’s election to terminate the Contract shall not prejudice any other rights of the Contractor, under the Contract or otherwise.</x:v>
      </x:c>
      <x:c r="G1140" s="48" t="str">
        <x:v>Obligation</x:v>
      </x:c>
      <x:c r="H1140" s="48" t="str">
        <x:v>Contractor</x:v>
      </x:c>
      <x:c r="I1140" s="48" t="n">
        <x:v>0.88</x:v>
      </x:c>
      <x:c r="J1140" s="48" t="n">
        <x:v>0.68</x:v>
      </x:c>
      <x:c r="K1140" s="48" t="str">
        <x:v>Yes</x:v>
      </x:c>
      <x:c r="L1140" s="48" t="str">
        <x:v>PDF text</x:v>
      </x:c>
    </x:row>
    <x:row r="1141">
      <x:c r="A1141" s="48" t="str">
        <x:v>UNI-1140</x:v>
      </x:c>
      <x:c r="B1141" s="48" t="str">
        <x:v>RED</x:v>
      </x:c>
      <x:c r="C1141" s="48" t="str">
        <x:v>English</x:v>
      </x:c>
      <x:c r="D1141" s="48" t="n">
        <x:v>67</x:v>
      </x:c>
      <x:c r="E1141" s="48" t="str"/>
      <x:c r="F1141" s="48" t="str">
        <x:v>After a notice of termination under Sub-Clause 15.5 [Employer’s Entitlement to Termination], Sub-Clause 16.2 [Termination by Contractor] or Sub-Clause 19.6 [Optional Termination, Payment and Release] has taken effect, the Contractor shall promptly: (a) cease all further work, except for such work as may have been instructed by the Engineer for the protection of life or property or for the safety of the Works, 16.2</x:v>
      </x:c>
      <x:c r="G1141" s="48" t="str">
        <x:v>Obligation</x:v>
      </x:c>
      <x:c r="H1141" s="48" t="str">
        <x:v>Contractor</x:v>
      </x:c>
      <x:c r="I1141" s="48" t="n">
        <x:v>0.88</x:v>
      </x:c>
      <x:c r="J1141" s="48" t="n">
        <x:v>0.92</x:v>
      </x:c>
      <x:c r="K1141" s="48" t="str">
        <x:v>No</x:v>
      </x:c>
      <x:c r="L1141" s="48" t="str">
        <x:v>PDF text</x:v>
      </x:c>
    </x:row>
    <x:row r="1142">
      <x:c r="A1142" s="48" t="str">
        <x:v>UNI-1141</x:v>
      </x:c>
      <x:c r="B1142" s="48" t="str">
        <x:v>RED</x:v>
      </x:c>
      <x:c r="C1142" s="48" t="str">
        <x:v>English</x:v>
      </x:c>
      <x:c r="D1142" s="48" t="n">
        <x:v>67</x:v>
      </x:c>
      <x:c r="E1142" s="48" t="str"/>
      <x:c r="F1142" s="48" t="str">
        <x:v>Termination by</x:v>
      </x:c>
      <x:c r="G1142" s="48" t="str">
        <x:v>Obligation</x:v>
      </x:c>
      <x:c r="H1142" s="48" t="str">
        <x:v>Shared</x:v>
      </x:c>
      <x:c r="I1142" s="48" t="n">
        <x:v>0.55</x:v>
      </x:c>
      <x:c r="J1142" s="48" t="n">
        <x:v>0.4</x:v>
      </x:c>
      <x:c r="K1142" s="48" t="str">
        <x:v>Yes</x:v>
      </x:c>
      <x:c r="L1142" s="48" t="str">
        <x:v>PDF text</x:v>
      </x:c>
    </x:row>
    <x:row r="1143">
      <x:c r="A1143" s="48" t="str">
        <x:v>UNI-1142</x:v>
      </x:c>
      <x:c r="B1143" s="48" t="str">
        <x:v>RED</x:v>
      </x:c>
      <x:c r="C1143" s="48" t="str">
        <x:v>English</x:v>
      </x:c>
      <x:c r="D1143" s="48" t="n">
        <x:v>67</x:v>
      </x:c>
      <x:c r="E1143" s="48" t="str"/>
      <x:c r="F1143" s="48" t="str">
        <x:v>Cessation of Work and</x:v>
      </x:c>
      <x:c r="G1143" s="48" t="str">
        <x:v>Obligation</x:v>
      </x:c>
      <x:c r="H1143" s="48" t="str">
        <x:v>Shared</x:v>
      </x:c>
      <x:c r="I1143" s="48" t="n">
        <x:v>0.45</x:v>
      </x:c>
      <x:c r="J1143" s="48" t="n">
        <x:v>0.4</x:v>
      </x:c>
      <x:c r="K1143" s="48" t="str">
        <x:v>Yes</x:v>
      </x:c>
      <x:c r="L1143" s="48" t="str">
        <x:v>PDF text</x:v>
      </x:c>
    </x:row>
    <x:row r="1144">
      <x:c r="A1144" s="48" t="str">
        <x:v>UNI-1143</x:v>
      </x:c>
      <x:c r="B1144" s="48" t="str">
        <x:v>RED</x:v>
      </x:c>
      <x:c r="C1144" s="48" t="str">
        <x:v>English</x:v>
      </x:c>
      <x:c r="D1144" s="48" t="n">
        <x:v>67</x:v>
      </x:c>
      <x:c r="E1144" s="48" t="str"/>
      <x:c r="F1144" s="48" t="str">
        <x:v>Removal of Contractor’s</x:v>
      </x:c>
      <x:c r="G1144" s="48" t="str">
        <x:v>Obligation</x:v>
      </x:c>
      <x:c r="H1144" s="48" t="str">
        <x:v>Contractor</x:v>
      </x:c>
      <x:c r="I1144" s="48" t="n">
        <x:v>0.45</x:v>
      </x:c>
      <x:c r="J1144" s="48" t="n">
        <x:v>0.68</x:v>
      </x:c>
      <x:c r="K1144" s="48" t="str">
        <x:v>Yes</x:v>
      </x:c>
      <x:c r="L1144" s="48" t="str">
        <x:v>PDF text</x:v>
      </x:c>
    </x:row>
    <x:row r="1145">
      <x:c r="A1145" s="48" t="str">
        <x:v>UNI-1144</x:v>
      </x:c>
      <x:c r="B1145" s="48" t="str">
        <x:v>RED</x:v>
      </x:c>
      <x:c r="C1145" s="48" t="str">
        <x:v>English</x:v>
      </x:c>
      <x:c r="D1145" s="48" t="n">
        <x:v>68</x:v>
      </x:c>
      <x:c r="E1145" s="48" t="str"/>
      <x:c r="F1145" s="48" t="str">
        <x:v>(b) hand over Contractor’s Documents, Plant, Materials and other work, for which the Contractor has received payment, and (c) remove all other Goods from the Site, except as necessary for safety, and leave the Site.</x:v>
      </x:c>
      <x:c r="G1145" s="48" t="str">
        <x:v>Obligation</x:v>
      </x:c>
      <x:c r="H1145" s="48" t="str">
        <x:v>Contractor</x:v>
      </x:c>
      <x:c r="I1145" s="48" t="n">
        <x:v>0.55</x:v>
      </x:c>
      <x:c r="J1145" s="48" t="n">
        <x:v>0.68</x:v>
      </x:c>
      <x:c r="K1145" s="48" t="str">
        <x:v>Yes</x:v>
      </x:c>
      <x:c r="L1145" s="48" t="str">
        <x:v>PDF text</x:v>
      </x:c>
    </x:row>
    <x:row r="1146">
      <x:c r="A1146" s="48" t="str">
        <x:v>UNI-1145</x:v>
      </x:c>
      <x:c r="B1146" s="48" t="str">
        <x:v>RED</x:v>
      </x:c>
      <x:c r="C1146" s="48" t="str">
        <x:v>English</x:v>
      </x:c>
      <x:c r="D1146" s="48" t="n">
        <x:v>68</x:v>
      </x:c>
      <x:c r="E1146" s="48" t="str"/>
      <x:c r="F1146" s="48" t="str">
        <x:v>After a notice of termination under Sub-Clause 16.2 [Termination by Contractor] has taken effect, the Employer shall promptly: (a) return the Performance Security to the Contractor, (b) pay the Contractor in accordance with Sub-Clause 19.6 [Optional Termination, Payment and Release], and (c) pay to the Contractor the amount of any loss or damage sustained by the Contractor as a result of this termination.</x:v>
      </x:c>
      <x:c r="G1146" s="48" t="str">
        <x:v>Risk</x:v>
      </x:c>
      <x:c r="H1146" s="48" t="str">
        <x:v>Employer</x:v>
      </x:c>
      <x:c r="I1146" s="48" t="n">
        <x:v>0.78</x:v>
      </x:c>
      <x:c r="J1146" s="48" t="n">
        <x:v>0.92</x:v>
      </x:c>
      <x:c r="K1146" s="48" t="str">
        <x:v>No</x:v>
      </x:c>
      <x:c r="L1146" s="48" t="str">
        <x:v>PDF text</x:v>
      </x:c>
    </x:row>
    <x:row r="1147">
      <x:c r="A1147" s="48" t="str">
        <x:v>UNI-1146</x:v>
      </x:c>
      <x:c r="B1147" s="48" t="str">
        <x:v>RED</x:v>
      </x:c>
      <x:c r="C1147" s="48" t="str">
        <x:v>English</x:v>
      </x:c>
      <x:c r="D1147" s="48" t="n">
        <x:v>68</x:v>
      </x:c>
      <x:c r="E1147" s="48" t="str"/>
      <x:c r="F1147" s="48" t="str">
        <x:v>The Contractor shall indemnify and hold harmless the Employer, the Employer’s</x:v>
      </x:c>
      <x:c r="G1147" s="48" t="str">
        <x:v>Obligation</x:v>
      </x:c>
      <x:c r="H1147" s="48" t="str">
        <x:v>Contractor</x:v>
      </x:c>
      <x:c r="I1147" s="48" t="n">
        <x:v>0.88</x:v>
      </x:c>
      <x:c r="J1147" s="48" t="n">
        <x:v>0.92</x:v>
      </x:c>
      <x:c r="K1147" s="48" t="str">
        <x:v>No</x:v>
      </x:c>
      <x:c r="L1147" s="48" t="str">
        <x:v>PDF text</x:v>
      </x:c>
    </x:row>
    <x:row r="1148">
      <x:c r="A1148" s="48" t="str">
        <x:v>UNI-1147</x:v>
      </x:c>
      <x:c r="B1148" s="48" t="str">
        <x:v>RED</x:v>
      </x:c>
      <x:c r="C1148" s="48" t="str">
        <x:v>English</x:v>
      </x:c>
      <x:c r="D1148" s="48" t="n">
        <x:v>68</x:v>
      </x:c>
      <x:c r="E1148" s="48" t="str"/>
      <x:c r="F1148" s="48" t="str">
        <x:v>Personnel, and their respective agents, against and from all claims, damages, losses and expenses (including legal fees and expenses) in respect of: (a) bodily injury, sickness, disease or death, of any person whatsoever arising out of or in the course of or by reason of the Contractor’s design (if any), the execution and completion of the Works and the remedying of any defects, unless attributable to any negligence, wilful act or breach of the Contract by the</x:v>
      </x:c>
      <x:c r="G1148" s="48" t="str">
        <x:v>Risk</x:v>
      </x:c>
      <x:c r="H1148" s="48" t="str">
        <x:v>Contractor</x:v>
      </x:c>
      <x:c r="I1148" s="48" t="n">
        <x:v>0.78</x:v>
      </x:c>
      <x:c r="J1148" s="48" t="n">
        <x:v>0.68</x:v>
      </x:c>
      <x:c r="K1148" s="48" t="str">
        <x:v>Yes</x:v>
      </x:c>
      <x:c r="L1148" s="48" t="str">
        <x:v>PDF text</x:v>
      </x:c>
    </x:row>
    <x:row r="1149">
      <x:c r="A1149" s="48" t="str">
        <x:v>UNI-1148</x:v>
      </x:c>
      <x:c r="B1149" s="48" t="str">
        <x:v>RED</x:v>
      </x:c>
      <x:c r="C1149" s="48" t="str">
        <x:v>English</x:v>
      </x:c>
      <x:c r="D1149" s="48" t="n">
        <x:v>68</x:v>
      </x:c>
      <x:c r="E1149" s="48" t="str"/>
      <x:c r="F1149" s="48" t="str">
        <x:v>Employer, the Employer’s Personnel, or any of their respective agents, and</x:v>
      </x:c>
      <x:c r="G1149" s="48" t="str">
        <x:v>Obligation</x:v>
      </x:c>
      <x:c r="H1149" s="48" t="str">
        <x:v>Employer</x:v>
      </x:c>
      <x:c r="I1149" s="48" t="n">
        <x:v>0.45</x:v>
      </x:c>
      <x:c r="J1149" s="48" t="n">
        <x:v>0.68</x:v>
      </x:c>
      <x:c r="K1149" s="48" t="str">
        <x:v>Yes</x:v>
      </x:c>
      <x:c r="L1149" s="48" t="str">
        <x:v>PDF text</x:v>
      </x:c>
    </x:row>
    <x:row r="1150">
      <x:c r="A1150" s="48" t="str">
        <x:v>UNI-1149</x:v>
      </x:c>
      <x:c r="B1150" s="48" t="str">
        <x:v>RED</x:v>
      </x:c>
      <x:c r="C1150" s="48" t="str">
        <x:v>English</x:v>
      </x:c>
      <x:c r="D1150" s="48" t="n">
        <x:v>68</x:v>
      </x:c>
      <x:c r="E1150" s="48" t="str"/>
      <x:c r="F1150" s="48" t="str">
        <x:v>(b) damage to or loss of any property, real or personal (other than the Works), to the extent that such damage or loss arises out of or in the course of or by reason of the Contractor’s design (if any), the execution and completion of the</x:v>
      </x:c>
      <x:c r="G1150" s="48" t="str">
        <x:v>Risk</x:v>
      </x:c>
      <x:c r="H1150" s="48" t="str">
        <x:v>Contractor</x:v>
      </x:c>
      <x:c r="I1150" s="48" t="n">
        <x:v>0.78</x:v>
      </x:c>
      <x:c r="J1150" s="48" t="n">
        <x:v>0.68</x:v>
      </x:c>
      <x:c r="K1150" s="48" t="str">
        <x:v>Yes</x:v>
      </x:c>
      <x:c r="L1150" s="48" t="str">
        <x:v>PDF text</x:v>
      </x:c>
    </x:row>
    <x:row r="1151">
      <x:c r="A1151" s="48" t="str">
        <x:v>UNI-1150</x:v>
      </x:c>
      <x:c r="B1151" s="48" t="str">
        <x:v>RED</x:v>
      </x:c>
      <x:c r="C1151" s="48" t="str">
        <x:v>English</x:v>
      </x:c>
      <x:c r="D1151" s="48" t="n">
        <x:v>68</x:v>
      </x:c>
      <x:c r="E1151" s="48" t="str"/>
      <x:c r="F1151" s="48" t="str">
        <x:v>Works and the remedying of any defects, unless and to the extent that any</x:v>
      </x:c>
      <x:c r="G1151" s="48" t="str">
        <x:v>Obligation</x:v>
      </x:c>
      <x:c r="H1151" s="48" t="str">
        <x:v>Shared</x:v>
      </x:c>
      <x:c r="I1151" s="48" t="n">
        <x:v>0.45</x:v>
      </x:c>
      <x:c r="J1151" s="48" t="n">
        <x:v>0.4</x:v>
      </x:c>
      <x:c r="K1151" s="48" t="str">
        <x:v>Yes</x:v>
      </x:c>
      <x:c r="L1151" s="48" t="str">
        <x:v>PDF text</x:v>
      </x:c>
    </x:row>
    <x:row r="1152">
      <x:c r="A1152" s="48" t="str">
        <x:v>UNI-1151</x:v>
      </x:c>
      <x:c r="B1152" s="48" t="str">
        <x:v>RED</x:v>
      </x:c>
      <x:c r="C1152" s="48" t="str">
        <x:v>English</x:v>
      </x:c>
      <x:c r="D1152" s="48" t="n">
        <x:v>68</x:v>
      </x:c>
      <x:c r="E1152" s="48" t="str"/>
      <x:c r="F1152" s="48" t="str">
        <x:v>such damage or loss is attributable to any negligence, wilful act or breach of the Contract by the Employer, the Employer’s Personnel,, their respective agents, or anyone directly or indirectly employed by any of them.</x:v>
      </x:c>
      <x:c r="G1152" s="48" t="str">
        <x:v>Obligation</x:v>
      </x:c>
      <x:c r="H1152" s="48" t="str">
        <x:v>Employer</x:v>
      </x:c>
      <x:c r="I1152" s="48" t="n">
        <x:v>0.45</x:v>
      </x:c>
      <x:c r="J1152" s="48" t="n">
        <x:v>0.68</x:v>
      </x:c>
      <x:c r="K1152" s="48" t="str">
        <x:v>Yes</x:v>
      </x:c>
      <x:c r="L1152" s="48" t="str">
        <x:v>PDF text</x:v>
      </x:c>
    </x:row>
    <x:row r="1153">
      <x:c r="A1153" s="48" t="str">
        <x:v>UNI-1152</x:v>
      </x:c>
      <x:c r="B1153" s="48" t="str">
        <x:v>RED</x:v>
      </x:c>
      <x:c r="C1153" s="48" t="str">
        <x:v>English</x:v>
      </x:c>
      <x:c r="D1153" s="48" t="n">
        <x:v>68</x:v>
      </x:c>
      <x:c r="E1153" s="48" t="str"/>
      <x:c r="F1153" s="48" t="str">
        <x:v>The Employer shall indemnify and hold harmless the Contractor, the Contractor’s</x:v>
      </x:c>
      <x:c r="G1153" s="48" t="str">
        <x:v>Obligation</x:v>
      </x:c>
      <x:c r="H1153" s="48" t="str">
        <x:v>Employer</x:v>
      </x:c>
      <x:c r="I1153" s="48" t="n">
        <x:v>0.88</x:v>
      </x:c>
      <x:c r="J1153" s="48" t="n">
        <x:v>0.92</x:v>
      </x:c>
      <x:c r="K1153" s="48" t="str">
        <x:v>No</x:v>
      </x:c>
      <x:c r="L1153" s="48" t="str">
        <x:v>PDF text</x:v>
      </x:c>
    </x:row>
    <x:row r="1154">
      <x:c r="A1154" s="48" t="str">
        <x:v>UNI-1153</x:v>
      </x:c>
      <x:c r="B1154" s="48" t="str">
        <x:v>RED</x:v>
      </x:c>
      <x:c r="C1154" s="48" t="str">
        <x:v>English</x:v>
      </x:c>
      <x:c r="D1154" s="48" t="n">
        <x:v>68</x:v>
      </x:c>
      <x:c r="E1154" s="48" t="str"/>
      <x:c r="F1154" s="48" t="str">
        <x:v>Personnel, and their respective agents, against and from all claims, damages, losses and expenses (including legal fees and expenses) in respect of (1) bodily injury, sickness, disease or death, which is attributable to any negligence, wilful act or breach of the Contract by the Employer, the Employer’s Personnel, or any of their respective agents, and (2) the matters for which liability may be excluded from insurance cover, as described in sub-paragraphs (d)(i), (ii) and (iii) of Sub-Clause 18.3 [Insurance Against Injury to Persons and Damage to Property].</x:v>
      </x:c>
      <x:c r="G1154" s="48" t="str">
        <x:v>Risk</x:v>
      </x:c>
      <x:c r="H1154" s="48" t="str">
        <x:v>Employer</x:v>
      </x:c>
      <x:c r="I1154" s="48" t="n">
        <x:v>0.78</x:v>
      </x:c>
      <x:c r="J1154" s="48" t="n">
        <x:v>0.68</x:v>
      </x:c>
      <x:c r="K1154" s="48" t="str">
        <x:v>Yes</x:v>
      </x:c>
      <x:c r="L1154" s="48" t="str">
        <x:v>PDF text</x:v>
      </x:c>
    </x:row>
    <x:row r="1155">
      <x:c r="A1155" s="48" t="str">
        <x:v>UNI-1154</x:v>
      </x:c>
      <x:c r="B1155" s="48" t="str">
        <x:v>RED</x:v>
      </x:c>
      <x:c r="C1155" s="48" t="str">
        <x:v>English</x:v>
      </x:c>
      <x:c r="D1155" s="48" t="n">
        <x:v>68</x:v>
      </x:c>
      <x:c r="E1155" s="48" t="str"/>
      <x:c r="F1155" s="48" t="str">
        <x:v>The Contractor shall take full responsibility for the care of the Works and Goods from the</x:v>
      </x:c>
      <x:c r="G1155" s="48" t="str">
        <x:v>Obligation</x:v>
      </x:c>
      <x:c r="H1155" s="48" t="str">
        <x:v>Contractor</x:v>
      </x:c>
      <x:c r="I1155" s="48" t="n">
        <x:v>0.88</x:v>
      </x:c>
      <x:c r="J1155" s="48" t="n">
        <x:v>0.92</x:v>
      </x:c>
      <x:c r="K1155" s="48" t="str">
        <x:v>No</x:v>
      </x:c>
      <x:c r="L1155" s="48" t="str">
        <x:v>PDF text</x:v>
      </x:c>
    </x:row>
    <x:row r="1156">
      <x:c r="A1156" s="48" t="str">
        <x:v>UNI-1155</x:v>
      </x:c>
      <x:c r="B1156" s="48" t="str">
        <x:v>RED</x:v>
      </x:c>
      <x:c r="C1156" s="48" t="str">
        <x:v>English</x:v>
      </x:c>
      <x:c r="D1156" s="48" t="n">
        <x:v>68</x:v>
      </x:c>
      <x:c r="E1156" s="48" t="str"/>
      <x:c r="F1156" s="48" t="str">
        <x:v>Commencement Date until the Taking-Over Certificate is issued (or is deemed to be</x:v>
      </x:c>
      <x:c r="G1156" s="48" t="str">
        <x:v>Obligation</x:v>
      </x:c>
      <x:c r="H1156" s="48" t="str">
        <x:v>Shared</x:v>
      </x:c>
      <x:c r="I1156" s="48" t="n">
        <x:v>0.55</x:v>
      </x:c>
      <x:c r="J1156" s="48" t="n">
        <x:v>0.4</x:v>
      </x:c>
      <x:c r="K1156" s="48" t="str">
        <x:v>Yes</x:v>
      </x:c>
      <x:c r="L1156" s="48" t="str">
        <x:v>PDF text</x:v>
      </x:c>
    </x:row>
    <x:row r="1157">
      <x:c r="A1157" s="48" t="str">
        <x:v>UNI-1156</x:v>
      </x:c>
      <x:c r="B1157" s="48" t="str">
        <x:v>RED</x:v>
      </x:c>
      <x:c r="C1157" s="48" t="str">
        <x:v>English</x:v>
      </x:c>
      <x:c r="D1157" s="48" t="n">
        <x:v>68</x:v>
      </x:c>
      <x:c r="E1157" s="48" t="str"/>
      <x:c r="F1157" s="48" t="str">
        <x:v>issued under Sub-Clause 10.1 [Taking Over of the Works and Sections]) for the Works, when responsibility for the care of the Works shall pass to the Employer.</x:v>
      </x:c>
      <x:c r="G1157" s="48" t="str">
        <x:v>Obligation</x:v>
      </x:c>
      <x:c r="H1157" s="48" t="str">
        <x:v>Employer</x:v>
      </x:c>
      <x:c r="I1157" s="48" t="n">
        <x:v>0.88</x:v>
      </x:c>
      <x:c r="J1157" s="48" t="n">
        <x:v>0.68</x:v>
      </x:c>
      <x:c r="K1157" s="48" t="str">
        <x:v>Yes</x:v>
      </x:c>
      <x:c r="L1157" s="48" t="str">
        <x:v>PDF text</x:v>
      </x:c>
    </x:row>
    <x:row r="1158">
      <x:c r="A1158" s="48" t="str">
        <x:v>UNI-1157</x:v>
      </x:c>
      <x:c r="B1158" s="48" t="str">
        <x:v>RED</x:v>
      </x:c>
      <x:c r="C1158" s="48" t="str">
        <x:v>English</x:v>
      </x:c>
      <x:c r="D1158" s="48" t="n">
        <x:v>68</x:v>
      </x:c>
      <x:c r="E1158" s="48" t="str"/>
      <x:c r="F1158" s="48" t="str">
        <x:v>If a Taking-Over Certificate is issued (or is so deemed to be issued) for any Section or part of the Works, responsibility for the care of the Section or part shall then pass to the Employer.</x:v>
      </x:c>
      <x:c r="G1158" s="48" t="str">
        <x:v>Obligation</x:v>
      </x:c>
      <x:c r="H1158" s="48" t="str">
        <x:v>Employer</x:v>
      </x:c>
      <x:c r="I1158" s="48" t="n">
        <x:v>0.88</x:v>
      </x:c>
      <x:c r="J1158" s="48" t="n">
        <x:v>0.68</x:v>
      </x:c>
      <x:c r="K1158" s="48" t="str">
        <x:v>Yes</x:v>
      </x:c>
      <x:c r="L1158" s="48" t="str">
        <x:v>PDF text</x:v>
      </x:c>
    </x:row>
    <x:row r="1159">
      <x:c r="A1159" s="48" t="str">
        <x:v>UNI-1158</x:v>
      </x:c>
      <x:c r="B1159" s="48" t="str">
        <x:v>RED</x:v>
      </x:c>
      <x:c r="C1159" s="48" t="str">
        <x:v>English</x:v>
      </x:c>
      <x:c r="D1159" s="48" t="n">
        <x:v>68</x:v>
      </x:c>
      <x:c r="E1159" s="48" t="str"/>
      <x:c r="F1159" s="48" t="str">
        <x:v>After responsibility has accordingly passed to the Employer, the Contractor shall take responsibility for the care of any work which is outstanding on the date stated in a 16.4</x:v>
      </x:c>
      <x:c r="G1159" s="48" t="str">
        <x:v>Obligation</x:v>
      </x:c>
      <x:c r="H1159" s="48" t="str">
        <x:v>Contractor</x:v>
      </x:c>
      <x:c r="I1159" s="48" t="n">
        <x:v>0.88</x:v>
      </x:c>
      <x:c r="J1159" s="48" t="n">
        <x:v>0.92</x:v>
      </x:c>
      <x:c r="K1159" s="48" t="str">
        <x:v>No</x:v>
      </x:c>
      <x:c r="L1159" s="48" t="str">
        <x:v>PDF text</x:v>
      </x:c>
    </x:row>
    <x:row r="1160">
      <x:c r="A1160" s="48" t="str">
        <x:v>UNI-1159</x:v>
      </x:c>
      <x:c r="B1160" s="48" t="str">
        <x:v>RED</x:v>
      </x:c>
      <x:c r="C1160" s="48" t="str">
        <x:v>English</x:v>
      </x:c>
      <x:c r="D1160" s="48" t="n">
        <x:v>68</x:v>
      </x:c>
      <x:c r="E1160" s="48" t="str"/>
      <x:c r="F1160" s="48" t="str">
        <x:v>Payment on Termination</x:v>
      </x:c>
      <x:c r="G1160" s="48" t="str">
        <x:v>Obligation</x:v>
      </x:c>
      <x:c r="H1160" s="48" t="str">
        <x:v>Shared</x:v>
      </x:c>
      <x:c r="I1160" s="48" t="n">
        <x:v>0.55</x:v>
      </x:c>
      <x:c r="J1160" s="48" t="n">
        <x:v>0.4</x:v>
      </x:c>
      <x:c r="K1160" s="48" t="str">
        <x:v>Yes</x:v>
      </x:c>
      <x:c r="L1160" s="48" t="str">
        <x:v>PDF text</x:v>
      </x:c>
    </x:row>
    <x:row r="1161">
      <x:c r="A1161" s="48" t="str">
        <x:v>UNI-1160</x:v>
      </x:c>
      <x:c r="B1161" s="48" t="str">
        <x:v>RED</x:v>
      </x:c>
      <x:c r="C1161" s="48" t="str">
        <x:v>English</x:v>
      </x:c>
      <x:c r="D1161" s="48" t="n">
        <x:v>68</x:v>
      </x:c>
      <x:c r="E1161" s="48" t="str"/>
      <x:c r="F1161" s="48" t="str">
        <x:v>Indemnities</x:v>
      </x:c>
      <x:c r="G1161" s="48" t="str">
        <x:v>Obligation</x:v>
      </x:c>
      <x:c r="H1161" s="48" t="str">
        <x:v>Shared</x:v>
      </x:c>
      <x:c r="I1161" s="48" t="n">
        <x:v>0.45</x:v>
      </x:c>
      <x:c r="J1161" s="48" t="n">
        <x:v>0.4</x:v>
      </x:c>
      <x:c r="K1161" s="48" t="str">
        <x:v>Yes</x:v>
      </x:c>
      <x:c r="L1161" s="48" t="str">
        <x:v>PDF text</x:v>
      </x:c>
    </x:row>
    <x:row r="1162">
      <x:c r="A1162" s="48" t="str">
        <x:v>UNI-1161</x:v>
      </x:c>
      <x:c r="B1162" s="48" t="str">
        <x:v>RED</x:v>
      </x:c>
      <x:c r="C1162" s="48" t="str">
        <x:v>English</x:v>
      </x:c>
      <x:c r="D1162" s="48" t="n">
        <x:v>68</x:v>
      </x:c>
      <x:c r="E1162" s="48" t="str"/>
      <x:c r="F1162" s="48" t="str">
        <x:v>Contractor’s Care</x:v>
      </x:c>
      <x:c r="G1162" s="48" t="str">
        <x:v>Obligation</x:v>
      </x:c>
      <x:c r="H1162" s="48" t="str">
        <x:v>Contractor</x:v>
      </x:c>
      <x:c r="I1162" s="48" t="n">
        <x:v>0.45</x:v>
      </x:c>
      <x:c r="J1162" s="48" t="n">
        <x:v>0.68</x:v>
      </x:c>
      <x:c r="K1162" s="48" t="str">
        <x:v>Yes</x:v>
      </x:c>
      <x:c r="L1162" s="48" t="str">
        <x:v>PDF text</x:v>
      </x:c>
    </x:row>
    <x:row r="1163">
      <x:c r="A1163" s="48" t="str">
        <x:v>UNI-1162</x:v>
      </x:c>
      <x:c r="B1163" s="48" t="str">
        <x:v>RED</x:v>
      </x:c>
      <x:c r="C1163" s="48" t="str">
        <x:v>English</x:v>
      </x:c>
      <x:c r="D1163" s="48" t="n">
        <x:v>68</x:v>
      </x:c>
      <x:c r="E1163" s="48" t="str"/>
      <x:c r="F1163" s="48" t="str">
        <x:v>of the Works</x:v>
      </x:c>
      <x:c r="G1163" s="48" t="str">
        <x:v>Obligation</x:v>
      </x:c>
      <x:c r="H1163" s="48" t="str">
        <x:v>Shared</x:v>
      </x:c>
      <x:c r="I1163" s="48" t="n">
        <x:v>0.45</x:v>
      </x:c>
      <x:c r="J1163" s="48" t="n">
        <x:v>0.4</x:v>
      </x:c>
      <x:c r="K1163" s="48" t="str">
        <x:v>Yes</x:v>
      </x:c>
      <x:c r="L1163" s="48" t="str">
        <x:v>PDF text</x:v>
      </x:c>
    </x:row>
    <x:row r="1164">
      <x:c r="A1164" s="48" t="str">
        <x:v>UNI-1163</x:v>
      </x:c>
      <x:c r="B1164" s="48" t="str">
        <x:v>RED</x:v>
      </x:c>
      <x:c r="C1164" s="48" t="str">
        <x:v>English</x:v>
      </x:c>
      <x:c r="D1164" s="48" t="n">
        <x:v>68</x:v>
      </x:c>
      <x:c r="E1164" s="48" t="str"/>
      <x:c r="F1164" s="48" t="str">
        <x:v>Risk and Responsibility</x:v>
      </x:c>
      <x:c r="G1164" s="48" t="str">
        <x:v>Obligation</x:v>
      </x:c>
      <x:c r="H1164" s="48" t="str">
        <x:v>Shared</x:v>
      </x:c>
      <x:c r="I1164" s="48" t="n">
        <x:v>0.45</x:v>
      </x:c>
      <x:c r="J1164" s="48" t="n">
        <x:v>0.4</x:v>
      </x:c>
      <x:c r="K1164" s="48" t="str">
        <x:v>Yes</x:v>
      </x:c>
      <x:c r="L1164" s="48" t="str">
        <x:v>PDF text</x:v>
      </x:c>
    </x:row>
    <x:row r="1165">
      <x:c r="A1165" s="48" t="str">
        <x:v>UNI-1164</x:v>
      </x:c>
      <x:c r="B1165" s="48" t="str">
        <x:v>RED</x:v>
      </x:c>
      <x:c r="C1165" s="48" t="str">
        <x:v>English</x:v>
      </x:c>
      <x:c r="D1165" s="48" t="n">
        <x:v>69</x:v>
      </x:c>
      <x:c r="E1165" s="48" t="str"/>
      <x:c r="F1165" s="48" t="str">
        <x:v>Taking-Over Certificate, until this outstanding work has been completed.</x:v>
      </x:c>
      <x:c r="G1165" s="48" t="str">
        <x:v>Obligation</x:v>
      </x:c>
      <x:c r="H1165" s="48" t="str">
        <x:v>Shared</x:v>
      </x:c>
      <x:c r="I1165" s="48" t="n">
        <x:v>0.55</x:v>
      </x:c>
      <x:c r="J1165" s="48" t="n">
        <x:v>0.4</x:v>
      </x:c>
      <x:c r="K1165" s="48" t="str">
        <x:v>Yes</x:v>
      </x:c>
      <x:c r="L1165" s="48" t="str">
        <x:v>PDF text</x:v>
      </x:c>
    </x:row>
    <x:row r="1166">
      <x:c r="A1166" s="48" t="str">
        <x:v>UNI-1165</x:v>
      </x:c>
      <x:c r="B1166" s="48" t="str">
        <x:v>RED</x:v>
      </x:c>
      <x:c r="C1166" s="48" t="str">
        <x:v>English</x:v>
      </x:c>
      <x:c r="D1166" s="48" t="n">
        <x:v>69</x:v>
      </x:c>
      <x:c r="E1166" s="48" t="str"/>
      <x:c r="F1166" s="48" t="str">
        <x:v>If any loss or damage happens to the Works, Goods or Contractor’s Documents</x:v>
      </x:c>
      <x:c r="G1166" s="48" t="str">
        <x:v>Risk</x:v>
      </x:c>
      <x:c r="H1166" s="48" t="str">
        <x:v>Contractor</x:v>
      </x:c>
      <x:c r="I1166" s="48" t="n">
        <x:v>0.78</x:v>
      </x:c>
      <x:c r="J1166" s="48" t="n">
        <x:v>0.68</x:v>
      </x:c>
      <x:c r="K1166" s="48" t="str">
        <x:v>Yes</x:v>
      </x:c>
      <x:c r="L1166" s="48" t="str">
        <x:v>PDF text</x:v>
      </x:c>
    </x:row>
    <x:row r="1167">
      <x:c r="A1167" s="48" t="str">
        <x:v>UNI-1166</x:v>
      </x:c>
      <x:c r="B1167" s="48" t="str">
        <x:v>RED</x:v>
      </x:c>
      <x:c r="C1167" s="48" t="str">
        <x:v>English</x:v>
      </x:c>
      <x:c r="D1167" s="48" t="n">
        <x:v>69</x:v>
      </x:c>
      <x:c r="E1167" s="48" t="str"/>
      <x:c r="F1167" s="48" t="str">
        <x:v>during the period when the Contractor is responsible for their care, from any cause not listed in Sub-Clause 17.3 [Employer’s Risks], the Contractor shall rectify the loss or damage at the Contractor’s risk and cost, so that the Works, Goods and Contractor’s Documents conform with the Contract.</x:v>
      </x:c>
      <x:c r="G1167" s="48" t="str">
        <x:v>Risk</x:v>
      </x:c>
      <x:c r="H1167" s="48" t="str">
        <x:v>Employer</x:v>
      </x:c>
      <x:c r="I1167" s="48" t="n">
        <x:v>0.78</x:v>
      </x:c>
      <x:c r="J1167" s="48" t="n">
        <x:v>0.9</x:v>
      </x:c>
      <x:c r="K1167" s="48" t="str">
        <x:v>No</x:v>
      </x:c>
      <x:c r="L1167" s="48" t="str">
        <x:v>PDF text</x:v>
      </x:c>
    </x:row>
    <x:row r="1168">
      <x:c r="A1168" s="48" t="str">
        <x:v>UNI-1167</x:v>
      </x:c>
      <x:c r="B1168" s="48" t="str">
        <x:v>RED</x:v>
      </x:c>
      <x:c r="C1168" s="48" t="str">
        <x:v>English</x:v>
      </x:c>
      <x:c r="D1168" s="48" t="n">
        <x:v>69</x:v>
      </x:c>
      <x:c r="E1168" s="48" t="str"/>
      <x:c r="F1168" s="48" t="str">
        <x:v>The Contractor shall be liable for any loss or damage caused by any actions</x:v>
      </x:c>
      <x:c r="G1168" s="48" t="str">
        <x:v>Risk</x:v>
      </x:c>
      <x:c r="H1168" s="48" t="str">
        <x:v>Contractor</x:v>
      </x:c>
      <x:c r="I1168" s="48" t="n">
        <x:v>0.78</x:v>
      </x:c>
      <x:c r="J1168" s="48" t="n">
        <x:v>0.92</x:v>
      </x:c>
      <x:c r="K1168" s="48" t="str">
        <x:v>No</x:v>
      </x:c>
      <x:c r="L1168" s="48" t="str">
        <x:v>PDF text</x:v>
      </x:c>
    </x:row>
    <x:row r="1169">
      <x:c r="A1169" s="48" t="str">
        <x:v>UNI-1168</x:v>
      </x:c>
      <x:c r="B1169" s="48" t="str">
        <x:v>RED</x:v>
      </x:c>
      <x:c r="C1169" s="48" t="str">
        <x:v>English</x:v>
      </x:c>
      <x:c r="D1169" s="48" t="n">
        <x:v>69</x:v>
      </x:c>
      <x:c r="E1169" s="48" t="str"/>
      <x:c r="F1169" s="48" t="str">
        <x:v>performed by the Contractor after a Taking-Over Certificate has been issued.</x:v>
      </x:c>
      <x:c r="G1169" s="48" t="str">
        <x:v>Obligation</x:v>
      </x:c>
      <x:c r="H1169" s="48" t="str">
        <x:v>Contractor</x:v>
      </x:c>
      <x:c r="I1169" s="48" t="n">
        <x:v>0.55</x:v>
      </x:c>
      <x:c r="J1169" s="48" t="n">
        <x:v>0.68</x:v>
      </x:c>
      <x:c r="K1169" s="48" t="str">
        <x:v>Yes</x:v>
      </x:c>
      <x:c r="L1169" s="48" t="str">
        <x:v>PDF text</x:v>
      </x:c>
    </x:row>
    <x:row r="1170">
      <x:c r="A1170" s="48" t="str">
        <x:v>UNI-1169</x:v>
      </x:c>
      <x:c r="B1170" s="48" t="str">
        <x:v>RED</x:v>
      </x:c>
      <x:c r="C1170" s="48" t="str">
        <x:v>English</x:v>
      </x:c>
      <x:c r="D1170" s="48" t="n">
        <x:v>69</x:v>
      </x:c>
      <x:c r="E1170" s="48" t="str"/>
      <x:c r="F1170" s="48" t="str">
        <x:v>The Contractor shall also be liable for any loss or damage which occurs after a TakingOver Certificate has been issued and which arose from a previous event for which the Contractor was liable.</x:v>
      </x:c>
      <x:c r="G1170" s="48" t="str">
        <x:v>Risk</x:v>
      </x:c>
      <x:c r="H1170" s="48" t="str">
        <x:v>Contractor</x:v>
      </x:c>
      <x:c r="I1170" s="48" t="n">
        <x:v>0.78</x:v>
      </x:c>
      <x:c r="J1170" s="48" t="n">
        <x:v>0.92</x:v>
      </x:c>
      <x:c r="K1170" s="48" t="str">
        <x:v>No</x:v>
      </x:c>
      <x:c r="L1170" s="48" t="str">
        <x:v>PDF text</x:v>
      </x:c>
    </x:row>
    <x:row r="1171">
      <x:c r="A1171" s="48" t="str">
        <x:v>UNI-1170</x:v>
      </x:c>
      <x:c r="B1171" s="48" t="str">
        <x:v>RED</x:v>
      </x:c>
      <x:c r="C1171" s="48" t="str">
        <x:v>English</x:v>
      </x:c>
      <x:c r="D1171" s="48" t="n">
        <x:v>69</x:v>
      </x:c>
      <x:c r="E1171" s="48" t="str"/>
      <x:c r="F1171" s="48" t="str">
        <x:v>The risks referred to in Sub-Clause 17.4 below, insofar as they directly affect the execution of the Works in the Country, are: (a) war, hostilities (whether war be declared or not), invasion, act of foreign enemies, (b) rebellion, terrorism, sabotage by persons other than the Contractor’s Personnel, revolution, insurrection, military or usurped power, or civil war, within the Country, (c) riot, commotion or disorder within the Country by persons other than the</x:v>
      </x:c>
      <x:c r="G1171" s="48" t="str">
        <x:v>Obligation</x:v>
      </x:c>
      <x:c r="H1171" s="48" t="str">
        <x:v>Contractor</x:v>
      </x:c>
      <x:c r="I1171" s="48" t="n">
        <x:v>0.45</x:v>
      </x:c>
      <x:c r="J1171" s="48" t="n">
        <x:v>0.68</x:v>
      </x:c>
      <x:c r="K1171" s="48" t="str">
        <x:v>Yes</x:v>
      </x:c>
      <x:c r="L1171" s="48" t="str">
        <x:v>PDF text</x:v>
      </x:c>
    </x:row>
    <x:row r="1172">
      <x:c r="A1172" s="48" t="str">
        <x:v>UNI-1171</x:v>
      </x:c>
      <x:c r="B1172" s="48" t="str">
        <x:v>RED</x:v>
      </x:c>
      <x:c r="C1172" s="48" t="str">
        <x:v>English</x:v>
      </x:c>
      <x:c r="D1172" s="48" t="n">
        <x:v>69</x:v>
      </x:c>
      <x:c r="E1172" s="48" t="str"/>
      <x:c r="F1172" s="48" t="str">
        <x:v>Contractor’s Personnel,</x:v>
      </x:c>
      <x:c r="G1172" s="48" t="str">
        <x:v>Obligation</x:v>
      </x:c>
      <x:c r="H1172" s="48" t="str">
        <x:v>Contractor</x:v>
      </x:c>
      <x:c r="I1172" s="48" t="n">
        <x:v>0.45</x:v>
      </x:c>
      <x:c r="J1172" s="48" t="n">
        <x:v>0.68</x:v>
      </x:c>
      <x:c r="K1172" s="48" t="str">
        <x:v>Yes</x:v>
      </x:c>
      <x:c r="L1172" s="48" t="str">
        <x:v>PDF text</x:v>
      </x:c>
    </x:row>
    <x:row r="1173">
      <x:c r="A1173" s="48" t="str">
        <x:v>UNI-1172</x:v>
      </x:c>
      <x:c r="B1173" s="48" t="str">
        <x:v>RED</x:v>
      </x:c>
      <x:c r="C1173" s="48" t="str">
        <x:v>English</x:v>
      </x:c>
      <x:c r="D1173" s="48" t="n">
        <x:v>69</x:v>
      </x:c>
      <x:c r="E1173" s="48" t="str"/>
      <x:c r="F1173" s="48" t="str">
        <x:v>(d) munitions of war, explosive materials, ionising radiation or contamination by radio-activity, within the Country, except as may be attributable to the</x:v>
      </x:c>
      <x:c r="G1173" s="48" t="str">
        <x:v>Right</x:v>
      </x:c>
      <x:c r="H1173" s="48" t="str">
        <x:v>Shared</x:v>
      </x:c>
      <x:c r="I1173" s="48" t="n">
        <x:v>0.78</x:v>
      </x:c>
      <x:c r="J1173" s="48" t="n">
        <x:v>0.4</x:v>
      </x:c>
      <x:c r="K1173" s="48" t="str">
        <x:v>Yes</x:v>
      </x:c>
      <x:c r="L1173" s="48" t="str">
        <x:v>PDF text</x:v>
      </x:c>
    </x:row>
    <x:row r="1174">
      <x:c r="A1174" s="48" t="str">
        <x:v>UNI-1173</x:v>
      </x:c>
      <x:c r="B1174" s="48" t="str">
        <x:v>RED</x:v>
      </x:c>
      <x:c r="C1174" s="48" t="str">
        <x:v>English</x:v>
      </x:c>
      <x:c r="D1174" s="48" t="n">
        <x:v>69</x:v>
      </x:c>
      <x:c r="E1174" s="48" t="str"/>
      <x:c r="F1174" s="48" t="str">
        <x:v>Contractor’s use of such munitions, explosives, radiation or radio-activity,</x:v>
      </x:c>
      <x:c r="G1174" s="48" t="str">
        <x:v>Obligation</x:v>
      </x:c>
      <x:c r="H1174" s="48" t="str">
        <x:v>Contractor</x:v>
      </x:c>
      <x:c r="I1174" s="48" t="n">
        <x:v>0.45</x:v>
      </x:c>
      <x:c r="J1174" s="48" t="n">
        <x:v>0.68</x:v>
      </x:c>
      <x:c r="K1174" s="48" t="str">
        <x:v>Yes</x:v>
      </x:c>
      <x:c r="L1174" s="48" t="str">
        <x:v>PDF text</x:v>
      </x:c>
    </x:row>
    <x:row r="1175">
      <x:c r="A1175" s="48" t="str">
        <x:v>UNI-1174</x:v>
      </x:c>
      <x:c r="B1175" s="48" t="str">
        <x:v>RED</x:v>
      </x:c>
      <x:c r="C1175" s="48" t="str">
        <x:v>English</x:v>
      </x:c>
      <x:c r="D1175" s="48" t="n">
        <x:v>69</x:v>
      </x:c>
      <x:c r="E1175" s="48" t="str"/>
      <x:c r="F1175" s="48" t="str">
        <x:v>(e) pressure waves caused by aircraft or other aerial devices travelling at sonic or supersonic speeds, (f) use or occupation by the Employer of any part of the Permanent Works, except as may be specified in the Contract, (g) design of any part of the Works by the Employer’s Personnel or by others for whom the Employer is responsible, and (h) any operation of the forces of nature which is Unforeseeable or against which an experienced contractor could not reasonably have been expected to have taken adequate preventative precautions.</x:v>
      </x:c>
      <x:c r="G1175" s="48" t="str">
        <x:v>Right</x:v>
      </x:c>
      <x:c r="H1175" s="48" t="str">
        <x:v>Shared</x:v>
      </x:c>
      <x:c r="I1175" s="48" t="n">
        <x:v>0.78</x:v>
      </x:c>
      <x:c r="J1175" s="48" t="n">
        <x:v>0.6</x:v>
      </x:c>
      <x:c r="K1175" s="48" t="str">
        <x:v>Yes</x:v>
      </x:c>
      <x:c r="L1175" s="48" t="str">
        <x:v>PDF text</x:v>
      </x:c>
    </x:row>
    <x:row r="1176">
      <x:c r="A1176" s="48" t="str">
        <x:v>UNI-1175</x:v>
      </x:c>
      <x:c r="B1176" s="48" t="str">
        <x:v>RED</x:v>
      </x:c>
      <x:c r="C1176" s="48" t="str">
        <x:v>English</x:v>
      </x:c>
      <x:c r="D1176" s="48" t="n">
        <x:v>69</x:v>
      </x:c>
      <x:c r="E1176" s="48" t="str"/>
      <x:c r="F1176" s="48" t="str">
        <x:v>If and to the extent that any of the risks listed in Sub-Clause 17.3 above results in loss or damage to the Works, Goods or Contractor’s Documents, the Contractor shall promptly give notice to the Engineer and shall rectify this loss or damage to the extent required by the Engineer.</x:v>
      </x:c>
      <x:c r="G1176" s="48" t="str">
        <x:v>Risk</x:v>
      </x:c>
      <x:c r="H1176" s="48" t="str">
        <x:v>Contractor</x:v>
      </x:c>
      <x:c r="I1176" s="48" t="n">
        <x:v>0.78</x:v>
      </x:c>
      <x:c r="J1176" s="48" t="n">
        <x:v>0.92</x:v>
      </x:c>
      <x:c r="K1176" s="48" t="str">
        <x:v>No</x:v>
      </x:c>
      <x:c r="L1176" s="48" t="str">
        <x:v>PDF text</x:v>
      </x:c>
    </x:row>
    <x:row r="1177">
      <x:c r="A1177" s="48" t="str">
        <x:v>UNI-1176</x:v>
      </x:c>
      <x:c r="B1177" s="48" t="str">
        <x:v>RED</x:v>
      </x:c>
      <x:c r="C1177" s="48" t="str">
        <x:v>English</x:v>
      </x:c>
      <x:c r="D1177" s="48" t="n">
        <x:v>69</x:v>
      </x:c>
      <x:c r="E1177" s="48" t="str"/>
      <x:c r="F1177" s="48" t="str">
        <x:v>If the Contractor suffers delay and/or incurs Cost from rectifying this loss or damage, the Contractor shall give a further notice to the Engineer and shall be entitled subject to Sub-Clause 20.1 [Contractor’s Claims] to: (a) an extension of time for any such delay, if completion is or will be delayed, under Sub-Clause 8.4 [Extension of Time for Completion], and (b) payment of any such Cost, which shall be included in the Contract Price.</x:v>
      </x:c>
      <x:c r="G1177" s="48" t="str">
        <x:v>Risk</x:v>
      </x:c>
      <x:c r="H1177" s="48" t="str">
        <x:v>Contractor</x:v>
      </x:c>
      <x:c r="I1177" s="48" t="n">
        <x:v>0.78</x:v>
      </x:c>
      <x:c r="J1177" s="48" t="n">
        <x:v>0.92</x:v>
      </x:c>
      <x:c r="K1177" s="48" t="str">
        <x:v>No</x:v>
      </x:c>
      <x:c r="L1177" s="48" t="str">
        <x:v>PDF text</x:v>
      </x:c>
    </x:row>
    <x:row r="1178">
      <x:c r="A1178" s="48" t="str">
        <x:v>UNI-1177</x:v>
      </x:c>
      <x:c r="B1178" s="48" t="str">
        <x:v>RED</x:v>
      </x:c>
      <x:c r="C1178" s="48" t="str">
        <x:v>English</x:v>
      </x:c>
      <x:c r="D1178" s="48" t="n">
        <x:v>69</x:v>
      </x:c>
      <x:c r="E1178" s="48" t="str"/>
      <x:c r="F1178" s="48" t="str">
        <x:v>In the case of sub-paragraphs (f) and (g) of Sub-Clause 17.3 [Employer’s Risks], Cost plus profit shall be payable.</x:v>
      </x:c>
      <x:c r="G1178" s="48" t="str">
        <x:v>Obligation</x:v>
      </x:c>
      <x:c r="H1178" s="48" t="str">
        <x:v>Employer</x:v>
      </x:c>
      <x:c r="I1178" s="48" t="n">
        <x:v>0.88</x:v>
      </x:c>
      <x:c r="J1178" s="48" t="n">
        <x:v>0.68</x:v>
      </x:c>
      <x:c r="K1178" s="48" t="str">
        <x:v>Yes</x:v>
      </x:c>
      <x:c r="L1178" s="48" t="str">
        <x:v>PDF text</x:v>
      </x:c>
    </x:row>
    <x:row r="1179">
      <x:c r="A1179" s="48" t="str">
        <x:v>UNI-1178</x:v>
      </x:c>
      <x:c r="B1179" s="48" t="str">
        <x:v>RED</x:v>
      </x:c>
      <x:c r="C1179" s="48" t="str">
        <x:v>English</x:v>
      </x:c>
      <x:c r="D1179" s="48" t="n">
        <x:v>69</x:v>
      </x:c>
      <x:c r="E1179" s="48" t="str"/>
      <x:c r="F1179" s="48" t="str">
        <x:v>Employer’s Risks</x:v>
      </x:c>
      <x:c r="G1179" s="48" t="str">
        <x:v>Obligation</x:v>
      </x:c>
      <x:c r="H1179" s="48" t="str">
        <x:v>Employer</x:v>
      </x:c>
      <x:c r="I1179" s="48" t="n">
        <x:v>0.45</x:v>
      </x:c>
      <x:c r="J1179" s="48" t="n">
        <x:v>0.68</x:v>
      </x:c>
      <x:c r="K1179" s="48" t="str">
        <x:v>Yes</x:v>
      </x:c>
      <x:c r="L1179" s="48" t="str">
        <x:v>PDF text</x:v>
      </x:c>
    </x:row>
    <x:row r="1180">
      <x:c r="A1180" s="48" t="str">
        <x:v>UNI-1179</x:v>
      </x:c>
      <x:c r="B1180" s="48" t="str">
        <x:v>RED</x:v>
      </x:c>
      <x:c r="C1180" s="48" t="str">
        <x:v>English</x:v>
      </x:c>
      <x:c r="D1180" s="48" t="n">
        <x:v>70</x:v>
      </x:c>
      <x:c r="E1180" s="48" t="str"/>
      <x:c r="F1180" s="48" t="str">
        <x:v>Whenever a Party does not give notice to the other Party of any claim within 28 days of receiving the claim, the first Party shall be deemed to have waived any right to indemnity under this Sub-Clause.</x:v>
      </x:c>
      <x:c r="G1180" s="48" t="str">
        <x:v>Obligation</x:v>
      </x:c>
      <x:c r="H1180" s="48" t="str">
        <x:v>Shared</x:v>
      </x:c>
      <x:c r="I1180" s="48" t="n">
        <x:v>0.88</x:v>
      </x:c>
      <x:c r="J1180" s="48" t="n">
        <x:v>0.4</x:v>
      </x:c>
      <x:c r="K1180" s="48" t="str">
        <x:v>Yes</x:v>
      </x:c>
      <x:c r="L1180" s="48" t="str">
        <x:v>PDF text</x:v>
      </x:c>
    </x:row>
    <x:row r="1181">
      <x:c r="A1181" s="48" t="str">
        <x:v>UNI-1180</x:v>
      </x:c>
      <x:c r="B1181" s="48" t="str">
        <x:v>RED</x:v>
      </x:c>
      <x:c r="C1181" s="48" t="str">
        <x:v>English</x:v>
      </x:c>
      <x:c r="D1181" s="48" t="n">
        <x:v>70</x:v>
      </x:c>
      <x:c r="E1181" s="48" t="str"/>
      <x:c r="F1181" s="48" t="str">
        <x:v>The Employer shall indemnify and hold the Contractor harmless against and from any claim alleging an infringement which is or was: (a) an unavoidable result of the Contractor’s compliance with the Contract, or (b) a result of any Works being used by the Employer: (i) for a purpose other than that indicated by, or reasonably to be inferred from, the Contract, or (ii) in conjunction with any thing not supplied by the Contractor, unless such use was disclosed to the Contractor prior to the Base Date or is stated in the Contract.</x:v>
      </x:c>
      <x:c r="G1181" s="48" t="str">
        <x:v>Obligation</x:v>
      </x:c>
      <x:c r="H1181" s="48" t="str">
        <x:v>Employer</x:v>
      </x:c>
      <x:c r="I1181" s="48" t="n">
        <x:v>0.88</x:v>
      </x:c>
      <x:c r="J1181" s="48" t="n">
        <x:v>0.92</x:v>
      </x:c>
      <x:c r="K1181" s="48" t="str">
        <x:v>No</x:v>
      </x:c>
      <x:c r="L1181" s="48" t="str">
        <x:v>PDF text</x:v>
      </x:c>
    </x:row>
    <x:row r="1182">
      <x:c r="A1182" s="48" t="str">
        <x:v>UNI-1181</x:v>
      </x:c>
      <x:c r="B1182" s="48" t="str">
        <x:v>RED</x:v>
      </x:c>
      <x:c r="C1182" s="48" t="str">
        <x:v>English</x:v>
      </x:c>
      <x:c r="D1182" s="48" t="n">
        <x:v>70</x:v>
      </x:c>
      <x:c r="E1182" s="48" t="str"/>
      <x:c r="F1182" s="48" t="str">
        <x:v>The Contractor shall indemnify and hold the Employer harmless against and from any other claim which arises out of or in relation to (i) the manufacture, use, sale or import of any Goods, or (ii) any design for which the Contractor is responsible.</x:v>
      </x:c>
      <x:c r="G1182" s="48" t="str">
        <x:v>Obligation</x:v>
      </x:c>
      <x:c r="H1182" s="48" t="str">
        <x:v>Contractor</x:v>
      </x:c>
      <x:c r="I1182" s="48" t="n">
        <x:v>0.88</x:v>
      </x:c>
      <x:c r="J1182" s="48" t="n">
        <x:v>0.92</x:v>
      </x:c>
      <x:c r="K1182" s="48" t="str">
        <x:v>No</x:v>
      </x:c>
      <x:c r="L1182" s="48" t="str">
        <x:v>PDF text</x:v>
      </x:c>
    </x:row>
    <x:row r="1183">
      <x:c r="A1183" s="48" t="str">
        <x:v>UNI-1182</x:v>
      </x:c>
      <x:c r="B1183" s="48" t="str">
        <x:v>RED</x:v>
      </x:c>
      <x:c r="C1183" s="48" t="str">
        <x:v>English</x:v>
      </x:c>
      <x:c r="D1183" s="48" t="n">
        <x:v>70</x:v>
      </x:c>
      <x:c r="E1183" s="48" t="str"/>
      <x:c r="F1183" s="48" t="str">
        <x:v>If a Party is entitled to be indemnified under this Sub-Clause, the indemnifying Party may (at its cost) conduct negotiations for the settlement of the claim, and any litigation or arbitration which may arise from it.</x:v>
      </x:c>
      <x:c r="G1183" s="48" t="str">
        <x:v>Right</x:v>
      </x:c>
      <x:c r="H1183" s="48" t="str">
        <x:v>Shared</x:v>
      </x:c>
      <x:c r="I1183" s="48" t="n">
        <x:v>0.78</x:v>
      </x:c>
      <x:c r="J1183" s="48" t="n">
        <x:v>0.4</x:v>
      </x:c>
      <x:c r="K1183" s="48" t="str">
        <x:v>Yes</x:v>
      </x:c>
      <x:c r="L1183" s="48" t="str">
        <x:v>PDF text</x:v>
      </x:c>
    </x:row>
    <x:row r="1184">
      <x:c r="A1184" s="48" t="str">
        <x:v>UNI-1183</x:v>
      </x:c>
      <x:c r="B1184" s="48" t="str">
        <x:v>RED</x:v>
      </x:c>
      <x:c r="C1184" s="48" t="str">
        <x:v>English</x:v>
      </x:c>
      <x:c r="D1184" s="48" t="n">
        <x:v>70</x:v>
      </x:c>
      <x:c r="E1184" s="48" t="str"/>
      <x:c r="F1184" s="48" t="str">
        <x:v>The other Party shall, at the request and cost of the indemnifying Party, assist in contesting the claim.</x:v>
      </x:c>
      <x:c r="G1184" s="48" t="str">
        <x:v>Obligation</x:v>
      </x:c>
      <x:c r="H1184" s="48" t="str">
        <x:v>Shared</x:v>
      </x:c>
      <x:c r="I1184" s="48" t="n">
        <x:v>0.88</x:v>
      </x:c>
      <x:c r="J1184" s="48" t="n">
        <x:v>0.4</x:v>
      </x:c>
      <x:c r="K1184" s="48" t="str">
        <x:v>Yes</x:v>
      </x:c>
      <x:c r="L1184" s="48" t="str">
        <x:v>PDF text</x:v>
      </x:c>
    </x:row>
    <x:row r="1185">
      <x:c r="A1185" s="48" t="str">
        <x:v>UNI-1184</x:v>
      </x:c>
      <x:c r="B1185" s="48" t="str">
        <x:v>RED</x:v>
      </x:c>
      <x:c r="C1185" s="48" t="str">
        <x:v>English</x:v>
      </x:c>
      <x:c r="D1185" s="48" t="n">
        <x:v>70</x:v>
      </x:c>
      <x:c r="E1185" s="48" t="str"/>
      <x:c r="F1185" s="48" t="str">
        <x:v>This other Party (and its</x:v>
      </x:c>
      <x:c r="G1185" s="48" t="str">
        <x:v>Obligation</x:v>
      </x:c>
      <x:c r="H1185" s="48" t="str">
        <x:v>Shared</x:v>
      </x:c>
      <x:c r="I1185" s="48" t="n">
        <x:v>0.45</x:v>
      </x:c>
      <x:c r="J1185" s="48" t="n">
        <x:v>0.4</x:v>
      </x:c>
      <x:c r="K1185" s="48" t="str">
        <x:v>Yes</x:v>
      </x:c>
      <x:c r="L1185" s="48" t="str">
        <x:v>PDF text</x:v>
      </x:c>
    </x:row>
    <x:row r="1186">
      <x:c r="A1186" s="48" t="str">
        <x:v>UNI-1185</x:v>
      </x:c>
      <x:c r="B1186" s="48" t="str">
        <x:v>RED</x:v>
      </x:c>
      <x:c r="C1186" s="48" t="str">
        <x:v>English</x:v>
      </x:c>
      <x:c r="D1186" s="48" t="n">
        <x:v>70</x:v>
      </x:c>
      <x:c r="E1186" s="48" t="str"/>
      <x:c r="F1186" s="48" t="str">
        <x:v>Personnel) shall not make any admission which might be prejudicial to the</x:v>
      </x:c>
      <x:c r="G1186" s="48" t="str">
        <x:v>Obligation</x:v>
      </x:c>
      <x:c r="H1186" s="48" t="str">
        <x:v>Shared</x:v>
      </x:c>
      <x:c r="I1186" s="48" t="n">
        <x:v>0.88</x:v>
      </x:c>
      <x:c r="J1186" s="48" t="n">
        <x:v>0.4</x:v>
      </x:c>
      <x:c r="K1186" s="48" t="str">
        <x:v>Yes</x:v>
      </x:c>
      <x:c r="L1186" s="48" t="str">
        <x:v>PDF text</x:v>
      </x:c>
    </x:row>
    <x:row r="1187">
      <x:c r="A1187" s="48" t="str">
        <x:v>UNI-1186</x:v>
      </x:c>
      <x:c r="B1187" s="48" t="str">
        <x:v>RED</x:v>
      </x:c>
      <x:c r="C1187" s="48" t="str">
        <x:v>English</x:v>
      </x:c>
      <x:c r="D1187" s="48" t="n">
        <x:v>70</x:v>
      </x:c>
      <x:c r="E1187" s="48" t="str"/>
      <x:c r="F1187" s="48" t="str">
        <x:v>indemnifying Party, unless the indemnifying Party failed to take over the conduct of any negotiations, litigation or arbitration upon being requested to do so by such other Party.</x:v>
      </x:c>
      <x:c r="G1187" s="48" t="str">
        <x:v>Obligation</x:v>
      </x:c>
      <x:c r="H1187" s="48" t="str">
        <x:v>Shared</x:v>
      </x:c>
      <x:c r="I1187" s="48" t="n">
        <x:v>0.45</x:v>
      </x:c>
      <x:c r="J1187" s="48" t="n">
        <x:v>0.4</x:v>
      </x:c>
      <x:c r="K1187" s="48" t="str">
        <x:v>Yes</x:v>
      </x:c>
      <x:c r="L1187" s="48" t="str">
        <x:v>PDF text</x:v>
      </x:c>
    </x:row>
    <x:row r="1188">
      <x:c r="A1188" s="48" t="str">
        <x:v>UNI-1187</x:v>
      </x:c>
      <x:c r="B1188" s="48" t="str">
        <x:v>RED</x:v>
      </x:c>
      <x:c r="C1188" s="48" t="str">
        <x:v>English</x:v>
      </x:c>
      <x:c r="D1188" s="48" t="n">
        <x:v>70</x:v>
      </x:c>
      <x:c r="E1188" s="48" t="str"/>
      <x:c r="F1188" s="48" t="str">
        <x:v>Neither Party shall be liable to the other Party for loss of use of any Works, loss of profit, loss of any contract or for any indirect or consequential loss or damage which may be suffered by the other Party in connection with the Contract, provided that this exclusion shall not apply to any obligation of the Contractor to pay Delay Damages to the Employer under Sub-Clause 8.7 [Delay Damages].</x:v>
      </x:c>
      <x:c r="G1188" s="48" t="str">
        <x:v>Risk</x:v>
      </x:c>
      <x:c r="H1188" s="48" t="str">
        <x:v>Shared</x:v>
      </x:c>
      <x:c r="I1188" s="48" t="n">
        <x:v>0.78</x:v>
      </x:c>
      <x:c r="J1188" s="48" t="n">
        <x:v>0.6</x:v>
      </x:c>
      <x:c r="K1188" s="48" t="str">
        <x:v>Yes</x:v>
      </x:c>
      <x:c r="L1188" s="48" t="str">
        <x:v>PDF text</x:v>
      </x:c>
    </x:row>
    <x:row r="1189">
      <x:c r="A1189" s="48" t="str">
        <x:v>UNI-1188</x:v>
      </x:c>
      <x:c r="B1189" s="48" t="str">
        <x:v>RED</x:v>
      </x:c>
      <x:c r="C1189" s="48" t="str">
        <x:v>English</x:v>
      </x:c>
      <x:c r="D1189" s="48" t="n">
        <x:v>70</x:v>
      </x:c>
      <x:c r="E1189" s="48" t="str"/>
      <x:c r="F1189" s="48" t="str">
        <x:v>The total liability of the Contractor to the Employer, under or in connection with the Contract other than under Sub-Clause 4.19 [Electricity, Water and Gas], Sub-Clause</x:v>
      </x:c>
      <x:c r="G1189" s="48" t="str">
        <x:v>Risk</x:v>
      </x:c>
      <x:c r="H1189" s="48" t="str">
        <x:v>Shared</x:v>
      </x:c>
      <x:c r="I1189" s="48" t="n">
        <x:v>0.78</x:v>
      </x:c>
      <x:c r="J1189" s="48" t="n">
        <x:v>0.6</x:v>
      </x:c>
      <x:c r="K1189" s="48" t="str">
        <x:v>Yes</x:v>
      </x:c>
      <x:c r="L1189" s="48" t="str">
        <x:v>PDF text</x:v>
      </x:c>
    </x:row>
    <x:row r="1190">
      <x:c r="A1190" s="48" t="str">
        <x:v>UNI-1189</x:v>
      </x:c>
      <x:c r="B1190" s="48" t="str">
        <x:v>RED</x:v>
      </x:c>
      <x:c r="C1190" s="48" t="str">
        <x:v>English</x:v>
      </x:c>
      <x:c r="D1190" s="48" t="n">
        <x:v>70</x:v>
      </x:c>
      <x:c r="E1190" s="48" t="str">
        <x:v>4.20</x:v>
      </x:c>
      <x:c r="F1190" s="48" t="str">
        <x:v>4.20 [Employer’s Equipment and Free-Issue Material], Sub-Clause 17.1 [Indemnities]</x:v>
      </x:c>
      <x:c r="G1190" s="48" t="str">
        <x:v>Obligation</x:v>
      </x:c>
      <x:c r="H1190" s="48" t="str">
        <x:v>Employer</x:v>
      </x:c>
      <x:c r="I1190" s="48" t="n">
        <x:v>0.45</x:v>
      </x:c>
      <x:c r="J1190" s="48" t="n">
        <x:v>0.68</x:v>
      </x:c>
      <x:c r="K1190" s="48" t="str">
        <x:v>Yes</x:v>
      </x:c>
      <x:c r="L1190" s="48" t="str">
        <x:v>PDF text</x:v>
      </x:c>
    </x:row>
    <x:row r="1191">
      <x:c r="A1191" s="48" t="str">
        <x:v>UNI-1190</x:v>
      </x:c>
      <x:c r="B1191" s="48" t="str">
        <x:v>RED</x:v>
      </x:c>
      <x:c r="C1191" s="48" t="str">
        <x:v>English</x:v>
      </x:c>
      <x:c r="D1191" s="48" t="n">
        <x:v>70</x:v>
      </x:c>
      <x:c r="E1191" s="48" t="str"/>
      <x:c r="F1191" s="48" t="str">
        <x:v>and Sub-Clause 17.5 [Intellectual and Industrial Property Rights], shall not exceed the sum resulting from the application of a multiplier (less or greater than one) to the Accepted Contract Amount, as stated in the Contract Data, or (if such multiplier or other sum is not so stated), the Accepted Contract Amount.</x:v>
      </x:c>
      <x:c r="G1191" s="48" t="str">
        <x:v>Obligation</x:v>
      </x:c>
      <x:c r="H1191" s="48" t="str">
        <x:v>Shared</x:v>
      </x:c>
      <x:c r="I1191" s="48" t="n">
        <x:v>0.88</x:v>
      </x:c>
      <x:c r="J1191" s="48" t="n">
        <x:v>0.4</x:v>
      </x:c>
      <x:c r="K1191" s="48" t="str">
        <x:v>Yes</x:v>
      </x:c>
      <x:c r="L1191" s="48" t="str">
        <x:v>PDF text</x:v>
      </x:c>
    </x:row>
    <x:row r="1192">
      <x:c r="A1192" s="48" t="str">
        <x:v>UNI-1191</x:v>
      </x:c>
      <x:c r="B1192" s="48" t="str">
        <x:v>RED</x:v>
      </x:c>
      <x:c r="C1192" s="48" t="str">
        <x:v>English</x:v>
      </x:c>
      <x:c r="D1192" s="48" t="n">
        <x:v>70</x:v>
      </x:c>
      <x:c r="E1192" s="48" t="str"/>
      <x:c r="F1192" s="48" t="str">
        <x:v>This Sub-Clause shall not limit liability in any case of fraud, deliberate default or reckless misconduct by the defaulting Party.</x:v>
      </x:c>
      <x:c r="G1192" s="48" t="str">
        <x:v>Risk</x:v>
      </x:c>
      <x:c r="H1192" s="48" t="str">
        <x:v>Shared</x:v>
      </x:c>
      <x:c r="I1192" s="48" t="n">
        <x:v>0.78</x:v>
      </x:c>
      <x:c r="J1192" s="48" t="n">
        <x:v>0.4</x:v>
      </x:c>
      <x:c r="K1192" s="48" t="str">
        <x:v>Yes</x:v>
      </x:c>
      <x:c r="L1192" s="48" t="str">
        <x:v>PDF text</x:v>
      </x:c>
    </x:row>
    <x:row r="1193">
      <x:c r="A1193" s="48" t="str">
        <x:v>UNI-1192</x:v>
      </x:c>
      <x:c r="B1193" s="48" t="str">
        <x:v>RED</x:v>
      </x:c>
      <x:c r="C1193" s="48" t="str">
        <x:v>English</x:v>
      </x:c>
      <x:c r="D1193" s="48" t="n">
        <x:v>70</x:v>
      </x:c>
      <x:c r="E1193" s="48" t="str"/>
      <x:c r="F1193" s="48" t="str">
        <x:v>The Contractor shall take full responsibility for the care of the Employer provided accommodation and facilities, if any, as detailed in the Specification, from the respective dates of hand-over to the Contractor until cessation of occupation (where 17.5</x:v>
      </x:c>
      <x:c r="G1193" s="48" t="str">
        <x:v>Obligation</x:v>
      </x:c>
      <x:c r="H1193" s="48" t="str">
        <x:v>Contractor</x:v>
      </x:c>
      <x:c r="I1193" s="48" t="n">
        <x:v>0.88</x:v>
      </x:c>
      <x:c r="J1193" s="48" t="n">
        <x:v>0.92</x:v>
      </x:c>
      <x:c r="K1193" s="48" t="str">
        <x:v>No</x:v>
      </x:c>
      <x:c r="L1193" s="48" t="str">
        <x:v>PDF text</x:v>
      </x:c>
    </x:row>
    <x:row r="1194">
      <x:c r="A1194" s="48" t="str">
        <x:v>UNI-1193</x:v>
      </x:c>
      <x:c r="B1194" s="48" t="str">
        <x:v>RED</x:v>
      </x:c>
      <x:c r="C1194" s="48" t="str">
        <x:v>English</x:v>
      </x:c>
      <x:c r="D1194" s="48" t="n">
        <x:v>70</x:v>
      </x:c>
      <x:c r="E1194" s="48" t="str"/>
      <x:c r="F1194" s="48" t="str">
        <x:v>Intellectual and Industrial</x:v>
      </x:c>
      <x:c r="G1194" s="48" t="str">
        <x:v>Obligation</x:v>
      </x:c>
      <x:c r="H1194" s="48" t="str">
        <x:v>Shared</x:v>
      </x:c>
      <x:c r="I1194" s="48" t="n">
        <x:v>0.45</x:v>
      </x:c>
      <x:c r="J1194" s="48" t="n">
        <x:v>0.4</x:v>
      </x:c>
      <x:c r="K1194" s="48" t="str">
        <x:v>Yes</x:v>
      </x:c>
      <x:c r="L1194" s="48" t="str">
        <x:v>PDF text</x:v>
      </x:c>
    </x:row>
    <x:row r="1195">
      <x:c r="A1195" s="48" t="str">
        <x:v>UNI-1194</x:v>
      </x:c>
      <x:c r="B1195" s="48" t="str">
        <x:v>RED</x:v>
      </x:c>
      <x:c r="C1195" s="48" t="str">
        <x:v>English</x:v>
      </x:c>
      <x:c r="D1195" s="48" t="n">
        <x:v>70</x:v>
      </x:c>
      <x:c r="E1195" s="48" t="str"/>
      <x:c r="F1195" s="48" t="str">
        <x:v>Property Rights</x:v>
      </x:c>
      <x:c r="G1195" s="48" t="str">
        <x:v>Obligation</x:v>
      </x:c>
      <x:c r="H1195" s="48" t="str">
        <x:v>Shared</x:v>
      </x:c>
      <x:c r="I1195" s="48" t="n">
        <x:v>0.45</x:v>
      </x:c>
      <x:c r="J1195" s="48" t="n">
        <x:v>0.4</x:v>
      </x:c>
      <x:c r="K1195" s="48" t="str">
        <x:v>Yes</x:v>
      </x:c>
      <x:c r="L1195" s="48" t="str">
        <x:v>PDF text</x:v>
      </x:c>
    </x:row>
    <x:row r="1196">
      <x:c r="A1196" s="48" t="str">
        <x:v>UNI-1195</x:v>
      </x:c>
      <x:c r="B1196" s="48" t="str">
        <x:v>RED</x:v>
      </x:c>
      <x:c r="C1196" s="48" t="str">
        <x:v>English</x:v>
      </x:c>
      <x:c r="D1196" s="48" t="n">
        <x:v>70</x:v>
      </x:c>
      <x:c r="E1196" s="48" t="str"/>
      <x:c r="F1196" s="48" t="str">
        <x:v>Limitation of Liability</x:v>
      </x:c>
      <x:c r="G1196" s="48" t="str">
        <x:v>Risk</x:v>
      </x:c>
      <x:c r="H1196" s="48" t="str">
        <x:v>Shared</x:v>
      </x:c>
      <x:c r="I1196" s="48" t="n">
        <x:v>0.78</x:v>
      </x:c>
      <x:c r="J1196" s="48" t="n">
        <x:v>0.4</x:v>
      </x:c>
      <x:c r="K1196" s="48" t="str">
        <x:v>Yes</x:v>
      </x:c>
      <x:c r="L1196" s="48" t="str">
        <x:v>PDF text</x:v>
      </x:c>
    </x:row>
    <x:row r="1197">
      <x:c r="A1197" s="48" t="str">
        <x:v>UNI-1196</x:v>
      </x:c>
      <x:c r="B1197" s="48" t="str">
        <x:v>RED</x:v>
      </x:c>
      <x:c r="C1197" s="48" t="str">
        <x:v>English</x:v>
      </x:c>
      <x:c r="D1197" s="48" t="n">
        <x:v>70</x:v>
      </x:c>
      <x:c r="E1197" s="48" t="str"/>
      <x:c r="F1197" s="48" t="str">
        <x:v>Use of Employer’s</x:v>
      </x:c>
      <x:c r="G1197" s="48" t="str">
        <x:v>Obligation</x:v>
      </x:c>
      <x:c r="H1197" s="48" t="str">
        <x:v>Employer</x:v>
      </x:c>
      <x:c r="I1197" s="48" t="n">
        <x:v>0.45</x:v>
      </x:c>
      <x:c r="J1197" s="48" t="n">
        <x:v>0.68</x:v>
      </x:c>
      <x:c r="K1197" s="48" t="str">
        <x:v>Yes</x:v>
      </x:c>
      <x:c r="L1197" s="48" t="str">
        <x:v>PDF text</x:v>
      </x:c>
    </x:row>
    <x:row r="1198">
      <x:c r="A1198" s="48" t="str">
        <x:v>UNI-1197</x:v>
      </x:c>
      <x:c r="B1198" s="48" t="str">
        <x:v>RED</x:v>
      </x:c>
      <x:c r="C1198" s="48" t="str">
        <x:v>English</x:v>
      </x:c>
      <x:c r="D1198" s="48" t="n">
        <x:v>70</x:v>
      </x:c>
      <x:c r="E1198" s="48" t="str"/>
      <x:c r="F1198" s="48" t="str">
        <x:v>Accommodation/Facilities</x:v>
      </x:c>
      <x:c r="G1198" s="48" t="str">
        <x:v>Obligation</x:v>
      </x:c>
      <x:c r="H1198" s="48" t="str">
        <x:v>Shared</x:v>
      </x:c>
      <x:c r="I1198" s="48" t="n">
        <x:v>0.45</x:v>
      </x:c>
      <x:c r="J1198" s="48" t="n">
        <x:v>0.4</x:v>
      </x:c>
      <x:c r="K1198" s="48" t="str">
        <x:v>Yes</x:v>
      </x:c>
      <x:c r="L1198" s="48" t="str">
        <x:v>PDF text</x:v>
      </x:c>
    </x:row>
    <x:row r="1199">
      <x:c r="A1199" s="48" t="str">
        <x:v>UNI-1198</x:v>
      </x:c>
      <x:c r="B1199" s="48" t="str">
        <x:v>RED</x:v>
      </x:c>
      <x:c r="C1199" s="48" t="str">
        <x:v>English</x:v>
      </x:c>
      <x:c r="D1199" s="48" t="n">
        <x:v>71</x:v>
      </x:c>
      <x:c r="E1199" s="48" t="str"/>
      <x:c r="F1199" s="48" t="str">
        <x:v>hand-over or cessation of occupation may take place after the date stated in the Taking-Over Certificate for the Works).</x:v>
      </x:c>
      <x:c r="G1199" s="48" t="str">
        <x:v>Right</x:v>
      </x:c>
      <x:c r="H1199" s="48" t="str">
        <x:v>Shared</x:v>
      </x:c>
      <x:c r="I1199" s="48" t="n">
        <x:v>0.78</x:v>
      </x:c>
      <x:c r="J1199" s="48" t="n">
        <x:v>0.4</x:v>
      </x:c>
      <x:c r="K1199" s="48" t="str">
        <x:v>Yes</x:v>
      </x:c>
      <x:c r="L1199" s="48" t="str">
        <x:v>PDF text</x:v>
      </x:c>
    </x:row>
    <x:row r="1200">
      <x:c r="A1200" s="48" t="str">
        <x:v>UNI-1199</x:v>
      </x:c>
      <x:c r="B1200" s="48" t="str">
        <x:v>RED</x:v>
      </x:c>
      <x:c r="C1200" s="48" t="str">
        <x:v>English</x:v>
      </x:c>
      <x:c r="D1200" s="48" t="n">
        <x:v>71</x:v>
      </x:c>
      <x:c r="E1200" s="48" t="str"/>
      <x:c r="F1200" s="48" t="str">
        <x:v>If any loss or damage happens to any of the above items while the Contractor is</x:v>
      </x:c>
      <x:c r="G1200" s="48" t="str">
        <x:v>Risk</x:v>
      </x:c>
      <x:c r="H1200" s="48" t="str">
        <x:v>Contractor</x:v>
      </x:c>
      <x:c r="I1200" s="48" t="n">
        <x:v>0.78</x:v>
      </x:c>
      <x:c r="J1200" s="48" t="n">
        <x:v>0.68</x:v>
      </x:c>
      <x:c r="K1200" s="48" t="str">
        <x:v>Yes</x:v>
      </x:c>
      <x:c r="L1200" s="48" t="str">
        <x:v>PDF text</x:v>
      </x:c>
    </x:row>
    <x:row r="1201">
      <x:c r="A1201" s="48" t="str">
        <x:v>UNI-1200</x:v>
      </x:c>
      <x:c r="B1201" s="48" t="str">
        <x:v>RED</x:v>
      </x:c>
      <x:c r="C1201" s="48" t="str">
        <x:v>English</x:v>
      </x:c>
      <x:c r="D1201" s="48" t="n">
        <x:v>71</x:v>
      </x:c>
      <x:c r="E1201" s="48" t="str"/>
      <x:c r="F1201" s="48" t="str">
        <x:v>responsible for their care arising from any cause whatsoever other than those for which the Employer is liable, the Contractor shall, at his own cost, rectify the loss or damage to the satisfaction of the Engineer.</x:v>
      </x:c>
      <x:c r="G1201" s="48" t="str">
        <x:v>Risk</x:v>
      </x:c>
      <x:c r="H1201" s="48" t="str">
        <x:v>Contractor</x:v>
      </x:c>
      <x:c r="I1201" s="48" t="n">
        <x:v>0.78</x:v>
      </x:c>
      <x:c r="J1201" s="48" t="n">
        <x:v>0.92</x:v>
      </x:c>
      <x:c r="K1201" s="48" t="str">
        <x:v>No</x:v>
      </x:c>
      <x:c r="L1201" s="48" t="str">
        <x:v>PDF text</x:v>
      </x:c>
    </x:row>
    <x:row r="1202">
      <x:c r="A1202" s="48" t="str">
        <x:v>UNI-1201</x:v>
      </x:c>
      <x:c r="B1202" s="48" t="str">
        <x:v>RED</x:v>
      </x:c>
      <x:c r="C1202" s="48" t="str">
        <x:v>English</x:v>
      </x:c>
      <x:c r="D1202" s="48" t="n">
        <x:v>71</x:v>
      </x:c>
      <x:c r="E1202" s="48" t="str"/>
      <x:c r="F1202" s="48" t="str">
        <x:v>In this Clause, “insuring Party” means, for each type of insurance, the Party responsible for effecting and maintaining the insurance specified in the relevant Sub-Clause.</x:v>
      </x:c>
      <x:c r="G1202" s="48" t="str">
        <x:v>Definition</x:v>
      </x:c>
      <x:c r="H1202" s="48" t="str"/>
      <x:c r="I1202" s="48" t="n">
        <x:v>0.97</x:v>
      </x:c>
      <x:c r="J1202" s="48" t="n">
        <x:v>0.99</x:v>
      </x:c>
      <x:c r="K1202" s="48" t="str">
        <x:v>No</x:v>
      </x:c>
      <x:c r="L1202" s="48" t="str">
        <x:v>PDF text</x:v>
      </x:c>
    </x:row>
    <x:row r="1203">
      <x:c r="A1203" s="48" t="str">
        <x:v>UNI-1202</x:v>
      </x:c>
      <x:c r="B1203" s="48" t="str">
        <x:v>RED</x:v>
      </x:c>
      <x:c r="C1203" s="48" t="str">
        <x:v>English</x:v>
      </x:c>
      <x:c r="D1203" s="48" t="n">
        <x:v>71</x:v>
      </x:c>
      <x:c r="E1203" s="48" t="str"/>
      <x:c r="F1203" s="48" t="str">
        <x:v>Wherever the Contractor is the insuring Party, each insurance shall be effected with insurers and in terms approved by the Employer.</x:v>
      </x:c>
      <x:c r="G1203" s="48" t="str">
        <x:v>Obligation</x:v>
      </x:c>
      <x:c r="H1203" s="48" t="str">
        <x:v>Shared</x:v>
      </x:c>
      <x:c r="I1203" s="48" t="n">
        <x:v>0.88</x:v>
      </x:c>
      <x:c r="J1203" s="48" t="n">
        <x:v>0.6</x:v>
      </x:c>
      <x:c r="K1203" s="48" t="str">
        <x:v>Yes</x:v>
      </x:c>
      <x:c r="L1203" s="48" t="str">
        <x:v>PDF text</x:v>
      </x:c>
    </x:row>
    <x:row r="1204">
      <x:c r="A1204" s="48" t="str">
        <x:v>UNI-1203</x:v>
      </x:c>
      <x:c r="B1204" s="48" t="str">
        <x:v>RED</x:v>
      </x:c>
      <x:c r="C1204" s="48" t="str">
        <x:v>English</x:v>
      </x:c>
      <x:c r="D1204" s="48" t="n">
        <x:v>71</x:v>
      </x:c>
      <x:c r="E1204" s="48" t="str"/>
      <x:c r="F1204" s="48" t="str">
        <x:v>These terms shall be consistent with any terms agreed by both Parties before the date of the Letter of Acceptance.</x:v>
      </x:c>
      <x:c r="G1204" s="48" t="str">
        <x:v>Obligation</x:v>
      </x:c>
      <x:c r="H1204" s="48" t="str">
        <x:v>Shared</x:v>
      </x:c>
      <x:c r="I1204" s="48" t="n">
        <x:v>0.88</x:v>
      </x:c>
      <x:c r="J1204" s="48" t="n">
        <x:v>0.93</x:v>
      </x:c>
      <x:c r="K1204" s="48" t="str">
        <x:v>No</x:v>
      </x:c>
      <x:c r="L1204" s="48" t="str">
        <x:v>PDF text</x:v>
      </x:c>
    </x:row>
    <x:row r="1205">
      <x:c r="A1205" s="48" t="str">
        <x:v>UNI-1204</x:v>
      </x:c>
      <x:c r="B1205" s="48" t="str">
        <x:v>RED</x:v>
      </x:c>
      <x:c r="C1205" s="48" t="str">
        <x:v>English</x:v>
      </x:c>
      <x:c r="D1205" s="48" t="n">
        <x:v>71</x:v>
      </x:c>
      <x:c r="E1205" s="48" t="str"/>
      <x:c r="F1205" s="48" t="str">
        <x:v>This agreement of terms shall take precedence over the provisions of this Clause.</x:v>
      </x:c>
      <x:c r="G1205" s="48" t="str">
        <x:v>Obligation</x:v>
      </x:c>
      <x:c r="H1205" s="48" t="str">
        <x:v>Shared</x:v>
      </x:c>
      <x:c r="I1205" s="48" t="n">
        <x:v>0.88</x:v>
      </x:c>
      <x:c r="J1205" s="48" t="n">
        <x:v>0.4</x:v>
      </x:c>
      <x:c r="K1205" s="48" t="str">
        <x:v>Yes</x:v>
      </x:c>
      <x:c r="L1205" s="48" t="str">
        <x:v>PDF text</x:v>
      </x:c>
    </x:row>
    <x:row r="1206">
      <x:c r="A1206" s="48" t="str">
        <x:v>UNI-1205</x:v>
      </x:c>
      <x:c r="B1206" s="48" t="str">
        <x:v>RED</x:v>
      </x:c>
      <x:c r="C1206" s="48" t="str">
        <x:v>English</x:v>
      </x:c>
      <x:c r="D1206" s="48" t="n">
        <x:v>71</x:v>
      </x:c>
      <x:c r="E1206" s="48" t="str"/>
      <x:c r="F1206" s="48" t="str">
        <x:v>Wherever the Employer is the insuring Party, each insurance shall be effected with insurers and in terms consistent with the details annexed to the Particular Conditions.</x:v>
      </x:c>
      <x:c r="G1206" s="48" t="str">
        <x:v>Obligation</x:v>
      </x:c>
      <x:c r="H1206" s="48" t="str">
        <x:v>Employer</x:v>
      </x:c>
      <x:c r="I1206" s="48" t="n">
        <x:v>0.88</x:v>
      </x:c>
      <x:c r="J1206" s="48" t="n">
        <x:v>0.68</x:v>
      </x:c>
      <x:c r="K1206" s="48" t="str">
        <x:v>Yes</x:v>
      </x:c>
      <x:c r="L1206" s="48" t="str">
        <x:v>PDF text</x:v>
      </x:c>
    </x:row>
    <x:row r="1207">
      <x:c r="A1207" s="48" t="str">
        <x:v>UNI-1206</x:v>
      </x:c>
      <x:c r="B1207" s="48" t="str">
        <x:v>RED</x:v>
      </x:c>
      <x:c r="C1207" s="48" t="str">
        <x:v>English</x:v>
      </x:c>
      <x:c r="D1207" s="48" t="n">
        <x:v>71</x:v>
      </x:c>
      <x:c r="E1207" s="48" t="str"/>
      <x:c r="F1207" s="48" t="str">
        <x:v>If a policy is required to indemnify joint insured, the cover shall apply separately to each insured as though a separate policy had been issued for each of the joint insured.</x:v>
      </x:c>
      <x:c r="G1207" s="48" t="str">
        <x:v>Obligation</x:v>
      </x:c>
      <x:c r="H1207" s="48" t="str">
        <x:v>Shared</x:v>
      </x:c>
      <x:c r="I1207" s="48" t="n">
        <x:v>0.88</x:v>
      </x:c>
      <x:c r="J1207" s="48" t="n">
        <x:v>0.4</x:v>
      </x:c>
      <x:c r="K1207" s="48" t="str">
        <x:v>Yes</x:v>
      </x:c>
      <x:c r="L1207" s="48" t="str">
        <x:v>PDF text</x:v>
      </x:c>
    </x:row>
    <x:row r="1208">
      <x:c r="A1208" s="48" t="str">
        <x:v>UNI-1207</x:v>
      </x:c>
      <x:c r="B1208" s="48" t="str">
        <x:v>RED</x:v>
      </x:c>
      <x:c r="C1208" s="48" t="str">
        <x:v>English</x:v>
      </x:c>
      <x:c r="D1208" s="48" t="n">
        <x:v>71</x:v>
      </x:c>
      <x:c r="E1208" s="48" t="str"/>
      <x:c r="F1208" s="48" t="str">
        <x:v>If a policy indemnifies additional joint insured, namely in addition to the insured specified in this Clause, (i) the Contractor shall act under the policy on behalf of these additional joint insured except that the Employer shall act for Employer’s Personnel, (ii) additional joint insured shall not be entitled to receive payments directly from the insurer or to have any other direct dealings with the insurer, and (iii) the insuring Party shall require all additional joint insured to comply with the conditions stipulated in the policy.</x:v>
      </x:c>
      <x:c r="G1208" s="48" t="str">
        <x:v>Obligation</x:v>
      </x:c>
      <x:c r="H1208" s="48" t="str">
        <x:v>Contractor</x:v>
      </x:c>
      <x:c r="I1208" s="48" t="n">
        <x:v>0.88</x:v>
      </x:c>
      <x:c r="J1208" s="48" t="n">
        <x:v>0.92</x:v>
      </x:c>
      <x:c r="K1208" s="48" t="str">
        <x:v>No</x:v>
      </x:c>
      <x:c r="L1208" s="48" t="str">
        <x:v>PDF text</x:v>
      </x:c>
    </x:row>
    <x:row r="1209">
      <x:c r="A1209" s="48" t="str">
        <x:v>UNI-1208</x:v>
      </x:c>
      <x:c r="B1209" s="48" t="str">
        <x:v>RED</x:v>
      </x:c>
      <x:c r="C1209" s="48" t="str">
        <x:v>English</x:v>
      </x:c>
      <x:c r="D1209" s="48" t="n">
        <x:v>71</x:v>
      </x:c>
      <x:c r="E1209" s="48" t="str"/>
      <x:c r="F1209" s="48" t="str">
        <x:v>Each policy insuring against loss or damage shall provide for payments to be made in the currencies required to rectify the loss or damage.</x:v>
      </x:c>
      <x:c r="G1209" s="48" t="str">
        <x:v>Obligation</x:v>
      </x:c>
      <x:c r="H1209" s="48" t="str">
        <x:v>Shared</x:v>
      </x:c>
      <x:c r="I1209" s="48" t="n">
        <x:v>0.88</x:v>
      </x:c>
      <x:c r="J1209" s="48" t="n">
        <x:v>0.4</x:v>
      </x:c>
      <x:c r="K1209" s="48" t="str">
        <x:v>Yes</x:v>
      </x:c>
      <x:c r="L1209" s="48" t="str">
        <x:v>PDF text</x:v>
      </x:c>
    </x:row>
    <x:row r="1210">
      <x:c r="A1210" s="48" t="str">
        <x:v>UNI-1209</x:v>
      </x:c>
      <x:c r="B1210" s="48" t="str">
        <x:v>RED</x:v>
      </x:c>
      <x:c r="C1210" s="48" t="str">
        <x:v>English</x:v>
      </x:c>
      <x:c r="D1210" s="48" t="n">
        <x:v>71</x:v>
      </x:c>
      <x:c r="E1210" s="48" t="str"/>
      <x:c r="F1210" s="48" t="str">
        <x:v>Payments received from insurers shall be used for the rectification of the loss or damage.</x:v>
      </x:c>
      <x:c r="G1210" s="48" t="str">
        <x:v>Obligation</x:v>
      </x:c>
      <x:c r="H1210" s="48" t="str">
        <x:v>Shared</x:v>
      </x:c>
      <x:c r="I1210" s="48" t="n">
        <x:v>0.88</x:v>
      </x:c>
      <x:c r="J1210" s="48" t="n">
        <x:v>0.4</x:v>
      </x:c>
      <x:c r="K1210" s="48" t="str">
        <x:v>Yes</x:v>
      </x:c>
      <x:c r="L1210" s="48" t="str">
        <x:v>PDF text</x:v>
      </x:c>
    </x:row>
    <x:row r="1211">
      <x:c r="A1211" s="48" t="str">
        <x:v>UNI-1210</x:v>
      </x:c>
      <x:c r="B1211" s="48" t="str">
        <x:v>RED</x:v>
      </x:c>
      <x:c r="C1211" s="48" t="str">
        <x:v>English</x:v>
      </x:c>
      <x:c r="D1211" s="48" t="n">
        <x:v>71</x:v>
      </x:c>
      <x:c r="E1211" s="48" t="str"/>
      <x:c r="F1211" s="48" t="str">
        <x:v>The relevant insuring Party shall, within the respective periods stated in the Contract Data (calculated from the Commencement Date), submit to the other Party: (a) evidence that the insurances described in this Clause have been effected, and (b) copies of the policies for the insurances described in Sub-Clause 18.2 [Insurance for Works and Contractor’s Equipment] and Sub-Clause 18.3 [Insurance against Injury to Persons and Damage to Property].</x:v>
      </x:c>
      <x:c r="G1211" s="48" t="str">
        <x:v>Obligation</x:v>
      </x:c>
      <x:c r="H1211" s="48" t="str">
        <x:v>Contractor</x:v>
      </x:c>
      <x:c r="I1211" s="48" t="n">
        <x:v>0.88</x:v>
      </x:c>
      <x:c r="J1211" s="48" t="n">
        <x:v>0.68</x:v>
      </x:c>
      <x:c r="K1211" s="48" t="str">
        <x:v>Yes</x:v>
      </x:c>
      <x:c r="L1211" s="48" t="str">
        <x:v>PDF text</x:v>
      </x:c>
    </x:row>
    <x:row r="1212">
      <x:c r="A1212" s="48" t="str">
        <x:v>UNI-1211</x:v>
      </x:c>
      <x:c r="B1212" s="48" t="str">
        <x:v>RED</x:v>
      </x:c>
      <x:c r="C1212" s="48" t="str">
        <x:v>English</x:v>
      </x:c>
      <x:c r="D1212" s="48" t="n">
        <x:v>71</x:v>
      </x:c>
      <x:c r="E1212" s="48" t="str"/>
      <x:c r="F1212" s="48" t="str">
        <x:v>When each premium is paid, the insuring Party shall submit evidence of payment to</x:v>
      </x:c>
      <x:c r="G1212" s="48" t="str">
        <x:v>Obligation</x:v>
      </x:c>
      <x:c r="H1212" s="48" t="str">
        <x:v>Shared</x:v>
      </x:c>
      <x:c r="I1212" s="48" t="n">
        <x:v>0.88</x:v>
      </x:c>
      <x:c r="J1212" s="48" t="n">
        <x:v>0.4</x:v>
      </x:c>
      <x:c r="K1212" s="48" t="str">
        <x:v>Yes</x:v>
      </x:c>
      <x:c r="L1212" s="48" t="str">
        <x:v>PDF text</x:v>
      </x:c>
    </x:row>
    <x:row r="1213">
      <x:c r="A1213" s="48" t="str">
        <x:v>UNI-1212</x:v>
      </x:c>
      <x:c r="B1213" s="48" t="str">
        <x:v>RED</x:v>
      </x:c>
      <x:c r="C1213" s="48" t="str">
        <x:v>English</x:v>
      </x:c>
      <x:c r="D1213" s="48" t="n">
        <x:v>71</x:v>
      </x:c>
      <x:c r="E1213" s="48" t="str"/>
      <x:c r="F1213" s="48" t="str">
        <x:v>the other Party.</x:v>
      </x:c>
      <x:c r="G1213" s="48" t="str">
        <x:v>Obligation</x:v>
      </x:c>
      <x:c r="H1213" s="48" t="str">
        <x:v>Shared</x:v>
      </x:c>
      <x:c r="I1213" s="48" t="n">
        <x:v>0.45</x:v>
      </x:c>
      <x:c r="J1213" s="48" t="n">
        <x:v>0.4</x:v>
      </x:c>
      <x:c r="K1213" s="48" t="str">
        <x:v>Yes</x:v>
      </x:c>
      <x:c r="L1213" s="48" t="str">
        <x:v>PDF text</x:v>
      </x:c>
    </x:row>
    <x:row r="1214">
      <x:c r="A1214" s="48" t="str">
        <x:v>UNI-1213</x:v>
      </x:c>
      <x:c r="B1214" s="48" t="str">
        <x:v>RED</x:v>
      </x:c>
      <x:c r="C1214" s="48" t="str">
        <x:v>English</x:v>
      </x:c>
      <x:c r="D1214" s="48" t="n">
        <x:v>71</x:v>
      </x:c>
      <x:c r="E1214" s="48" t="str"/>
      <x:c r="F1214" s="48" t="str">
        <x:v>Whenever evidence or policies are submitted, the insuring Party shall also give notice to the Engineer.</x:v>
      </x:c>
      <x:c r="G1214" s="48" t="str">
        <x:v>Obligation</x:v>
      </x:c>
      <x:c r="H1214" s="48" t="str">
        <x:v>Shared</x:v>
      </x:c>
      <x:c r="I1214" s="48" t="n">
        <x:v>0.88</x:v>
      </x:c>
      <x:c r="J1214" s="48" t="n">
        <x:v>0.4</x:v>
      </x:c>
      <x:c r="K1214" s="48" t="str">
        <x:v>Yes</x:v>
      </x:c>
      <x:c r="L1214" s="48" t="str">
        <x:v>PDF text</x:v>
      </x:c>
    </x:row>
    <x:row r="1215">
      <x:c r="A1215" s="48" t="str">
        <x:v>UNI-1214</x:v>
      </x:c>
      <x:c r="B1215" s="48" t="str">
        <x:v>RED</x:v>
      </x:c>
      <x:c r="C1215" s="48" t="str">
        <x:v>English</x:v>
      </x:c>
      <x:c r="D1215" s="48" t="n">
        <x:v>71</x:v>
      </x:c>
      <x:c r="E1215" s="48" t="str"/>
      <x:c r="F1215" s="48" t="str">
        <x:v>Each Party shall comply with the conditions stipulated in each of the insurance</x:v>
      </x:c>
      <x:c r="G1215" s="48" t="str">
        <x:v>Obligation</x:v>
      </x:c>
      <x:c r="H1215" s="48" t="str">
        <x:v>Shared</x:v>
      </x:c>
      <x:c r="I1215" s="48" t="n">
        <x:v>0.88</x:v>
      </x:c>
      <x:c r="J1215" s="48" t="n">
        <x:v>0.93</x:v>
      </x:c>
      <x:c r="K1215" s="48" t="str">
        <x:v>No</x:v>
      </x:c>
      <x:c r="L1215" s="48" t="str">
        <x:v>PDF text</x:v>
      </x:c>
    </x:row>
    <x:row r="1216">
      <x:c r="A1216" s="48" t="str">
        <x:v>UNI-1215</x:v>
      </x:c>
      <x:c r="B1216" s="48" t="str">
        <x:v>RED</x:v>
      </x:c>
      <x:c r="C1216" s="48" t="str">
        <x:v>English</x:v>
      </x:c>
      <x:c r="D1216" s="48" t="n">
        <x:v>71</x:v>
      </x:c>
      <x:c r="E1216" s="48" t="str"/>
      <x:c r="F1216" s="48" t="str">
        <x:v>policies.</x:v>
      </x:c>
      <x:c r="G1216" s="48" t="str">
        <x:v>Obligation</x:v>
      </x:c>
      <x:c r="H1216" s="48" t="str">
        <x:v>Shared</x:v>
      </x:c>
      <x:c r="I1216" s="48" t="n">
        <x:v>0.45</x:v>
      </x:c>
      <x:c r="J1216" s="48" t="n">
        <x:v>0.4</x:v>
      </x:c>
      <x:c r="K1216" s="48" t="str">
        <x:v>Yes</x:v>
      </x:c>
      <x:c r="L1216" s="48" t="str">
        <x:v>PDF text</x:v>
      </x:c>
    </x:row>
    <x:row r="1217">
      <x:c r="A1217" s="48" t="str">
        <x:v>UNI-1216</x:v>
      </x:c>
      <x:c r="B1217" s="48" t="str">
        <x:v>RED</x:v>
      </x:c>
      <x:c r="C1217" s="48" t="str">
        <x:v>English</x:v>
      </x:c>
      <x:c r="D1217" s="48" t="n">
        <x:v>71</x:v>
      </x:c>
      <x:c r="E1217" s="48" t="str"/>
      <x:c r="F1217" s="48" t="str">
        <x:v>The insuring Party shall keep the insurers informed of any relevant changes to the execution of the Works and ensure that insurance is maintained in accordance with this Clause.</x:v>
      </x:c>
      <x:c r="G1217" s="48" t="str">
        <x:v>Obligation</x:v>
      </x:c>
      <x:c r="H1217" s="48" t="str">
        <x:v>Shared</x:v>
      </x:c>
      <x:c r="I1217" s="48" t="n">
        <x:v>0.88</x:v>
      </x:c>
      <x:c r="J1217" s="48" t="n">
        <x:v>0.4</x:v>
      </x:c>
      <x:c r="K1217" s="48" t="str">
        <x:v>Yes</x:v>
      </x:c>
      <x:c r="L1217" s="48" t="str">
        <x:v>PDF text</x:v>
      </x:c>
    </x:row>
    <x:row r="1218">
      <x:c r="A1218" s="48" t="str">
        <x:v>UNI-1217</x:v>
      </x:c>
      <x:c r="B1218" s="48" t="str">
        <x:v>RED</x:v>
      </x:c>
      <x:c r="C1218" s="48" t="str">
        <x:v>English</x:v>
      </x:c>
      <x:c r="D1218" s="48" t="n">
        <x:v>71</x:v>
      </x:c>
      <x:c r="E1218" s="48" t="str"/>
      <x:c r="F1218" s="48" t="str">
        <x:v>Neither Party shall make any material alteration to the terms of any insurance without the 18.1</x:v>
      </x:c>
      <x:c r="G1218" s="48" t="str">
        <x:v>Obligation</x:v>
      </x:c>
      <x:c r="H1218" s="48" t="str">
        <x:v>Shared</x:v>
      </x:c>
      <x:c r="I1218" s="48" t="n">
        <x:v>0.88</x:v>
      </x:c>
      <x:c r="J1218" s="48" t="n">
        <x:v>0.4</x:v>
      </x:c>
      <x:c r="K1218" s="48" t="str">
        <x:v>Yes</x:v>
      </x:c>
      <x:c r="L1218" s="48" t="str">
        <x:v>PDF text</x:v>
      </x:c>
    </x:row>
    <x:row r="1219">
      <x:c r="A1219" s="48" t="str">
        <x:v>UNI-1218</x:v>
      </x:c>
      <x:c r="B1219" s="48" t="str">
        <x:v>RED</x:v>
      </x:c>
      <x:c r="C1219" s="48" t="str">
        <x:v>English</x:v>
      </x:c>
      <x:c r="D1219" s="48" t="n">
        <x:v>71</x:v>
      </x:c>
      <x:c r="E1219" s="48" t="str"/>
      <x:c r="F1219" s="48" t="str">
        <x:v>General Requirements</x:v>
      </x:c>
      <x:c r="G1219" s="48" t="str">
        <x:v>Obligation</x:v>
      </x:c>
      <x:c r="H1219" s="48" t="str">
        <x:v>Shared</x:v>
      </x:c>
      <x:c r="I1219" s="48" t="n">
        <x:v>0.45</x:v>
      </x:c>
      <x:c r="J1219" s="48" t="n">
        <x:v>0.4</x:v>
      </x:c>
      <x:c r="K1219" s="48" t="str">
        <x:v>Yes</x:v>
      </x:c>
      <x:c r="L1219" s="48" t="str">
        <x:v>PDF text</x:v>
      </x:c>
    </x:row>
    <x:row r="1220">
      <x:c r="A1220" s="48" t="str">
        <x:v>UNI-1219</x:v>
      </x:c>
      <x:c r="B1220" s="48" t="str">
        <x:v>RED</x:v>
      </x:c>
      <x:c r="C1220" s="48" t="str">
        <x:v>English</x:v>
      </x:c>
      <x:c r="D1220" s="48" t="n">
        <x:v>71</x:v>
      </x:c>
      <x:c r="E1220" s="48" t="str"/>
      <x:c r="F1220" s="48" t="str">
        <x:v>for Insurances18</x:v>
      </x:c>
      <x:c r="G1220" s="48" t="str">
        <x:v>Obligation</x:v>
      </x:c>
      <x:c r="H1220" s="48" t="str">
        <x:v>Shared</x:v>
      </x:c>
      <x:c r="I1220" s="48" t="n">
        <x:v>0.45</x:v>
      </x:c>
      <x:c r="J1220" s="48" t="n">
        <x:v>0.4</x:v>
      </x:c>
      <x:c r="K1220" s="48" t="str">
        <x:v>Yes</x:v>
      </x:c>
      <x:c r="L1220" s="48" t="str">
        <x:v>PDF text</x:v>
      </x:c>
    </x:row>
    <x:row r="1221">
      <x:c r="A1221" s="48" t="str">
        <x:v>UNI-1220</x:v>
      </x:c>
      <x:c r="B1221" s="48" t="str">
        <x:v>RED</x:v>
      </x:c>
      <x:c r="C1221" s="48" t="str">
        <x:v>English</x:v>
      </x:c>
      <x:c r="D1221" s="48" t="n">
        <x:v>71</x:v>
      </x:c>
      <x:c r="E1221" s="48" t="str"/>
      <x:c r="F1221" s="48" t="str">
        <x:v>Insurance</x:v>
      </x:c>
      <x:c r="G1221" s="48" t="str">
        <x:v>Obligation</x:v>
      </x:c>
      <x:c r="H1221" s="48" t="str">
        <x:v>Shared</x:v>
      </x:c>
      <x:c r="I1221" s="48" t="n">
        <x:v>0.45</x:v>
      </x:c>
      <x:c r="J1221" s="48" t="n">
        <x:v>0.4</x:v>
      </x:c>
      <x:c r="K1221" s="48" t="str">
        <x:v>Yes</x:v>
      </x:c>
      <x:c r="L1221" s="48" t="str">
        <x:v>PDF text</x:v>
      </x:c>
    </x:row>
    <x:row r="1222">
      <x:c r="A1222" s="48" t="str">
        <x:v>UNI-1221</x:v>
      </x:c>
      <x:c r="B1222" s="48" t="str">
        <x:v>RED</x:v>
      </x:c>
      <x:c r="C1222" s="48" t="str">
        <x:v>English</x:v>
      </x:c>
      <x:c r="D1222" s="48" t="n">
        <x:v>72</x:v>
      </x:c>
      <x:c r="E1222" s="48" t="str"/>
      <x:c r="F1222" s="48" t="str">
        <x:v>prior approval of the other Party.</x:v>
      </x:c>
      <x:c r="G1222" s="48" t="str">
        <x:v>Obligation</x:v>
      </x:c>
      <x:c r="H1222" s="48" t="str">
        <x:v>Shared</x:v>
      </x:c>
      <x:c r="I1222" s="48" t="n">
        <x:v>0.45</x:v>
      </x:c>
      <x:c r="J1222" s="48" t="n">
        <x:v>0.4</x:v>
      </x:c>
      <x:c r="K1222" s="48" t="str">
        <x:v>Yes</x:v>
      </x:c>
      <x:c r="L1222" s="48" t="str">
        <x:v>PDF text</x:v>
      </x:c>
    </x:row>
    <x:row r="1223">
      <x:c r="A1223" s="48" t="str">
        <x:v>UNI-1222</x:v>
      </x:c>
      <x:c r="B1223" s="48" t="str">
        <x:v>RED</x:v>
      </x:c>
      <x:c r="C1223" s="48" t="str">
        <x:v>English</x:v>
      </x:c>
      <x:c r="D1223" s="48" t="n">
        <x:v>72</x:v>
      </x:c>
      <x:c r="E1223" s="48" t="str"/>
      <x:c r="F1223" s="48" t="str">
        <x:v>If an insurer makes (or attempts to make) any alteration, the Party first notified by the insurer shall promptly give notice to the other Party.</x:v>
      </x:c>
      <x:c r="G1223" s="48" t="str">
        <x:v>Obligation</x:v>
      </x:c>
      <x:c r="H1223" s="48" t="str">
        <x:v>Shared</x:v>
      </x:c>
      <x:c r="I1223" s="48" t="n">
        <x:v>0.88</x:v>
      </x:c>
      <x:c r="J1223" s="48" t="n">
        <x:v>0.4</x:v>
      </x:c>
      <x:c r="K1223" s="48" t="str">
        <x:v>Yes</x:v>
      </x:c>
      <x:c r="L1223" s="48" t="str">
        <x:v>PDF text</x:v>
      </x:c>
    </x:row>
    <x:row r="1224">
      <x:c r="A1224" s="48" t="str">
        <x:v>UNI-1223</x:v>
      </x:c>
      <x:c r="B1224" s="48" t="str">
        <x:v>RED</x:v>
      </x:c>
      <x:c r="C1224" s="48" t="str">
        <x:v>English</x:v>
      </x:c>
      <x:c r="D1224" s="48" t="n">
        <x:v>72</x:v>
      </x:c>
      <x:c r="E1224" s="48" t="str"/>
      <x:c r="F1224" s="48" t="str">
        <x:v>If the insuring Party fails to effect and keep in force any of the insurances it is required to effect and maintain under the Contract, or fails to provide satisfactory evidence and copies of policies in accordance with this Sub-Clause, the other Party may (at its option and without prejudice to any other right or remedy) effect insurance for the relevant coverage and pay the premiums due.</x:v>
      </x:c>
      <x:c r="G1224" s="48" t="str">
        <x:v>Risk</x:v>
      </x:c>
      <x:c r="H1224" s="48" t="str">
        <x:v>Shared</x:v>
      </x:c>
      <x:c r="I1224" s="48" t="n">
        <x:v>0.78</x:v>
      </x:c>
      <x:c r="J1224" s="48" t="n">
        <x:v>0.4</x:v>
      </x:c>
      <x:c r="K1224" s="48" t="str">
        <x:v>Yes</x:v>
      </x:c>
      <x:c r="L1224" s="48" t="str">
        <x:v>PDF text</x:v>
      </x:c>
    </x:row>
    <x:row r="1225">
      <x:c r="A1225" s="48" t="str">
        <x:v>UNI-1224</x:v>
      </x:c>
      <x:c r="B1225" s="48" t="str">
        <x:v>RED</x:v>
      </x:c>
      <x:c r="C1225" s="48" t="str">
        <x:v>English</x:v>
      </x:c>
      <x:c r="D1225" s="48" t="n">
        <x:v>72</x:v>
      </x:c>
      <x:c r="E1225" s="48" t="str"/>
      <x:c r="F1225" s="48" t="str">
        <x:v>The insuring Party shall pay the amount of these premiums to the other Party, and the Contract Price shall be adjusted accordingly.</x:v>
      </x:c>
      <x:c r="G1225" s="48" t="str">
        <x:v>Obligation</x:v>
      </x:c>
      <x:c r="H1225" s="48" t="str">
        <x:v>Shared</x:v>
      </x:c>
      <x:c r="I1225" s="48" t="n">
        <x:v>0.88</x:v>
      </x:c>
      <x:c r="J1225" s="48" t="n">
        <x:v>0.4</x:v>
      </x:c>
      <x:c r="K1225" s="48" t="str">
        <x:v>Yes</x:v>
      </x:c>
      <x:c r="L1225" s="48" t="str">
        <x:v>PDF text</x:v>
      </x:c>
    </x:row>
    <x:row r="1226">
      <x:c r="A1226" s="48" t="str">
        <x:v>UNI-1225</x:v>
      </x:c>
      <x:c r="B1226" s="48" t="str">
        <x:v>RED</x:v>
      </x:c>
      <x:c r="C1226" s="48" t="str">
        <x:v>English</x:v>
      </x:c>
      <x:c r="D1226" s="48" t="n">
        <x:v>72</x:v>
      </x:c>
      <x:c r="E1226" s="48" t="str"/>
      <x:c r="F1226" s="48" t="str">
        <x:v>Nothing in this Clause limits the obligations, liabilities or responsibilities of the Contractor or the Employer, under the other terms of the Contract or otherwise.</x:v>
      </x:c>
      <x:c r="G1226" s="48" t="str">
        <x:v>Obligation</x:v>
      </x:c>
      <x:c r="H1226" s="48" t="str">
        <x:v>Shared</x:v>
      </x:c>
      <x:c r="I1226" s="48" t="n">
        <x:v>0.45</x:v>
      </x:c>
      <x:c r="J1226" s="48" t="n">
        <x:v>0.6</x:v>
      </x:c>
      <x:c r="K1226" s="48" t="str">
        <x:v>Yes</x:v>
      </x:c>
      <x:c r="L1226" s="48" t="str">
        <x:v>PDF text</x:v>
      </x:c>
    </x:row>
    <x:row r="1227">
      <x:c r="A1227" s="48" t="str">
        <x:v>UNI-1226</x:v>
      </x:c>
      <x:c r="B1227" s="48" t="str">
        <x:v>RED</x:v>
      </x:c>
      <x:c r="C1227" s="48" t="str">
        <x:v>English</x:v>
      </x:c>
      <x:c r="D1227" s="48" t="n">
        <x:v>72</x:v>
      </x:c>
      <x:c r="E1227" s="48" t="str"/>
      <x:c r="F1227" s="48" t="str">
        <x:v>Any amounts not insured or not recovered from the insurers shall be borne by the Contractor and/or the Employer in accordance with these obligations, liabilities or responsibilities.</x:v>
      </x:c>
      <x:c r="G1227" s="48" t="str">
        <x:v>Obligation</x:v>
      </x:c>
      <x:c r="H1227" s="48" t="str">
        <x:v>Shared</x:v>
      </x:c>
      <x:c r="I1227" s="48" t="n">
        <x:v>0.88</x:v>
      </x:c>
      <x:c r="J1227" s="48" t="n">
        <x:v>0.6</x:v>
      </x:c>
      <x:c r="K1227" s="48" t="str">
        <x:v>Yes</x:v>
      </x:c>
      <x:c r="L1227" s="48" t="str">
        <x:v>PDF text</x:v>
      </x:c>
    </x:row>
    <x:row r="1228">
      <x:c r="A1228" s="48" t="str">
        <x:v>UNI-1227</x:v>
      </x:c>
      <x:c r="B1228" s="48" t="str">
        <x:v>RED</x:v>
      </x:c>
      <x:c r="C1228" s="48" t="str">
        <x:v>English</x:v>
      </x:c>
      <x:c r="D1228" s="48" t="n">
        <x:v>72</x:v>
      </x:c>
      <x:c r="E1228" s="48" t="str"/>
      <x:c r="F1228" s="48" t="str">
        <x:v>However, if the insuring Party fails to effect and keep in force an insurance which is available and which it is required to effect and maintain under the Contract, and the other Party neither approves the omission nor effects insurance for the coverage relevant to this default, any moneys which should have been recoverable under this insurance shall be paid by the insuring Party.</x:v>
      </x:c>
      <x:c r="G1228" s="48" t="str">
        <x:v>Risk</x:v>
      </x:c>
      <x:c r="H1228" s="48" t="str">
        <x:v>Shared</x:v>
      </x:c>
      <x:c r="I1228" s="48" t="n">
        <x:v>0.78</x:v>
      </x:c>
      <x:c r="J1228" s="48" t="n">
        <x:v>0.4</x:v>
      </x:c>
      <x:c r="K1228" s="48" t="str">
        <x:v>Yes</x:v>
      </x:c>
      <x:c r="L1228" s="48" t="str">
        <x:v>PDF text</x:v>
      </x:c>
    </x:row>
    <x:row r="1229">
      <x:c r="A1229" s="48" t="str">
        <x:v>UNI-1228</x:v>
      </x:c>
      <x:c r="B1229" s="48" t="str">
        <x:v>RED</x:v>
      </x:c>
      <x:c r="C1229" s="48" t="str">
        <x:v>English</x:v>
      </x:c>
      <x:c r="D1229" s="48" t="n">
        <x:v>72</x:v>
      </x:c>
      <x:c r="E1229" s="48" t="str"/>
      <x:c r="F1229" s="48" t="str">
        <x:v>Payments by one Party to the other Party shall be subject to Sub-Clause 2.5 [Employer’s Claims] or Sub-Clause 20.1 [Contractor’s Claims], as applicable.</x:v>
      </x:c>
      <x:c r="G1229" s="48" t="str">
        <x:v>Obligation</x:v>
      </x:c>
      <x:c r="H1229" s="48" t="str">
        <x:v>Shared</x:v>
      </x:c>
      <x:c r="I1229" s="48" t="n">
        <x:v>0.88</x:v>
      </x:c>
      <x:c r="J1229" s="48" t="n">
        <x:v>0.6</x:v>
      </x:c>
      <x:c r="K1229" s="48" t="str">
        <x:v>Yes</x:v>
      </x:c>
      <x:c r="L1229" s="48" t="str">
        <x:v>PDF text</x:v>
      </x:c>
    </x:row>
    <x:row r="1230">
      <x:c r="A1230" s="48" t="str">
        <x:v>UNI-1229</x:v>
      </x:c>
      <x:c r="B1230" s="48" t="str">
        <x:v>RED</x:v>
      </x:c>
      <x:c r="C1230" s="48" t="str">
        <x:v>English</x:v>
      </x:c>
      <x:c r="D1230" s="48" t="n">
        <x:v>72</x:v>
      </x:c>
      <x:c r="E1230" s="48" t="str"/>
      <x:c r="F1230" s="48" t="str">
        <x:v>The Contractor shall be entitled to place all insurance relating to the Contract</x:v>
      </x:c>
      <x:c r="G1230" s="48" t="str">
        <x:v>Obligation</x:v>
      </x:c>
      <x:c r="H1230" s="48" t="str">
        <x:v>Contractor</x:v>
      </x:c>
      <x:c r="I1230" s="48" t="n">
        <x:v>0.88</x:v>
      </x:c>
      <x:c r="J1230" s="48" t="n">
        <x:v>0.92</x:v>
      </x:c>
      <x:c r="K1230" s="48" t="str">
        <x:v>No</x:v>
      </x:c>
      <x:c r="L1230" s="48" t="str">
        <x:v>PDF text</x:v>
      </x:c>
    </x:row>
    <x:row r="1231">
      <x:c r="A1231" s="48" t="str">
        <x:v>UNI-1230</x:v>
      </x:c>
      <x:c r="B1231" s="48" t="str">
        <x:v>RED</x:v>
      </x:c>
      <x:c r="C1231" s="48" t="str">
        <x:v>English</x:v>
      </x:c>
      <x:c r="D1231" s="48" t="n">
        <x:v>72</x:v>
      </x:c>
      <x:c r="E1231" s="48" t="str"/>
      <x:c r="F1231" s="48" t="str">
        <x:v>(including, but not limited to the insurance referred to Clause 18) with insurers from any eligible source country.</x:v>
      </x:c>
      <x:c r="G1231" s="48" t="str">
        <x:v>Obligation</x:v>
      </x:c>
      <x:c r="H1231" s="48" t="str">
        <x:v>Shared</x:v>
      </x:c>
      <x:c r="I1231" s="48" t="n">
        <x:v>0.45</x:v>
      </x:c>
      <x:c r="J1231" s="48" t="n">
        <x:v>0.4</x:v>
      </x:c>
      <x:c r="K1231" s="48" t="str">
        <x:v>Yes</x:v>
      </x:c>
      <x:c r="L1231" s="48" t="str">
        <x:v>PDF text</x:v>
      </x:c>
    </x:row>
    <x:row r="1232">
      <x:c r="A1232" s="48" t="str">
        <x:v>UNI-1231</x:v>
      </x:c>
      <x:c r="B1232" s="48" t="str">
        <x:v>RED</x:v>
      </x:c>
      <x:c r="C1232" s="48" t="str">
        <x:v>English</x:v>
      </x:c>
      <x:c r="D1232" s="48" t="n">
        <x:v>72</x:v>
      </x:c>
      <x:c r="E1232" s="48" t="str"/>
      <x:c r="F1232" s="48" t="str">
        <x:v>The insuring Party shall insure the Works, Plant, Materials and Contractor’s</x:v>
      </x:c>
      <x:c r="G1232" s="48" t="str">
        <x:v>Obligation</x:v>
      </x:c>
      <x:c r="H1232" s="48" t="str">
        <x:v>Contractor</x:v>
      </x:c>
      <x:c r="I1232" s="48" t="n">
        <x:v>0.88</x:v>
      </x:c>
      <x:c r="J1232" s="48" t="n">
        <x:v>0.68</x:v>
      </x:c>
      <x:c r="K1232" s="48" t="str">
        <x:v>Yes</x:v>
      </x:c>
      <x:c r="L1232" s="48" t="str">
        <x:v>PDF text</x:v>
      </x:c>
    </x:row>
    <x:row r="1233">
      <x:c r="A1233" s="48" t="str">
        <x:v>UNI-1232</x:v>
      </x:c>
      <x:c r="B1233" s="48" t="str">
        <x:v>RED</x:v>
      </x:c>
      <x:c r="C1233" s="48" t="str">
        <x:v>English</x:v>
      </x:c>
      <x:c r="D1233" s="48" t="n">
        <x:v>72</x:v>
      </x:c>
      <x:c r="E1233" s="48" t="str"/>
      <x:c r="F1233" s="48" t="str">
        <x:v>Documents for not less than the full reinstatement cost including the costs of</x:v>
      </x:c>
      <x:c r="G1233" s="48" t="str">
        <x:v>Obligation</x:v>
      </x:c>
      <x:c r="H1233" s="48" t="str">
        <x:v>Shared</x:v>
      </x:c>
      <x:c r="I1233" s="48" t="n">
        <x:v>0.45</x:v>
      </x:c>
      <x:c r="J1233" s="48" t="n">
        <x:v>0.4</x:v>
      </x:c>
      <x:c r="K1233" s="48" t="str">
        <x:v>Yes</x:v>
      </x:c>
      <x:c r="L1233" s="48" t="str">
        <x:v>PDF text</x:v>
      </x:c>
    </x:row>
    <x:row r="1234">
      <x:c r="A1234" s="48" t="str">
        <x:v>UNI-1233</x:v>
      </x:c>
      <x:c r="B1234" s="48" t="str">
        <x:v>RED</x:v>
      </x:c>
      <x:c r="C1234" s="48" t="str">
        <x:v>English</x:v>
      </x:c>
      <x:c r="D1234" s="48" t="n">
        <x:v>72</x:v>
      </x:c>
      <x:c r="E1234" s="48" t="str"/>
      <x:c r="F1234" s="48" t="str">
        <x:v>demolition, removal of debris and professional fees and profit.</x:v>
      </x:c>
      <x:c r="G1234" s="48" t="str">
        <x:v>Obligation</x:v>
      </x:c>
      <x:c r="H1234" s="48" t="str">
        <x:v>Shared</x:v>
      </x:c>
      <x:c r="I1234" s="48" t="n">
        <x:v>0.45</x:v>
      </x:c>
      <x:c r="J1234" s="48" t="n">
        <x:v>0.4</x:v>
      </x:c>
      <x:c r="K1234" s="48" t="str">
        <x:v>Yes</x:v>
      </x:c>
      <x:c r="L1234" s="48" t="str">
        <x:v>PDF text</x:v>
      </x:c>
    </x:row>
    <x:row r="1235">
      <x:c r="A1235" s="48" t="str">
        <x:v>UNI-1234</x:v>
      </x:c>
      <x:c r="B1235" s="48" t="str">
        <x:v>RED</x:v>
      </x:c>
      <x:c r="C1235" s="48" t="str">
        <x:v>English</x:v>
      </x:c>
      <x:c r="D1235" s="48" t="n">
        <x:v>72</x:v>
      </x:c>
      <x:c r="E1235" s="48" t="str"/>
      <x:c r="F1235" s="48" t="str">
        <x:v>This insurance shall be effective from the date by which the evidence is to be submitted under sub-paragraph (a) of Sub-Clause 18.1 [General Requirements for Insurances], until the date of issue of the Taking-Over Certificate for the Works.</x:v>
      </x:c>
      <x:c r="G1235" s="48" t="str">
        <x:v>Obligation</x:v>
      </x:c>
      <x:c r="H1235" s="48" t="str">
        <x:v>Shared</x:v>
      </x:c>
      <x:c r="I1235" s="48" t="n">
        <x:v>0.88</x:v>
      </x:c>
      <x:c r="J1235" s="48" t="n">
        <x:v>0.4</x:v>
      </x:c>
      <x:c r="K1235" s="48" t="str">
        <x:v>Yes</x:v>
      </x:c>
      <x:c r="L1235" s="48" t="str">
        <x:v>PDF text</x:v>
      </x:c>
    </x:row>
    <x:row r="1236">
      <x:c r="A1236" s="48" t="str">
        <x:v>UNI-1235</x:v>
      </x:c>
      <x:c r="B1236" s="48" t="str">
        <x:v>RED</x:v>
      </x:c>
      <x:c r="C1236" s="48" t="str">
        <x:v>English</x:v>
      </x:c>
      <x:c r="D1236" s="48" t="n">
        <x:v>72</x:v>
      </x:c>
      <x:c r="E1236" s="48" t="str"/>
      <x:c r="F1236" s="48" t="str">
        <x:v>The insuring Party shall maintain this insurance to provide cover until the date of issue of the Performance Certificate, for loss or damage for which the Contractor is liable arising from a cause occurring prior to the issue of the Taking-Over Certificate, and for loss or damage caused by the Contractor in the course of any other operations (including those under Clause 11 [Defects Liability]).</x:v>
      </x:c>
      <x:c r="G1236" s="48" t="str">
        <x:v>Risk</x:v>
      </x:c>
      <x:c r="H1236" s="48" t="str">
        <x:v>Contractor</x:v>
      </x:c>
      <x:c r="I1236" s="48" t="n">
        <x:v>0.78</x:v>
      </x:c>
      <x:c r="J1236" s="48" t="n">
        <x:v>0.68</x:v>
      </x:c>
      <x:c r="K1236" s="48" t="str">
        <x:v>Yes</x:v>
      </x:c>
      <x:c r="L1236" s="48" t="str">
        <x:v>PDF text</x:v>
      </x:c>
    </x:row>
    <x:row r="1237">
      <x:c r="A1237" s="48" t="str">
        <x:v>UNI-1236</x:v>
      </x:c>
      <x:c r="B1237" s="48" t="str">
        <x:v>RED</x:v>
      </x:c>
      <x:c r="C1237" s="48" t="str">
        <x:v>English</x:v>
      </x:c>
      <x:c r="D1237" s="48" t="n">
        <x:v>72</x:v>
      </x:c>
      <x:c r="E1237" s="48" t="str"/>
      <x:c r="F1237" s="48" t="str">
        <x:v>The insuring Party shall insure the Contractor’s Equipment for not less than the full replacement value, including delivery to Site.</x:v>
      </x:c>
      <x:c r="G1237" s="48" t="str">
        <x:v>Obligation</x:v>
      </x:c>
      <x:c r="H1237" s="48" t="str">
        <x:v>Contractor</x:v>
      </x:c>
      <x:c r="I1237" s="48" t="n">
        <x:v>0.88</x:v>
      </x:c>
      <x:c r="J1237" s="48" t="n">
        <x:v>0.68</x:v>
      </x:c>
      <x:c r="K1237" s="48" t="str">
        <x:v>Yes</x:v>
      </x:c>
      <x:c r="L1237" s="48" t="str">
        <x:v>PDF text</x:v>
      </x:c>
    </x:row>
    <x:row r="1238">
      <x:c r="A1238" s="48" t="str">
        <x:v>UNI-1237</x:v>
      </x:c>
      <x:c r="B1238" s="48" t="str">
        <x:v>RED</x:v>
      </x:c>
      <x:c r="C1238" s="48" t="str">
        <x:v>English</x:v>
      </x:c>
      <x:c r="D1238" s="48" t="n">
        <x:v>72</x:v>
      </x:c>
      <x:c r="E1238" s="48" t="str"/>
      <x:c r="F1238" s="48" t="str">
        <x:v>For each item of Contractor’s Equipment, the insurance shall be effective while it is being transported to the Site and until it is no longer required as Contractor’s Equipment.</x:v>
      </x:c>
      <x:c r="G1238" s="48" t="str">
        <x:v>Obligation</x:v>
      </x:c>
      <x:c r="H1238" s="48" t="str">
        <x:v>Contractor</x:v>
      </x:c>
      <x:c r="I1238" s="48" t="n">
        <x:v>0.88</x:v>
      </x:c>
      <x:c r="J1238" s="48" t="n">
        <x:v>0.68</x:v>
      </x:c>
      <x:c r="K1238" s="48" t="str">
        <x:v>Yes</x:v>
      </x:c>
      <x:c r="L1238" s="48" t="str">
        <x:v>PDF text</x:v>
      </x:c>
    </x:row>
    <x:row r="1239">
      <x:c r="A1239" s="48" t="str">
        <x:v>UNI-1238</x:v>
      </x:c>
      <x:c r="B1239" s="48" t="str">
        <x:v>RED</x:v>
      </x:c>
      <x:c r="C1239" s="48" t="str">
        <x:v>English</x:v>
      </x:c>
      <x:c r="D1239" s="48" t="n">
        <x:v>72</x:v>
      </x:c>
      <x:c r="E1239" s="48" t="str"/>
      <x:c r="F1239" s="48" t="str">
        <x:v>Unless otherwise stated in the Particular Conditions, insurances under this Sub-Clause: (a) shall be effected and maintained by the Contractor as insuring Party, (b) shall be in the joint names of the Parties, who shall be jointly entitled to receive payments from the insurers, payments being held or allocated between the</x:v>
      </x:c>
      <x:c r="G1239" s="48" t="str">
        <x:v>Obligation</x:v>
      </x:c>
      <x:c r="H1239" s="48" t="str">
        <x:v>Shared</x:v>
      </x:c>
      <x:c r="I1239" s="48" t="n">
        <x:v>0.88</x:v>
      </x:c>
      <x:c r="J1239" s="48" t="n">
        <x:v>0.93</x:v>
      </x:c>
      <x:c r="K1239" s="48" t="str">
        <x:v>No</x:v>
      </x:c>
      <x:c r="L1239" s="48" t="str">
        <x:v>PDF text</x:v>
      </x:c>
    </x:row>
    <x:row r="1240">
      <x:c r="A1240" s="48" t="str">
        <x:v>UNI-1239</x:v>
      </x:c>
      <x:c r="B1240" s="48" t="str">
        <x:v>RED</x:v>
      </x:c>
      <x:c r="C1240" s="48" t="str">
        <x:v>English</x:v>
      </x:c>
      <x:c r="D1240" s="48" t="n">
        <x:v>72</x:v>
      </x:c>
      <x:c r="E1240" s="48" t="str"/>
      <x:c r="F1240" s="48" t="str">
        <x:v>Parties for the sole purpose of rectifying the loss or damage,</x:v>
      </x:c>
      <x:c r="G1240" s="48" t="str">
        <x:v>Obligation</x:v>
      </x:c>
      <x:c r="H1240" s="48" t="str">
        <x:v>Shared</x:v>
      </x:c>
      <x:c r="I1240" s="48" t="n">
        <x:v>0.45</x:v>
      </x:c>
      <x:c r="J1240" s="48" t="n">
        <x:v>0.4</x:v>
      </x:c>
      <x:c r="K1240" s="48" t="str">
        <x:v>Yes</x:v>
      </x:c>
      <x:c r="L1240" s="48" t="str">
        <x:v>PDF text</x:v>
      </x:c>
    </x:row>
    <x:row r="1241">
      <x:c r="A1241" s="48" t="str">
        <x:v>UNI-1240</x:v>
      </x:c>
      <x:c r="B1241" s="48" t="str">
        <x:v>RED</x:v>
      </x:c>
      <x:c r="C1241" s="48" t="str">
        <x:v>English</x:v>
      </x:c>
      <x:c r="D1241" s="48" t="n">
        <x:v>72</x:v>
      </x:c>
      <x:c r="E1241" s="48" t="str"/>
      <x:c r="F1241" s="48" t="str">
        <x:v>(c) shall cover all loss and damage from any cause not listed in Sub-Clause 17.3 [Employer’s Risks], (d) shall also cover loss or damage to a part of the Works which is attributable to the use or occupation by the Employer of another part of the Works, and loss 18.2</x:v>
      </x:c>
      <x:c r="G1241" s="48" t="str">
        <x:v>Obligation</x:v>
      </x:c>
      <x:c r="H1241" s="48" t="str">
        <x:v>Employer</x:v>
      </x:c>
      <x:c r="I1241" s="48" t="n">
        <x:v>0.88</x:v>
      </x:c>
      <x:c r="J1241" s="48" t="n">
        <x:v>0.68</x:v>
      </x:c>
      <x:c r="K1241" s="48" t="str">
        <x:v>Yes</x:v>
      </x:c>
      <x:c r="L1241" s="48" t="str">
        <x:v>PDF text</x:v>
      </x:c>
    </x:row>
    <x:row r="1242">
      <x:c r="A1242" s="48" t="str">
        <x:v>UNI-1241</x:v>
      </x:c>
      <x:c r="B1242" s="48" t="str">
        <x:v>RED</x:v>
      </x:c>
      <x:c r="C1242" s="48" t="str">
        <x:v>English</x:v>
      </x:c>
      <x:c r="D1242" s="48" t="n">
        <x:v>72</x:v>
      </x:c>
      <x:c r="E1242" s="48" t="str"/>
      <x:c r="F1242" s="48" t="str">
        <x:v>Insurance for Works and</x:v>
      </x:c>
      <x:c r="G1242" s="48" t="str">
        <x:v>Obligation</x:v>
      </x:c>
      <x:c r="H1242" s="48" t="str">
        <x:v>Shared</x:v>
      </x:c>
      <x:c r="I1242" s="48" t="n">
        <x:v>0.45</x:v>
      </x:c>
      <x:c r="J1242" s="48" t="n">
        <x:v>0.4</x:v>
      </x:c>
      <x:c r="K1242" s="48" t="str">
        <x:v>Yes</x:v>
      </x:c>
      <x:c r="L1242" s="48" t="str">
        <x:v>PDF text</x:v>
      </x:c>
    </x:row>
    <x:row r="1243">
      <x:c r="A1243" s="48" t="str">
        <x:v>UNI-1242</x:v>
      </x:c>
      <x:c r="B1243" s="48" t="str">
        <x:v>RED</x:v>
      </x:c>
      <x:c r="C1243" s="48" t="str">
        <x:v>English</x:v>
      </x:c>
      <x:c r="D1243" s="48" t="n">
        <x:v>72</x:v>
      </x:c>
      <x:c r="E1243" s="48" t="str"/>
      <x:c r="F1243" s="48" t="str">
        <x:v>Contractor’s Equipment</x:v>
      </x:c>
      <x:c r="G1243" s="48" t="str">
        <x:v>Obligation</x:v>
      </x:c>
      <x:c r="H1243" s="48" t="str">
        <x:v>Contractor</x:v>
      </x:c>
      <x:c r="I1243" s="48" t="n">
        <x:v>0.45</x:v>
      </x:c>
      <x:c r="J1243" s="48" t="n">
        <x:v>0.68</x:v>
      </x:c>
      <x:c r="K1243" s="48" t="str">
        <x:v>Yes</x:v>
      </x:c>
      <x:c r="L1243" s="48" t="str">
        <x:v>PDF text</x:v>
      </x:c>
    </x:row>
    <x:row r="1244">
      <x:c r="A1244" s="48" t="str">
        <x:v>UNI-1243</x:v>
      </x:c>
      <x:c r="B1244" s="48" t="str">
        <x:v>RED</x:v>
      </x:c>
      <x:c r="C1244" s="48" t="str">
        <x:v>English</x:v>
      </x:c>
      <x:c r="D1244" s="48" t="n">
        <x:v>73</x:v>
      </x:c>
      <x:c r="E1244" s="48" t="str"/>
      <x:c r="F1244" s="48" t="str">
        <x:v>or damage from the risks listed in sub-paragraphs (c), (g) and (h) of Sub-Clause</x:v>
      </x:c>
      <x:c r="G1244" s="48" t="str">
        <x:v>Obligation</x:v>
      </x:c>
      <x:c r="H1244" s="48" t="str">
        <x:v>Shared</x:v>
      </x:c>
      <x:c r="I1244" s="48" t="n">
        <x:v>0.45</x:v>
      </x:c>
      <x:c r="J1244" s="48" t="n">
        <x:v>0.4</x:v>
      </x:c>
      <x:c r="K1244" s="48" t="str">
        <x:v>Yes</x:v>
      </x:c>
      <x:c r="L1244" s="48" t="str">
        <x:v>PDF text</x:v>
      </x:c>
    </x:row>
    <x:row r="1245">
      <x:c r="A1245" s="48" t="str">
        <x:v>UNI-1244</x:v>
      </x:c>
      <x:c r="B1245" s="48" t="str">
        <x:v>RED</x:v>
      </x:c>
      <x:c r="C1245" s="48" t="str">
        <x:v>English</x:v>
      </x:c>
      <x:c r="D1245" s="48" t="n">
        <x:v>73</x:v>
      </x:c>
      <x:c r="E1245" s="48" t="str">
        <x:v>17.3</x:v>
      </x:c>
      <x:c r="F1245" s="48" t="str">
        <x:v>17.3 [Employer’s Risks], excluding (in each case) risks which are not insurable</x:v>
      </x:c>
      <x:c r="G1245" s="48" t="str">
        <x:v>Obligation</x:v>
      </x:c>
      <x:c r="H1245" s="48" t="str">
        <x:v>Employer</x:v>
      </x:c>
      <x:c r="I1245" s="48" t="n">
        <x:v>0.45</x:v>
      </x:c>
      <x:c r="J1245" s="48" t="n">
        <x:v>0.68</x:v>
      </x:c>
      <x:c r="K1245" s="48" t="str">
        <x:v>Yes</x:v>
      </x:c>
      <x:c r="L1245" s="48" t="str">
        <x:v>PDF text</x:v>
      </x:c>
    </x:row>
    <x:row r="1246">
      <x:c r="A1246" s="48" t="str">
        <x:v>UNI-1245</x:v>
      </x:c>
      <x:c r="B1246" s="48" t="str">
        <x:v>RED</x:v>
      </x:c>
      <x:c r="C1246" s="48" t="str">
        <x:v>English</x:v>
      </x:c>
      <x:c r="D1246" s="48" t="n">
        <x:v>73</x:v>
      </x:c>
      <x:c r="E1246" s="48" t="str"/>
      <x:c r="F1246" s="48" t="str">
        <x:v>at commercially reasonable terms, with deductibles per occurrence of not more than the amount stated in the Contract Data (if an amount is not so stated, this sub-paragraph (d) shall not apply), and (e) may however exclude loss of, damage to, and reinstatement of: (i) a part of the Works which is in a defective condition due to a defect in its design, materials or workmanship (but cover shall include any other parts which are lost or damaged as a direct result of this defective condition and not as described in sub-paragraph (ii) below), (ii) a part of the Works which is lost or damaged in order to reinstate any other part of the Works if this other part is in a defective condition due to a defect in its design, materials or workmanship, (iii) a part of the Works which has been taken over by the Employer, except to the extent that the Contractor is liable for the loss or damage, and (iv) Goods while they are not in the Country, subject to Sub-Clause 14.5 [Plant and Materials intended for the Works].</x:v>
      </x:c>
      <x:c r="G1246" s="48" t="str">
        <x:v>Risk</x:v>
      </x:c>
      <x:c r="H1246" s="48" t="str">
        <x:v>Shared</x:v>
      </x:c>
      <x:c r="I1246" s="48" t="n">
        <x:v>0.78</x:v>
      </x:c>
      <x:c r="J1246" s="48" t="n">
        <x:v>0.6</x:v>
      </x:c>
      <x:c r="K1246" s="48" t="str">
        <x:v>Yes</x:v>
      </x:c>
      <x:c r="L1246" s="48" t="str">
        <x:v>PDF text</x:v>
      </x:c>
    </x:row>
    <x:row r="1247">
      <x:c r="A1247" s="48" t="str">
        <x:v>UNI-1246</x:v>
      </x:c>
      <x:c r="B1247" s="48" t="str">
        <x:v>RED</x:v>
      </x:c>
      <x:c r="C1247" s="48" t="str">
        <x:v>English</x:v>
      </x:c>
      <x:c r="D1247" s="48" t="n">
        <x:v>73</x:v>
      </x:c>
      <x:c r="E1247" s="48" t="str"/>
      <x:c r="F1247" s="48" t="str">
        <x:v>If, more than one year after the Base Date, the cover described in sub-paragraph (d) above ceases to be available at commercially reasonable terms, the Contractor shall (as insuring Party) give notice to the Employer, with supporting particulars.</x:v>
      </x:c>
      <x:c r="G1247" s="48" t="str">
        <x:v>Obligation</x:v>
      </x:c>
      <x:c r="H1247" s="48" t="str">
        <x:v>Contractor</x:v>
      </x:c>
      <x:c r="I1247" s="48" t="n">
        <x:v>0.88</x:v>
      </x:c>
      <x:c r="J1247" s="48" t="n">
        <x:v>0.92</x:v>
      </x:c>
      <x:c r="K1247" s="48" t="str">
        <x:v>No</x:v>
      </x:c>
      <x:c r="L1247" s="48" t="str">
        <x:v>PDF text</x:v>
      </x:c>
    </x:row>
    <x:row r="1248">
      <x:c r="A1248" s="48" t="str">
        <x:v>UNI-1247</x:v>
      </x:c>
      <x:c r="B1248" s="48" t="str">
        <x:v>RED</x:v>
      </x:c>
      <x:c r="C1248" s="48" t="str">
        <x:v>English</x:v>
      </x:c>
      <x:c r="D1248" s="48" t="n">
        <x:v>73</x:v>
      </x:c>
      <x:c r="E1248" s="48" t="str"/>
      <x:c r="F1248" s="48" t="str">
        <x:v>The Employer shall then (i) be entitled subject to Sub-Clause 2.5 [Employer’s Claims] to payment of an amount equivalent to such commercially reasonable terms as the</x:v>
      </x:c>
      <x:c r="G1248" s="48" t="str">
        <x:v>Obligation</x:v>
      </x:c>
      <x:c r="H1248" s="48" t="str">
        <x:v>Employer</x:v>
      </x:c>
      <x:c r="I1248" s="48" t="n">
        <x:v>0.88</x:v>
      </x:c>
      <x:c r="J1248" s="48" t="n">
        <x:v>0.92</x:v>
      </x:c>
      <x:c r="K1248" s="48" t="str">
        <x:v>No</x:v>
      </x:c>
      <x:c r="L1248" s="48" t="str">
        <x:v>PDF text</x:v>
      </x:c>
    </x:row>
    <x:row r="1249">
      <x:c r="A1249" s="48" t="str">
        <x:v>UNI-1248</x:v>
      </x:c>
      <x:c r="B1249" s="48" t="str">
        <x:v>RED</x:v>
      </x:c>
      <x:c r="C1249" s="48" t="str">
        <x:v>English</x:v>
      </x:c>
      <x:c r="D1249" s="48" t="n">
        <x:v>73</x:v>
      </x:c>
      <x:c r="E1249" s="48" t="str"/>
      <x:c r="F1249" s="48" t="str">
        <x:v>Contractor should have expected to have paid for such cover, and (ii) be deemed,</x:v>
      </x:c>
      <x:c r="G1249" s="48" t="str">
        <x:v>Obligation</x:v>
      </x:c>
      <x:c r="H1249" s="48" t="str">
        <x:v>Contractor</x:v>
      </x:c>
      <x:c r="I1249" s="48" t="n">
        <x:v>0.45</x:v>
      </x:c>
      <x:c r="J1249" s="48" t="n">
        <x:v>0.68</x:v>
      </x:c>
      <x:c r="K1249" s="48" t="str">
        <x:v>Yes</x:v>
      </x:c>
      <x:c r="L1249" s="48" t="str">
        <x:v>PDF text</x:v>
      </x:c>
    </x:row>
    <x:row r="1250">
      <x:c r="A1250" s="48" t="str">
        <x:v>UNI-1249</x:v>
      </x:c>
      <x:c r="B1250" s="48" t="str">
        <x:v>RED</x:v>
      </x:c>
      <x:c r="C1250" s="48" t="str">
        <x:v>English</x:v>
      </x:c>
      <x:c r="D1250" s="48" t="n">
        <x:v>73</x:v>
      </x:c>
      <x:c r="E1250" s="48" t="str"/>
      <x:c r="F1250" s="48" t="str">
        <x:v>unless he obtains the cover at commercially reasonable terms, to have approved the omission under Sub-Clause 18.1 [General Requirements for Insurances].</x:v>
      </x:c>
      <x:c r="G1250" s="48" t="str">
        <x:v>Obligation</x:v>
      </x:c>
      <x:c r="H1250" s="48" t="str">
        <x:v>Shared</x:v>
      </x:c>
      <x:c r="I1250" s="48" t="n">
        <x:v>0.45</x:v>
      </x:c>
      <x:c r="J1250" s="48" t="n">
        <x:v>0.4</x:v>
      </x:c>
      <x:c r="K1250" s="48" t="str">
        <x:v>Yes</x:v>
      </x:c>
      <x:c r="L1250" s="48" t="str">
        <x:v>PDF text</x:v>
      </x:c>
    </x:row>
    <x:row r="1251">
      <x:c r="A1251" s="48" t="str">
        <x:v>UNI-1250</x:v>
      </x:c>
      <x:c r="B1251" s="48" t="str">
        <x:v>RED</x:v>
      </x:c>
      <x:c r="C1251" s="48" t="str">
        <x:v>English</x:v>
      </x:c>
      <x:c r="D1251" s="48" t="n">
        <x:v>73</x:v>
      </x:c>
      <x:c r="E1251" s="48" t="str"/>
      <x:c r="F1251" s="48" t="str">
        <x:v>The insuring Party shall insure against each Party’s liability for any loss, damage, death or bodily injury which may occur to any physical property (except things insured under Sub-Clause 18.2 [Insurance for Works and Contractor’s Equipment]) or to any person (except persons insured under Sub-Clause 18.4 [Insurance for Contractor’s Personnel]), which may arise out of the Contractor’s performance of the Contract and occurring before the issue of the Performance Certificate.</x:v>
      </x:c>
      <x:c r="G1251" s="48" t="str">
        <x:v>Risk</x:v>
      </x:c>
      <x:c r="H1251" s="48" t="str">
        <x:v>Shared</x:v>
      </x:c>
      <x:c r="I1251" s="48" t="n">
        <x:v>0.78</x:v>
      </x:c>
      <x:c r="J1251" s="48" t="n">
        <x:v>0.93</x:v>
      </x:c>
      <x:c r="K1251" s="48" t="str">
        <x:v>No</x:v>
      </x:c>
      <x:c r="L1251" s="48" t="str">
        <x:v>PDF text</x:v>
      </x:c>
    </x:row>
    <x:row r="1252">
      <x:c r="A1252" s="48" t="str">
        <x:v>UNI-1251</x:v>
      </x:c>
      <x:c r="B1252" s="48" t="str">
        <x:v>RED</x:v>
      </x:c>
      <x:c r="C1252" s="48" t="str">
        <x:v>English</x:v>
      </x:c>
      <x:c r="D1252" s="48" t="n">
        <x:v>73</x:v>
      </x:c>
      <x:c r="E1252" s="48" t="str"/>
      <x:c r="F1252" s="48" t="str">
        <x:v>This insurance shall be for a limit per occurrence of not less than the amount stated in the Contract Data, with no limit on the number of occurrences.</x:v>
      </x:c>
      <x:c r="G1252" s="48" t="str">
        <x:v>Obligation</x:v>
      </x:c>
      <x:c r="H1252" s="48" t="str">
        <x:v>Shared</x:v>
      </x:c>
      <x:c r="I1252" s="48" t="n">
        <x:v>0.88</x:v>
      </x:c>
      <x:c r="J1252" s="48" t="n">
        <x:v>0.4</x:v>
      </x:c>
      <x:c r="K1252" s="48" t="str">
        <x:v>Yes</x:v>
      </x:c>
      <x:c r="L1252" s="48" t="str">
        <x:v>PDF text</x:v>
      </x:c>
    </x:row>
    <x:row r="1253">
      <x:c r="A1253" s="48" t="str">
        <x:v>UNI-1252</x:v>
      </x:c>
      <x:c r="B1253" s="48" t="str">
        <x:v>RED</x:v>
      </x:c>
      <x:c r="C1253" s="48" t="str">
        <x:v>English</x:v>
      </x:c>
      <x:c r="D1253" s="48" t="n">
        <x:v>73</x:v>
      </x:c>
      <x:c r="E1253" s="48" t="str"/>
      <x:c r="F1253" s="48" t="str">
        <x:v>Unless otherwise stated in the Particular Conditions, the insurances specified in this Sub-Clause: (a) shall be effected and maintained by the Contractor as insuring Party, (b) shall be in the joint names of the Parties, (c) shall be extended to cover liability for all loss and damage to the Employer’s property (except things insured under Sub-Clause 18.2) arising out of the</x:v>
      </x:c>
      <x:c r="G1253" s="48" t="str">
        <x:v>Risk</x:v>
      </x:c>
      <x:c r="H1253" s="48" t="str">
        <x:v>Shared</x:v>
      </x:c>
      <x:c r="I1253" s="48" t="n">
        <x:v>0.78</x:v>
      </x:c>
      <x:c r="J1253" s="48" t="n">
        <x:v>0.93</x:v>
      </x:c>
      <x:c r="K1253" s="48" t="str">
        <x:v>No</x:v>
      </x:c>
      <x:c r="L1253" s="48" t="str">
        <x:v>PDF text</x:v>
      </x:c>
    </x:row>
    <x:row r="1254">
      <x:c r="A1254" s="48" t="str">
        <x:v>UNI-1253</x:v>
      </x:c>
      <x:c r="B1254" s="48" t="str">
        <x:v>RED</x:v>
      </x:c>
      <x:c r="C1254" s="48" t="str">
        <x:v>English</x:v>
      </x:c>
      <x:c r="D1254" s="48" t="n">
        <x:v>73</x:v>
      </x:c>
      <x:c r="E1254" s="48" t="str"/>
      <x:c r="F1254" s="48" t="str">
        <x:v>Contractor’s performance of the Contract, and</x:v>
      </x:c>
      <x:c r="G1254" s="48" t="str">
        <x:v>Obligation</x:v>
      </x:c>
      <x:c r="H1254" s="48" t="str">
        <x:v>Contractor</x:v>
      </x:c>
      <x:c r="I1254" s="48" t="n">
        <x:v>0.45</x:v>
      </x:c>
      <x:c r="J1254" s="48" t="n">
        <x:v>0.68</x:v>
      </x:c>
      <x:c r="K1254" s="48" t="str">
        <x:v>Yes</x:v>
      </x:c>
      <x:c r="L1254" s="48" t="str">
        <x:v>PDF text</x:v>
      </x:c>
    </x:row>
    <x:row r="1255">
      <x:c r="A1255" s="48" t="str">
        <x:v>UNI-1254</x:v>
      </x:c>
      <x:c r="B1255" s="48" t="str">
        <x:v>RED</x:v>
      </x:c>
      <x:c r="C1255" s="48" t="str">
        <x:v>English</x:v>
      </x:c>
      <x:c r="D1255" s="48" t="n">
        <x:v>73</x:v>
      </x:c>
      <x:c r="E1255" s="48" t="str"/>
      <x:c r="F1255" s="48" t="str">
        <x:v>(d) may however exclude liability to the extent that it arises from: (i) the Employer’s right to have the Permanent Works executed on, over, under, in or through any land, and to occupy this land for the Permanent Works, (ii) damage which is an unavoidable result of the Contractor’s obligations to execute the Works and remedy any defects, and (iii) a cause listed in Sub-Clause 17.3 [Employer’s Risks], except to the extent that cover is available at commercially reasonable terms.</x:v>
      </x:c>
      <x:c r="G1255" s="48" t="str">
        <x:v>Risk</x:v>
      </x:c>
      <x:c r="H1255" s="48" t="str">
        <x:v>Employer</x:v>
      </x:c>
      <x:c r="I1255" s="48" t="n">
        <x:v>0.78</x:v>
      </x:c>
      <x:c r="J1255" s="48" t="n">
        <x:v>0.9</x:v>
      </x:c>
      <x:c r="K1255" s="48" t="str">
        <x:v>No</x:v>
      </x:c>
      <x:c r="L1255" s="48" t="str">
        <x:v>PDF text</x:v>
      </x:c>
    </x:row>
    <x:row r="1256">
      <x:c r="A1256" s="48" t="str">
        <x:v>UNI-1255</x:v>
      </x:c>
      <x:c r="B1256" s="48" t="str">
        <x:v>RED</x:v>
      </x:c>
      <x:c r="C1256" s="48" t="str">
        <x:v>English</x:v>
      </x:c>
      <x:c r="D1256" s="48" t="n">
        <x:v>73</x:v>
      </x:c>
      <x:c r="E1256" s="48" t="str"/>
      <x:c r="F1256" s="48" t="str">
        <x:v>Insurance against Injury</x:v>
      </x:c>
      <x:c r="G1256" s="48" t="str">
        <x:v>Obligation</x:v>
      </x:c>
      <x:c r="H1256" s="48" t="str">
        <x:v>Shared</x:v>
      </x:c>
      <x:c r="I1256" s="48" t="n">
        <x:v>0.45</x:v>
      </x:c>
      <x:c r="J1256" s="48" t="n">
        <x:v>0.4</x:v>
      </x:c>
      <x:c r="K1256" s="48" t="str">
        <x:v>Yes</x:v>
      </x:c>
      <x:c r="L1256" s="48" t="str">
        <x:v>PDF text</x:v>
      </x:c>
    </x:row>
    <x:row r="1257">
      <x:c r="A1257" s="48" t="str">
        <x:v>UNI-1256</x:v>
      </x:c>
      <x:c r="B1257" s="48" t="str">
        <x:v>RED</x:v>
      </x:c>
      <x:c r="C1257" s="48" t="str">
        <x:v>English</x:v>
      </x:c>
      <x:c r="D1257" s="48" t="n">
        <x:v>73</x:v>
      </x:c>
      <x:c r="E1257" s="48" t="str"/>
      <x:c r="F1257" s="48" t="str">
        <x:v>to Persons and Damage to Property</x:v>
      </x:c>
      <x:c r="G1257" s="48" t="str">
        <x:v>Obligation</x:v>
      </x:c>
      <x:c r="H1257" s="48" t="str">
        <x:v>Shared</x:v>
      </x:c>
      <x:c r="I1257" s="48" t="n">
        <x:v>0.45</x:v>
      </x:c>
      <x:c r="J1257" s="48" t="n">
        <x:v>0.4</x:v>
      </x:c>
      <x:c r="K1257" s="48" t="str">
        <x:v>Yes</x:v>
      </x:c>
      <x:c r="L1257" s="48" t="str">
        <x:v>PDF text</x:v>
      </x:c>
    </x:row>
    <x:row r="1258">
      <x:c r="A1258" s="48" t="str">
        <x:v>UNI-1257</x:v>
      </x:c>
      <x:c r="B1258" s="48" t="str">
        <x:v>RED</x:v>
      </x:c>
      <x:c r="C1258" s="48" t="str">
        <x:v>English</x:v>
      </x:c>
      <x:c r="D1258" s="48" t="n">
        <x:v>74</x:v>
      </x:c>
      <x:c r="E1258" s="48" t="str"/>
      <x:c r="F1258" s="48" t="str">
        <x:v>The Contractor shall effect and maintain insurance against liability for claims,</x:v>
      </x:c>
      <x:c r="G1258" s="48" t="str">
        <x:v>Risk</x:v>
      </x:c>
      <x:c r="H1258" s="48" t="str">
        <x:v>Contractor</x:v>
      </x:c>
      <x:c r="I1258" s="48" t="n">
        <x:v>0.78</x:v>
      </x:c>
      <x:c r="J1258" s="48" t="n">
        <x:v>0.92</x:v>
      </x:c>
      <x:c r="K1258" s="48" t="str">
        <x:v>No</x:v>
      </x:c>
      <x:c r="L1258" s="48" t="str">
        <x:v>PDF text</x:v>
      </x:c>
    </x:row>
    <x:row r="1259">
      <x:c r="A1259" s="48" t="str">
        <x:v>UNI-1258</x:v>
      </x:c>
      <x:c r="B1259" s="48" t="str">
        <x:v>RED</x:v>
      </x:c>
      <x:c r="C1259" s="48" t="str">
        <x:v>English</x:v>
      </x:c>
      <x:c r="D1259" s="48" t="n">
        <x:v>74</x:v>
      </x:c>
      <x:c r="E1259" s="48" t="str"/>
      <x:c r="F1259" s="48" t="str">
        <x:v>damages, losses and expenses (including legal fees and expenses) arising from injury, sickness, disease or death of any person employed by the Contractor or any other of the Contractor’s Personnel.</x:v>
      </x:c>
      <x:c r="G1259" s="48" t="str">
        <x:v>Obligation</x:v>
      </x:c>
      <x:c r="H1259" s="48" t="str">
        <x:v>Contractor</x:v>
      </x:c>
      <x:c r="I1259" s="48" t="n">
        <x:v>0.45</x:v>
      </x:c>
      <x:c r="J1259" s="48" t="n">
        <x:v>0.68</x:v>
      </x:c>
      <x:c r="K1259" s="48" t="str">
        <x:v>Yes</x:v>
      </x:c>
      <x:c r="L1259" s="48" t="str">
        <x:v>PDF text</x:v>
      </x:c>
    </x:row>
    <x:row r="1260">
      <x:c r="A1260" s="48" t="str">
        <x:v>UNI-1259</x:v>
      </x:c>
      <x:c r="B1260" s="48" t="str">
        <x:v>RED</x:v>
      </x:c>
      <x:c r="C1260" s="48" t="str">
        <x:v>English</x:v>
      </x:c>
      <x:c r="D1260" s="48" t="n">
        <x:v>74</x:v>
      </x:c>
      <x:c r="E1260" s="48" t="str"/>
      <x:c r="F1260" s="48" t="str">
        <x:v>The Employer and the Engineer shall also be indemnified under the policy of</x:v>
      </x:c>
      <x:c r="G1260" s="48" t="str">
        <x:v>Obligation</x:v>
      </x:c>
      <x:c r="H1260" s="48" t="str">
        <x:v>Employer</x:v>
      </x:c>
      <x:c r="I1260" s="48" t="n">
        <x:v>0.88</x:v>
      </x:c>
      <x:c r="J1260" s="48" t="n">
        <x:v>0.68</x:v>
      </x:c>
      <x:c r="K1260" s="48" t="str">
        <x:v>Yes</x:v>
      </x:c>
      <x:c r="L1260" s="48" t="str">
        <x:v>PDF text</x:v>
      </x:c>
    </x:row>
    <x:row r="1261">
      <x:c r="A1261" s="48" t="str">
        <x:v>UNI-1260</x:v>
      </x:c>
      <x:c r="B1261" s="48" t="str">
        <x:v>RED</x:v>
      </x:c>
      <x:c r="C1261" s="48" t="str">
        <x:v>English</x:v>
      </x:c>
      <x:c r="D1261" s="48" t="n">
        <x:v>74</x:v>
      </x:c>
      <x:c r="E1261" s="48" t="str"/>
      <x:c r="F1261" s="48" t="str">
        <x:v>insurance, except that this insurance may exclude losses and claims to the extent that they arise from any act or neglect of the Employer or of the Employer’s Personnel.</x:v>
      </x:c>
      <x:c r="G1261" s="48" t="str">
        <x:v>Right</x:v>
      </x:c>
      <x:c r="H1261" s="48" t="str">
        <x:v>Employer</x:v>
      </x:c>
      <x:c r="I1261" s="48" t="n">
        <x:v>0.78</x:v>
      </x:c>
      <x:c r="J1261" s="48" t="n">
        <x:v>0.68</x:v>
      </x:c>
      <x:c r="K1261" s="48" t="str">
        <x:v>Yes</x:v>
      </x:c>
      <x:c r="L1261" s="48" t="str">
        <x:v>PDF text</x:v>
      </x:c>
    </x:row>
    <x:row r="1262">
      <x:c r="A1262" s="48" t="str">
        <x:v>UNI-1261</x:v>
      </x:c>
      <x:c r="B1262" s="48" t="str">
        <x:v>RED</x:v>
      </x:c>
      <x:c r="C1262" s="48" t="str">
        <x:v>English</x:v>
      </x:c>
      <x:c r="D1262" s="48" t="n">
        <x:v>74</x:v>
      </x:c>
      <x:c r="E1262" s="48" t="str"/>
      <x:c r="F1262" s="48" t="str">
        <x:v>The insurance shall be maintained in full force and effect during the whole time that these personnel are assisting in the execution of the Works.</x:v>
      </x:c>
      <x:c r="G1262" s="48" t="str">
        <x:v>Obligation</x:v>
      </x:c>
      <x:c r="H1262" s="48" t="str">
        <x:v>Shared</x:v>
      </x:c>
      <x:c r="I1262" s="48" t="n">
        <x:v>0.88</x:v>
      </x:c>
      <x:c r="J1262" s="48" t="n">
        <x:v>0.4</x:v>
      </x:c>
      <x:c r="K1262" s="48" t="str">
        <x:v>Yes</x:v>
      </x:c>
      <x:c r="L1262" s="48" t="str">
        <x:v>PDF text</x:v>
      </x:c>
    </x:row>
    <x:row r="1263">
      <x:c r="A1263" s="48" t="str">
        <x:v>UNI-1262</x:v>
      </x:c>
      <x:c r="B1263" s="48" t="str">
        <x:v>RED</x:v>
      </x:c>
      <x:c r="C1263" s="48" t="str">
        <x:v>English</x:v>
      </x:c>
      <x:c r="D1263" s="48" t="n">
        <x:v>74</x:v>
      </x:c>
      <x:c r="E1263" s="48" t="str"/>
      <x:c r="F1263" s="48" t="str">
        <x:v>For a Subcontractor’s employees, the insurance may be effected by the Subcontractor, but the Contractor shall be responsible for compliance with this Clause.</x:v>
      </x:c>
      <x:c r="G1263" s="48" t="str">
        <x:v>Obligation</x:v>
      </x:c>
      <x:c r="H1263" s="48" t="str">
        <x:v>Contractor</x:v>
      </x:c>
      <x:c r="I1263" s="48" t="n">
        <x:v>0.88</x:v>
      </x:c>
      <x:c r="J1263" s="48" t="n">
        <x:v>0.92</x:v>
      </x:c>
      <x:c r="K1263" s="48" t="str">
        <x:v>No</x:v>
      </x:c>
      <x:c r="L1263" s="48" t="str">
        <x:v>PDF text</x:v>
      </x:c>
    </x:row>
    <x:row r="1264">
      <x:c r="A1264" s="48" t="str">
        <x:v>UNI-1263</x:v>
      </x:c>
      <x:c r="B1264" s="48" t="str">
        <x:v>RED</x:v>
      </x:c>
      <x:c r="C1264" s="48" t="str">
        <x:v>English</x:v>
      </x:c>
      <x:c r="D1264" s="48" t="n">
        <x:v>74</x:v>
      </x:c>
      <x:c r="E1264" s="48" t="str"/>
      <x:c r="F1264" s="48" t="str">
        <x:v>In this Clause, “Force Majeure” means an exceptional event or circumstance: (a) which is beyond a Party’s control, (b) which such Party could not reasonably have provided against before entering into the Contract, (c) which, having arisen, such Party could not reasonably have avoided or overcome, and (d) which is not substantially attributable to the other Party.</x:v>
      </x:c>
      <x:c r="G1264" s="48" t="str">
        <x:v>Definition</x:v>
      </x:c>
      <x:c r="H1264" s="48" t="str"/>
      <x:c r="I1264" s="48" t="n">
        <x:v>0.97</x:v>
      </x:c>
      <x:c r="J1264" s="48" t="n">
        <x:v>0.99</x:v>
      </x:c>
      <x:c r="K1264" s="48" t="str">
        <x:v>No</x:v>
      </x:c>
      <x:c r="L1264" s="48" t="str">
        <x:v>PDF text</x:v>
      </x:c>
    </x:row>
    <x:row r="1265">
      <x:c r="A1265" s="48" t="str">
        <x:v>UNI-1264</x:v>
      </x:c>
      <x:c r="B1265" s="48" t="str">
        <x:v>RED</x:v>
      </x:c>
      <x:c r="C1265" s="48" t="str">
        <x:v>English</x:v>
      </x:c>
      <x:c r="D1265" s="48" t="n">
        <x:v>74</x:v>
      </x:c>
      <x:c r="E1265" s="48" t="str"/>
      <x:c r="F1265" s="48" t="str">
        <x:v>Force Majeure may include, but is not limited to, exceptional events or circumstances of the kind listed below, so long as conditions (a) to (d) above are satisfied: (i) war, hostilities (whether war be declared or not), invasion, act of foreign enemies, (ii) rebellion, terrorism, sabotage by persons other than the Contractor’s</x:v>
      </x:c>
      <x:c r="G1265" s="48" t="str">
        <x:v>Right</x:v>
      </x:c>
      <x:c r="H1265" s="48" t="str">
        <x:v>Contractor</x:v>
      </x:c>
      <x:c r="I1265" s="48" t="n">
        <x:v>0.78</x:v>
      </x:c>
      <x:c r="J1265" s="48" t="n">
        <x:v>0.68</x:v>
      </x:c>
      <x:c r="K1265" s="48" t="str">
        <x:v>Yes</x:v>
      </x:c>
      <x:c r="L1265" s="48" t="str">
        <x:v>PDF text</x:v>
      </x:c>
    </x:row>
    <x:row r="1266">
      <x:c r="A1266" s="48" t="str">
        <x:v>UNI-1265</x:v>
      </x:c>
      <x:c r="B1266" s="48" t="str">
        <x:v>RED</x:v>
      </x:c>
      <x:c r="C1266" s="48" t="str">
        <x:v>English</x:v>
      </x:c>
      <x:c r="D1266" s="48" t="n">
        <x:v>74</x:v>
      </x:c>
      <x:c r="E1266" s="48" t="str"/>
      <x:c r="F1266" s="48" t="str">
        <x:v>Personnel, revolution, insurrection, military or usurped power, or civil war,</x:v>
      </x:c>
      <x:c r="G1266" s="48" t="str">
        <x:v>Obligation</x:v>
      </x:c>
      <x:c r="H1266" s="48" t="str">
        <x:v>Shared</x:v>
      </x:c>
      <x:c r="I1266" s="48" t="n">
        <x:v>0.45</x:v>
      </x:c>
      <x:c r="J1266" s="48" t="n">
        <x:v>0.4</x:v>
      </x:c>
      <x:c r="K1266" s="48" t="str">
        <x:v>Yes</x:v>
      </x:c>
      <x:c r="L1266" s="48" t="str">
        <x:v>PDF text</x:v>
      </x:c>
    </x:row>
    <x:row r="1267">
      <x:c r="A1267" s="48" t="str">
        <x:v>UNI-1266</x:v>
      </x:c>
      <x:c r="B1267" s="48" t="str">
        <x:v>RED</x:v>
      </x:c>
      <x:c r="C1267" s="48" t="str">
        <x:v>English</x:v>
      </x:c>
      <x:c r="D1267" s="48" t="n">
        <x:v>74</x:v>
      </x:c>
      <x:c r="E1267" s="48" t="str"/>
      <x:c r="F1267" s="48" t="str">
        <x:v>(iii) riot, commotion, disorder, strike or lockout by persons other than the</x:v>
      </x:c>
      <x:c r="G1267" s="48" t="str">
        <x:v>Obligation</x:v>
      </x:c>
      <x:c r="H1267" s="48" t="str">
        <x:v>Shared</x:v>
      </x:c>
      <x:c r="I1267" s="48" t="n">
        <x:v>0.45</x:v>
      </x:c>
      <x:c r="J1267" s="48" t="n">
        <x:v>0.4</x:v>
      </x:c>
      <x:c r="K1267" s="48" t="str">
        <x:v>Yes</x:v>
      </x:c>
      <x:c r="L1267" s="48" t="str">
        <x:v>PDF text</x:v>
      </x:c>
    </x:row>
    <x:row r="1268">
      <x:c r="A1268" s="48" t="str">
        <x:v>UNI-1267</x:v>
      </x:c>
      <x:c r="B1268" s="48" t="str">
        <x:v>RED</x:v>
      </x:c>
      <x:c r="C1268" s="48" t="str">
        <x:v>English</x:v>
      </x:c>
      <x:c r="D1268" s="48" t="n">
        <x:v>74</x:v>
      </x:c>
      <x:c r="E1268" s="48" t="str"/>
      <x:c r="F1268" s="48" t="str">
        <x:v>(iv) munitions of war, explosive materials, ionising radiation or contamination by radio-activity, except as may be attributable to the Contractor’s use of such munitions, explosives, radiation or radio-activity, and (v) natural catastrophes such as earthquake, hurricane, typhoon or volcanic activity.</x:v>
      </x:c>
      <x:c r="G1268" s="48" t="str">
        <x:v>Right</x:v>
      </x:c>
      <x:c r="H1268" s="48" t="str">
        <x:v>Contractor</x:v>
      </x:c>
      <x:c r="I1268" s="48" t="n">
        <x:v>0.78</x:v>
      </x:c>
      <x:c r="J1268" s="48" t="n">
        <x:v>0.68</x:v>
      </x:c>
      <x:c r="K1268" s="48" t="str">
        <x:v>Yes</x:v>
      </x:c>
      <x:c r="L1268" s="48" t="str">
        <x:v>PDF text</x:v>
      </x:c>
    </x:row>
    <x:row r="1269">
      <x:c r="A1269" s="48" t="str">
        <x:v>UNI-1268</x:v>
      </x:c>
      <x:c r="B1269" s="48" t="str">
        <x:v>RED</x:v>
      </x:c>
      <x:c r="C1269" s="48" t="str">
        <x:v>English</x:v>
      </x:c>
      <x:c r="D1269" s="48" t="n">
        <x:v>74</x:v>
      </x:c>
      <x:c r="E1269" s="48" t="str"/>
      <x:c r="F1269" s="48" t="str">
        <x:v>If a Party is or will be prevented from performing its substantial obligations under the Contract by Force Majeure, then it shall give notice to the other Party of the event or circumstances constituting the Force Majeure and shall specify the obligations, the performance of which is or will be prevented.</x:v>
      </x:c>
      <x:c r="G1269" s="48" t="str">
        <x:v>Risk</x:v>
      </x:c>
      <x:c r="H1269" s="48" t="str">
        <x:v>Shared</x:v>
      </x:c>
      <x:c r="I1269" s="48" t="n">
        <x:v>0.78</x:v>
      </x:c>
      <x:c r="J1269" s="48" t="n">
        <x:v>0.4</x:v>
      </x:c>
      <x:c r="K1269" s="48" t="str">
        <x:v>Yes</x:v>
      </x:c>
      <x:c r="L1269" s="48" t="str">
        <x:v>PDF text</x:v>
      </x:c>
    </x:row>
    <x:row r="1270">
      <x:c r="A1270" s="48" t="str">
        <x:v>UNI-1269</x:v>
      </x:c>
      <x:c r="B1270" s="48" t="str">
        <x:v>RED</x:v>
      </x:c>
      <x:c r="C1270" s="48" t="str">
        <x:v>English</x:v>
      </x:c>
      <x:c r="D1270" s="48" t="n">
        <x:v>74</x:v>
      </x:c>
      <x:c r="E1270" s="48" t="str"/>
      <x:c r="F1270" s="48" t="str">
        <x:v>The notice shall be given within 14 days after the Party became aware, or should have become aware, of the relevant event or circumstance constituting Force Majeure.</x:v>
      </x:c>
      <x:c r="G1270" s="48" t="str">
        <x:v>Obligation</x:v>
      </x:c>
      <x:c r="H1270" s="48" t="str">
        <x:v>Shared</x:v>
      </x:c>
      <x:c r="I1270" s="48" t="n">
        <x:v>0.88</x:v>
      </x:c>
      <x:c r="J1270" s="48" t="n">
        <x:v>0.4</x:v>
      </x:c>
      <x:c r="K1270" s="48" t="str">
        <x:v>Yes</x:v>
      </x:c>
      <x:c r="L1270" s="48" t="str">
        <x:v>PDF text</x:v>
      </x:c>
    </x:row>
    <x:row r="1271">
      <x:c r="A1271" s="48" t="str">
        <x:v>UNI-1270</x:v>
      </x:c>
      <x:c r="B1271" s="48" t="str">
        <x:v>RED</x:v>
      </x:c>
      <x:c r="C1271" s="48" t="str">
        <x:v>English</x:v>
      </x:c>
      <x:c r="D1271" s="48" t="n">
        <x:v>74</x:v>
      </x:c>
      <x:c r="E1271" s="48" t="str"/>
      <x:c r="F1271" s="48" t="str">
        <x:v>The Party shall, having given notice, be excused performance of its obligations for so long as such Force Majeure prevents it from performing them.</x:v>
      </x:c>
      <x:c r="G1271" s="48" t="str">
        <x:v>Obligation</x:v>
      </x:c>
      <x:c r="H1271" s="48" t="str">
        <x:v>Shared</x:v>
      </x:c>
      <x:c r="I1271" s="48" t="n">
        <x:v>0.88</x:v>
      </x:c>
      <x:c r="J1271" s="48" t="n">
        <x:v>0.4</x:v>
      </x:c>
      <x:c r="K1271" s="48" t="str">
        <x:v>Yes</x:v>
      </x:c>
      <x:c r="L1271" s="48" t="str">
        <x:v>PDF text</x:v>
      </x:c>
    </x:row>
    <x:row r="1272">
      <x:c r="A1272" s="48" t="str">
        <x:v>UNI-1271</x:v>
      </x:c>
      <x:c r="B1272" s="48" t="str">
        <x:v>RED</x:v>
      </x:c>
      <x:c r="C1272" s="48" t="str">
        <x:v>English</x:v>
      </x:c>
      <x:c r="D1272" s="48" t="n">
        <x:v>74</x:v>
      </x:c>
      <x:c r="E1272" s="48" t="str"/>
      <x:c r="F1272" s="48" t="str">
        <x:v>Notwithstanding any other provision of this Clause, Force Majeure shall not apply to obligations of either Party to make payments to the other Party under the Contract.</x:v>
      </x:c>
      <x:c r="G1272" s="48" t="str">
        <x:v>Obligation</x:v>
      </x:c>
      <x:c r="H1272" s="48" t="str">
        <x:v>Shared</x:v>
      </x:c>
      <x:c r="I1272" s="48" t="n">
        <x:v>0.88</x:v>
      </x:c>
      <x:c r="J1272" s="48" t="n">
        <x:v>0.93</x:v>
      </x:c>
      <x:c r="K1272" s="48" t="str">
        <x:v>No</x:v>
      </x:c>
      <x:c r="L1272" s="48" t="str">
        <x:v>PDF text</x:v>
      </x:c>
    </x:row>
    <x:row r="1273">
      <x:c r="A1273" s="48" t="str">
        <x:v>UNI-1272</x:v>
      </x:c>
      <x:c r="B1273" s="48" t="str">
        <x:v>RED</x:v>
      </x:c>
      <x:c r="C1273" s="48" t="str">
        <x:v>English</x:v>
      </x:c>
      <x:c r="D1273" s="48" t="n">
        <x:v>74</x:v>
      </x:c>
      <x:c r="E1273" s="48" t="str"/>
      <x:c r="F1273" s="48" t="str">
        <x:v>Insurance for</x:v>
      </x:c>
      <x:c r="G1273" s="48" t="str">
        <x:v>Obligation</x:v>
      </x:c>
      <x:c r="H1273" s="48" t="str">
        <x:v>Shared</x:v>
      </x:c>
      <x:c r="I1273" s="48" t="n">
        <x:v>0.45</x:v>
      </x:c>
      <x:c r="J1273" s="48" t="n">
        <x:v>0.4</x:v>
      </x:c>
      <x:c r="K1273" s="48" t="str">
        <x:v>Yes</x:v>
      </x:c>
      <x:c r="L1273" s="48" t="str">
        <x:v>PDF text</x:v>
      </x:c>
    </x:row>
    <x:row r="1274">
      <x:c r="A1274" s="48" t="str">
        <x:v>UNI-1273</x:v>
      </x:c>
      <x:c r="B1274" s="48" t="str">
        <x:v>RED</x:v>
      </x:c>
      <x:c r="C1274" s="48" t="str">
        <x:v>English</x:v>
      </x:c>
      <x:c r="D1274" s="48" t="n">
        <x:v>74</x:v>
      </x:c>
      <x:c r="E1274" s="48" t="str"/>
      <x:c r="F1274" s="48" t="str">
        <x:v>Definition of Force</x:v>
      </x:c>
      <x:c r="G1274" s="48" t="str">
        <x:v>Obligation</x:v>
      </x:c>
      <x:c r="H1274" s="48" t="str">
        <x:v>Shared</x:v>
      </x:c>
      <x:c r="I1274" s="48" t="n">
        <x:v>0.45</x:v>
      </x:c>
      <x:c r="J1274" s="48" t="n">
        <x:v>0.4</x:v>
      </x:c>
      <x:c r="K1274" s="48" t="str">
        <x:v>Yes</x:v>
      </x:c>
      <x:c r="L1274" s="48" t="str">
        <x:v>PDF text</x:v>
      </x:c>
    </x:row>
    <x:row r="1275">
      <x:c r="A1275" s="48" t="str">
        <x:v>UNI-1274</x:v>
      </x:c>
      <x:c r="B1275" s="48" t="str">
        <x:v>RED</x:v>
      </x:c>
      <x:c r="C1275" s="48" t="str">
        <x:v>English</x:v>
      </x:c>
      <x:c r="D1275" s="48" t="n">
        <x:v>74</x:v>
      </x:c>
      <x:c r="E1275" s="48" t="str"/>
      <x:c r="F1275" s="48" t="str">
        <x:v>Notice of Force Majeure</x:v>
      </x:c>
      <x:c r="G1275" s="48" t="str">
        <x:v>Obligation</x:v>
      </x:c>
      <x:c r="H1275" s="48" t="str">
        <x:v>Shared</x:v>
      </x:c>
      <x:c r="I1275" s="48" t="n">
        <x:v>0.55</x:v>
      </x:c>
      <x:c r="J1275" s="48" t="n">
        <x:v>0.4</x:v>
      </x:c>
      <x:c r="K1275" s="48" t="str">
        <x:v>Yes</x:v>
      </x:c>
      <x:c r="L1275" s="48" t="str">
        <x:v>PDF text</x:v>
      </x:c>
    </x:row>
    <x:row r="1276">
      <x:c r="A1276" s="48" t="str">
        <x:v>UNI-1275</x:v>
      </x:c>
      <x:c r="B1276" s="48" t="str">
        <x:v>RED</x:v>
      </x:c>
      <x:c r="C1276" s="48" t="str">
        <x:v>English</x:v>
      </x:c>
      <x:c r="D1276" s="48" t="n">
        <x:v>74</x:v>
      </x:c>
      <x:c r="E1276" s="48" t="str"/>
      <x:c r="F1276" s="48" t="str">
        <x:v>Force Majeure</x:v>
      </x:c>
      <x:c r="G1276" s="48" t="str">
        <x:v>Obligation</x:v>
      </x:c>
      <x:c r="H1276" s="48" t="str">
        <x:v>Shared</x:v>
      </x:c>
      <x:c r="I1276" s="48" t="n">
        <x:v>0.45</x:v>
      </x:c>
      <x:c r="J1276" s="48" t="n">
        <x:v>0.4</x:v>
      </x:c>
      <x:c r="K1276" s="48" t="str">
        <x:v>Yes</x:v>
      </x:c>
      <x:c r="L1276" s="48" t="str">
        <x:v>PDF text</x:v>
      </x:c>
    </x:row>
    <x:row r="1277">
      <x:c r="A1277" s="48" t="str">
        <x:v>UNI-1276</x:v>
      </x:c>
      <x:c r="B1277" s="48" t="str">
        <x:v>RED</x:v>
      </x:c>
      <x:c r="C1277" s="48" t="str">
        <x:v>English</x:v>
      </x:c>
      <x:c r="D1277" s="48" t="n">
        <x:v>75</x:v>
      </x:c>
      <x:c r="E1277" s="48" t="str"/>
      <x:c r="F1277" s="48" t="str">
        <x:v>Each Party shall at all times use all reasonable endeavours to minimise any delay in the performance of the Contract as a result of Force Majeure.</x:v>
      </x:c>
      <x:c r="G1277" s="48" t="str">
        <x:v>Risk</x:v>
      </x:c>
      <x:c r="H1277" s="48" t="str">
        <x:v>Shared</x:v>
      </x:c>
      <x:c r="I1277" s="48" t="n">
        <x:v>0.78</x:v>
      </x:c>
      <x:c r="J1277" s="48" t="n">
        <x:v>0.93</x:v>
      </x:c>
      <x:c r="K1277" s="48" t="str">
        <x:v>No</x:v>
      </x:c>
      <x:c r="L1277" s="48" t="str">
        <x:v>PDF text</x:v>
      </x:c>
    </x:row>
    <x:row r="1278">
      <x:c r="A1278" s="48" t="str">
        <x:v>UNI-1277</x:v>
      </x:c>
      <x:c r="B1278" s="48" t="str">
        <x:v>RED</x:v>
      </x:c>
      <x:c r="C1278" s="48" t="str">
        <x:v>English</x:v>
      </x:c>
      <x:c r="D1278" s="48" t="n">
        <x:v>75</x:v>
      </x:c>
      <x:c r="E1278" s="48" t="str"/>
      <x:c r="F1278" s="48" t="str">
        <x:v>A Party shall give notice to the other Party when it ceases to be affected by the Force Majeure.</x:v>
      </x:c>
      <x:c r="G1278" s="48" t="str">
        <x:v>Risk</x:v>
      </x:c>
      <x:c r="H1278" s="48" t="str">
        <x:v>Shared</x:v>
      </x:c>
      <x:c r="I1278" s="48" t="n">
        <x:v>0.78</x:v>
      </x:c>
      <x:c r="J1278" s="48" t="n">
        <x:v>0.4</x:v>
      </x:c>
      <x:c r="K1278" s="48" t="str">
        <x:v>Yes</x:v>
      </x:c>
      <x:c r="L1278" s="48" t="str">
        <x:v>PDF text</x:v>
      </x:c>
    </x:row>
    <x:row r="1279">
      <x:c r="A1279" s="48" t="str">
        <x:v>UNI-1278</x:v>
      </x:c>
      <x:c r="B1279" s="48" t="str">
        <x:v>RED</x:v>
      </x:c>
      <x:c r="C1279" s="48" t="str">
        <x:v>English</x:v>
      </x:c>
      <x:c r="D1279" s="48" t="n">
        <x:v>75</x:v>
      </x:c>
      <x:c r="E1279" s="48" t="str"/>
      <x:c r="F1279" s="48" t="str">
        <x:v>If the Contractor is prevented from performing his substantial obligations under the Contract by Force Majeure of which notice has been given under Sub-Clause 19.2 [Notice of Force Majeure], and suffers delay and/or incurs Cost by reason of such Force Majeure, the Contractor shall be entitled subject to Sub-Clause 20.1 [Contractor’s Claims] to: (a) an extension of time for any such delay, if completion is or will be delayed, under Sub-Clause 8.4 [Extension of Time for Completion], and (b) if the event or circumstance is of the kind described in sub-paragraphs (i) to (iv) of Sub-Clause 19.1 [Definition of Force Majeure] and, in the case of subparagraphs (ii) to (iv), occurs in the Country, payment of any such Cost.</x:v>
      </x:c>
      <x:c r="G1279" s="48" t="str">
        <x:v>Risk</x:v>
      </x:c>
      <x:c r="H1279" s="48" t="str">
        <x:v>Contractor</x:v>
      </x:c>
      <x:c r="I1279" s="48" t="n">
        <x:v>0.78</x:v>
      </x:c>
      <x:c r="J1279" s="48" t="n">
        <x:v>0.92</x:v>
      </x:c>
      <x:c r="K1279" s="48" t="str">
        <x:v>No</x:v>
      </x:c>
      <x:c r="L1279" s="48" t="str">
        <x:v>PDF text</x:v>
      </x:c>
    </x:row>
    <x:row r="1280">
      <x:c r="A1280" s="48" t="str">
        <x:v>UNI-1279</x:v>
      </x:c>
      <x:c r="B1280" s="48" t="str">
        <x:v>RED</x:v>
      </x:c>
      <x:c r="C1280" s="48" t="str">
        <x:v>English</x:v>
      </x:c>
      <x:c r="D1280" s="48" t="n">
        <x:v>75</x:v>
      </x:c>
      <x:c r="E1280" s="48" t="str"/>
      <x:c r="F1280" s="48" t="str">
        <x:v>If any Subcontractor is entitled under any contract or agreement relating to the Works to relief from force majeure on terms additional to or broader than those specified in this Clause, such additional or broader force majeure events or circumstances shall not excuse the Contractor’s non-performance or entitle him to relief under this Clause.</x:v>
      </x:c>
      <x:c r="G1280" s="48" t="str">
        <x:v>Risk</x:v>
      </x:c>
      <x:c r="H1280" s="48" t="str">
        <x:v>Contractor</x:v>
      </x:c>
      <x:c r="I1280" s="48" t="n">
        <x:v>0.78</x:v>
      </x:c>
      <x:c r="J1280" s="48" t="n">
        <x:v>0.68</x:v>
      </x:c>
      <x:c r="K1280" s="48" t="str">
        <x:v>Yes</x:v>
      </x:c>
      <x:c r="L1280" s="48" t="str">
        <x:v>PDF text</x:v>
      </x:c>
    </x:row>
    <x:row r="1281">
      <x:c r="A1281" s="48" t="str">
        <x:v>UNI-1280</x:v>
      </x:c>
      <x:c r="B1281" s="48" t="str">
        <x:v>RED</x:v>
      </x:c>
      <x:c r="C1281" s="48" t="str">
        <x:v>English</x:v>
      </x:c>
      <x:c r="D1281" s="48" t="n">
        <x:v>75</x:v>
      </x:c>
      <x:c r="E1281" s="48" t="str"/>
      <x:c r="F1281" s="48" t="str">
        <x:v>If the execution of substantially all the Works in progress is prevented for a continuous period of 84 days by reason of Force Majeure of which notice has been given under Sub-Clause 19.2 [Notice of Force Majeure], or for multiple periods which total more than 140 days due to the same notified Force Majeure, then either Party may give to the other Party a notice of termination of the Contract.</x:v>
      </x:c>
      <x:c r="G1281" s="48" t="str">
        <x:v>Risk</x:v>
      </x:c>
      <x:c r="H1281" s="48" t="str">
        <x:v>Shared</x:v>
      </x:c>
      <x:c r="I1281" s="48" t="n">
        <x:v>0.78</x:v>
      </x:c>
      <x:c r="J1281" s="48" t="n">
        <x:v>0.93</x:v>
      </x:c>
      <x:c r="K1281" s="48" t="str">
        <x:v>No</x:v>
      </x:c>
      <x:c r="L1281" s="48" t="str">
        <x:v>PDF text</x:v>
      </x:c>
    </x:row>
    <x:row r="1282">
      <x:c r="A1282" s="48" t="str">
        <x:v>UNI-1281</x:v>
      </x:c>
      <x:c r="B1282" s="48" t="str">
        <x:v>RED</x:v>
      </x:c>
      <x:c r="C1282" s="48" t="str">
        <x:v>English</x:v>
      </x:c>
      <x:c r="D1282" s="48" t="n">
        <x:v>75</x:v>
      </x:c>
      <x:c r="E1282" s="48" t="str"/>
      <x:c r="F1282" s="48" t="str">
        <x:v>In this event, the termination shall take effect 7 days after the notice is given, and the Contractor shall proceed in accordance with Sub-Clause 16.3 [Cessation of Work and Removal of Contractor’s Equipment].</x:v>
      </x:c>
      <x:c r="G1282" s="48" t="str">
        <x:v>Obligation</x:v>
      </x:c>
      <x:c r="H1282" s="48" t="str">
        <x:v>Contractor</x:v>
      </x:c>
      <x:c r="I1282" s="48" t="n">
        <x:v>0.88</x:v>
      </x:c>
      <x:c r="J1282" s="48" t="n">
        <x:v>0.92</x:v>
      </x:c>
      <x:c r="K1282" s="48" t="str">
        <x:v>No</x:v>
      </x:c>
      <x:c r="L1282" s="48" t="str">
        <x:v>PDF text</x:v>
      </x:c>
    </x:row>
    <x:row r="1283">
      <x:c r="A1283" s="48" t="str">
        <x:v>UNI-1282</x:v>
      </x:c>
      <x:c r="B1283" s="48" t="str">
        <x:v>RED</x:v>
      </x:c>
      <x:c r="C1283" s="48" t="str">
        <x:v>English</x:v>
      </x:c>
      <x:c r="D1283" s="48" t="n">
        <x:v>75</x:v>
      </x:c>
      <x:c r="E1283" s="48" t="str"/>
      <x:c r="F1283" s="48" t="str">
        <x:v>Upon such termination, the Engineer shall determine the value of the work done and issue a Payment Certificate which shall include: (a) the amounts payable for any work carried out for which a price is stated in the Contract; (b) the Cost of Plant and Materials ordered for the Works which have been delivered to the Contractor, or of which the Contractor is liable to accept delivery: this Plant and Materials shall become the property of (and be at the risk of) the Employer when paid for by the Employer, and the Contractor shall place the same at the Employer’s disposal; (c) other Costs or liabilities which in the circumstances were reasonably and necessarily incurred by the Contractor in the expectation of completing the Works; (d) the Cost of removal of Temporary Works and Contractor’s Equipment from the</x:v>
      </x:c>
      <x:c r="G1283" s="48" t="str">
        <x:v>Risk</x:v>
      </x:c>
      <x:c r="H1283" s="48" t="str">
        <x:v>Contractor</x:v>
      </x:c>
      <x:c r="I1283" s="48" t="n">
        <x:v>0.78</x:v>
      </x:c>
      <x:c r="J1283" s="48" t="n">
        <x:v>0.92</x:v>
      </x:c>
      <x:c r="K1283" s="48" t="str">
        <x:v>No</x:v>
      </x:c>
      <x:c r="L1283" s="48" t="str">
        <x:v>PDF text</x:v>
      </x:c>
    </x:row>
    <x:row r="1284">
      <x:c r="A1284" s="48" t="str">
        <x:v>UNI-1283</x:v>
      </x:c>
      <x:c r="B1284" s="48" t="str">
        <x:v>RED</x:v>
      </x:c>
      <x:c r="C1284" s="48" t="str">
        <x:v>English</x:v>
      </x:c>
      <x:c r="D1284" s="48" t="n">
        <x:v>75</x:v>
      </x:c>
      <x:c r="E1284" s="48" t="str"/>
      <x:c r="F1284" s="48" t="str">
        <x:v>Site and the return of these items to the Contractor’s works in his country (or</x:v>
      </x:c>
      <x:c r="G1284" s="48" t="str">
        <x:v>Obligation</x:v>
      </x:c>
      <x:c r="H1284" s="48" t="str">
        <x:v>Contractor</x:v>
      </x:c>
      <x:c r="I1284" s="48" t="n">
        <x:v>0.45</x:v>
      </x:c>
      <x:c r="J1284" s="48" t="n">
        <x:v>0.68</x:v>
      </x:c>
      <x:c r="K1284" s="48" t="str">
        <x:v>Yes</x:v>
      </x:c>
      <x:c r="L1284" s="48" t="str">
        <x:v>PDF text</x:v>
      </x:c>
    </x:row>
    <x:row r="1285">
      <x:c r="A1285" s="48" t="str">
        <x:v>UNI-1284</x:v>
      </x:c>
      <x:c r="B1285" s="48" t="str">
        <x:v>RED</x:v>
      </x:c>
      <x:c r="C1285" s="48" t="str">
        <x:v>English</x:v>
      </x:c>
      <x:c r="D1285" s="48" t="n">
        <x:v>75</x:v>
      </x:c>
      <x:c r="E1285" s="48" t="str"/>
      <x:c r="F1285" s="48" t="str">
        <x:v>to any other destination at no greater cost); and (e) the Cost of repatriation of the Contractor’s staff and labour employed wholly in connection with the Works at the date of termination.</x:v>
      </x:c>
      <x:c r="G1285" s="48" t="str">
        <x:v>Obligation</x:v>
      </x:c>
      <x:c r="H1285" s="48" t="str">
        <x:v>Contractor</x:v>
      </x:c>
      <x:c r="I1285" s="48" t="n">
        <x:v>0.55</x:v>
      </x:c>
      <x:c r="J1285" s="48" t="n">
        <x:v>0.68</x:v>
      </x:c>
      <x:c r="K1285" s="48" t="str">
        <x:v>Yes</x:v>
      </x:c>
      <x:c r="L1285" s="48" t="str">
        <x:v>PDF text</x:v>
      </x:c>
    </x:row>
    <x:row r="1286">
      <x:c r="A1286" s="48" t="str">
        <x:v>UNI-1285</x:v>
      </x:c>
      <x:c r="B1286" s="48" t="str">
        <x:v>RED</x:v>
      </x:c>
      <x:c r="C1286" s="48" t="str">
        <x:v>English</x:v>
      </x:c>
      <x:c r="D1286" s="48" t="n">
        <x:v>75</x:v>
      </x:c>
      <x:c r="E1286" s="48" t="str"/>
      <x:c r="F1286" s="48" t="str">
        <x:v>Duty to Minimise Delay</x:v>
      </x:c>
      <x:c r="G1286" s="48" t="str">
        <x:v>Obligation</x:v>
      </x:c>
      <x:c r="H1286" s="48" t="str">
        <x:v>Shared</x:v>
      </x:c>
      <x:c r="I1286" s="48" t="n">
        <x:v>0.88</x:v>
      </x:c>
      <x:c r="J1286" s="48" t="n">
        <x:v>0.4</x:v>
      </x:c>
      <x:c r="K1286" s="48" t="str">
        <x:v>Yes</x:v>
      </x:c>
      <x:c r="L1286" s="48" t="str">
        <x:v>PDF text</x:v>
      </x:c>
    </x:row>
    <x:row r="1287">
      <x:c r="A1287" s="48" t="str">
        <x:v>UNI-1286</x:v>
      </x:c>
      <x:c r="B1287" s="48" t="str">
        <x:v>RED</x:v>
      </x:c>
      <x:c r="C1287" s="48" t="str">
        <x:v>English</x:v>
      </x:c>
      <x:c r="D1287" s="48" t="n">
        <x:v>75</x:v>
      </x:c>
      <x:c r="E1287" s="48" t="str"/>
      <x:c r="F1287" s="48" t="str">
        <x:v>Consequences of Force</x:v>
      </x:c>
      <x:c r="G1287" s="48" t="str">
        <x:v>Obligation</x:v>
      </x:c>
      <x:c r="H1287" s="48" t="str">
        <x:v>Shared</x:v>
      </x:c>
      <x:c r="I1287" s="48" t="n">
        <x:v>0.45</x:v>
      </x:c>
      <x:c r="J1287" s="48" t="n">
        <x:v>0.4</x:v>
      </x:c>
      <x:c r="K1287" s="48" t="str">
        <x:v>Yes</x:v>
      </x:c>
      <x:c r="L1287" s="48" t="str">
        <x:v>PDF text</x:v>
      </x:c>
    </x:row>
    <x:row r="1288">
      <x:c r="A1288" s="48" t="str">
        <x:v>UNI-1287</x:v>
      </x:c>
      <x:c r="B1288" s="48" t="str">
        <x:v>RED</x:v>
      </x:c>
      <x:c r="C1288" s="48" t="str">
        <x:v>English</x:v>
      </x:c>
      <x:c r="D1288" s="48" t="n">
        <x:v>75</x:v>
      </x:c>
      <x:c r="E1288" s="48" t="str"/>
      <x:c r="F1288" s="48" t="str">
        <x:v>Force Majeure Affecting</x:v>
      </x:c>
      <x:c r="G1288" s="48" t="str">
        <x:v>Obligation</x:v>
      </x:c>
      <x:c r="H1288" s="48" t="str">
        <x:v>Shared</x:v>
      </x:c>
      <x:c r="I1288" s="48" t="n">
        <x:v>0.45</x:v>
      </x:c>
      <x:c r="J1288" s="48" t="n">
        <x:v>0.4</x:v>
      </x:c>
      <x:c r="K1288" s="48" t="str">
        <x:v>Yes</x:v>
      </x:c>
      <x:c r="L1288" s="48" t="str">
        <x:v>PDF text</x:v>
      </x:c>
    </x:row>
    <x:row r="1289">
      <x:c r="A1289" s="48" t="str">
        <x:v>UNI-1288</x:v>
      </x:c>
      <x:c r="B1289" s="48" t="str">
        <x:v>RED</x:v>
      </x:c>
      <x:c r="C1289" s="48" t="str">
        <x:v>English</x:v>
      </x:c>
      <x:c r="D1289" s="48" t="n">
        <x:v>75</x:v>
      </x:c>
      <x:c r="E1289" s="48" t="str"/>
      <x:c r="F1289" s="48" t="str">
        <x:v>Subcontractor</x:v>
      </x:c>
      <x:c r="G1289" s="48" t="str">
        <x:v>Obligation</x:v>
      </x:c>
      <x:c r="H1289" s="48" t="str">
        <x:v>Shared</x:v>
      </x:c>
      <x:c r="I1289" s="48" t="n">
        <x:v>0.45</x:v>
      </x:c>
      <x:c r="J1289" s="48" t="n">
        <x:v>0.4</x:v>
      </x:c>
      <x:c r="K1289" s="48" t="str">
        <x:v>Yes</x:v>
      </x:c>
      <x:c r="L1289" s="48" t="str">
        <x:v>PDF text</x:v>
      </x:c>
    </x:row>
    <x:row r="1290">
      <x:c r="A1290" s="48" t="str">
        <x:v>UNI-1289</x:v>
      </x:c>
      <x:c r="B1290" s="48" t="str">
        <x:v>RED</x:v>
      </x:c>
      <x:c r="C1290" s="48" t="str">
        <x:v>English</x:v>
      </x:c>
      <x:c r="D1290" s="48" t="n">
        <x:v>75</x:v>
      </x:c>
      <x:c r="E1290" s="48" t="str"/>
      <x:c r="F1290" s="48" t="str">
        <x:v>Optional Termination,</x:v>
      </x:c>
      <x:c r="G1290" s="48" t="str">
        <x:v>Obligation</x:v>
      </x:c>
      <x:c r="H1290" s="48" t="str">
        <x:v>Shared</x:v>
      </x:c>
      <x:c r="I1290" s="48" t="n">
        <x:v>0.55</x:v>
      </x:c>
      <x:c r="J1290" s="48" t="n">
        <x:v>0.4</x:v>
      </x:c>
      <x:c r="K1290" s="48" t="str">
        <x:v>Yes</x:v>
      </x:c>
      <x:c r="L1290" s="48" t="str">
        <x:v>PDF text</x:v>
      </x:c>
    </x:row>
    <x:row r="1291">
      <x:c r="A1291" s="48" t="str">
        <x:v>UNI-1290</x:v>
      </x:c>
      <x:c r="B1291" s="48" t="str">
        <x:v>RED</x:v>
      </x:c>
      <x:c r="C1291" s="48" t="str">
        <x:v>English</x:v>
      </x:c>
      <x:c r="D1291" s="48" t="n">
        <x:v>75</x:v>
      </x:c>
      <x:c r="E1291" s="48" t="str"/>
      <x:c r="F1291" s="48" t="str">
        <x:v>Payment and Release</x:v>
      </x:c>
      <x:c r="G1291" s="48" t="str">
        <x:v>Obligation</x:v>
      </x:c>
      <x:c r="H1291" s="48" t="str">
        <x:v>Shared</x:v>
      </x:c>
      <x:c r="I1291" s="48" t="n">
        <x:v>0.55</x:v>
      </x:c>
      <x:c r="J1291" s="48" t="n">
        <x:v>0.4</x:v>
      </x:c>
      <x:c r="K1291" s="48" t="str">
        <x:v>Yes</x:v>
      </x:c>
      <x:c r="L1291" s="48" t="str">
        <x:v>PDF text</x:v>
      </x:c>
    </x:row>
    <x:row r="1292">
      <x:c r="A1292" s="48" t="str">
        <x:v>UNI-1291</x:v>
      </x:c>
      <x:c r="B1292" s="48" t="str">
        <x:v>RED</x:v>
      </x:c>
      <x:c r="C1292" s="48" t="str">
        <x:v>English</x:v>
      </x:c>
      <x:c r="D1292" s="48" t="n">
        <x:v>76</x:v>
      </x:c>
      <x:c r="E1292" s="48" t="str"/>
      <x:c r="F1292" s="48" t="str">
        <x:v>Notwithstanding any other provision of this Clause, if any event or circumstance</x:v>
      </x:c>
      <x:c r="G1292" s="48" t="str">
        <x:v>Obligation</x:v>
      </x:c>
      <x:c r="H1292" s="48" t="str">
        <x:v>Shared</x:v>
      </x:c>
      <x:c r="I1292" s="48" t="n">
        <x:v>0.45</x:v>
      </x:c>
      <x:c r="J1292" s="48" t="n">
        <x:v>0.4</x:v>
      </x:c>
      <x:c r="K1292" s="48" t="str">
        <x:v>Yes</x:v>
      </x:c>
      <x:c r="L1292" s="48" t="str">
        <x:v>PDF text</x:v>
      </x:c>
    </x:row>
    <x:row r="1293">
      <x:c r="A1293" s="48" t="str">
        <x:v>UNI-1292</x:v>
      </x:c>
      <x:c r="B1293" s="48" t="str">
        <x:v>RED</x:v>
      </x:c>
      <x:c r="C1293" s="48" t="str">
        <x:v>English</x:v>
      </x:c>
      <x:c r="D1293" s="48" t="n">
        <x:v>76</x:v>
      </x:c>
      <x:c r="E1293" s="48" t="str"/>
      <x:c r="F1293" s="48" t="str">
        <x:v>outside the control of the Parties (including, but not limited to, Force Majeure) arises which makes it impossible or unlawful for either or both Parties to fulfil its or their contractual obligations or which, under the law governing the Contract, entitles the Parties to be released from further performance of the Contract, then upon notice by either Party to the other Party of such event or circumstance: (a) the Parties shall be discharged from further performance, without prejudice to the rights of either Party in respect of any previous breach of the Contract, and (b) the sum payable by the Employer to the Contractor shall be the same as would have been payable under Sub-Clause 19.6 [Optional Termination, Payment and Release] if the Contract had been terminated under Sub-Clause 19.6.</x:v>
      </x:c>
      <x:c r="G1293" s="48" t="str">
        <x:v>Risk</x:v>
      </x:c>
      <x:c r="H1293" s="48" t="str">
        <x:v>Shared</x:v>
      </x:c>
      <x:c r="I1293" s="48" t="n">
        <x:v>0.78</x:v>
      </x:c>
      <x:c r="J1293" s="48" t="n">
        <x:v>0.93</x:v>
      </x:c>
      <x:c r="K1293" s="48" t="str">
        <x:v>No</x:v>
      </x:c>
      <x:c r="L1293" s="48" t="str">
        <x:v>PDF text</x:v>
      </x:c>
    </x:row>
    <x:row r="1294">
      <x:c r="A1294" s="48" t="str">
        <x:v>UNI-1293</x:v>
      </x:c>
      <x:c r="B1294" s="48" t="str">
        <x:v>RED</x:v>
      </x:c>
      <x:c r="C1294" s="48" t="str">
        <x:v>English</x:v>
      </x:c>
      <x:c r="D1294" s="48" t="n">
        <x:v>76</x:v>
      </x:c>
      <x:c r="E1294" s="48" t="str"/>
      <x:c r="F1294" s="48" t="str">
        <x:v>If the Contractor considers himself to be entitled to any extension of the Time for</x:v>
      </x:c>
      <x:c r="G1294" s="48" t="str">
        <x:v>Right</x:v>
      </x:c>
      <x:c r="H1294" s="48" t="str">
        <x:v>Contractor</x:v>
      </x:c>
      <x:c r="I1294" s="48" t="n">
        <x:v>0.78</x:v>
      </x:c>
      <x:c r="J1294" s="48" t="n">
        <x:v>0.68</x:v>
      </x:c>
      <x:c r="K1294" s="48" t="str">
        <x:v>Yes</x:v>
      </x:c>
      <x:c r="L1294" s="48" t="str">
        <x:v>PDF text</x:v>
      </x:c>
    </x:row>
    <x:row r="1295">
      <x:c r="A1295" s="48" t="str">
        <x:v>UNI-1294</x:v>
      </x:c>
      <x:c r="B1295" s="48" t="str">
        <x:v>RED</x:v>
      </x:c>
      <x:c r="C1295" s="48" t="str">
        <x:v>English</x:v>
      </x:c>
      <x:c r="D1295" s="48" t="n">
        <x:v>76</x:v>
      </x:c>
      <x:c r="E1295" s="48" t="str"/>
      <x:c r="F1295" s="48" t="str">
        <x:v>Completion and/or any additional payment, under any Clause of these Conditions</x:v>
      </x:c>
      <x:c r="G1295" s="48" t="str">
        <x:v>Obligation</x:v>
      </x:c>
      <x:c r="H1295" s="48" t="str">
        <x:v>Shared</x:v>
      </x:c>
      <x:c r="I1295" s="48" t="n">
        <x:v>0.55</x:v>
      </x:c>
      <x:c r="J1295" s="48" t="n">
        <x:v>0.4</x:v>
      </x:c>
      <x:c r="K1295" s="48" t="str">
        <x:v>Yes</x:v>
      </x:c>
      <x:c r="L1295" s="48" t="str">
        <x:v>PDF text</x:v>
      </x:c>
    </x:row>
    <x:row r="1296">
      <x:c r="A1296" s="48" t="str">
        <x:v>UNI-1295</x:v>
      </x:c>
      <x:c r="B1296" s="48" t="str">
        <x:v>RED</x:v>
      </x:c>
      <x:c r="C1296" s="48" t="str">
        <x:v>English</x:v>
      </x:c>
      <x:c r="D1296" s="48" t="n">
        <x:v>76</x:v>
      </x:c>
      <x:c r="E1296" s="48" t="str"/>
      <x:c r="F1296" s="48" t="str">
        <x:v>or otherwise in connection with the Contract, the Contractor shall give notice to the Engineer, describing the event or circumstance giving rise to the claim.</x:v>
      </x:c>
      <x:c r="G1296" s="48" t="str">
        <x:v>Obligation</x:v>
      </x:c>
      <x:c r="H1296" s="48" t="str">
        <x:v>Contractor</x:v>
      </x:c>
      <x:c r="I1296" s="48" t="n">
        <x:v>0.88</x:v>
      </x:c>
      <x:c r="J1296" s="48" t="n">
        <x:v>0.92</x:v>
      </x:c>
      <x:c r="K1296" s="48" t="str">
        <x:v>No</x:v>
      </x:c>
      <x:c r="L1296" s="48" t="str">
        <x:v>PDF text</x:v>
      </x:c>
    </x:row>
    <x:row r="1297">
      <x:c r="A1297" s="48" t="str">
        <x:v>UNI-1296</x:v>
      </x:c>
      <x:c r="B1297" s="48" t="str">
        <x:v>RED</x:v>
      </x:c>
      <x:c r="C1297" s="48" t="str">
        <x:v>English</x:v>
      </x:c>
      <x:c r="D1297" s="48" t="n">
        <x:v>76</x:v>
      </x:c>
      <x:c r="E1297" s="48" t="str"/>
      <x:c r="F1297" s="48" t="str">
        <x:v>The notice shall be given as soon as practicable, and not later than 28 days after the</x:v>
      </x:c>
      <x:c r="G1297" s="48" t="str">
        <x:v>Obligation</x:v>
      </x:c>
      <x:c r="H1297" s="48" t="str">
        <x:v>Shared</x:v>
      </x:c>
      <x:c r="I1297" s="48" t="n">
        <x:v>0.88</x:v>
      </x:c>
      <x:c r="J1297" s="48" t="n">
        <x:v>0.4</x:v>
      </x:c>
      <x:c r="K1297" s="48" t="str">
        <x:v>Yes</x:v>
      </x:c>
      <x:c r="L1297" s="48" t="str">
        <x:v>PDF text</x:v>
      </x:c>
    </x:row>
    <x:row r="1298">
      <x:c r="A1298" s="48" t="str">
        <x:v>UNI-1297</x:v>
      </x:c>
      <x:c r="B1298" s="48" t="str">
        <x:v>RED</x:v>
      </x:c>
      <x:c r="C1298" s="48" t="str">
        <x:v>English</x:v>
      </x:c>
      <x:c r="D1298" s="48" t="n">
        <x:v>76</x:v>
      </x:c>
      <x:c r="E1298" s="48" t="str"/>
      <x:c r="F1298" s="48" t="str">
        <x:v>Contractor became aware, or should have become aware, of the event or</x:v>
      </x:c>
      <x:c r="G1298" s="48" t="str">
        <x:v>Obligation</x:v>
      </x:c>
      <x:c r="H1298" s="48" t="str">
        <x:v>Contractor</x:v>
      </x:c>
      <x:c r="I1298" s="48" t="n">
        <x:v>0.45</x:v>
      </x:c>
      <x:c r="J1298" s="48" t="n">
        <x:v>0.68</x:v>
      </x:c>
      <x:c r="K1298" s="48" t="str">
        <x:v>Yes</x:v>
      </x:c>
      <x:c r="L1298" s="48" t="str">
        <x:v>PDF text</x:v>
      </x:c>
    </x:row>
    <x:row r="1299">
      <x:c r="A1299" s="48" t="str">
        <x:v>UNI-1298</x:v>
      </x:c>
      <x:c r="B1299" s="48" t="str">
        <x:v>RED</x:v>
      </x:c>
      <x:c r="C1299" s="48" t="str">
        <x:v>English</x:v>
      </x:c>
      <x:c r="D1299" s="48" t="n">
        <x:v>76</x:v>
      </x:c>
      <x:c r="E1299" s="48" t="str"/>
      <x:c r="F1299" s="48" t="str">
        <x:v>circumstance.</x:v>
      </x:c>
      <x:c r="G1299" s="48" t="str">
        <x:v>Obligation</x:v>
      </x:c>
      <x:c r="H1299" s="48" t="str">
        <x:v>Shared</x:v>
      </x:c>
      <x:c r="I1299" s="48" t="n">
        <x:v>0.45</x:v>
      </x:c>
      <x:c r="J1299" s="48" t="n">
        <x:v>0.4</x:v>
      </x:c>
      <x:c r="K1299" s="48" t="str">
        <x:v>Yes</x:v>
      </x:c>
      <x:c r="L1299" s="48" t="str">
        <x:v>PDF text</x:v>
      </x:c>
    </x:row>
    <x:row r="1300">
      <x:c r="A1300" s="48" t="str">
        <x:v>UNI-1299</x:v>
      </x:c>
      <x:c r="B1300" s="48" t="str">
        <x:v>RED</x:v>
      </x:c>
      <x:c r="C1300" s="48" t="str">
        <x:v>English</x:v>
      </x:c>
      <x:c r="D1300" s="48" t="n">
        <x:v>76</x:v>
      </x:c>
      <x:c r="E1300" s="48" t="str"/>
      <x:c r="F1300" s="48" t="str">
        <x:v>If the Contractor fails to give notice of a claim within such period of 28 days, the Time for Completion shall not be extended, the Contractor shall not be entitled to additional payment, and the Employer shall be discharged from all liability in connection with the claim.</x:v>
      </x:c>
      <x:c r="G1300" s="48" t="str">
        <x:v>Risk</x:v>
      </x:c>
      <x:c r="H1300" s="48" t="str">
        <x:v>Contractor</x:v>
      </x:c>
      <x:c r="I1300" s="48" t="n">
        <x:v>0.78</x:v>
      </x:c>
      <x:c r="J1300" s="48" t="n">
        <x:v>0.92</x:v>
      </x:c>
      <x:c r="K1300" s="48" t="str">
        <x:v>No</x:v>
      </x:c>
      <x:c r="L1300" s="48" t="str">
        <x:v>PDF text</x:v>
      </x:c>
    </x:row>
    <x:row r="1301">
      <x:c r="A1301" s="48" t="str">
        <x:v>UNI-1300</x:v>
      </x:c>
      <x:c r="B1301" s="48" t="str">
        <x:v>RED</x:v>
      </x:c>
      <x:c r="C1301" s="48" t="str">
        <x:v>English</x:v>
      </x:c>
      <x:c r="D1301" s="48" t="n">
        <x:v>76</x:v>
      </x:c>
      <x:c r="E1301" s="48" t="str"/>
      <x:c r="F1301" s="48" t="str">
        <x:v>Otherwise, the following provisions of this Sub-Clause shall apply.</x:v>
      </x:c>
      <x:c r="G1301" s="48" t="str">
        <x:v>Obligation</x:v>
      </x:c>
      <x:c r="H1301" s="48" t="str">
        <x:v>Shared</x:v>
      </x:c>
      <x:c r="I1301" s="48" t="n">
        <x:v>0.88</x:v>
      </x:c>
      <x:c r="J1301" s="48" t="n">
        <x:v>0.4</x:v>
      </x:c>
      <x:c r="K1301" s="48" t="str">
        <x:v>Yes</x:v>
      </x:c>
      <x:c r="L1301" s="48" t="str">
        <x:v>PDF text</x:v>
      </x:c>
    </x:row>
    <x:row r="1302">
      <x:c r="A1302" s="48" t="str">
        <x:v>UNI-1301</x:v>
      </x:c>
      <x:c r="B1302" s="48" t="str">
        <x:v>RED</x:v>
      </x:c>
      <x:c r="C1302" s="48" t="str">
        <x:v>English</x:v>
      </x:c>
      <x:c r="D1302" s="48" t="n">
        <x:v>76</x:v>
      </x:c>
      <x:c r="E1302" s="48" t="str"/>
      <x:c r="F1302" s="48" t="str">
        <x:v>The Contractor shall also submit any other notices which are required by the Contract, and supporting particulars for the claim, all as relevant to such event or circumstance.</x:v>
      </x:c>
      <x:c r="G1302" s="48" t="str">
        <x:v>Obligation</x:v>
      </x:c>
      <x:c r="H1302" s="48" t="str">
        <x:v>Contractor</x:v>
      </x:c>
      <x:c r="I1302" s="48" t="n">
        <x:v>0.88</x:v>
      </x:c>
      <x:c r="J1302" s="48" t="n">
        <x:v>0.92</x:v>
      </x:c>
      <x:c r="K1302" s="48" t="str">
        <x:v>No</x:v>
      </x:c>
      <x:c r="L1302" s="48" t="str">
        <x:v>PDF text</x:v>
      </x:c>
    </x:row>
    <x:row r="1303">
      <x:c r="A1303" s="48" t="str">
        <x:v>UNI-1302</x:v>
      </x:c>
      <x:c r="B1303" s="48" t="str">
        <x:v>RED</x:v>
      </x:c>
      <x:c r="C1303" s="48" t="str">
        <x:v>English</x:v>
      </x:c>
      <x:c r="D1303" s="48" t="n">
        <x:v>76</x:v>
      </x:c>
      <x:c r="E1303" s="48" t="str"/>
      <x:c r="F1303" s="48" t="str">
        <x:v>The Contractor shall keep such contemporary records as may be necessary to</x:v>
      </x:c>
      <x:c r="G1303" s="48" t="str">
        <x:v>Obligation</x:v>
      </x:c>
      <x:c r="H1303" s="48" t="str">
        <x:v>Contractor</x:v>
      </x:c>
      <x:c r="I1303" s="48" t="n">
        <x:v>0.88</x:v>
      </x:c>
      <x:c r="J1303" s="48" t="n">
        <x:v>0.92</x:v>
      </x:c>
      <x:c r="K1303" s="48" t="str">
        <x:v>No</x:v>
      </x:c>
      <x:c r="L1303" s="48" t="str">
        <x:v>PDF text</x:v>
      </x:c>
    </x:row>
    <x:row r="1304">
      <x:c r="A1304" s="48" t="str">
        <x:v>UNI-1303</x:v>
      </x:c>
      <x:c r="B1304" s="48" t="str">
        <x:v>RED</x:v>
      </x:c>
      <x:c r="C1304" s="48" t="str">
        <x:v>English</x:v>
      </x:c>
      <x:c r="D1304" s="48" t="n">
        <x:v>76</x:v>
      </x:c>
      <x:c r="E1304" s="48" t="str"/>
      <x:c r="F1304" s="48" t="str">
        <x:v>substantiate any claim, either on the Site or at another location acceptable to the Engineer.</x:v>
      </x:c>
      <x:c r="G1304" s="48" t="str">
        <x:v>Obligation</x:v>
      </x:c>
      <x:c r="H1304" s="48" t="str">
        <x:v>Shared</x:v>
      </x:c>
      <x:c r="I1304" s="48" t="n">
        <x:v>0.55</x:v>
      </x:c>
      <x:c r="J1304" s="48" t="n">
        <x:v>0.4</x:v>
      </x:c>
      <x:c r="K1304" s="48" t="str">
        <x:v>Yes</x:v>
      </x:c>
      <x:c r="L1304" s="48" t="str">
        <x:v>PDF text</x:v>
      </x:c>
    </x:row>
    <x:row r="1305">
      <x:c r="A1305" s="48" t="str">
        <x:v>UNI-1304</x:v>
      </x:c>
      <x:c r="B1305" s="48" t="str">
        <x:v>RED</x:v>
      </x:c>
      <x:c r="C1305" s="48" t="str">
        <x:v>English</x:v>
      </x:c>
      <x:c r="D1305" s="48" t="n">
        <x:v>76</x:v>
      </x:c>
      <x:c r="E1305" s="48" t="str"/>
      <x:c r="F1305" s="48" t="str">
        <x:v>Without admitting the Employer’s liability, the Engineer may, after receiving any notice under this Sub-Clause, monitor the record-keeping and/or instruct the Contractor to keep further contemporary records.</x:v>
      </x:c>
      <x:c r="G1305" s="48" t="str">
        <x:v>Risk</x:v>
      </x:c>
      <x:c r="H1305" s="48" t="str">
        <x:v>Shared</x:v>
      </x:c>
      <x:c r="I1305" s="48" t="n">
        <x:v>0.78</x:v>
      </x:c>
      <x:c r="J1305" s="48" t="n">
        <x:v>0.6</x:v>
      </x:c>
      <x:c r="K1305" s="48" t="str">
        <x:v>Yes</x:v>
      </x:c>
      <x:c r="L1305" s="48" t="str">
        <x:v>PDF text</x:v>
      </x:c>
    </x:row>
    <x:row r="1306">
      <x:c r="A1306" s="48" t="str">
        <x:v>UNI-1305</x:v>
      </x:c>
      <x:c r="B1306" s="48" t="str">
        <x:v>RED</x:v>
      </x:c>
      <x:c r="C1306" s="48" t="str">
        <x:v>English</x:v>
      </x:c>
      <x:c r="D1306" s="48" t="n">
        <x:v>76</x:v>
      </x:c>
      <x:c r="E1306" s="48" t="str"/>
      <x:c r="F1306" s="48" t="str">
        <x:v>The Contractor shall permit the Engineer to inspect all these records, and shall (if instructed) submit copies to the Engineer.</x:v>
      </x:c>
      <x:c r="G1306" s="48" t="str">
        <x:v>Obligation</x:v>
      </x:c>
      <x:c r="H1306" s="48" t="str">
        <x:v>Contractor</x:v>
      </x:c>
      <x:c r="I1306" s="48" t="n">
        <x:v>0.88</x:v>
      </x:c>
      <x:c r="J1306" s="48" t="n">
        <x:v>0.92</x:v>
      </x:c>
      <x:c r="K1306" s="48" t="str">
        <x:v>No</x:v>
      </x:c>
      <x:c r="L1306" s="48" t="str">
        <x:v>PDF text</x:v>
      </x:c>
    </x:row>
    <x:row r="1307">
      <x:c r="A1307" s="48" t="str">
        <x:v>UNI-1306</x:v>
      </x:c>
      <x:c r="B1307" s="48" t="str">
        <x:v>RED</x:v>
      </x:c>
      <x:c r="C1307" s="48" t="str">
        <x:v>English</x:v>
      </x:c>
      <x:c r="D1307" s="48" t="n">
        <x:v>76</x:v>
      </x:c>
      <x:c r="E1307" s="48" t="str"/>
      <x:c r="F1307" s="48" t="str">
        <x:v>Within 42 days after the Contractor became aware (or should have become aware) of the event or circumstance giving rise to the claim, or within such other period as may be proposed by the Contractor and approved by the Engineer, the Contractor shall send to the Engineer a fully detailed claim which includes full supporting particulars of the basis of the claim and of the extension of time and/or additional payment claimed.</x:v>
      </x:c>
      <x:c r="G1307" s="48" t="str">
        <x:v>Obligation</x:v>
      </x:c>
      <x:c r="H1307" s="48" t="str">
        <x:v>Contractor</x:v>
      </x:c>
      <x:c r="I1307" s="48" t="n">
        <x:v>0.88</x:v>
      </x:c>
      <x:c r="J1307" s="48" t="n">
        <x:v>0.92</x:v>
      </x:c>
      <x:c r="K1307" s="48" t="str">
        <x:v>No</x:v>
      </x:c>
      <x:c r="L1307" s="48" t="str">
        <x:v>PDF text</x:v>
      </x:c>
    </x:row>
    <x:row r="1308">
      <x:c r="A1308" s="48" t="str">
        <x:v>UNI-1307</x:v>
      </x:c>
      <x:c r="B1308" s="48" t="str">
        <x:v>RED</x:v>
      </x:c>
      <x:c r="C1308" s="48" t="str">
        <x:v>English</x:v>
      </x:c>
      <x:c r="D1308" s="48" t="n">
        <x:v>76</x:v>
      </x:c>
      <x:c r="E1308" s="48" t="str"/>
      <x:c r="F1308" s="48" t="str">
        <x:v>If the event or circumstance giving rise to the claim has a continuing effect: (a) this fully detailed claim shall be considered as interim; (b) the Contractor shall send further interim claims at monthly intervals, giving the accumulated delay and/or amount claimed, and such further particulars as the Engineer may reasonably require; and (c) the Contractor shall send a final claim within 28 days after the end of the effects resulting from the event or circumstance, or within such other period as may be proposed by the Contractor and approved by the Engineer.</x:v>
      </x:c>
      <x:c r="G1308" s="48" t="str">
        <x:v>Risk</x:v>
      </x:c>
      <x:c r="H1308" s="48" t="str">
        <x:v>Contractor</x:v>
      </x:c>
      <x:c r="I1308" s="48" t="n">
        <x:v>0.78</x:v>
      </x:c>
      <x:c r="J1308" s="48" t="n">
        <x:v>0.92</x:v>
      </x:c>
      <x:c r="K1308" s="48" t="str">
        <x:v>No</x:v>
      </x:c>
      <x:c r="L1308" s="48" t="str">
        <x:v>PDF text</x:v>
      </x:c>
    </x:row>
    <x:row r="1309">
      <x:c r="A1309" s="48" t="str">
        <x:v>UNI-1308</x:v>
      </x:c>
      <x:c r="B1309" s="48" t="str">
        <x:v>RED</x:v>
      </x:c>
      <x:c r="C1309" s="48" t="str">
        <x:v>English</x:v>
      </x:c>
      <x:c r="D1309" s="48" t="n">
        <x:v>76</x:v>
      </x:c>
      <x:c r="E1309" s="48" t="str"/>
      <x:c r="F1309" s="48" t="str">
        <x:v>Release from</x:v>
      </x:c>
      <x:c r="G1309" s="48" t="str">
        <x:v>Obligation</x:v>
      </x:c>
      <x:c r="H1309" s="48" t="str">
        <x:v>Shared</x:v>
      </x:c>
      <x:c r="I1309" s="48" t="n">
        <x:v>0.45</x:v>
      </x:c>
      <x:c r="J1309" s="48" t="n">
        <x:v>0.4</x:v>
      </x:c>
      <x:c r="K1309" s="48" t="str">
        <x:v>Yes</x:v>
      </x:c>
      <x:c r="L1309" s="48" t="str">
        <x:v>PDF text</x:v>
      </x:c>
    </x:row>
    <x:row r="1310">
      <x:c r="A1310" s="48" t="str">
        <x:v>UNI-1309</x:v>
      </x:c>
      <x:c r="B1310" s="48" t="str">
        <x:v>RED</x:v>
      </x:c>
      <x:c r="C1310" s="48" t="str">
        <x:v>English</x:v>
      </x:c>
      <x:c r="D1310" s="48" t="n">
        <x:v>76</x:v>
      </x:c>
      <x:c r="E1310" s="48" t="str"/>
      <x:c r="F1310" s="48" t="str">
        <x:v>Performance</x:v>
      </x:c>
      <x:c r="G1310" s="48" t="str">
        <x:v>Obligation</x:v>
      </x:c>
      <x:c r="H1310" s="48" t="str">
        <x:v>Shared</x:v>
      </x:c>
      <x:c r="I1310" s="48" t="n">
        <x:v>0.45</x:v>
      </x:c>
      <x:c r="J1310" s="48" t="n">
        <x:v>0.4</x:v>
      </x:c>
      <x:c r="K1310" s="48" t="str">
        <x:v>Yes</x:v>
      </x:c>
      <x:c r="L1310" s="48" t="str">
        <x:v>PDF text</x:v>
      </x:c>
    </x:row>
    <x:row r="1311">
      <x:c r="A1311" s="48" t="str">
        <x:v>UNI-1310</x:v>
      </x:c>
      <x:c r="B1311" s="48" t="str">
        <x:v>RED</x:v>
      </x:c>
      <x:c r="C1311" s="48" t="str">
        <x:v>English</x:v>
      </x:c>
      <x:c r="D1311" s="48" t="n">
        <x:v>76</x:v>
      </x:c>
      <x:c r="E1311" s="48" t="str">
        <x:v>20.1</x:v>
      </x:c>
      <x:c r="F1311" s="48" t="str">
        <x:v>20.1 Contractor’s Claims20</x:v>
      </x:c>
      <x:c r="G1311" s="48" t="str">
        <x:v>Heading</x:v>
      </x:c>
      <x:c r="H1311" s="48" t="str"/>
      <x:c r="I1311" s="48" t="n">
        <x:v>0.9</x:v>
      </x:c>
      <x:c r="J1311" s="48" t="n">
        <x:v>0.99</x:v>
      </x:c>
      <x:c r="K1311" s="48" t="str">
        <x:v>No</x:v>
      </x:c>
      <x:c r="L1311" s="48" t="str">
        <x:v>PDF text</x:v>
      </x:c>
    </x:row>
    <x:row r="1312">
      <x:c r="A1312" s="48" t="str">
        <x:v>UNI-1311</x:v>
      </x:c>
      <x:c r="B1312" s="48" t="str">
        <x:v>RED</x:v>
      </x:c>
      <x:c r="C1312" s="48" t="str">
        <x:v>English</x:v>
      </x:c>
      <x:c r="D1312" s="48" t="n">
        <x:v>76</x:v>
      </x:c>
      <x:c r="E1312" s="48" t="str"/>
      <x:c r="F1312" s="48" t="str">
        <x:v>Claims, Disputes and Arbitration</x:v>
      </x:c>
      <x:c r="G1312" s="48" t="str">
        <x:v>Obligation</x:v>
      </x:c>
      <x:c r="H1312" s="48" t="str">
        <x:v>Shared</x:v>
      </x:c>
      <x:c r="I1312" s="48" t="n">
        <x:v>0.45</x:v>
      </x:c>
      <x:c r="J1312" s="48" t="n">
        <x:v>0.4</x:v>
      </x:c>
      <x:c r="K1312" s="48" t="str">
        <x:v>Yes</x:v>
      </x:c>
      <x:c r="L1312" s="48" t="str">
        <x:v>PDF text</x:v>
      </x:c>
    </x:row>
    <x:row r="1313">
      <x:c r="A1313" s="48" t="str">
        <x:v>UNI-1312</x:v>
      </x:c>
      <x:c r="B1313" s="48" t="str">
        <x:v>RED</x:v>
      </x:c>
      <x:c r="C1313" s="48" t="str">
        <x:v>English</x:v>
      </x:c>
      <x:c r="D1313" s="48" t="n">
        <x:v>77</x:v>
      </x:c>
      <x:c r="E1313" s="48" t="str"/>
      <x:c r="F1313" s="48" t="str">
        <x:v>Within 42 days after receiving a claim or any further particulars supporting a previous claim, or within such other period as may be proposed by the Engineer and approved by the Contractor, the Engineer shall respond with approval, or with disapproval and detailed comments.</x:v>
      </x:c>
      <x:c r="G1313" s="48" t="str">
        <x:v>Obligation</x:v>
      </x:c>
      <x:c r="H1313" s="48" t="str">
        <x:v>Contractor</x:v>
      </x:c>
      <x:c r="I1313" s="48" t="n">
        <x:v>0.88</x:v>
      </x:c>
      <x:c r="J1313" s="48" t="n">
        <x:v>0.68</x:v>
      </x:c>
      <x:c r="K1313" s="48" t="str">
        <x:v>Yes</x:v>
      </x:c>
      <x:c r="L1313" s="48" t="str">
        <x:v>PDF text</x:v>
      </x:c>
    </x:row>
    <x:row r="1314">
      <x:c r="A1314" s="48" t="str">
        <x:v>UNI-1313</x:v>
      </x:c>
      <x:c r="B1314" s="48" t="str">
        <x:v>RED</x:v>
      </x:c>
      <x:c r="C1314" s="48" t="str">
        <x:v>English</x:v>
      </x:c>
      <x:c r="D1314" s="48" t="n">
        <x:v>77</x:v>
      </x:c>
      <x:c r="E1314" s="48" t="str"/>
      <x:c r="F1314" s="48" t="str">
        <x:v>He may also request any necessary further particulars, but shall nevertheless give his response on the principles of the claim within such time.</x:v>
      </x:c>
      <x:c r="G1314" s="48" t="str">
        <x:v>Obligation</x:v>
      </x:c>
      <x:c r="H1314" s="48" t="str">
        <x:v>Shared</x:v>
      </x:c>
      <x:c r="I1314" s="48" t="n">
        <x:v>0.88</x:v>
      </x:c>
      <x:c r="J1314" s="48" t="n">
        <x:v>0.4</x:v>
      </x:c>
      <x:c r="K1314" s="48" t="str">
        <x:v>Yes</x:v>
      </x:c>
      <x:c r="L1314" s="48" t="str">
        <x:v>PDF text</x:v>
      </x:c>
    </x:row>
    <x:row r="1315">
      <x:c r="A1315" s="48" t="str">
        <x:v>UNI-1314</x:v>
      </x:c>
      <x:c r="B1315" s="48" t="str">
        <x:v>RED</x:v>
      </x:c>
      <x:c r="C1315" s="48" t="str">
        <x:v>English</x:v>
      </x:c>
      <x:c r="D1315" s="48" t="n">
        <x:v>77</x:v>
      </x:c>
      <x:c r="E1315" s="48" t="str"/>
      <x:c r="F1315" s="48" t="str">
        <x:v>Each Payment Certificate shall include such amounts for any claim as have been</x:v>
      </x:c>
      <x:c r="G1315" s="48" t="str">
        <x:v>Obligation</x:v>
      </x:c>
      <x:c r="H1315" s="48" t="str">
        <x:v>Shared</x:v>
      </x:c>
      <x:c r="I1315" s="48" t="n">
        <x:v>0.88</x:v>
      </x:c>
      <x:c r="J1315" s="48" t="n">
        <x:v>0.4</x:v>
      </x:c>
      <x:c r="K1315" s="48" t="str">
        <x:v>Yes</x:v>
      </x:c>
      <x:c r="L1315" s="48" t="str">
        <x:v>PDF text</x:v>
      </x:c>
    </x:row>
    <x:row r="1316">
      <x:c r="A1316" s="48" t="str">
        <x:v>UNI-1315</x:v>
      </x:c>
      <x:c r="B1316" s="48" t="str">
        <x:v>RED</x:v>
      </x:c>
      <x:c r="C1316" s="48" t="str">
        <x:v>English</x:v>
      </x:c>
      <x:c r="D1316" s="48" t="n">
        <x:v>77</x:v>
      </x:c>
      <x:c r="E1316" s="48" t="str"/>
      <x:c r="F1316" s="48" t="str">
        <x:v>reasonably substantiated as due under the relevant provision of the Contract.</x:v>
      </x:c>
      <x:c r="G1316" s="48" t="str">
        <x:v>Obligation</x:v>
      </x:c>
      <x:c r="H1316" s="48" t="str">
        <x:v>Shared</x:v>
      </x:c>
      <x:c r="I1316" s="48" t="n">
        <x:v>0.45</x:v>
      </x:c>
      <x:c r="J1316" s="48" t="n">
        <x:v>0.4</x:v>
      </x:c>
      <x:c r="K1316" s="48" t="str">
        <x:v>Yes</x:v>
      </x:c>
      <x:c r="L1316" s="48" t="str">
        <x:v>PDF text</x:v>
      </x:c>
    </x:row>
    <x:row r="1317">
      <x:c r="A1317" s="48" t="str">
        <x:v>UNI-1316</x:v>
      </x:c>
      <x:c r="B1317" s="48" t="str">
        <x:v>RED</x:v>
      </x:c>
      <x:c r="C1317" s="48" t="str">
        <x:v>English</x:v>
      </x:c>
      <x:c r="D1317" s="48" t="n">
        <x:v>77</x:v>
      </x:c>
      <x:c r="E1317" s="48" t="str"/>
      <x:c r="F1317" s="48" t="str">
        <x:v>Unless and until the particulars supplied are sufficient to substantiate the whole of the claim, the Contractor shall only be entitled to payment for such part of the claim as he has been able to substantiate.</x:v>
      </x:c>
      <x:c r="G1317" s="48" t="str">
        <x:v>Obligation</x:v>
      </x:c>
      <x:c r="H1317" s="48" t="str">
        <x:v>Contractor</x:v>
      </x:c>
      <x:c r="I1317" s="48" t="n">
        <x:v>0.88</x:v>
      </x:c>
      <x:c r="J1317" s="48" t="n">
        <x:v>0.92</x:v>
      </x:c>
      <x:c r="K1317" s="48" t="str">
        <x:v>No</x:v>
      </x:c>
      <x:c r="L1317" s="48" t="str">
        <x:v>PDF text</x:v>
      </x:c>
    </x:row>
    <x:row r="1318">
      <x:c r="A1318" s="48" t="str">
        <x:v>UNI-1317</x:v>
      </x:c>
      <x:c r="B1318" s="48" t="str">
        <x:v>RED</x:v>
      </x:c>
      <x:c r="C1318" s="48" t="str">
        <x:v>English</x:v>
      </x:c>
      <x:c r="D1318" s="48" t="n">
        <x:v>77</x:v>
      </x:c>
      <x:c r="E1318" s="48" t="str"/>
      <x:c r="F1318" s="48" t="str">
        <x:v>The Engineer shall proceed in accordance with Sub-Clause 3.5 [Determinations] to agree or determine (i) the extension (if any) of the Time for Completion (before or after its expiry) in accordance with Sub-Clause 8.4 [Extension of Time for Completion], and/or (ii) the additional payment (if any) to which the Contractor is entitled under the Contract.</x:v>
      </x:c>
      <x:c r="G1318" s="48" t="str">
        <x:v>Obligation</x:v>
      </x:c>
      <x:c r="H1318" s="48" t="str">
        <x:v>Contractor</x:v>
      </x:c>
      <x:c r="I1318" s="48" t="n">
        <x:v>0.88</x:v>
      </x:c>
      <x:c r="J1318" s="48" t="n">
        <x:v>0.68</x:v>
      </x:c>
      <x:c r="K1318" s="48" t="str">
        <x:v>Yes</x:v>
      </x:c>
      <x:c r="L1318" s="48" t="str">
        <x:v>PDF text</x:v>
      </x:c>
    </x:row>
    <x:row r="1319">
      <x:c r="A1319" s="48" t="str">
        <x:v>UNI-1318</x:v>
      </x:c>
      <x:c r="B1319" s="48" t="str">
        <x:v>RED</x:v>
      </x:c>
      <x:c r="C1319" s="48" t="str">
        <x:v>English</x:v>
      </x:c>
      <x:c r="D1319" s="48" t="n">
        <x:v>77</x:v>
      </x:c>
      <x:c r="E1319" s="48" t="str"/>
      <x:c r="F1319" s="48" t="str">
        <x:v>The requirements of this Sub-Clause are in addition to those of any other Sub-Clause which may apply to a claim.</x:v>
      </x:c>
      <x:c r="G1319" s="48" t="str">
        <x:v>Right</x:v>
      </x:c>
      <x:c r="H1319" s="48" t="str">
        <x:v>Shared</x:v>
      </x:c>
      <x:c r="I1319" s="48" t="n">
        <x:v>0.78</x:v>
      </x:c>
      <x:c r="J1319" s="48" t="n">
        <x:v>0.4</x:v>
      </x:c>
      <x:c r="K1319" s="48" t="str">
        <x:v>Yes</x:v>
      </x:c>
      <x:c r="L1319" s="48" t="str">
        <x:v>PDF text</x:v>
      </x:c>
    </x:row>
    <x:row r="1320">
      <x:c r="A1320" s="48" t="str">
        <x:v>UNI-1319</x:v>
      </x:c>
      <x:c r="B1320" s="48" t="str">
        <x:v>RED</x:v>
      </x:c>
      <x:c r="C1320" s="48" t="str">
        <x:v>English</x:v>
      </x:c>
      <x:c r="D1320" s="48" t="n">
        <x:v>77</x:v>
      </x:c>
      <x:c r="E1320" s="48" t="str"/>
      <x:c r="F1320" s="48" t="str">
        <x:v>If the Contractor fails to comply with this or another SubClause in relation to any claim, any extension of time and/or additional payment shall take account of the extent (if any) to which the failure has prevented or prejudiced proper investigation of the claim, unless the claim is excluded under the second paragraph of this Sub-Clause.</x:v>
      </x:c>
      <x:c r="G1320" s="48" t="str">
        <x:v>Risk</x:v>
      </x:c>
      <x:c r="H1320" s="48" t="str">
        <x:v>Contractor</x:v>
      </x:c>
      <x:c r="I1320" s="48" t="n">
        <x:v>0.78</x:v>
      </x:c>
      <x:c r="J1320" s="48" t="n">
        <x:v>0.68</x:v>
      </x:c>
      <x:c r="K1320" s="48" t="str">
        <x:v>Yes</x:v>
      </x:c>
      <x:c r="L1320" s="48" t="str">
        <x:v>PDF text</x:v>
      </x:c>
    </x:row>
    <x:row r="1321">
      <x:c r="A1321" s="48" t="str">
        <x:v>UNI-1320</x:v>
      </x:c>
      <x:c r="B1321" s="48" t="str">
        <x:v>RED</x:v>
      </x:c>
      <x:c r="C1321" s="48" t="str">
        <x:v>English</x:v>
      </x:c>
      <x:c r="D1321" s="48" t="n">
        <x:v>77</x:v>
      </x:c>
      <x:c r="E1321" s="48" t="str"/>
      <x:c r="F1321" s="48" t="str">
        <x:v>Disputes shall be referred to a DB for decision in accordance with Sub-Clause 20.4 [Obtaining Dispute Board’s Decision].</x:v>
      </x:c>
      <x:c r="G1321" s="48" t="str">
        <x:v>Obligation</x:v>
      </x:c>
      <x:c r="H1321" s="48" t="str">
        <x:v>Shared</x:v>
      </x:c>
      <x:c r="I1321" s="48" t="n">
        <x:v>0.88</x:v>
      </x:c>
      <x:c r="J1321" s="48" t="n">
        <x:v>0.4</x:v>
      </x:c>
      <x:c r="K1321" s="48" t="str">
        <x:v>Yes</x:v>
      </x:c>
      <x:c r="L1321" s="48" t="str">
        <x:v>PDF text</x:v>
      </x:c>
    </x:row>
    <x:row r="1322">
      <x:c r="A1322" s="48" t="str">
        <x:v>UNI-1321</x:v>
      </x:c>
      <x:c r="B1322" s="48" t="str">
        <x:v>RED</x:v>
      </x:c>
      <x:c r="C1322" s="48" t="str">
        <x:v>English</x:v>
      </x:c>
      <x:c r="D1322" s="48" t="n">
        <x:v>77</x:v>
      </x:c>
      <x:c r="E1322" s="48" t="str"/>
      <x:c r="F1322" s="48" t="str">
        <x:v>The Parties shall appoint a DB by the date stated in the Contract Data.</x:v>
      </x:c>
      <x:c r="G1322" s="48" t="str">
        <x:v>Obligation</x:v>
      </x:c>
      <x:c r="H1322" s="48" t="str">
        <x:v>Shared</x:v>
      </x:c>
      <x:c r="I1322" s="48" t="n">
        <x:v>0.88</x:v>
      </x:c>
      <x:c r="J1322" s="48" t="n">
        <x:v>0.93</x:v>
      </x:c>
      <x:c r="K1322" s="48" t="str">
        <x:v>No</x:v>
      </x:c>
      <x:c r="L1322" s="48" t="str">
        <x:v>PDF text</x:v>
      </x:c>
    </x:row>
    <x:row r="1323">
      <x:c r="A1323" s="48" t="str">
        <x:v>UNI-1322</x:v>
      </x:c>
      <x:c r="B1323" s="48" t="str">
        <x:v>RED</x:v>
      </x:c>
      <x:c r="C1323" s="48" t="str">
        <x:v>English</x:v>
      </x:c>
      <x:c r="D1323" s="48" t="n">
        <x:v>77</x:v>
      </x:c>
      <x:c r="E1323" s="48" t="str"/>
      <x:c r="F1323" s="48" t="str">
        <x:v>The DB shall comprise, as stated in the Contract Data, either one or three suitably qualified persons (“the members”), each of whom shall be fluent in the language for communication defined in the Contract and shall be a professional experienced in the type of construction involved in the Works and with the interpretation of contractual documents.</x:v>
      </x:c>
      <x:c r="G1323" s="48" t="str">
        <x:v>Obligation</x:v>
      </x:c>
      <x:c r="H1323" s="48" t="str">
        <x:v>Shared</x:v>
      </x:c>
      <x:c r="I1323" s="48" t="n">
        <x:v>0.88</x:v>
      </x:c>
      <x:c r="J1323" s="48" t="n">
        <x:v>0.4</x:v>
      </x:c>
      <x:c r="K1323" s="48" t="str">
        <x:v>Yes</x:v>
      </x:c>
      <x:c r="L1323" s="48" t="str">
        <x:v>PDF text</x:v>
      </x:c>
    </x:row>
    <x:row r="1324">
      <x:c r="A1324" s="48" t="str">
        <x:v>UNI-1323</x:v>
      </x:c>
      <x:c r="B1324" s="48" t="str">
        <x:v>RED</x:v>
      </x:c>
      <x:c r="C1324" s="48" t="str">
        <x:v>English</x:v>
      </x:c>
      <x:c r="D1324" s="48" t="n">
        <x:v>77</x:v>
      </x:c>
      <x:c r="E1324" s="48" t="str"/>
      <x:c r="F1324" s="48" t="str">
        <x:v>If the number is not so stated and the Parties do not agree otherwise, the DB shall comprise three persons, one of whom shall serve as chairman.</x:v>
      </x:c>
      <x:c r="G1324" s="48" t="str">
        <x:v>Obligation</x:v>
      </x:c>
      <x:c r="H1324" s="48" t="str">
        <x:v>Shared</x:v>
      </x:c>
      <x:c r="I1324" s="48" t="n">
        <x:v>0.88</x:v>
      </x:c>
      <x:c r="J1324" s="48" t="n">
        <x:v>0.93</x:v>
      </x:c>
      <x:c r="K1324" s="48" t="str">
        <x:v>No</x:v>
      </x:c>
      <x:c r="L1324" s="48" t="str">
        <x:v>PDF text</x:v>
      </x:c>
    </x:row>
    <x:row r="1325">
      <x:c r="A1325" s="48" t="str">
        <x:v>UNI-1324</x:v>
      </x:c>
      <x:c r="B1325" s="48" t="str">
        <x:v>RED</x:v>
      </x:c>
      <x:c r="C1325" s="48" t="str">
        <x:v>English</x:v>
      </x:c>
      <x:c r="D1325" s="48" t="n">
        <x:v>77</x:v>
      </x:c>
      <x:c r="E1325" s="48" t="str"/>
      <x:c r="F1325" s="48" t="str">
        <x:v>If the Parties have not jointly appointed the DB 21 days before the date stated in the</x:v>
      </x:c>
      <x:c r="G1325" s="48" t="str">
        <x:v>Obligation</x:v>
      </x:c>
      <x:c r="H1325" s="48" t="str">
        <x:v>Shared</x:v>
      </x:c>
      <x:c r="I1325" s="48" t="n">
        <x:v>0.45</x:v>
      </x:c>
      <x:c r="J1325" s="48" t="n">
        <x:v>0.93</x:v>
      </x:c>
      <x:c r="K1325" s="48" t="str">
        <x:v>Yes</x:v>
      </x:c>
      <x:c r="L1325" s="48" t="str">
        <x:v>PDF text</x:v>
      </x:c>
    </x:row>
    <x:row r="1326">
      <x:c r="A1326" s="48" t="str">
        <x:v>UNI-1325</x:v>
      </x:c>
      <x:c r="B1326" s="48" t="str">
        <x:v>RED</x:v>
      </x:c>
      <x:c r="C1326" s="48" t="str">
        <x:v>English</x:v>
      </x:c>
      <x:c r="D1326" s="48" t="n">
        <x:v>77</x:v>
      </x:c>
      <x:c r="E1326" s="48" t="str"/>
      <x:c r="F1326" s="48" t="str">
        <x:v>Contract Data and the DB is to comprise three persons, each Party shall nominate</x:v>
      </x:c>
      <x:c r="G1326" s="48" t="str">
        <x:v>Obligation</x:v>
      </x:c>
      <x:c r="H1326" s="48" t="str">
        <x:v>Shared</x:v>
      </x:c>
      <x:c r="I1326" s="48" t="n">
        <x:v>0.88</x:v>
      </x:c>
      <x:c r="J1326" s="48" t="n">
        <x:v>0.93</x:v>
      </x:c>
      <x:c r="K1326" s="48" t="str">
        <x:v>No</x:v>
      </x:c>
      <x:c r="L1326" s="48" t="str">
        <x:v>PDF text</x:v>
      </x:c>
    </x:row>
    <x:row r="1327">
      <x:c r="A1327" s="48" t="str">
        <x:v>UNI-1326</x:v>
      </x:c>
      <x:c r="B1327" s="48" t="str">
        <x:v>RED</x:v>
      </x:c>
      <x:c r="C1327" s="48" t="str">
        <x:v>English</x:v>
      </x:c>
      <x:c r="D1327" s="48" t="n">
        <x:v>77</x:v>
      </x:c>
      <x:c r="E1327" s="48" t="str"/>
      <x:c r="F1327" s="48" t="str">
        <x:v>one member for the approval of the other Party.</x:v>
      </x:c>
      <x:c r="G1327" s="48" t="str">
        <x:v>Obligation</x:v>
      </x:c>
      <x:c r="H1327" s="48" t="str">
        <x:v>Shared</x:v>
      </x:c>
      <x:c r="I1327" s="48" t="n">
        <x:v>0.45</x:v>
      </x:c>
      <x:c r="J1327" s="48" t="n">
        <x:v>0.4</x:v>
      </x:c>
      <x:c r="K1327" s="48" t="str">
        <x:v>Yes</x:v>
      </x:c>
      <x:c r="L1327" s="48" t="str">
        <x:v>PDF text</x:v>
      </x:c>
    </x:row>
    <x:row r="1328">
      <x:c r="A1328" s="48" t="str">
        <x:v>UNI-1327</x:v>
      </x:c>
      <x:c r="B1328" s="48" t="str">
        <x:v>RED</x:v>
      </x:c>
      <x:c r="C1328" s="48" t="str">
        <x:v>English</x:v>
      </x:c>
      <x:c r="D1328" s="48" t="n">
        <x:v>77</x:v>
      </x:c>
      <x:c r="E1328" s="48" t="str"/>
      <x:c r="F1328" s="48" t="str">
        <x:v>The first two members shall recommend and the Parties shall agree upon the third member, who shall act as chairman.</x:v>
      </x:c>
      <x:c r="G1328" s="48" t="str">
        <x:v>Obligation</x:v>
      </x:c>
      <x:c r="H1328" s="48" t="str">
        <x:v>Shared</x:v>
      </x:c>
      <x:c r="I1328" s="48" t="n">
        <x:v>0.88</x:v>
      </x:c>
      <x:c r="J1328" s="48" t="n">
        <x:v>0.93</x:v>
      </x:c>
      <x:c r="K1328" s="48" t="str">
        <x:v>No</x:v>
      </x:c>
      <x:c r="L1328" s="48" t="str">
        <x:v>PDF text</x:v>
      </x:c>
    </x:row>
    <x:row r="1329">
      <x:c r="A1329" s="48" t="str">
        <x:v>UNI-1328</x:v>
      </x:c>
      <x:c r="B1329" s="48" t="str">
        <x:v>RED</x:v>
      </x:c>
      <x:c r="C1329" s="48" t="str">
        <x:v>English</x:v>
      </x:c>
      <x:c r="D1329" s="48" t="n">
        <x:v>77</x:v>
      </x:c>
      <x:c r="E1329" s="48" t="str"/>
      <x:c r="F1329" s="48" t="str">
        <x:v>The agreement between the Parties and either the sole member or each of the three</x:v>
      </x:c>
      <x:c r="G1329" s="48" t="str">
        <x:v>Obligation</x:v>
      </x:c>
      <x:c r="H1329" s="48" t="str">
        <x:v>Shared</x:v>
      </x:c>
      <x:c r="I1329" s="48" t="n">
        <x:v>0.45</x:v>
      </x:c>
      <x:c r="J1329" s="48" t="n">
        <x:v>0.93</x:v>
      </x:c>
      <x:c r="K1329" s="48" t="str">
        <x:v>Yes</x:v>
      </x:c>
      <x:c r="L1329" s="48" t="str">
        <x:v>PDF text</x:v>
      </x:c>
    </x:row>
    <x:row r="1330">
      <x:c r="A1330" s="48" t="str">
        <x:v>UNI-1329</x:v>
      </x:c>
      <x:c r="B1330" s="48" t="str">
        <x:v>RED</x:v>
      </x:c>
      <x:c r="C1330" s="48" t="str">
        <x:v>English</x:v>
      </x:c>
      <x:c r="D1330" s="48" t="n">
        <x:v>77</x:v>
      </x:c>
      <x:c r="E1330" s="48" t="str"/>
      <x:c r="F1330" s="48" t="str">
        <x:v>members shall incorporate by reference the General Conditions of Dispute Board</x:v>
      </x:c>
      <x:c r="G1330" s="48" t="str">
        <x:v>Obligation</x:v>
      </x:c>
      <x:c r="H1330" s="48" t="str">
        <x:v>Shared</x:v>
      </x:c>
      <x:c r="I1330" s="48" t="n">
        <x:v>0.88</x:v>
      </x:c>
      <x:c r="J1330" s="48" t="n">
        <x:v>0.4</x:v>
      </x:c>
      <x:c r="K1330" s="48" t="str">
        <x:v>Yes</x:v>
      </x:c>
      <x:c r="L1330" s="48" t="str">
        <x:v>PDF text</x:v>
      </x:c>
    </x:row>
    <x:row r="1331">
      <x:c r="A1331" s="48" t="str">
        <x:v>UNI-1330</x:v>
      </x:c>
      <x:c r="B1331" s="48" t="str">
        <x:v>RED</x:v>
      </x:c>
      <x:c r="C1331" s="48" t="str">
        <x:v>English</x:v>
      </x:c>
      <x:c r="D1331" s="48" t="n">
        <x:v>77</x:v>
      </x:c>
      <x:c r="E1331" s="48" t="str"/>
      <x:c r="F1331" s="48" t="str">
        <x:v>Agreement contained in the Appendix to these General Conditions, with such</x:v>
      </x:c>
      <x:c r="G1331" s="48" t="str">
        <x:v>Obligation</x:v>
      </x:c>
      <x:c r="H1331" s="48" t="str">
        <x:v>Shared</x:v>
      </x:c>
      <x:c r="I1331" s="48" t="n">
        <x:v>0.45</x:v>
      </x:c>
      <x:c r="J1331" s="48" t="n">
        <x:v>0.4</x:v>
      </x:c>
      <x:c r="K1331" s="48" t="str">
        <x:v>Yes</x:v>
      </x:c>
      <x:c r="L1331" s="48" t="str">
        <x:v>PDF text</x:v>
      </x:c>
    </x:row>
    <x:row r="1332">
      <x:c r="A1332" s="48" t="str">
        <x:v>UNI-1331</x:v>
      </x:c>
      <x:c r="B1332" s="48" t="str">
        <x:v>RED</x:v>
      </x:c>
      <x:c r="C1332" s="48" t="str">
        <x:v>English</x:v>
      </x:c>
      <x:c r="D1332" s="48" t="n">
        <x:v>77</x:v>
      </x:c>
      <x:c r="E1332" s="48" t="str"/>
      <x:c r="F1332" s="48" t="str">
        <x:v>amendments as are agreed between them.</x:v>
      </x:c>
      <x:c r="G1332" s="48" t="str">
        <x:v>Obligation</x:v>
      </x:c>
      <x:c r="H1332" s="48" t="str">
        <x:v>Shared</x:v>
      </x:c>
      <x:c r="I1332" s="48" t="n">
        <x:v>0.45</x:v>
      </x:c>
      <x:c r="J1332" s="48" t="n">
        <x:v>0.4</x:v>
      </x:c>
      <x:c r="K1332" s="48" t="str">
        <x:v>Yes</x:v>
      </x:c>
      <x:c r="L1332" s="48" t="str">
        <x:v>PDF text</x:v>
      </x:c>
    </x:row>
    <x:row r="1333">
      <x:c r="A1333" s="48" t="str">
        <x:v>UNI-1332</x:v>
      </x:c>
      <x:c r="B1333" s="48" t="str">
        <x:v>RED</x:v>
      </x:c>
      <x:c r="C1333" s="48" t="str">
        <x:v>English</x:v>
      </x:c>
      <x:c r="D1333" s="48" t="n">
        <x:v>77</x:v>
      </x:c>
      <x:c r="E1333" s="48" t="str"/>
      <x:c r="F1333" s="48" t="str">
        <x:v>The terms of the remuneration of either the sole member or each of the three</x:v>
      </x:c>
      <x:c r="G1333" s="48" t="str">
        <x:v>Obligation</x:v>
      </x:c>
      <x:c r="H1333" s="48" t="str">
        <x:v>Shared</x:v>
      </x:c>
      <x:c r="I1333" s="48" t="n">
        <x:v>0.45</x:v>
      </x:c>
      <x:c r="J1333" s="48" t="n">
        <x:v>0.4</x:v>
      </x:c>
      <x:c r="K1333" s="48" t="str">
        <x:v>Yes</x:v>
      </x:c>
      <x:c r="L1333" s="48" t="str">
        <x:v>PDF text</x:v>
      </x:c>
    </x:row>
    <x:row r="1334">
      <x:c r="A1334" s="48" t="str">
        <x:v>UNI-1333</x:v>
      </x:c>
      <x:c r="B1334" s="48" t="str">
        <x:v>RED</x:v>
      </x:c>
      <x:c r="C1334" s="48" t="str">
        <x:v>English</x:v>
      </x:c>
      <x:c r="D1334" s="48" t="n">
        <x:v>77</x:v>
      </x:c>
      <x:c r="E1334" s="48" t="str"/>
      <x:c r="F1334" s="48" t="str">
        <x:v>members, including the remuneration of any expert whom the DB consults, shall be mutually agreed upon by the Parties when agreeing the terms of appointment of the member or such expert (as the case may be).</x:v>
      </x:c>
      <x:c r="G1334" s="48" t="str">
        <x:v>Obligation</x:v>
      </x:c>
      <x:c r="H1334" s="48" t="str">
        <x:v>Shared</x:v>
      </x:c>
      <x:c r="I1334" s="48" t="n">
        <x:v>0.88</x:v>
      </x:c>
      <x:c r="J1334" s="48" t="n">
        <x:v>0.93</x:v>
      </x:c>
      <x:c r="K1334" s="48" t="str">
        <x:v>No</x:v>
      </x:c>
      <x:c r="L1334" s="48" t="str">
        <x:v>PDF text</x:v>
      </x:c>
    </x:row>
    <x:row r="1335">
      <x:c r="A1335" s="48" t="str">
        <x:v>UNI-1334</x:v>
      </x:c>
      <x:c r="B1335" s="48" t="str">
        <x:v>RED</x:v>
      </x:c>
      <x:c r="C1335" s="48" t="str">
        <x:v>English</x:v>
      </x:c>
      <x:c r="D1335" s="48" t="n">
        <x:v>77</x:v>
      </x:c>
      <x:c r="E1335" s="48" t="str"/>
      <x:c r="F1335" s="48" t="str">
        <x:v>Each Party shall be responsible for paying one-half of this remuneration.</x:v>
      </x:c>
      <x:c r="G1335" s="48" t="str">
        <x:v>Obligation</x:v>
      </x:c>
      <x:c r="H1335" s="48" t="str">
        <x:v>Shared</x:v>
      </x:c>
      <x:c r="I1335" s="48" t="n">
        <x:v>0.88</x:v>
      </x:c>
      <x:c r="J1335" s="48" t="n">
        <x:v>0.93</x:v>
      </x:c>
      <x:c r="K1335" s="48" t="str">
        <x:v>No</x:v>
      </x:c>
      <x:c r="L1335" s="48" t="str">
        <x:v>PDF text</x:v>
      </x:c>
    </x:row>
    <x:row r="1336">
      <x:c r="A1336" s="48" t="str">
        <x:v>UNI-1335</x:v>
      </x:c>
      <x:c r="B1336" s="48" t="str">
        <x:v>RED</x:v>
      </x:c>
      <x:c r="C1336" s="48" t="str">
        <x:v>English</x:v>
      </x:c>
      <x:c r="D1336" s="48" t="n">
        <x:v>77</x:v>
      </x:c>
      <x:c r="E1336" s="48" t="str"/>
      <x:c r="F1336" s="48" t="str">
        <x:v>If a member declines to act or is unable to act as a result of death, disability,</x:v>
      </x:c>
      <x:c r="G1336" s="48" t="str">
        <x:v>Obligation</x:v>
      </x:c>
      <x:c r="H1336" s="48" t="str">
        <x:v>Shared</x:v>
      </x:c>
      <x:c r="I1336" s="48" t="n">
        <x:v>0.45</x:v>
      </x:c>
      <x:c r="J1336" s="48" t="n">
        <x:v>0.4</x:v>
      </x:c>
      <x:c r="K1336" s="48" t="str">
        <x:v>Yes</x:v>
      </x:c>
      <x:c r="L1336" s="48" t="str">
        <x:v>PDF text</x:v>
      </x:c>
    </x:row>
    <x:row r="1337">
      <x:c r="A1337" s="48" t="str">
        <x:v>UNI-1336</x:v>
      </x:c>
      <x:c r="B1337" s="48" t="str">
        <x:v>RED</x:v>
      </x:c>
      <x:c r="C1337" s="48" t="str">
        <x:v>English</x:v>
      </x:c>
      <x:c r="D1337" s="48" t="n">
        <x:v>77</x:v>
      </x:c>
      <x:c r="E1337" s="48" t="str"/>
      <x:c r="F1337" s="48" t="str">
        <x:v>resignation or termination of appointment, a replacement shall be appointed in the 20.2</x:v>
      </x:c>
      <x:c r="G1337" s="48" t="str">
        <x:v>Obligation</x:v>
      </x:c>
      <x:c r="H1337" s="48" t="str">
        <x:v>Shared</x:v>
      </x:c>
      <x:c r="I1337" s="48" t="n">
        <x:v>0.88</x:v>
      </x:c>
      <x:c r="J1337" s="48" t="n">
        <x:v>0.4</x:v>
      </x:c>
      <x:c r="K1337" s="48" t="str">
        <x:v>Yes</x:v>
      </x:c>
      <x:c r="L1337" s="48" t="str">
        <x:v>PDF text</x:v>
      </x:c>
    </x:row>
    <x:row r="1338">
      <x:c r="A1338" s="48" t="str">
        <x:v>UNI-1337</x:v>
      </x:c>
      <x:c r="B1338" s="48" t="str">
        <x:v>RED</x:v>
      </x:c>
      <x:c r="C1338" s="48" t="str">
        <x:v>English</x:v>
      </x:c>
      <x:c r="D1338" s="48" t="n">
        <x:v>77</x:v>
      </x:c>
      <x:c r="E1338" s="48" t="str"/>
      <x:c r="F1338" s="48" t="str">
        <x:v>Appointment of the</x:v>
      </x:c>
      <x:c r="G1338" s="48" t="str">
        <x:v>Obligation</x:v>
      </x:c>
      <x:c r="H1338" s="48" t="str">
        <x:v>Shared</x:v>
      </x:c>
      <x:c r="I1338" s="48" t="n">
        <x:v>0.45</x:v>
      </x:c>
      <x:c r="J1338" s="48" t="n">
        <x:v>0.4</x:v>
      </x:c>
      <x:c r="K1338" s="48" t="str">
        <x:v>Yes</x:v>
      </x:c>
      <x:c r="L1338" s="48" t="str">
        <x:v>PDF text</x:v>
      </x:c>
    </x:row>
    <x:row r="1339">
      <x:c r="A1339" s="48" t="str">
        <x:v>UNI-1338</x:v>
      </x:c>
      <x:c r="B1339" s="48" t="str">
        <x:v>RED</x:v>
      </x:c>
      <x:c r="C1339" s="48" t="str">
        <x:v>English</x:v>
      </x:c>
      <x:c r="D1339" s="48" t="n">
        <x:v>77</x:v>
      </x:c>
      <x:c r="E1339" s="48" t="str"/>
      <x:c r="F1339" s="48" t="str">
        <x:v>Dispute Board</x:v>
      </x:c>
      <x:c r="G1339" s="48" t="str">
        <x:v>Obligation</x:v>
      </x:c>
      <x:c r="H1339" s="48" t="str">
        <x:v>Shared</x:v>
      </x:c>
      <x:c r="I1339" s="48" t="n">
        <x:v>0.55</x:v>
      </x:c>
      <x:c r="J1339" s="48" t="n">
        <x:v>0.4</x:v>
      </x:c>
      <x:c r="K1339" s="48" t="str">
        <x:v>Yes</x:v>
      </x:c>
      <x:c r="L1339" s="48" t="str">
        <x:v>PDF text</x:v>
      </x:c>
    </x:row>
    <x:row r="1340">
      <x:c r="A1340" s="48" t="str">
        <x:v>UNI-1339</x:v>
      </x:c>
      <x:c r="B1340" s="48" t="str">
        <x:v>RED</x:v>
      </x:c>
      <x:c r="C1340" s="48" t="str">
        <x:v>English</x:v>
      </x:c>
      <x:c r="D1340" s="48" t="n">
        <x:v>78</x:v>
      </x:c>
      <x:c r="E1340" s="48" t="str"/>
      <x:c r="F1340" s="48" t="str">
        <x:v>same manner as the replaced person was required to have been nominated or agreed upon, as described in this Sub-Clause.</x:v>
      </x:c>
      <x:c r="G1340" s="48" t="str">
        <x:v>Obligation</x:v>
      </x:c>
      <x:c r="H1340" s="48" t="str">
        <x:v>Shared</x:v>
      </x:c>
      <x:c r="I1340" s="48" t="n">
        <x:v>0.45</x:v>
      </x:c>
      <x:c r="J1340" s="48" t="n">
        <x:v>0.4</x:v>
      </x:c>
      <x:c r="K1340" s="48" t="str">
        <x:v>Yes</x:v>
      </x:c>
      <x:c r="L1340" s="48" t="str">
        <x:v>PDF text</x:v>
      </x:c>
    </x:row>
    <x:row r="1341">
      <x:c r="A1341" s="48" t="str">
        <x:v>UNI-1340</x:v>
      </x:c>
      <x:c r="B1341" s="48" t="str">
        <x:v>RED</x:v>
      </x:c>
      <x:c r="C1341" s="48" t="str">
        <x:v>English</x:v>
      </x:c>
      <x:c r="D1341" s="48" t="n">
        <x:v>78</x:v>
      </x:c>
      <x:c r="E1341" s="48" t="str"/>
      <x:c r="F1341" s="48" t="str">
        <x:v>The appointment of any member may be terminated by mutual agreement of both</x:v>
      </x:c>
      <x:c r="G1341" s="48" t="str">
        <x:v>Right</x:v>
      </x:c>
      <x:c r="H1341" s="48" t="str">
        <x:v>Shared</x:v>
      </x:c>
      <x:c r="I1341" s="48" t="n">
        <x:v>0.78</x:v>
      </x:c>
      <x:c r="J1341" s="48" t="n">
        <x:v>0.4</x:v>
      </x:c>
      <x:c r="K1341" s="48" t="str">
        <x:v>Yes</x:v>
      </x:c>
      <x:c r="L1341" s="48" t="str">
        <x:v>PDF text</x:v>
      </x:c>
    </x:row>
    <x:row r="1342">
      <x:c r="A1342" s="48" t="str">
        <x:v>UNI-1341</x:v>
      </x:c>
      <x:c r="B1342" s="48" t="str">
        <x:v>RED</x:v>
      </x:c>
      <x:c r="C1342" s="48" t="str">
        <x:v>English</x:v>
      </x:c>
      <x:c r="D1342" s="48" t="n">
        <x:v>78</x:v>
      </x:c>
      <x:c r="E1342" s="48" t="str"/>
      <x:c r="F1342" s="48" t="str">
        <x:v>Parties, but not by the Employer or the Contractor acting alone.</x:v>
      </x:c>
      <x:c r="G1342" s="48" t="str">
        <x:v>Obligation</x:v>
      </x:c>
      <x:c r="H1342" s="48" t="str">
        <x:v>Shared</x:v>
      </x:c>
      <x:c r="I1342" s="48" t="n">
        <x:v>0.45</x:v>
      </x:c>
      <x:c r="J1342" s="48" t="n">
        <x:v>0.6</x:v>
      </x:c>
      <x:c r="K1342" s="48" t="str">
        <x:v>Yes</x:v>
      </x:c>
      <x:c r="L1342" s="48" t="str">
        <x:v>PDF text</x:v>
      </x:c>
    </x:row>
    <x:row r="1343">
      <x:c r="A1343" s="48" t="str">
        <x:v>UNI-1342</x:v>
      </x:c>
      <x:c r="B1343" s="48" t="str">
        <x:v>RED</x:v>
      </x:c>
      <x:c r="C1343" s="48" t="str">
        <x:v>English</x:v>
      </x:c>
      <x:c r="D1343" s="48" t="n">
        <x:v>78</x:v>
      </x:c>
      <x:c r="E1343" s="48" t="str"/>
      <x:c r="F1343" s="48" t="str">
        <x:v>Unless otherwise agreed by both Parties, the appointment of the DB (including each member) shall expire when the discharge referred to in Sub-Clause 14.12 [Discharge] shall have become effective.</x:v>
      </x:c>
      <x:c r="G1343" s="48" t="str">
        <x:v>Obligation</x:v>
      </x:c>
      <x:c r="H1343" s="48" t="str">
        <x:v>Shared</x:v>
      </x:c>
      <x:c r="I1343" s="48" t="n">
        <x:v>0.88</x:v>
      </x:c>
      <x:c r="J1343" s="48" t="n">
        <x:v>0.93</x:v>
      </x:c>
      <x:c r="K1343" s="48" t="str">
        <x:v>No</x:v>
      </x:c>
      <x:c r="L1343" s="48" t="str">
        <x:v>PDF text</x:v>
      </x:c>
    </x:row>
    <x:row r="1344">
      <x:c r="A1344" s="48" t="str">
        <x:v>UNI-1343</x:v>
      </x:c>
      <x:c r="B1344" s="48" t="str">
        <x:v>RED</x:v>
      </x:c>
      <x:c r="C1344" s="48" t="str">
        <x:v>English</x:v>
      </x:c>
      <x:c r="D1344" s="48" t="n">
        <x:v>78</x:v>
      </x:c>
      <x:c r="E1344" s="48" t="str"/>
      <x:c r="F1344" s="48" t="str">
        <x:v>If any of the following conditions apply, namely: (a) the Parties fail to agree upon the appointment of the sole member of the DB by the date stated in the first paragraph of Sub-Clause 20.2 [Appointment of the Dispute Board], (b) either Party fails to nominate a member (for approval by the other Party) or fails to approve a member nominated by the other Party, of a DB of three persons by such date, (c) the Parties fail to agree upon the appointment of the third member (to act as chairman) of the DB by such date, or (d) the Parties fail to agree upon the appointment of a replacement person within 42 days after the date on which the sole member or one of the three members declines to act or is unable to act as a result of death, disability, resignation or termination of appointment, then the appointing entity or official named in the Contract Data shall, upon the request of either or both of the Parties and after due consultation with both Parties, appoint this member of the DB.</x:v>
      </x:c>
      <x:c r="G1344" s="48" t="str">
        <x:v>Obligation</x:v>
      </x:c>
      <x:c r="H1344" s="48" t="str">
        <x:v>Shared</x:v>
      </x:c>
      <x:c r="I1344" s="48" t="n">
        <x:v>0.88</x:v>
      </x:c>
      <x:c r="J1344" s="48" t="n">
        <x:v>0.93</x:v>
      </x:c>
      <x:c r="K1344" s="48" t="str">
        <x:v>No</x:v>
      </x:c>
      <x:c r="L1344" s="48" t="str">
        <x:v>PDF text</x:v>
      </x:c>
    </x:row>
    <x:row r="1345">
      <x:c r="A1345" s="48" t="str">
        <x:v>UNI-1344</x:v>
      </x:c>
      <x:c r="B1345" s="48" t="str">
        <x:v>RED</x:v>
      </x:c>
      <x:c r="C1345" s="48" t="str">
        <x:v>English</x:v>
      </x:c>
      <x:c r="D1345" s="48" t="n">
        <x:v>78</x:v>
      </x:c>
      <x:c r="E1345" s="48" t="str"/>
      <x:c r="F1345" s="48" t="str">
        <x:v>This appointment shall be final and conclusive.</x:v>
      </x:c>
      <x:c r="G1345" s="48" t="str">
        <x:v>Obligation</x:v>
      </x:c>
      <x:c r="H1345" s="48" t="str">
        <x:v>Shared</x:v>
      </x:c>
      <x:c r="I1345" s="48" t="n">
        <x:v>0.88</x:v>
      </x:c>
      <x:c r="J1345" s="48" t="n">
        <x:v>0.4</x:v>
      </x:c>
      <x:c r="K1345" s="48" t="str">
        <x:v>Yes</x:v>
      </x:c>
      <x:c r="L1345" s="48" t="str">
        <x:v>PDF text</x:v>
      </x:c>
    </x:row>
    <x:row r="1346">
      <x:c r="A1346" s="48" t="str">
        <x:v>UNI-1345</x:v>
      </x:c>
      <x:c r="B1346" s="48" t="str">
        <x:v>RED</x:v>
      </x:c>
      <x:c r="C1346" s="48" t="str">
        <x:v>English</x:v>
      </x:c>
      <x:c r="D1346" s="48" t="n">
        <x:v>78</x:v>
      </x:c>
      <x:c r="E1346" s="48" t="str"/>
      <x:c r="F1346" s="48" t="str">
        <x:v>Each Party shall be responsible for paying one-half of the remuneration of the appointing entity or official.</x:v>
      </x:c>
      <x:c r="G1346" s="48" t="str">
        <x:v>Obligation</x:v>
      </x:c>
      <x:c r="H1346" s="48" t="str">
        <x:v>Shared</x:v>
      </x:c>
      <x:c r="I1346" s="48" t="n">
        <x:v>0.88</x:v>
      </x:c>
      <x:c r="J1346" s="48" t="n">
        <x:v>0.93</x:v>
      </x:c>
      <x:c r="K1346" s="48" t="str">
        <x:v>No</x:v>
      </x:c>
      <x:c r="L1346" s="48" t="str">
        <x:v>PDF text</x:v>
      </x:c>
    </x:row>
    <x:row r="1347">
      <x:c r="A1347" s="48" t="str">
        <x:v>UNI-1346</x:v>
      </x:c>
      <x:c r="B1347" s="48" t="str">
        <x:v>RED</x:v>
      </x:c>
      <x:c r="C1347" s="48" t="str">
        <x:v>English</x:v>
      </x:c>
      <x:c r="D1347" s="48" t="n">
        <x:v>78</x:v>
      </x:c>
      <x:c r="E1347" s="48" t="str"/>
      <x:c r="F1347" s="48" t="str">
        <x:v>If a dispute (of any kind whatsoever) arises between the Parties in connection with, or arising out of, the Contract or the execution of the Works, including any dispute as to any certificate, determination, instruction, opinion or valuation of the Engineer, either Party may refer the dispute in writing to the DB for its decision, with copies to the other Party and the Engineer.</x:v>
      </x:c>
      <x:c r="G1347" s="48" t="str">
        <x:v>Right</x:v>
      </x:c>
      <x:c r="H1347" s="48" t="str">
        <x:v>Shared</x:v>
      </x:c>
      <x:c r="I1347" s="48" t="n">
        <x:v>0.78</x:v>
      </x:c>
      <x:c r="J1347" s="48" t="n">
        <x:v>0.93</x:v>
      </x:c>
      <x:c r="K1347" s="48" t="str">
        <x:v>No</x:v>
      </x:c>
      <x:c r="L1347" s="48" t="str">
        <x:v>PDF text</x:v>
      </x:c>
    </x:row>
    <x:row r="1348">
      <x:c r="A1348" s="48" t="str">
        <x:v>UNI-1347</x:v>
      </x:c>
      <x:c r="B1348" s="48" t="str">
        <x:v>RED</x:v>
      </x:c>
      <x:c r="C1348" s="48" t="str">
        <x:v>English</x:v>
      </x:c>
      <x:c r="D1348" s="48" t="n">
        <x:v>78</x:v>
      </x:c>
      <x:c r="E1348" s="48" t="str"/>
      <x:c r="F1348" s="48" t="str">
        <x:v>Such reference shall state that it is given under this Sub-Clause.</x:v>
      </x:c>
      <x:c r="G1348" s="48" t="str">
        <x:v>Obligation</x:v>
      </x:c>
      <x:c r="H1348" s="48" t="str">
        <x:v>Shared</x:v>
      </x:c>
      <x:c r="I1348" s="48" t="n">
        <x:v>0.88</x:v>
      </x:c>
      <x:c r="J1348" s="48" t="n">
        <x:v>0.4</x:v>
      </x:c>
      <x:c r="K1348" s="48" t="str">
        <x:v>Yes</x:v>
      </x:c>
      <x:c r="L1348" s="48" t="str">
        <x:v>PDF text</x:v>
      </x:c>
    </x:row>
    <x:row r="1349">
      <x:c r="A1349" s="48" t="str">
        <x:v>UNI-1348</x:v>
      </x:c>
      <x:c r="B1349" s="48" t="str">
        <x:v>RED</x:v>
      </x:c>
      <x:c r="C1349" s="48" t="str">
        <x:v>English</x:v>
      </x:c>
      <x:c r="D1349" s="48" t="n">
        <x:v>78</x:v>
      </x:c>
      <x:c r="E1349" s="48" t="str"/>
      <x:c r="F1349" s="48" t="str">
        <x:v>For a DB of three persons, the DB shall be deemed to have received such reference</x:v>
      </x:c>
      <x:c r="G1349" s="48" t="str">
        <x:v>Obligation</x:v>
      </x:c>
      <x:c r="H1349" s="48" t="str">
        <x:v>Shared</x:v>
      </x:c>
      <x:c r="I1349" s="48" t="n">
        <x:v>0.88</x:v>
      </x:c>
      <x:c r="J1349" s="48" t="n">
        <x:v>0.4</x:v>
      </x:c>
      <x:c r="K1349" s="48" t="str">
        <x:v>Yes</x:v>
      </x:c>
      <x:c r="L1349" s="48" t="str">
        <x:v>PDF text</x:v>
      </x:c>
    </x:row>
    <x:row r="1350">
      <x:c r="A1350" s="48" t="str">
        <x:v>UNI-1349</x:v>
      </x:c>
      <x:c r="B1350" s="48" t="str">
        <x:v>RED</x:v>
      </x:c>
      <x:c r="C1350" s="48" t="str">
        <x:v>English</x:v>
      </x:c>
      <x:c r="D1350" s="48" t="n">
        <x:v>78</x:v>
      </x:c>
      <x:c r="E1350" s="48" t="str"/>
      <x:c r="F1350" s="48" t="str">
        <x:v>on the date when it is received by the chairman of the DB.</x:v>
      </x:c>
      <x:c r="G1350" s="48" t="str">
        <x:v>Obligation</x:v>
      </x:c>
      <x:c r="H1350" s="48" t="str">
        <x:v>Shared</x:v>
      </x:c>
      <x:c r="I1350" s="48" t="n">
        <x:v>0.45</x:v>
      </x:c>
      <x:c r="J1350" s="48" t="n">
        <x:v>0.4</x:v>
      </x:c>
      <x:c r="K1350" s="48" t="str">
        <x:v>Yes</x:v>
      </x:c>
      <x:c r="L1350" s="48" t="str">
        <x:v>PDF text</x:v>
      </x:c>
    </x:row>
    <x:row r="1351">
      <x:c r="A1351" s="48" t="str">
        <x:v>UNI-1350</x:v>
      </x:c>
      <x:c r="B1351" s="48" t="str">
        <x:v>RED</x:v>
      </x:c>
      <x:c r="C1351" s="48" t="str">
        <x:v>English</x:v>
      </x:c>
      <x:c r="D1351" s="48" t="n">
        <x:v>78</x:v>
      </x:c>
      <x:c r="E1351" s="48" t="str"/>
      <x:c r="F1351" s="48" t="str">
        <x:v>Both Parties shall promptly make available to the DB all such additional information, further access to the Site, and appropriate facilities, as the DB may require for the purposes of making a decision on such dispute.</x:v>
      </x:c>
      <x:c r="G1351" s="48" t="str">
        <x:v>Obligation</x:v>
      </x:c>
      <x:c r="H1351" s="48" t="str">
        <x:v>Shared</x:v>
      </x:c>
      <x:c r="I1351" s="48" t="n">
        <x:v>0.88</x:v>
      </x:c>
      <x:c r="J1351" s="48" t="n">
        <x:v>0.93</x:v>
      </x:c>
      <x:c r="K1351" s="48" t="str">
        <x:v>No</x:v>
      </x:c>
      <x:c r="L1351" s="48" t="str">
        <x:v>PDF text</x:v>
      </x:c>
    </x:row>
    <x:row r="1352">
      <x:c r="A1352" s="48" t="str">
        <x:v>UNI-1351</x:v>
      </x:c>
      <x:c r="B1352" s="48" t="str">
        <x:v>RED</x:v>
      </x:c>
      <x:c r="C1352" s="48" t="str">
        <x:v>English</x:v>
      </x:c>
      <x:c r="D1352" s="48" t="n">
        <x:v>78</x:v>
      </x:c>
      <x:c r="E1352" s="48" t="str"/>
      <x:c r="F1352" s="48" t="str">
        <x:v>The DB shall be deemed to be not acting as arbitrator(s).</x:v>
      </x:c>
      <x:c r="G1352" s="48" t="str">
        <x:v>Obligation</x:v>
      </x:c>
      <x:c r="H1352" s="48" t="str">
        <x:v>Shared</x:v>
      </x:c>
      <x:c r="I1352" s="48" t="n">
        <x:v>0.88</x:v>
      </x:c>
      <x:c r="J1352" s="48" t="n">
        <x:v>0.4</x:v>
      </x:c>
      <x:c r="K1352" s="48" t="str">
        <x:v>Yes</x:v>
      </x:c>
      <x:c r="L1352" s="48" t="str">
        <x:v>PDF text</x:v>
      </x:c>
    </x:row>
    <x:row r="1353">
      <x:c r="A1353" s="48" t="str">
        <x:v>UNI-1352</x:v>
      </x:c>
      <x:c r="B1353" s="48" t="str">
        <x:v>RED</x:v>
      </x:c>
      <x:c r="C1353" s="48" t="str">
        <x:v>English</x:v>
      </x:c>
      <x:c r="D1353" s="48" t="n">
        <x:v>78</x:v>
      </x:c>
      <x:c r="E1353" s="48" t="str"/>
      <x:c r="F1353" s="48" t="str">
        <x:v>Within 84 days after receiving such reference, or within such other period as may be proposed by the DB and approved by both Parties, the DB shall give its decision, which shall be reasoned and shall state that it is given under this Sub-Clause.</x:v>
      </x:c>
      <x:c r="G1353" s="48" t="str">
        <x:v>Obligation</x:v>
      </x:c>
      <x:c r="H1353" s="48" t="str">
        <x:v>Shared</x:v>
      </x:c>
      <x:c r="I1353" s="48" t="n">
        <x:v>0.88</x:v>
      </x:c>
      <x:c r="J1353" s="48" t="n">
        <x:v>0.93</x:v>
      </x:c>
      <x:c r="K1353" s="48" t="str">
        <x:v>No</x:v>
      </x:c>
      <x:c r="L1353" s="48" t="str">
        <x:v>PDF text</x:v>
      </x:c>
    </x:row>
    <x:row r="1354">
      <x:c r="A1354" s="48" t="str">
        <x:v>UNI-1353</x:v>
      </x:c>
      <x:c r="B1354" s="48" t="str">
        <x:v>RED</x:v>
      </x:c>
      <x:c r="C1354" s="48" t="str">
        <x:v>English</x:v>
      </x:c>
      <x:c r="D1354" s="48" t="n">
        <x:v>78</x:v>
      </x:c>
      <x:c r="E1354" s="48" t="str"/>
      <x:c r="F1354" s="48" t="str">
        <x:v>The decision shall be binding on both Parties, who shall promptly give effect to it unless and until it shall be revised in an amicable settlement or an arbitral award as described below.</x:v>
      </x:c>
      <x:c r="G1354" s="48" t="str">
        <x:v>Obligation</x:v>
      </x:c>
      <x:c r="H1354" s="48" t="str">
        <x:v>Shared</x:v>
      </x:c>
      <x:c r="I1354" s="48" t="n">
        <x:v>0.88</x:v>
      </x:c>
      <x:c r="J1354" s="48" t="n">
        <x:v>0.93</x:v>
      </x:c>
      <x:c r="K1354" s="48" t="str">
        <x:v>No</x:v>
      </x:c>
      <x:c r="L1354" s="48" t="str">
        <x:v>PDF text</x:v>
      </x:c>
    </x:row>
    <x:row r="1355">
      <x:c r="A1355" s="48" t="str">
        <x:v>UNI-1354</x:v>
      </x:c>
      <x:c r="B1355" s="48" t="str">
        <x:v>RED</x:v>
      </x:c>
      <x:c r="C1355" s="48" t="str">
        <x:v>English</x:v>
      </x:c>
      <x:c r="D1355" s="48" t="n">
        <x:v>78</x:v>
      </x:c>
      <x:c r="E1355" s="48" t="str"/>
      <x:c r="F1355" s="48" t="str">
        <x:v>Unless the Contract has already been abandoned, repudiated or terminated, the</x:v>
      </x:c>
      <x:c r="G1355" s="48" t="str">
        <x:v>Obligation</x:v>
      </x:c>
      <x:c r="H1355" s="48" t="str">
        <x:v>Shared</x:v>
      </x:c>
      <x:c r="I1355" s="48" t="n">
        <x:v>0.45</x:v>
      </x:c>
      <x:c r="J1355" s="48" t="n">
        <x:v>0.4</x:v>
      </x:c>
      <x:c r="K1355" s="48" t="str">
        <x:v>Yes</x:v>
      </x:c>
      <x:c r="L1355" s="48" t="str">
        <x:v>PDF text</x:v>
      </x:c>
    </x:row>
    <x:row r="1356">
      <x:c r="A1356" s="48" t="str">
        <x:v>UNI-1355</x:v>
      </x:c>
      <x:c r="B1356" s="48" t="str">
        <x:v>RED</x:v>
      </x:c>
      <x:c r="C1356" s="48" t="str">
        <x:v>English</x:v>
      </x:c>
      <x:c r="D1356" s="48" t="n">
        <x:v>78</x:v>
      </x:c>
      <x:c r="E1356" s="48" t="str"/>
      <x:c r="F1356" s="48" t="str">
        <x:v>Contractor shall continue to proceed with the Works in accordance with the Contract.</x:v>
      </x:c>
      <x:c r="G1356" s="48" t="str">
        <x:v>Obligation</x:v>
      </x:c>
      <x:c r="H1356" s="48" t="str">
        <x:v>Contractor</x:v>
      </x:c>
      <x:c r="I1356" s="48" t="n">
        <x:v>0.88</x:v>
      </x:c>
      <x:c r="J1356" s="48" t="n">
        <x:v>0.68</x:v>
      </x:c>
      <x:c r="K1356" s="48" t="str">
        <x:v>Yes</x:v>
      </x:c>
      <x:c r="L1356" s="48" t="str">
        <x:v>PDF text</x:v>
      </x:c>
    </x:row>
    <x:row r="1357">
      <x:c r="A1357" s="48" t="str">
        <x:v>UNI-1356</x:v>
      </x:c>
      <x:c r="B1357" s="48" t="str">
        <x:v>RED</x:v>
      </x:c>
      <x:c r="C1357" s="48" t="str">
        <x:v>English</x:v>
      </x:c>
      <x:c r="D1357" s="48" t="n">
        <x:v>78</x:v>
      </x:c>
      <x:c r="E1357" s="48" t="str"/>
      <x:c r="F1357" s="48" t="str">
        <x:v>If either Party is dissatisfied with the DB’s decision, then either Party may, within 28 days after receiving the decision, give notice to the other Party of its dissatisfaction 20.3</x:v>
      </x:c>
      <x:c r="G1357" s="48" t="str">
        <x:v>Obligation</x:v>
      </x:c>
      <x:c r="H1357" s="48" t="str">
        <x:v>Shared</x:v>
      </x:c>
      <x:c r="I1357" s="48" t="n">
        <x:v>0.55</x:v>
      </x:c>
      <x:c r="J1357" s="48" t="n">
        <x:v>0.93</x:v>
      </x:c>
      <x:c r="K1357" s="48" t="str">
        <x:v>Yes</x:v>
      </x:c>
      <x:c r="L1357" s="48" t="str">
        <x:v>PDF text</x:v>
      </x:c>
    </x:row>
    <x:row r="1358">
      <x:c r="A1358" s="48" t="str">
        <x:v>UNI-1357</x:v>
      </x:c>
      <x:c r="B1358" s="48" t="str">
        <x:v>RED</x:v>
      </x:c>
      <x:c r="C1358" s="48" t="str">
        <x:v>English</x:v>
      </x:c>
      <x:c r="D1358" s="48" t="n">
        <x:v>78</x:v>
      </x:c>
      <x:c r="E1358" s="48" t="str"/>
      <x:c r="F1358" s="48" t="str">
        <x:v>Failure to Agree on the</x:v>
      </x:c>
      <x:c r="G1358" s="48" t="str">
        <x:v>Obligation</x:v>
      </x:c>
      <x:c r="H1358" s="48" t="str">
        <x:v>Shared</x:v>
      </x:c>
      <x:c r="I1358" s="48" t="n">
        <x:v>0.45</x:v>
      </x:c>
      <x:c r="J1358" s="48" t="n">
        <x:v>0.4</x:v>
      </x:c>
      <x:c r="K1358" s="48" t="str">
        <x:v>Yes</x:v>
      </x:c>
      <x:c r="L1358" s="48" t="str">
        <x:v>PDF text</x:v>
      </x:c>
    </x:row>
    <x:row r="1359">
      <x:c r="A1359" s="48" t="str">
        <x:v>UNI-1358</x:v>
      </x:c>
      <x:c r="B1359" s="48" t="str">
        <x:v>RED</x:v>
      </x:c>
      <x:c r="C1359" s="48" t="str">
        <x:v>English</x:v>
      </x:c>
      <x:c r="D1359" s="48" t="n">
        <x:v>78</x:v>
      </x:c>
      <x:c r="E1359" s="48" t="str"/>
      <x:c r="F1359" s="48" t="str">
        <x:v>Composition of the</x:v>
      </x:c>
      <x:c r="G1359" s="48" t="str">
        <x:v>Obligation</x:v>
      </x:c>
      <x:c r="H1359" s="48" t="str">
        <x:v>Shared</x:v>
      </x:c>
      <x:c r="I1359" s="48" t="n">
        <x:v>0.45</x:v>
      </x:c>
      <x:c r="J1359" s="48" t="n">
        <x:v>0.4</x:v>
      </x:c>
      <x:c r="K1359" s="48" t="str">
        <x:v>Yes</x:v>
      </x:c>
      <x:c r="L1359" s="48" t="str">
        <x:v>PDF text</x:v>
      </x:c>
    </x:row>
    <x:row r="1360">
      <x:c r="A1360" s="48" t="str">
        <x:v>UNI-1359</x:v>
      </x:c>
      <x:c r="B1360" s="48" t="str">
        <x:v>RED</x:v>
      </x:c>
      <x:c r="C1360" s="48" t="str">
        <x:v>English</x:v>
      </x:c>
      <x:c r="D1360" s="48" t="n">
        <x:v>78</x:v>
      </x:c>
      <x:c r="E1360" s="48" t="str"/>
      <x:c r="F1360" s="48" t="str">
        <x:v>Obtaining Dispute</x:v>
      </x:c>
      <x:c r="G1360" s="48" t="str">
        <x:v>Obligation</x:v>
      </x:c>
      <x:c r="H1360" s="48" t="str">
        <x:v>Shared</x:v>
      </x:c>
      <x:c r="I1360" s="48" t="n">
        <x:v>0.55</x:v>
      </x:c>
      <x:c r="J1360" s="48" t="n">
        <x:v>0.4</x:v>
      </x:c>
      <x:c r="K1360" s="48" t="str">
        <x:v>Yes</x:v>
      </x:c>
      <x:c r="L1360" s="48" t="str">
        <x:v>PDF text</x:v>
      </x:c>
    </x:row>
    <x:row r="1361">
      <x:c r="A1361" s="48" t="str">
        <x:v>UNI-1360</x:v>
      </x:c>
      <x:c r="B1361" s="48" t="str">
        <x:v>RED</x:v>
      </x:c>
      <x:c r="C1361" s="48" t="str">
        <x:v>English</x:v>
      </x:c>
      <x:c r="D1361" s="48" t="n">
        <x:v>78</x:v>
      </x:c>
      <x:c r="E1361" s="48" t="str"/>
      <x:c r="F1361" s="48" t="str">
        <x:v>Board’s Decision</x:v>
      </x:c>
      <x:c r="G1361" s="48" t="str">
        <x:v>Obligation</x:v>
      </x:c>
      <x:c r="H1361" s="48" t="str">
        <x:v>Shared</x:v>
      </x:c>
      <x:c r="I1361" s="48" t="n">
        <x:v>0.45</x:v>
      </x:c>
      <x:c r="J1361" s="48" t="n">
        <x:v>0.4</x:v>
      </x:c>
      <x:c r="K1361" s="48" t="str">
        <x:v>Yes</x:v>
      </x:c>
      <x:c r="L1361" s="48" t="str">
        <x:v>PDF text</x:v>
      </x:c>
    </x:row>
    <x:row r="1362">
      <x:c r="A1362" s="48" t="str">
        <x:v>UNI-1361</x:v>
      </x:c>
      <x:c r="B1362" s="48" t="str">
        <x:v>RED</x:v>
      </x:c>
      <x:c r="C1362" s="48" t="str">
        <x:v>English</x:v>
      </x:c>
      <x:c r="D1362" s="48" t="n">
        <x:v>79</x:v>
      </x:c>
      <x:c r="E1362" s="48" t="str"/>
      <x:c r="F1362" s="48" t="str">
        <x:v>Amicable</x:v>
      </x:c>
      <x:c r="G1362" s="48" t="str">
        <x:v>Obligation</x:v>
      </x:c>
      <x:c r="H1362" s="48" t="str">
        <x:v>Shared</x:v>
      </x:c>
      <x:c r="I1362" s="48" t="n">
        <x:v>0.45</x:v>
      </x:c>
      <x:c r="J1362" s="48" t="n">
        <x:v>0.4</x:v>
      </x:c>
      <x:c r="K1362" s="48" t="str">
        <x:v>Yes</x:v>
      </x:c>
      <x:c r="L1362" s="48" t="str">
        <x:v>PDF text</x:v>
      </x:c>
    </x:row>
    <x:row r="1363">
      <x:c r="A1363" s="48" t="str">
        <x:v>UNI-1362</x:v>
      </x:c>
      <x:c r="B1363" s="48" t="str">
        <x:v>RED</x:v>
      </x:c>
      <x:c r="C1363" s="48" t="str">
        <x:v>English</x:v>
      </x:c>
      <x:c r="D1363" s="48" t="n">
        <x:v>79</x:v>
      </x:c>
      <x:c r="E1363" s="48" t="str"/>
      <x:c r="F1363" s="48" t="str">
        <x:v>Settlement</x:v>
      </x:c>
      <x:c r="G1363" s="48" t="str">
        <x:v>Obligation</x:v>
      </x:c>
      <x:c r="H1363" s="48" t="str">
        <x:v>Shared</x:v>
      </x:c>
      <x:c r="I1363" s="48" t="n">
        <x:v>0.45</x:v>
      </x:c>
      <x:c r="J1363" s="48" t="n">
        <x:v>0.4</x:v>
      </x:c>
      <x:c r="K1363" s="48" t="str">
        <x:v>Yes</x:v>
      </x:c>
      <x:c r="L1363" s="48" t="str">
        <x:v>PDF text</x:v>
      </x:c>
    </x:row>
    <x:row r="1364">
      <x:c r="A1364" s="48" t="str">
        <x:v>UNI-1363</x:v>
      </x:c>
      <x:c r="B1364" s="48" t="str">
        <x:v>RED</x:v>
      </x:c>
      <x:c r="C1364" s="48" t="str">
        <x:v>English</x:v>
      </x:c>
      <x:c r="D1364" s="48" t="n">
        <x:v>79</x:v>
      </x:c>
      <x:c r="E1364" s="48" t="str"/>
      <x:c r="F1364" s="48" t="str">
        <x:v>Arbitration</x:v>
      </x:c>
      <x:c r="G1364" s="48" t="str">
        <x:v>Obligation</x:v>
      </x:c>
      <x:c r="H1364" s="48" t="str">
        <x:v>Shared</x:v>
      </x:c>
      <x:c r="I1364" s="48" t="n">
        <x:v>0.45</x:v>
      </x:c>
      <x:c r="J1364" s="48" t="n">
        <x:v>0.4</x:v>
      </x:c>
      <x:c r="K1364" s="48" t="str">
        <x:v>Yes</x:v>
      </x:c>
      <x:c r="L1364" s="48" t="str">
        <x:v>PDF text</x:v>
      </x:c>
    </x:row>
    <x:row r="1365">
      <x:c r="A1365" s="48" t="str">
        <x:v>UNI-1364</x:v>
      </x:c>
      <x:c r="B1365" s="48" t="str">
        <x:v>RED</x:v>
      </x:c>
      <x:c r="C1365" s="48" t="str">
        <x:v>English</x:v>
      </x:c>
      <x:c r="D1365" s="48" t="n">
        <x:v>79</x:v>
      </x:c>
      <x:c r="E1365" s="48" t="str"/>
      <x:c r="F1365" s="48" t="str">
        <x:v>Failure to Comply with</x:v>
      </x:c>
      <x:c r="G1365" s="48" t="str">
        <x:v>Obligation</x:v>
      </x:c>
      <x:c r="H1365" s="48" t="str">
        <x:v>Shared</x:v>
      </x:c>
      <x:c r="I1365" s="48" t="n">
        <x:v>0.45</x:v>
      </x:c>
      <x:c r="J1365" s="48" t="n">
        <x:v>0.4</x:v>
      </x:c>
      <x:c r="K1365" s="48" t="str">
        <x:v>Yes</x:v>
      </x:c>
      <x:c r="L1365" s="48" t="str">
        <x:v>PDF text</x:v>
      </x:c>
    </x:row>
    <x:row r="1366">
      <x:c r="A1366" s="48" t="str">
        <x:v>UNI-1365</x:v>
      </x:c>
      <x:c r="B1366" s="48" t="str">
        <x:v>RED</x:v>
      </x:c>
      <x:c r="C1366" s="48" t="str">
        <x:v>English</x:v>
      </x:c>
      <x:c r="D1366" s="48" t="n">
        <x:v>79</x:v>
      </x:c>
      <x:c r="E1366" s="48" t="str"/>
      <x:c r="F1366" s="48" t="str">
        <x:v>Dispute Board’s Decision</x:v>
      </x:c>
      <x:c r="G1366" s="48" t="str">
        <x:v>Obligation</x:v>
      </x:c>
      <x:c r="H1366" s="48" t="str">
        <x:v>Shared</x:v>
      </x:c>
      <x:c r="I1366" s="48" t="n">
        <x:v>0.55</x:v>
      </x:c>
      <x:c r="J1366" s="48" t="n">
        <x:v>0.4</x:v>
      </x:c>
      <x:c r="K1366" s="48" t="str">
        <x:v>Yes</x:v>
      </x:c>
      <x:c r="L1366" s="48" t="str">
        <x:v>PDF text</x:v>
      </x:c>
    </x:row>
    <x:row r="1367">
      <x:c r="A1367" s="48" t="str">
        <x:v>UNI-1366</x:v>
      </x:c>
      <x:c r="B1367" s="48" t="str">
        <x:v>RED</x:v>
      </x:c>
      <x:c r="C1367" s="48" t="str">
        <x:v>English</x:v>
      </x:c>
      <x:c r="D1367" s="48" t="n">
        <x:v>79</x:v>
      </x:c>
      <x:c r="E1367" s="48" t="str"/>
      <x:c r="F1367" s="48" t="str">
        <x:v>and intention to commence arbitration.</x:v>
      </x:c>
      <x:c r="G1367" s="48" t="str">
        <x:v>Obligation</x:v>
      </x:c>
      <x:c r="H1367" s="48" t="str">
        <x:v>Shared</x:v>
      </x:c>
      <x:c r="I1367" s="48" t="n">
        <x:v>0.45</x:v>
      </x:c>
      <x:c r="J1367" s="48" t="n">
        <x:v>0.4</x:v>
      </x:c>
      <x:c r="K1367" s="48" t="str">
        <x:v>Yes</x:v>
      </x:c>
      <x:c r="L1367" s="48" t="str">
        <x:v>PDF text</x:v>
      </x:c>
    </x:row>
    <x:row r="1368">
      <x:c r="A1368" s="48" t="str">
        <x:v>UNI-1367</x:v>
      </x:c>
      <x:c r="B1368" s="48" t="str">
        <x:v>RED</x:v>
      </x:c>
      <x:c r="C1368" s="48" t="str">
        <x:v>English</x:v>
      </x:c>
      <x:c r="D1368" s="48" t="n">
        <x:v>79</x:v>
      </x:c>
      <x:c r="E1368" s="48" t="str"/>
      <x:c r="F1368" s="48" t="str">
        <x:v>If the DB fails to give its decision within the period of 84 days (or as otherwise approved) after receiving such reference, then either Party may, within 28 days after this period has expired, give notice to the other Party of its dissatisfaction and intention to commence arbitration.</x:v>
      </x:c>
      <x:c r="G1368" s="48" t="str">
        <x:v>Obligation</x:v>
      </x:c>
      <x:c r="H1368" s="48" t="str">
        <x:v>Shared</x:v>
      </x:c>
      <x:c r="I1368" s="48" t="n">
        <x:v>0.55</x:v>
      </x:c>
      <x:c r="J1368" s="48" t="n">
        <x:v>0.93</x:v>
      </x:c>
      <x:c r="K1368" s="48" t="str">
        <x:v>Yes</x:v>
      </x:c>
      <x:c r="L1368" s="48" t="str">
        <x:v>PDF text</x:v>
      </x:c>
    </x:row>
    <x:row r="1369">
      <x:c r="A1369" s="48" t="str">
        <x:v>UNI-1368</x:v>
      </x:c>
      <x:c r="B1369" s="48" t="str">
        <x:v>RED</x:v>
      </x:c>
      <x:c r="C1369" s="48" t="str">
        <x:v>English</x:v>
      </x:c>
      <x:c r="D1369" s="48" t="n">
        <x:v>79</x:v>
      </x:c>
      <x:c r="E1369" s="48" t="str"/>
      <x:c r="F1369" s="48" t="str">
        <x:v>In either event, this notice of dissatisfaction shall state that it is given under this SubClause, and shall set out the matter in dispute and the reason(s) for dissatisfaction.</x:v>
      </x:c>
      <x:c r="G1369" s="48" t="str">
        <x:v>Obligation</x:v>
      </x:c>
      <x:c r="H1369" s="48" t="str">
        <x:v>Shared</x:v>
      </x:c>
      <x:c r="I1369" s="48" t="n">
        <x:v>0.88</x:v>
      </x:c>
      <x:c r="J1369" s="48" t="n">
        <x:v>0.4</x:v>
      </x:c>
      <x:c r="K1369" s="48" t="str">
        <x:v>Yes</x:v>
      </x:c>
      <x:c r="L1369" s="48" t="str">
        <x:v>PDF text</x:v>
      </x:c>
    </x:row>
    <x:row r="1370">
      <x:c r="A1370" s="48" t="str">
        <x:v>UNI-1369</x:v>
      </x:c>
      <x:c r="B1370" s="48" t="str">
        <x:v>RED</x:v>
      </x:c>
      <x:c r="C1370" s="48" t="str">
        <x:v>English</x:v>
      </x:c>
      <x:c r="D1370" s="48" t="n">
        <x:v>79</x:v>
      </x:c>
      <x:c r="E1370" s="48" t="str"/>
      <x:c r="F1370" s="48" t="str">
        <x:v>Except as stated in Sub-Clause 20.7 [Failure to Comply with Dispute Board’s Decision] and Sub-Clause 20.8 [Expiry of Dispute Board’s Appointment], neither</x:v>
      </x:c>
      <x:c r="G1370" s="48" t="str">
        <x:v>Obligation</x:v>
      </x:c>
      <x:c r="H1370" s="48" t="str">
        <x:v>Shared</x:v>
      </x:c>
      <x:c r="I1370" s="48" t="n">
        <x:v>0.55</x:v>
      </x:c>
      <x:c r="J1370" s="48" t="n">
        <x:v>0.4</x:v>
      </x:c>
      <x:c r="K1370" s="48" t="str">
        <x:v>Yes</x:v>
      </x:c>
      <x:c r="L1370" s="48" t="str">
        <x:v>PDF text</x:v>
      </x:c>
    </x:row>
    <x:row r="1371">
      <x:c r="A1371" s="48" t="str">
        <x:v>UNI-1370</x:v>
      </x:c>
      <x:c r="B1371" s="48" t="str">
        <x:v>RED</x:v>
      </x:c>
      <x:c r="C1371" s="48" t="str">
        <x:v>English</x:v>
      </x:c>
      <x:c r="D1371" s="48" t="n">
        <x:v>79</x:v>
      </x:c>
      <x:c r="E1371" s="48" t="str"/>
      <x:c r="F1371" s="48" t="str">
        <x:v>Party shall be entitled to commence arbitration of a dispute unless a notice of</x:v>
      </x:c>
      <x:c r="G1371" s="48" t="str">
        <x:v>Obligation</x:v>
      </x:c>
      <x:c r="H1371" s="48" t="str">
        <x:v>Shared</x:v>
      </x:c>
      <x:c r="I1371" s="48" t="n">
        <x:v>0.88</x:v>
      </x:c>
      <x:c r="J1371" s="48" t="n">
        <x:v>0.4</x:v>
      </x:c>
      <x:c r="K1371" s="48" t="str">
        <x:v>Yes</x:v>
      </x:c>
      <x:c r="L1371" s="48" t="str">
        <x:v>PDF text</x:v>
      </x:c>
    </x:row>
    <x:row r="1372">
      <x:c r="A1372" s="48" t="str">
        <x:v>UNI-1371</x:v>
      </x:c>
      <x:c r="B1372" s="48" t="str">
        <x:v>RED</x:v>
      </x:c>
      <x:c r="C1372" s="48" t="str">
        <x:v>English</x:v>
      </x:c>
      <x:c r="D1372" s="48" t="n">
        <x:v>79</x:v>
      </x:c>
      <x:c r="E1372" s="48" t="str"/>
      <x:c r="F1372" s="48" t="str">
        <x:v>dissatisfaction has been given in accordance with this Sub-Clause.</x:v>
      </x:c>
      <x:c r="G1372" s="48" t="str">
        <x:v>Obligation</x:v>
      </x:c>
      <x:c r="H1372" s="48" t="str">
        <x:v>Shared</x:v>
      </x:c>
      <x:c r="I1372" s="48" t="n">
        <x:v>0.45</x:v>
      </x:c>
      <x:c r="J1372" s="48" t="n">
        <x:v>0.4</x:v>
      </x:c>
      <x:c r="K1372" s="48" t="str">
        <x:v>Yes</x:v>
      </x:c>
      <x:c r="L1372" s="48" t="str">
        <x:v>PDF text</x:v>
      </x:c>
    </x:row>
    <x:row r="1373">
      <x:c r="A1373" s="48" t="str">
        <x:v>UNI-1372</x:v>
      </x:c>
      <x:c r="B1373" s="48" t="str">
        <x:v>RED</x:v>
      </x:c>
      <x:c r="C1373" s="48" t="str">
        <x:v>English</x:v>
      </x:c>
      <x:c r="D1373" s="48" t="n">
        <x:v>79</x:v>
      </x:c>
      <x:c r="E1373" s="48" t="str"/>
      <x:c r="F1373" s="48" t="str">
        <x:v>If the DB has given its decision as to a matter in dispute to both Parties, and no notice of dissatisfaction has been given by either Party within 28 days after it received the DB’s decision, then the decision shall become final and binding upon both Parties.</x:v>
      </x:c>
      <x:c r="G1373" s="48" t="str">
        <x:v>Obligation</x:v>
      </x:c>
      <x:c r="H1373" s="48" t="str">
        <x:v>Shared</x:v>
      </x:c>
      <x:c r="I1373" s="48" t="n">
        <x:v>0.88</x:v>
      </x:c>
      <x:c r="J1373" s="48" t="n">
        <x:v>0.93</x:v>
      </x:c>
      <x:c r="K1373" s="48" t="str">
        <x:v>No</x:v>
      </x:c>
      <x:c r="L1373" s="48" t="str">
        <x:v>PDF text</x:v>
      </x:c>
    </x:row>
    <x:row r="1374">
      <x:c r="A1374" s="48" t="str">
        <x:v>UNI-1373</x:v>
      </x:c>
      <x:c r="B1374" s="48" t="str">
        <x:v>RED</x:v>
      </x:c>
      <x:c r="C1374" s="48" t="str">
        <x:v>English</x:v>
      </x:c>
      <x:c r="D1374" s="48" t="n">
        <x:v>79</x:v>
      </x:c>
      <x:c r="E1374" s="48" t="str"/>
      <x:c r="F1374" s="48" t="str">
        <x:v>Where notice of dissatisfaction has been given under Sub-Clause 20.4 above, both</x:v>
      </x:c>
      <x:c r="G1374" s="48" t="str">
        <x:v>Obligation</x:v>
      </x:c>
      <x:c r="H1374" s="48" t="str">
        <x:v>Shared</x:v>
      </x:c>
      <x:c r="I1374" s="48" t="n">
        <x:v>0.55</x:v>
      </x:c>
      <x:c r="J1374" s="48" t="n">
        <x:v>0.4</x:v>
      </x:c>
      <x:c r="K1374" s="48" t="str">
        <x:v>Yes</x:v>
      </x:c>
      <x:c r="L1374" s="48" t="str">
        <x:v>PDF text</x:v>
      </x:c>
    </x:row>
    <x:row r="1375">
      <x:c r="A1375" s="48" t="str">
        <x:v>UNI-1374</x:v>
      </x:c>
      <x:c r="B1375" s="48" t="str">
        <x:v>RED</x:v>
      </x:c>
      <x:c r="C1375" s="48" t="str">
        <x:v>English</x:v>
      </x:c>
      <x:c r="D1375" s="48" t="n">
        <x:v>79</x:v>
      </x:c>
      <x:c r="E1375" s="48" t="str"/>
      <x:c r="F1375" s="48" t="str">
        <x:v>Parties shall attempt to settle the dispute amicably before the commencement of</x:v>
      </x:c>
      <x:c r="G1375" s="48" t="str">
        <x:v>Obligation</x:v>
      </x:c>
      <x:c r="H1375" s="48" t="str">
        <x:v>Shared</x:v>
      </x:c>
      <x:c r="I1375" s="48" t="n">
        <x:v>0.88</x:v>
      </x:c>
      <x:c r="J1375" s="48" t="n">
        <x:v>0.4</x:v>
      </x:c>
      <x:c r="K1375" s="48" t="str">
        <x:v>Yes</x:v>
      </x:c>
      <x:c r="L1375" s="48" t="str">
        <x:v>PDF text</x:v>
      </x:c>
    </x:row>
    <x:row r="1376">
      <x:c r="A1376" s="48" t="str">
        <x:v>UNI-1375</x:v>
      </x:c>
      <x:c r="B1376" s="48" t="str">
        <x:v>RED</x:v>
      </x:c>
      <x:c r="C1376" s="48" t="str">
        <x:v>English</x:v>
      </x:c>
      <x:c r="D1376" s="48" t="n">
        <x:v>79</x:v>
      </x:c>
      <x:c r="E1376" s="48" t="str"/>
      <x:c r="F1376" s="48" t="str">
        <x:v>However, unless both Parties agree otherwise, arbitration may be commenced on or after the fifty-sixth day after the day on which a notice of dissatisfaction and intention to commence arbitration was given, even if no attempt at amicable settlement has been made.</x:v>
      </x:c>
      <x:c r="G1376" s="48" t="str">
        <x:v>Right</x:v>
      </x:c>
      <x:c r="H1376" s="48" t="str">
        <x:v>Shared</x:v>
      </x:c>
      <x:c r="I1376" s="48" t="n">
        <x:v>0.78</x:v>
      </x:c>
      <x:c r="J1376" s="48" t="n">
        <x:v>0.93</x:v>
      </x:c>
      <x:c r="K1376" s="48" t="str">
        <x:v>No</x:v>
      </x:c>
      <x:c r="L1376" s="48" t="str">
        <x:v>PDF text</x:v>
      </x:c>
    </x:row>
    <x:row r="1377">
      <x:c r="A1377" s="48" t="str">
        <x:v>UNI-1376</x:v>
      </x:c>
      <x:c r="B1377" s="48" t="str">
        <x:v>RED</x:v>
      </x:c>
      <x:c r="C1377" s="48" t="str">
        <x:v>English</x:v>
      </x:c>
      <x:c r="D1377" s="48" t="n">
        <x:v>79</x:v>
      </x:c>
      <x:c r="E1377" s="48" t="str"/>
      <x:c r="F1377" s="48" t="str">
        <x:v>Unless settled amicably, any dispute in respect of which the DB’s decision (if any) has not become final and binding shall be finally settled by international arbitration.</x:v>
      </x:c>
      <x:c r="G1377" s="48" t="str">
        <x:v>Obligation</x:v>
      </x:c>
      <x:c r="H1377" s="48" t="str">
        <x:v>Shared</x:v>
      </x:c>
      <x:c r="I1377" s="48" t="n">
        <x:v>0.88</x:v>
      </x:c>
      <x:c r="J1377" s="48" t="n">
        <x:v>0.4</x:v>
      </x:c>
      <x:c r="K1377" s="48" t="str">
        <x:v>Yes</x:v>
      </x:c>
      <x:c r="L1377" s="48" t="str">
        <x:v>PDF text</x:v>
      </x:c>
    </x:row>
    <x:row r="1378">
      <x:c r="A1378" s="48" t="str">
        <x:v>UNI-1377</x:v>
      </x:c>
      <x:c r="B1378" s="48" t="str">
        <x:v>RED</x:v>
      </x:c>
      <x:c r="C1378" s="48" t="str">
        <x:v>English</x:v>
      </x:c>
      <x:c r="D1378" s="48" t="n">
        <x:v>79</x:v>
      </x:c>
      <x:c r="E1378" s="48" t="str"/>
      <x:c r="F1378" s="48" t="str">
        <x:v>Unless otherwise agreed by both Parties: (a) arbitration proceedings shall be conducted as stated in the Particular</x:v>
      </x:c>
      <x:c r="G1378" s="48" t="str">
        <x:v>Obligation</x:v>
      </x:c>
      <x:c r="H1378" s="48" t="str">
        <x:v>Shared</x:v>
      </x:c>
      <x:c r="I1378" s="48" t="n">
        <x:v>0.88</x:v>
      </x:c>
      <x:c r="J1378" s="48" t="n">
        <x:v>0.93</x:v>
      </x:c>
      <x:c r="K1378" s="48" t="str">
        <x:v>No</x:v>
      </x:c>
      <x:c r="L1378" s="48" t="str">
        <x:v>PDF text</x:v>
      </x:c>
    </x:row>
    <x:row r="1379">
      <x:c r="A1379" s="48" t="str">
        <x:v>UNI-1378</x:v>
      </x:c>
      <x:c r="B1379" s="48" t="str">
        <x:v>RED</x:v>
      </x:c>
      <x:c r="C1379" s="48" t="str">
        <x:v>English</x:v>
      </x:c>
      <x:c r="D1379" s="48" t="n">
        <x:v>79</x:v>
      </x:c>
      <x:c r="E1379" s="48" t="str"/>
      <x:c r="F1379" s="48" t="str">
        <x:v>(b) if no arbitration proceedings are so stated, the dispute shall be finally settled by institutional arbitration under the Rules of Arbitration of the International</x:v>
      </x:c>
      <x:c r="G1379" s="48" t="str">
        <x:v>Obligation</x:v>
      </x:c>
      <x:c r="H1379" s="48" t="str">
        <x:v>Shared</x:v>
      </x:c>
      <x:c r="I1379" s="48" t="n">
        <x:v>0.88</x:v>
      </x:c>
      <x:c r="J1379" s="48" t="n">
        <x:v>0.4</x:v>
      </x:c>
      <x:c r="K1379" s="48" t="str">
        <x:v>Yes</x:v>
      </x:c>
      <x:c r="L1379" s="48" t="str">
        <x:v>PDF text</x:v>
      </x:c>
    </x:row>
    <x:row r="1380">
      <x:c r="A1380" s="48" t="str">
        <x:v>UNI-1379</x:v>
      </x:c>
      <x:c r="B1380" s="48" t="str">
        <x:v>RED</x:v>
      </x:c>
      <x:c r="C1380" s="48" t="str">
        <x:v>English</x:v>
      </x:c>
      <x:c r="D1380" s="48" t="n">
        <x:v>79</x:v>
      </x:c>
      <x:c r="E1380" s="48" t="str"/>
      <x:c r="F1380" s="48" t="str">
        <x:v>Chamber of Commerce,</x:v>
      </x:c>
      <x:c r="G1380" s="48" t="str">
        <x:v>Obligation</x:v>
      </x:c>
      <x:c r="H1380" s="48" t="str">
        <x:v>Shared</x:v>
      </x:c>
      <x:c r="I1380" s="48" t="n">
        <x:v>0.45</x:v>
      </x:c>
      <x:c r="J1380" s="48" t="n">
        <x:v>0.4</x:v>
      </x:c>
      <x:c r="K1380" s="48" t="str">
        <x:v>Yes</x:v>
      </x:c>
      <x:c r="L1380" s="48" t="str">
        <x:v>PDF text</x:v>
      </x:c>
    </x:row>
    <x:row r="1381">
      <x:c r="A1381" s="48" t="str">
        <x:v>UNI-1380</x:v>
      </x:c>
      <x:c r="B1381" s="48" t="str">
        <x:v>RED</x:v>
      </x:c>
      <x:c r="C1381" s="48" t="str">
        <x:v>English</x:v>
      </x:c>
      <x:c r="D1381" s="48" t="n">
        <x:v>79</x:v>
      </x:c>
      <x:c r="E1381" s="48" t="str"/>
      <x:c r="F1381" s="48" t="str">
        <x:v>(c) the dispute shall be settled by three arbitrators, and (d) the arbitration shall be conducted in the language for communications defined in Sub-Clause 1.4 [Law and Language].</x:v>
      </x:c>
      <x:c r="G1381" s="48" t="str">
        <x:v>Obligation</x:v>
      </x:c>
      <x:c r="H1381" s="48" t="str">
        <x:v>Shared</x:v>
      </x:c>
      <x:c r="I1381" s="48" t="n">
        <x:v>0.88</x:v>
      </x:c>
      <x:c r="J1381" s="48" t="n">
        <x:v>0.4</x:v>
      </x:c>
      <x:c r="K1381" s="48" t="str">
        <x:v>Yes</x:v>
      </x:c>
      <x:c r="L1381" s="48" t="str">
        <x:v>PDF text</x:v>
      </x:c>
    </x:row>
    <x:row r="1382">
      <x:c r="A1382" s="48" t="str">
        <x:v>UNI-1381</x:v>
      </x:c>
      <x:c r="B1382" s="48" t="str">
        <x:v>RED</x:v>
      </x:c>
      <x:c r="C1382" s="48" t="str">
        <x:v>English</x:v>
      </x:c>
      <x:c r="D1382" s="48" t="n">
        <x:v>79</x:v>
      </x:c>
      <x:c r="E1382" s="48" t="str"/>
      <x:c r="F1382" s="48" t="str">
        <x:v>The arbitrators shall have full power to open up, review and revise any certificate, determination, instruction, opinion or valuation of the Engineer, and any decision of the DB, relevant to the dispute.</x:v>
      </x:c>
      <x:c r="G1382" s="48" t="str">
        <x:v>Obligation</x:v>
      </x:c>
      <x:c r="H1382" s="48" t="str">
        <x:v>Shared</x:v>
      </x:c>
      <x:c r="I1382" s="48" t="n">
        <x:v>0.88</x:v>
      </x:c>
      <x:c r="J1382" s="48" t="n">
        <x:v>0.4</x:v>
      </x:c>
      <x:c r="K1382" s="48" t="str">
        <x:v>Yes</x:v>
      </x:c>
      <x:c r="L1382" s="48" t="str">
        <x:v>PDF text</x:v>
      </x:c>
    </x:row>
    <x:row r="1383">
      <x:c r="A1383" s="48" t="str">
        <x:v>UNI-1382</x:v>
      </x:c>
      <x:c r="B1383" s="48" t="str">
        <x:v>RED</x:v>
      </x:c>
      <x:c r="C1383" s="48" t="str">
        <x:v>English</x:v>
      </x:c>
      <x:c r="D1383" s="48" t="n">
        <x:v>79</x:v>
      </x:c>
      <x:c r="E1383" s="48" t="str"/>
      <x:c r="F1383" s="48" t="str">
        <x:v>Nothing shall disqualify the Engineer from being called as a witness and giving evidence before the arbitrators on any matter whatsoever relevant to the dispute.</x:v>
      </x:c>
      <x:c r="G1383" s="48" t="str">
        <x:v>Obligation</x:v>
      </x:c>
      <x:c r="H1383" s="48" t="str">
        <x:v>Shared</x:v>
      </x:c>
      <x:c r="I1383" s="48" t="n">
        <x:v>0.88</x:v>
      </x:c>
      <x:c r="J1383" s="48" t="n">
        <x:v>0.4</x:v>
      </x:c>
      <x:c r="K1383" s="48" t="str">
        <x:v>Yes</x:v>
      </x:c>
      <x:c r="L1383" s="48" t="str">
        <x:v>PDF text</x:v>
      </x:c>
    </x:row>
    <x:row r="1384">
      <x:c r="A1384" s="48" t="str">
        <x:v>UNI-1383</x:v>
      </x:c>
      <x:c r="B1384" s="48" t="str">
        <x:v>RED</x:v>
      </x:c>
      <x:c r="C1384" s="48" t="str">
        <x:v>English</x:v>
      </x:c>
      <x:c r="D1384" s="48" t="n">
        <x:v>79</x:v>
      </x:c>
      <x:c r="E1384" s="48" t="str"/>
      <x:c r="F1384" s="48" t="str">
        <x:v>Neither Party shall be limited in the proceedings before the arbitrators to the evidence or arguments previously put before the DB to obtain its decision, or to the reasons for dissatisfaction given in its notice of dissatisfaction.</x:v>
      </x:c>
      <x:c r="G1384" s="48" t="str">
        <x:v>Obligation</x:v>
      </x:c>
      <x:c r="H1384" s="48" t="str">
        <x:v>Shared</x:v>
      </x:c>
      <x:c r="I1384" s="48" t="n">
        <x:v>0.88</x:v>
      </x:c>
      <x:c r="J1384" s="48" t="n">
        <x:v>0.4</x:v>
      </x:c>
      <x:c r="K1384" s="48" t="str">
        <x:v>Yes</x:v>
      </x:c>
      <x:c r="L1384" s="48" t="str">
        <x:v>PDF text</x:v>
      </x:c>
    </x:row>
    <x:row r="1385">
      <x:c r="A1385" s="48" t="str">
        <x:v>UNI-1384</x:v>
      </x:c>
      <x:c r="B1385" s="48" t="str">
        <x:v>RED</x:v>
      </x:c>
      <x:c r="C1385" s="48" t="str">
        <x:v>English</x:v>
      </x:c>
      <x:c r="D1385" s="48" t="n">
        <x:v>79</x:v>
      </x:c>
      <x:c r="E1385" s="48" t="str"/>
      <x:c r="F1385" s="48" t="str">
        <x:v>Any decision of the DB shall be admissible in evidence in the arbitration.</x:v>
      </x:c>
      <x:c r="G1385" s="48" t="str">
        <x:v>Obligation</x:v>
      </x:c>
      <x:c r="H1385" s="48" t="str">
        <x:v>Shared</x:v>
      </x:c>
      <x:c r="I1385" s="48" t="n">
        <x:v>0.88</x:v>
      </x:c>
      <x:c r="J1385" s="48" t="n">
        <x:v>0.4</x:v>
      </x:c>
      <x:c r="K1385" s="48" t="str">
        <x:v>Yes</x:v>
      </x:c>
      <x:c r="L1385" s="48" t="str">
        <x:v>PDF text</x:v>
      </x:c>
    </x:row>
    <x:row r="1386">
      <x:c r="A1386" s="48" t="str">
        <x:v>UNI-1385</x:v>
      </x:c>
      <x:c r="B1386" s="48" t="str">
        <x:v>RED</x:v>
      </x:c>
      <x:c r="C1386" s="48" t="str">
        <x:v>English</x:v>
      </x:c>
      <x:c r="D1386" s="48" t="n">
        <x:v>79</x:v>
      </x:c>
      <x:c r="E1386" s="48" t="str"/>
      <x:c r="F1386" s="48" t="str">
        <x:v>Arbitration may be commenced prior to or after completion of the Works.</x:v>
      </x:c>
      <x:c r="G1386" s="48" t="str">
        <x:v>Right</x:v>
      </x:c>
      <x:c r="H1386" s="48" t="str">
        <x:v>Shared</x:v>
      </x:c>
      <x:c r="I1386" s="48" t="n">
        <x:v>0.78</x:v>
      </x:c>
      <x:c r="J1386" s="48" t="n">
        <x:v>0.4</x:v>
      </x:c>
      <x:c r="K1386" s="48" t="str">
        <x:v>Yes</x:v>
      </x:c>
      <x:c r="L1386" s="48" t="str">
        <x:v>PDF text</x:v>
      </x:c>
    </x:row>
    <x:row r="1387">
      <x:c r="A1387" s="48" t="str">
        <x:v>UNI-1386</x:v>
      </x:c>
      <x:c r="B1387" s="48" t="str">
        <x:v>RED</x:v>
      </x:c>
      <x:c r="C1387" s="48" t="str">
        <x:v>English</x:v>
      </x:c>
      <x:c r="D1387" s="48" t="n">
        <x:v>79</x:v>
      </x:c>
      <x:c r="E1387" s="48" t="str"/>
      <x:c r="F1387" s="48" t="str">
        <x:v>The obligations of the Parties, the Engineer and the DB shall not be altered by reason of any arbitration being conducted during the progress of the Works.</x:v>
      </x:c>
      <x:c r="G1387" s="48" t="str">
        <x:v>Obligation</x:v>
      </x:c>
      <x:c r="H1387" s="48" t="str">
        <x:v>Shared</x:v>
      </x:c>
      <x:c r="I1387" s="48" t="n">
        <x:v>0.88</x:v>
      </x:c>
      <x:c r="J1387" s="48" t="n">
        <x:v>0.93</x:v>
      </x:c>
      <x:c r="K1387" s="48" t="str">
        <x:v>No</x:v>
      </x:c>
      <x:c r="L1387" s="48" t="str">
        <x:v>PDF text</x:v>
      </x:c>
    </x:row>
    <x:row r="1388">
      <x:c r="A1388" s="48" t="str">
        <x:v>UNI-1387</x:v>
      </x:c>
      <x:c r="B1388" s="48" t="str">
        <x:v>RED</x:v>
      </x:c>
      <x:c r="C1388" s="48" t="str">
        <x:v>English</x:v>
      </x:c>
      <x:c r="D1388" s="48" t="n">
        <x:v>79</x:v>
      </x:c>
      <x:c r="E1388" s="48" t="str"/>
      <x:c r="F1388" s="48" t="str">
        <x:v>In the event that a Party fails to comply with a DB decision which has become final and binding, then the other Party may, without prejudice to any other rights it may</x:v>
      </x:c>
      <x:c r="G1388" s="48" t="str">
        <x:v>Obligation</x:v>
      </x:c>
      <x:c r="H1388" s="48" t="str">
        <x:v>Shared</x:v>
      </x:c>
      <x:c r="I1388" s="48" t="n">
        <x:v>0.45</x:v>
      </x:c>
      <x:c r="J1388" s="48" t="n">
        <x:v>0.4</x:v>
      </x:c>
      <x:c r="K1388" s="48" t="str">
        <x:v>Yes</x:v>
      </x:c>
      <x:c r="L1388" s="48" t="str">
        <x:v>PDF text</x:v>
      </x:c>
    </x:row>
    <x:row r="1389">
      <x:c r="A1389" s="48" t="str">
        <x:v>UNI-1388</x:v>
      </x:c>
      <x:c r="B1389" s="48" t="str">
        <x:v>RED</x:v>
      </x:c>
      <x:c r="C1389" s="48" t="str">
        <x:v>English</x:v>
      </x:c>
      <x:c r="D1389" s="48" t="n">
        <x:v>80</x:v>
      </x:c>
      <x:c r="E1389" s="48" t="str"/>
      <x:c r="F1389" s="48" t="str">
        <x:v>have, refer the failure itself to arbitration under Sub-Clause 20.6 [Arbitration].</x:v>
      </x:c>
      <x:c r="G1389" s="48" t="str">
        <x:v>Obligation</x:v>
      </x:c>
      <x:c r="H1389" s="48" t="str">
        <x:v>Shared</x:v>
      </x:c>
      <x:c r="I1389" s="48" t="n">
        <x:v>0.45</x:v>
      </x:c>
      <x:c r="J1389" s="48" t="n">
        <x:v>0.4</x:v>
      </x:c>
      <x:c r="K1389" s="48" t="str">
        <x:v>Yes</x:v>
      </x:c>
      <x:c r="L1389" s="48" t="str">
        <x:v>PDF text</x:v>
      </x:c>
    </x:row>
    <x:row r="1390">
      <x:c r="A1390" s="48" t="str">
        <x:v>UNI-1389</x:v>
      </x:c>
      <x:c r="B1390" s="48" t="str">
        <x:v>RED</x:v>
      </x:c>
      <x:c r="C1390" s="48" t="str">
        <x:v>English</x:v>
      </x:c>
      <x:c r="D1390" s="48" t="n">
        <x:v>80</x:v>
      </x:c>
      <x:c r="E1390" s="48" t="str"/>
      <x:c r="F1390" s="48" t="str">
        <x:v>SubClause 20.4 [Obtaining Dispute Board’s Decision] and Sub-Clause 20.5 [Amicable Settlement] shall not apply to this reference.</x:v>
      </x:c>
      <x:c r="G1390" s="48" t="str">
        <x:v>Obligation</x:v>
      </x:c>
      <x:c r="H1390" s="48" t="str">
        <x:v>Shared</x:v>
      </x:c>
      <x:c r="I1390" s="48" t="n">
        <x:v>0.88</x:v>
      </x:c>
      <x:c r="J1390" s="48" t="n">
        <x:v>0.4</x:v>
      </x:c>
      <x:c r="K1390" s="48" t="str">
        <x:v>Yes</x:v>
      </x:c>
      <x:c r="L1390" s="48" t="str">
        <x:v>PDF text</x:v>
      </x:c>
    </x:row>
    <x:row r="1391">
      <x:c r="A1391" s="48" t="str">
        <x:v>UNI-1390</x:v>
      </x:c>
      <x:c r="B1391" s="48" t="str">
        <x:v>RED</x:v>
      </x:c>
      <x:c r="C1391" s="48" t="str">
        <x:v>English</x:v>
      </x:c>
      <x:c r="D1391" s="48" t="n">
        <x:v>80</x:v>
      </x:c>
      <x:c r="E1391" s="48" t="str"/>
      <x:c r="F1391" s="48" t="str">
        <x:v>If a dispute arises between the Parties in connection with, or arising out of, the Contract or the execution of the Works and there is no DB in place, whether by reason of the expiry of the DB’s appointment or otherwise: (a) Sub-Clause 20.4 [Obtaining Dispute Board’s Decision] and Sub-Clause 20.5 [Amicable Settlement] shall not apply, and (b) the dispute may be referred directly to arbitration under Sub-Clause 20.6 [Arbitration].</x:v>
      </x:c>
      <x:c r="G1391" s="48" t="str">
        <x:v>Obligation</x:v>
      </x:c>
      <x:c r="H1391" s="48" t="str">
        <x:v>Shared</x:v>
      </x:c>
      <x:c r="I1391" s="48" t="n">
        <x:v>0.88</x:v>
      </x:c>
      <x:c r="J1391" s="48" t="n">
        <x:v>0.93</x:v>
      </x:c>
      <x:c r="K1391" s="48" t="str">
        <x:v>No</x:v>
      </x:c>
      <x:c r="L1391" s="48" t="str">
        <x:v>PDF text</x:v>
      </x:c>
    </x:row>
    <x:row r="1392">
      <x:c r="A1392" s="48" t="str">
        <x:v>UNI-1391</x:v>
      </x:c>
      <x:c r="B1392" s="48" t="str">
        <x:v>RED</x:v>
      </x:c>
      <x:c r="C1392" s="48" t="str">
        <x:v>English</x:v>
      </x:c>
      <x:c r="D1392" s="48" t="n">
        <x:v>80</x:v>
      </x:c>
      <x:c r="E1392" s="48" t="str"/>
      <x:c r="F1392" s="48" t="str">
        <x:v>Expiry of Dispute</x:v>
      </x:c>
      <x:c r="G1392" s="48" t="str">
        <x:v>Obligation</x:v>
      </x:c>
      <x:c r="H1392" s="48" t="str">
        <x:v>Shared</x:v>
      </x:c>
      <x:c r="I1392" s="48" t="n">
        <x:v>0.55</x:v>
      </x:c>
      <x:c r="J1392" s="48" t="n">
        <x:v>0.4</x:v>
      </x:c>
      <x:c r="K1392" s="48" t="str">
        <x:v>Yes</x:v>
      </x:c>
      <x:c r="L1392" s="48" t="str">
        <x:v>PDF text</x:v>
      </x:c>
    </x:row>
    <x:row r="1393">
      <x:c r="A1393" s="48" t="str">
        <x:v>UNI-1392</x:v>
      </x:c>
      <x:c r="B1393" s="48" t="str">
        <x:v>RED</x:v>
      </x:c>
      <x:c r="C1393" s="48" t="str">
        <x:v>English</x:v>
      </x:c>
      <x:c r="D1393" s="48" t="n">
        <x:v>80</x:v>
      </x:c>
      <x:c r="E1393" s="48" t="str"/>
      <x:c r="F1393" s="48" t="str">
        <x:v>Board’s Appointment</x:v>
      </x:c>
      <x:c r="G1393" s="48" t="str">
        <x:v>Obligation</x:v>
      </x:c>
      <x:c r="H1393" s="48" t="str">
        <x:v>Shared</x:v>
      </x:c>
      <x:c r="I1393" s="48" t="n">
        <x:v>0.45</x:v>
      </x:c>
      <x:c r="J1393" s="48" t="n">
        <x:v>0.4</x:v>
      </x:c>
      <x:c r="K1393" s="48" t="str">
        <x:v>Yes</x:v>
      </x:c>
      <x:c r="L1393" s="48" t="str">
        <x:v>PDF text</x:v>
      </x:c>
    </x:row>
    <x:row r="1394">
      <x:c r="A1394" s="48" t="str">
        <x:v>UNI-1393</x:v>
      </x:c>
      <x:c r="B1394" s="48" t="str">
        <x:v>YELLOW</x:v>
      </x:c>
      <x:c r="C1394" s="48" t="str">
        <x:v>English</x:v>
      </x:c>
      <x:c r="D1394" s="48" t="n">
        <x:v>17</x:v>
      </x:c>
      <x:c r="E1394" s="48" t="str"/>
      <x:c r="F1394" s="48" t="str">
        <x:v>In the Conditions of Contract ("these Conditions"), which include Particular Conditions and these General Conditions, the following words and expressions shall have the meanings stated.</x:v>
      </x:c>
      <x:c r="G1394" s="48" t="str">
        <x:v>Obligation</x:v>
      </x:c>
      <x:c r="H1394" s="48" t="str">
        <x:v>Shared</x:v>
      </x:c>
      <x:c r="I1394" s="48" t="n">
        <x:v>0.88</x:v>
      </x:c>
      <x:c r="J1394" s="48" t="n">
        <x:v>0.4</x:v>
      </x:c>
      <x:c r="K1394" s="48" t="str">
        <x:v>Yes</x:v>
      </x:c>
      <x:c r="L1394" s="48" t="str">
        <x:v>PDF text</x:v>
      </x:c>
    </x:row>
    <x:row r="1395">
      <x:c r="A1395" s="48" t="str">
        <x:v>UNI-1394</x:v>
      </x:c>
      <x:c r="B1395" s="48" t="str">
        <x:v>YELLOW</x:v>
      </x:c>
      <x:c r="C1395" s="48" t="str">
        <x:v>English</x:v>
      </x:c>
      <x:c r="D1395" s="48" t="n">
        <x:v>17</x:v>
      </x:c>
      <x:c r="E1395" s="48" t="str">
        <x:v>1.1.1.1</x:v>
      </x:c>
      <x:c r="F1395" s="48" t="str">
        <x:v>1.1.1.1 "Contract" means the Contract Agreement, the Letter of Acceptance, the Letter of Tender, these Conditions, the Employer's Requirements, the</x:v>
      </x:c>
      <x:c r="G1395" s="48" t="str">
        <x:v>Definition</x:v>
      </x:c>
      <x:c r="H1395" s="48" t="str"/>
      <x:c r="I1395" s="48" t="n">
        <x:v>0.97</x:v>
      </x:c>
      <x:c r="J1395" s="48" t="n">
        <x:v>0.99</x:v>
      </x:c>
      <x:c r="K1395" s="48" t="str">
        <x:v>No</x:v>
      </x:c>
      <x:c r="L1395" s="48" t="str">
        <x:v>PDF text</x:v>
      </x:c>
    </x:row>
    <x:row r="1396">
      <x:c r="A1396" s="48" t="str">
        <x:v>UNI-1395</x:v>
      </x:c>
      <x:c r="B1396" s="48" t="str">
        <x:v>YELLOW</x:v>
      </x:c>
      <x:c r="C1396" s="48" t="str">
        <x:v>English</x:v>
      </x:c>
      <x:c r="D1396" s="48" t="n">
        <x:v>17</x:v>
      </x:c>
      <x:c r="E1396" s="48" t="str"/>
      <x:c r="F1396" s="48" t="str">
        <x:v>Schedules, the Contractor's Proposal, and the further documents (if any)</x:v>
      </x:c>
      <x:c r="G1396" s="48" t="str">
        <x:v>Obligation</x:v>
      </x:c>
      <x:c r="H1396" s="48" t="str">
        <x:v>Contractor</x:v>
      </x:c>
      <x:c r="I1396" s="48" t="n">
        <x:v>0.45</x:v>
      </x:c>
      <x:c r="J1396" s="48" t="n">
        <x:v>0.68</x:v>
      </x:c>
      <x:c r="K1396" s="48" t="str">
        <x:v>Yes</x:v>
      </x:c>
      <x:c r="L1396" s="48" t="str">
        <x:v>PDF text</x:v>
      </x:c>
    </x:row>
    <x:row r="1397">
      <x:c r="A1397" s="48" t="str">
        <x:v>UNI-1396</x:v>
      </x:c>
      <x:c r="B1397" s="48" t="str">
        <x:v>YELLOW</x:v>
      </x:c>
      <x:c r="C1397" s="48" t="str">
        <x:v>English</x:v>
      </x:c>
      <x:c r="D1397" s="48" t="n">
        <x:v>17</x:v>
      </x:c>
      <x:c r="E1397" s="48" t="str"/>
      <x:c r="F1397" s="48" t="str">
        <x:v>which are listed in the Contract Agreement or in the Letter of Acceptance.</x:v>
      </x:c>
      <x:c r="G1397" s="48" t="str">
        <x:v>Obligation</x:v>
      </x:c>
      <x:c r="H1397" s="48" t="str">
        <x:v>Shared</x:v>
      </x:c>
      <x:c r="I1397" s="48" t="n">
        <x:v>0.45</x:v>
      </x:c>
      <x:c r="J1397" s="48" t="n">
        <x:v>0.4</x:v>
      </x:c>
      <x:c r="K1397" s="48" t="str">
        <x:v>Yes</x:v>
      </x:c>
      <x:c r="L1397" s="48" t="str">
        <x:v>PDF text</x:v>
      </x:c>
    </x:row>
    <x:row r="1398">
      <x:c r="A1398" s="48" t="str">
        <x:v>UNI-1397</x:v>
      </x:c>
      <x:c r="B1398" s="48" t="str">
        <x:v>YELLOW</x:v>
      </x:c>
      <x:c r="C1398" s="48" t="str">
        <x:v>English</x:v>
      </x:c>
      <x:c r="D1398" s="48" t="n">
        <x:v>17</x:v>
      </x:c>
      <x:c r="E1398" s="48" t="str">
        <x:v>1.1.1.4</x:v>
      </x:c>
      <x:c r="F1398" s="48" t="str">
        <x:v>1.1.1.4 "Letter of Tender" means the document entitled letter of tender, which was completed by the Contractor and includes the signed offer to the Employer for the Works.</x:v>
      </x:c>
      <x:c r="G1398" s="48" t="str">
        <x:v>Definition</x:v>
      </x:c>
      <x:c r="H1398" s="48" t="str"/>
      <x:c r="I1398" s="48" t="n">
        <x:v>0.97</x:v>
      </x:c>
      <x:c r="J1398" s="48" t="n">
        <x:v>0.99</x:v>
      </x:c>
      <x:c r="K1398" s="48" t="str">
        <x:v>No</x:v>
      </x:c>
      <x:c r="L1398" s="48" t="str">
        <x:v>PDF text</x:v>
      </x:c>
    </x:row>
    <x:row r="1399">
      <x:c r="A1399" s="48" t="str">
        <x:v>UNI-1398</x:v>
      </x:c>
      <x:c r="B1399" s="48" t="str">
        <x:v>YELLOW</x:v>
      </x:c>
      <x:c r="C1399" s="48" t="str">
        <x:v>English</x:v>
      </x:c>
      <x:c r="D1399" s="48" t="n">
        <x:v>17</x:v>
      </x:c>
      <x:c r="E1399" s="48" t="str">
        <x:v>1.1.1.5</x:v>
      </x:c>
      <x:c r="F1399" s="48" t="str">
        <x:v>1.1.1.5 "Employer's Requirements" means the document entitled employer's requirements, as included in the Contract, and any additions and modifications to such document in accordance with the Contract.</x:v>
      </x:c>
      <x:c r="G1399" s="48" t="str">
        <x:v>Definition</x:v>
      </x:c>
      <x:c r="H1399" s="48" t="str"/>
      <x:c r="I1399" s="48" t="n">
        <x:v>0.97</x:v>
      </x:c>
      <x:c r="J1399" s="48" t="n">
        <x:v>0.99</x:v>
      </x:c>
      <x:c r="K1399" s="48" t="str">
        <x:v>No</x:v>
      </x:c>
      <x:c r="L1399" s="48" t="str">
        <x:v>PDF text</x:v>
      </x:c>
    </x:row>
    <x:row r="1400">
      <x:c r="A1400" s="48" t="str">
        <x:v>UNI-1399</x:v>
      </x:c>
      <x:c r="B1400" s="48" t="str">
        <x:v>YELLOW</x:v>
      </x:c>
      <x:c r="C1400" s="48" t="str">
        <x:v>English</x:v>
      </x:c>
      <x:c r="D1400" s="48" t="n">
        <x:v>17</x:v>
      </x:c>
      <x:c r="E1400" s="48" t="str"/>
      <x:c r="F1400" s="48" t="str">
        <x:v>Such document specifies the purpose, scope, and/or design and/or other technical criteria, for the Works.</x:v>
      </x:c>
      <x:c r="G1400" s="48" t="str">
        <x:v>Obligation</x:v>
      </x:c>
      <x:c r="H1400" s="48" t="str">
        <x:v>Shared</x:v>
      </x:c>
      <x:c r="I1400" s="48" t="n">
        <x:v>0.45</x:v>
      </x:c>
      <x:c r="J1400" s="48" t="n">
        <x:v>0.4</x:v>
      </x:c>
      <x:c r="K1400" s="48" t="str">
        <x:v>Yes</x:v>
      </x:c>
      <x:c r="L1400" s="48" t="str">
        <x:v>PDF text</x:v>
      </x:c>
    </x:row>
    <x:row r="1401">
      <x:c r="A1401" s="48" t="str">
        <x:v>UNI-1400</x:v>
      </x:c>
      <x:c r="B1401" s="48" t="str">
        <x:v>YELLOW</x:v>
      </x:c>
      <x:c r="C1401" s="48" t="str">
        <x:v>English</x:v>
      </x:c>
      <x:c r="D1401" s="48" t="n">
        <x:v>17</x:v>
      </x:c>
      <x:c r="E1401" s="48" t="str"/>
      <x:c r="F1401" s="48" t="str">
        <x:v>Such document may include data, lists and schedules of payments and/or prices.</x:v>
      </x:c>
      <x:c r="G1401" s="48" t="str">
        <x:v>Right</x:v>
      </x:c>
      <x:c r="H1401" s="48" t="str">
        <x:v>Shared</x:v>
      </x:c>
      <x:c r="I1401" s="48" t="n">
        <x:v>0.78</x:v>
      </x:c>
      <x:c r="J1401" s="48" t="n">
        <x:v>0.4</x:v>
      </x:c>
      <x:c r="K1401" s="48" t="str">
        <x:v>Yes</x:v>
      </x:c>
      <x:c r="L1401" s="48" t="str">
        <x:v>PDF text</x:v>
      </x:c>
    </x:row>
    <x:row r="1402">
      <x:c r="A1402" s="48" t="str">
        <x:v>UNI-1401</x:v>
      </x:c>
      <x:c r="B1402" s="48" t="str">
        <x:v>YELLOW</x:v>
      </x:c>
      <x:c r="C1402" s="48" t="str">
        <x:v>English</x:v>
      </x:c>
      <x:c r="D1402" s="48" t="n">
        <x:v>17</x:v>
      </x:c>
      <x:c r="E1402" s="48" t="str">
        <x:v>1.1.1.7</x:v>
      </x:c>
      <x:c r="F1402" s="48" t="str">
        <x:v>1.1.1.7 "Contractor's Proposal” means the document entitled proposal, which the Contractor submitted with the Letter of Tender, as included in the Contract.</x:v>
      </x:c>
      <x:c r="G1402" s="48" t="str">
        <x:v>Definition</x:v>
      </x:c>
      <x:c r="H1402" s="48" t="str"/>
      <x:c r="I1402" s="48" t="n">
        <x:v>0.97</x:v>
      </x:c>
      <x:c r="J1402" s="48" t="n">
        <x:v>0.99</x:v>
      </x:c>
      <x:c r="K1402" s="48" t="str">
        <x:v>No</x:v>
      </x:c>
      <x:c r="L1402" s="48" t="str">
        <x:v>PDF text</x:v>
      </x:c>
    </x:row>
    <x:row r="1403">
      <x:c r="A1403" s="48" t="str">
        <x:v>UNI-1402</x:v>
      </x:c>
      <x:c r="B1403" s="48" t="str">
        <x:v>YELLOW</x:v>
      </x:c>
      <x:c r="C1403" s="48" t="str">
        <x:v>English</x:v>
      </x:c>
      <x:c r="D1403" s="48" t="n">
        <x:v>17</x:v>
      </x:c>
      <x:c r="E1403" s="48" t="str"/>
      <x:c r="F1403" s="48" t="str">
        <x:v>Such document may include the Contractor's preliminary design.</x:v>
      </x:c>
      <x:c r="G1403" s="48" t="str">
        <x:v>Right</x:v>
      </x:c>
      <x:c r="H1403" s="48" t="str">
        <x:v>Contractor</x:v>
      </x:c>
      <x:c r="I1403" s="48" t="n">
        <x:v>0.78</x:v>
      </x:c>
      <x:c r="J1403" s="48" t="n">
        <x:v>0.68</x:v>
      </x:c>
      <x:c r="K1403" s="48" t="str">
        <x:v>Yes</x:v>
      </x:c>
      <x:c r="L1403" s="48" t="str">
        <x:v>PDF text</x:v>
      </x:c>
    </x:row>
    <x:row r="1404">
      <x:c r="A1404" s="48" t="str">
        <x:v>UNI-1403</x:v>
      </x:c>
      <x:c r="B1404" s="48" t="str">
        <x:v>YELLOW</x:v>
      </x:c>
      <x:c r="C1404" s="48" t="str">
        <x:v>English</x:v>
      </x:c>
      <x:c r="D1404" s="48" t="n">
        <x:v>17</x:v>
      </x:c>
      <x:c r="E1404" s="48" t="str">
        <x:v>1.1.1.8</x:v>
      </x:c>
      <x:c r="F1404" s="48" t="str">
        <x:v>1.1.1.8 "Tender” means the Letter of Tender and all other documents which the</x:v>
      </x:c>
      <x:c r="G1404" s="48" t="str">
        <x:v>Definition</x:v>
      </x:c>
      <x:c r="H1404" s="48" t="str"/>
      <x:c r="I1404" s="48" t="n">
        <x:v>0.97</x:v>
      </x:c>
      <x:c r="J1404" s="48" t="n">
        <x:v>0.99</x:v>
      </x:c>
      <x:c r="K1404" s="48" t="str">
        <x:v>No</x:v>
      </x:c>
      <x:c r="L1404" s="48" t="str">
        <x:v>PDF text</x:v>
      </x:c>
    </x:row>
    <x:row r="1405">
      <x:c r="A1405" s="48" t="str">
        <x:v>UNI-1404</x:v>
      </x:c>
      <x:c r="B1405" s="48" t="str">
        <x:v>YELLOW</x:v>
      </x:c>
      <x:c r="C1405" s="48" t="str">
        <x:v>English</x:v>
      </x:c>
      <x:c r="D1405" s="48" t="n">
        <x:v>17</x:v>
      </x:c>
      <x:c r="E1405" s="48" t="str"/>
      <x:c r="F1405" s="48" t="str">
        <x:v>Contractor submitted with the Letter of Tender, as included in the Contract</x:v>
      </x:c>
      <x:c r="G1405" s="48" t="str">
        <x:v>Obligation</x:v>
      </x:c>
      <x:c r="H1405" s="48" t="str">
        <x:v>Contractor</x:v>
      </x:c>
      <x:c r="I1405" s="48" t="n">
        <x:v>0.45</x:v>
      </x:c>
      <x:c r="J1405" s="48" t="n">
        <x:v>0.68</x:v>
      </x:c>
      <x:c r="K1405" s="48" t="str">
        <x:v>Yes</x:v>
      </x:c>
      <x:c r="L1405" s="48" t="str">
        <x:v>PDF text</x:v>
      </x:c>
    </x:row>
    <x:row r="1406">
      <x:c r="A1406" s="48" t="str">
        <x:v>UNI-1405</x:v>
      </x:c>
      <x:c r="B1406" s="48" t="str">
        <x:v>YELLOW</x:v>
      </x:c>
      <x:c r="C1406" s="48" t="str">
        <x:v>English</x:v>
      </x:c>
      <x:c r="D1406" s="48" t="n">
        <x:v>17</x:v>
      </x:c>
      <x:c r="E1406" s="48" t="str">
        <x:v>1.1.1.9</x:v>
      </x:c>
      <x:c r="F1406" s="48" t="str">
        <x:v>1.1.1.9 "Appendix to Tender” means the completed pages entitled appendix to tender which are appended to and form part of the Letter of Tender.</x:v>
      </x:c>
      <x:c r="G1406" s="48" t="str">
        <x:v>Definition</x:v>
      </x:c>
      <x:c r="H1406" s="48" t="str"/>
      <x:c r="I1406" s="48" t="n">
        <x:v>0.97</x:v>
      </x:c>
      <x:c r="J1406" s="48" t="n">
        <x:v>0.99</x:v>
      </x:c>
      <x:c r="K1406" s="48" t="str">
        <x:v>No</x:v>
      </x:c>
      <x:c r="L1406" s="48" t="str">
        <x:v>PDF text</x:v>
      </x:c>
    </x:row>
    <x:row r="1407">
      <x:c r="A1407" s="48" t="str">
        <x:v>UNI-1406</x:v>
      </x:c>
      <x:c r="B1407" s="48" t="str">
        <x:v>YELLOW</x:v>
      </x:c>
      <x:c r="C1407" s="48" t="str">
        <x:v>English</x:v>
      </x:c>
      <x:c r="D1407" s="48" t="n">
        <x:v>18</x:v>
      </x:c>
      <x:c r="E1407" s="48" t="str">
        <x:v>1.1.1.10</x:v>
      </x:c>
      <x:c r="F1407" s="48" t="str">
        <x:v>1.1.1.10 "Schedule of Guarantees” and "Schedule of Payments" mean the</x:v>
      </x:c>
      <x:c r="G1407" s="48" t="str">
        <x:v>Obligation</x:v>
      </x:c>
      <x:c r="H1407" s="48" t="str">
        <x:v>Shared</x:v>
      </x:c>
      <x:c r="I1407" s="48" t="n">
        <x:v>0.45</x:v>
      </x:c>
      <x:c r="J1407" s="48" t="n">
        <x:v>0.4</x:v>
      </x:c>
      <x:c r="K1407" s="48" t="str">
        <x:v>Yes</x:v>
      </x:c>
      <x:c r="L1407" s="48" t="str">
        <x:v>PDF text</x:v>
      </x:c>
    </x:row>
    <x:row r="1408">
      <x:c r="A1408" s="48" t="str">
        <x:v>UNI-1407</x:v>
      </x:c>
      <x:c r="B1408" s="48" t="str">
        <x:v>YELLOW</x:v>
      </x:c>
      <x:c r="C1408" s="48" t="str">
        <x:v>English</x:v>
      </x:c>
      <x:c r="D1408" s="48" t="n">
        <x:v>18</x:v>
      </x:c>
      <x:c r="E1408" s="48" t="str"/>
      <x:c r="F1408" s="48" t="str">
        <x:v>documents so named (if any) which are comprised in the Schedules.</x:v>
      </x:c>
      <x:c r="G1408" s="48" t="str">
        <x:v>Obligation</x:v>
      </x:c>
      <x:c r="H1408" s="48" t="str">
        <x:v>Shared</x:v>
      </x:c>
      <x:c r="I1408" s="48" t="n">
        <x:v>0.45</x:v>
      </x:c>
      <x:c r="J1408" s="48" t="n">
        <x:v>0.4</x:v>
      </x:c>
      <x:c r="K1408" s="48" t="str">
        <x:v>Yes</x:v>
      </x:c>
      <x:c r="L1408" s="48" t="str">
        <x:v>PDF text</x:v>
      </x:c>
    </x:row>
    <x:row r="1409">
      <x:c r="A1409" s="48" t="str">
        <x:v>UNI-1408</x:v>
      </x:c>
      <x:c r="B1409" s="48" t="str">
        <x:v>YELLOW</x:v>
      </x:c>
      <x:c r="C1409" s="48" t="str">
        <x:v>English</x:v>
      </x:c>
      <x:c r="D1409" s="48" t="n">
        <x:v>18</x:v>
      </x:c>
      <x:c r="E1409" s="48" t="str">
        <x:v>1.1.2.2</x:v>
      </x:c>
      <x:c r="F1409" s="48" t="str">
        <x:v>1.1.2.2 "Employer” means the person named as employer in the Appendix to Tender and the legal successors in title to this person.</x:v>
      </x:c>
      <x:c r="G1409" s="48" t="str">
        <x:v>Definition</x:v>
      </x:c>
      <x:c r="H1409" s="48" t="str"/>
      <x:c r="I1409" s="48" t="n">
        <x:v>0.97</x:v>
      </x:c>
      <x:c r="J1409" s="48" t="n">
        <x:v>0.99</x:v>
      </x:c>
      <x:c r="K1409" s="48" t="str">
        <x:v>No</x:v>
      </x:c>
      <x:c r="L1409" s="48" t="str">
        <x:v>PDF text</x:v>
      </x:c>
    </x:row>
    <x:row r="1410">
      <x:c r="A1410" s="48" t="str">
        <x:v>UNI-1409</x:v>
      </x:c>
      <x:c r="B1410" s="48" t="str">
        <x:v>YELLOW</x:v>
      </x:c>
      <x:c r="C1410" s="48" t="str">
        <x:v>English</x:v>
      </x:c>
      <x:c r="D1410" s="48" t="n">
        <x:v>18</x:v>
      </x:c>
      <x:c r="E1410" s="48" t="str"/>
      <x:c r="F1410" s="48" t="str">
        <x:v>Engineer for the purposes of the Contract and named in the Appendix to</x:v>
      </x:c>
      <x:c r="G1410" s="48" t="str">
        <x:v>Obligation</x:v>
      </x:c>
      <x:c r="H1410" s="48" t="str">
        <x:v>Shared</x:v>
      </x:c>
      <x:c r="I1410" s="48" t="n">
        <x:v>0.45</x:v>
      </x:c>
      <x:c r="J1410" s="48" t="n">
        <x:v>0.4</x:v>
      </x:c>
      <x:c r="K1410" s="48" t="str">
        <x:v>Yes</x:v>
      </x:c>
      <x:c r="L1410" s="48" t="str">
        <x:v>PDF text</x:v>
      </x:c>
    </x:row>
    <x:row r="1411">
      <x:c r="A1411" s="48" t="str">
        <x:v>UNI-1410</x:v>
      </x:c>
      <x:c r="B1411" s="48" t="str">
        <x:v>YELLOW</x:v>
      </x:c>
      <x:c r="C1411" s="48" t="str">
        <x:v>English</x:v>
      </x:c>
      <x:c r="D1411" s="48" t="n">
        <x:v>18</x:v>
      </x:c>
      <x:c r="E1411" s="48" t="str"/>
      <x:c r="F1411" s="48" t="str">
        <x:v>Tender, or other person appointed from time to time by the Employer and</x:v>
      </x:c>
      <x:c r="G1411" s="48" t="str">
        <x:v>Obligation</x:v>
      </x:c>
      <x:c r="H1411" s="48" t="str">
        <x:v>Employer</x:v>
      </x:c>
      <x:c r="I1411" s="48" t="n">
        <x:v>0.45</x:v>
      </x:c>
      <x:c r="J1411" s="48" t="n">
        <x:v>0.68</x:v>
      </x:c>
      <x:c r="K1411" s="48" t="str">
        <x:v>Yes</x:v>
      </x:c>
      <x:c r="L1411" s="48" t="str">
        <x:v>PDF text</x:v>
      </x:c>
    </x:row>
    <x:row r="1412">
      <x:c r="A1412" s="48" t="str">
        <x:v>UNI-1411</x:v>
      </x:c>
      <x:c r="B1412" s="48" t="str">
        <x:v>YELLOW</x:v>
      </x:c>
      <x:c r="C1412" s="48" t="str">
        <x:v>English</x:v>
      </x:c>
      <x:c r="D1412" s="48" t="n">
        <x:v>18</x:v>
      </x:c>
      <x:c r="E1412" s="48" t="str"/>
      <x:c r="F1412" s="48" t="str">
        <x:v>notified to the Contractor under Sub-Clause 3.4 [Replacement of the Engineer].</x:v>
      </x:c>
      <x:c r="G1412" s="48" t="str">
        <x:v>Obligation</x:v>
      </x:c>
      <x:c r="H1412" s="48" t="str">
        <x:v>Contractor</x:v>
      </x:c>
      <x:c r="I1412" s="48" t="n">
        <x:v>0.45</x:v>
      </x:c>
      <x:c r="J1412" s="48" t="n">
        <x:v>0.68</x:v>
      </x:c>
      <x:c r="K1412" s="48" t="str">
        <x:v>Yes</x:v>
      </x:c>
      <x:c r="L1412" s="48" t="str">
        <x:v>PDF text</x:v>
      </x:c>
    </x:row>
    <x:row r="1413">
      <x:c r="A1413" s="48" t="str">
        <x:v>UNI-1412</x:v>
      </x:c>
      <x:c r="B1413" s="48" t="str">
        <x:v>YELLOW</x:v>
      </x:c>
      <x:c r="C1413" s="48" t="str">
        <x:v>English</x:v>
      </x:c>
      <x:c r="D1413" s="48" t="n">
        <x:v>18</x:v>
      </x:c>
      <x:c r="E1413" s="48" t="str">
        <x:v>1.1.2.5</x:v>
      </x:c>
      <x:c r="F1413" s="48" t="str">
        <x:v>1.1.2.5 "Contractor's Representative" means the person named by the</x:v>
      </x:c>
      <x:c r="G1413" s="48" t="str">
        <x:v>Definition</x:v>
      </x:c>
      <x:c r="H1413" s="48" t="str"/>
      <x:c r="I1413" s="48" t="n">
        <x:v>0.97</x:v>
      </x:c>
      <x:c r="J1413" s="48" t="n">
        <x:v>0.99</x:v>
      </x:c>
      <x:c r="K1413" s="48" t="str">
        <x:v>No</x:v>
      </x:c>
      <x:c r="L1413" s="48" t="str">
        <x:v>PDF text</x:v>
      </x:c>
    </x:row>
    <x:row r="1414">
      <x:c r="A1414" s="48" t="str">
        <x:v>UNI-1413</x:v>
      </x:c>
      <x:c r="B1414" s="48" t="str">
        <x:v>YELLOW</x:v>
      </x:c>
      <x:c r="C1414" s="48" t="str">
        <x:v>English</x:v>
      </x:c>
      <x:c r="D1414" s="48" t="n">
        <x:v>18</x:v>
      </x:c>
      <x:c r="E1414" s="48" t="str"/>
      <x:c r="F1414" s="48" t="str">
        <x:v>under Sub-Clause 4.3 [Contractor's Representative], who acts on behalf of the Contractor.</x:v>
      </x:c>
      <x:c r="G1414" s="48" t="str">
        <x:v>Obligation</x:v>
      </x:c>
      <x:c r="H1414" s="48" t="str">
        <x:v>Contractor</x:v>
      </x:c>
      <x:c r="I1414" s="48" t="n">
        <x:v>0.45</x:v>
      </x:c>
      <x:c r="J1414" s="48" t="n">
        <x:v>0.68</x:v>
      </x:c>
      <x:c r="K1414" s="48" t="str">
        <x:v>Yes</x:v>
      </x:c>
      <x:c r="L1414" s="48" t="str">
        <x:v>PDF text</x:v>
      </x:c>
    </x:row>
    <x:row r="1415">
      <x:c r="A1415" s="48" t="str">
        <x:v>UNI-1414</x:v>
      </x:c>
      <x:c r="B1415" s="48" t="str">
        <x:v>YELLOW</x:v>
      </x:c>
      <x:c r="C1415" s="48" t="str">
        <x:v>English</x:v>
      </x:c>
      <x:c r="D1415" s="48" t="n">
        <x:v>18</x:v>
      </x:c>
      <x:c r="E1415" s="48" t="str">
        <x:v>1.1.2.6</x:v>
      </x:c>
      <x:c r="F1415" s="48" t="str">
        <x:v>1.1.2.6 "Employer's Personnel” means the Engineer, the assistants referred to in Sub-Clause 3.2 [Delegation by the Engineer] and all other staff, labour and other employees of the Engineer and of the Employer; and any other personnel notified to the Contractor, by the Employer or the Engineer, as Employer's Personnel.</x:v>
      </x:c>
      <x:c r="G1415" s="48" t="str">
        <x:v>Definition</x:v>
      </x:c>
      <x:c r="H1415" s="48" t="str"/>
      <x:c r="I1415" s="48" t="n">
        <x:v>0.97</x:v>
      </x:c>
      <x:c r="J1415" s="48" t="n">
        <x:v>0.99</x:v>
      </x:c>
      <x:c r="K1415" s="48" t="str">
        <x:v>No</x:v>
      </x:c>
      <x:c r="L1415" s="48" t="str">
        <x:v>PDF text</x:v>
      </x:c>
    </x:row>
    <x:row r="1416">
      <x:c r="A1416" s="48" t="str">
        <x:v>UNI-1415</x:v>
      </x:c>
      <x:c r="B1416" s="48" t="str">
        <x:v>YELLOW</x:v>
      </x:c>
      <x:c r="C1416" s="48" t="str">
        <x:v>English</x:v>
      </x:c>
      <x:c r="D1416" s="48" t="n">
        <x:v>18</x:v>
      </x:c>
      <x:c r="E1416" s="48" t="str">
        <x:v>1.1.2.7</x:v>
      </x:c>
      <x:c r="F1416" s="48" t="str">
        <x:v>1.1.2.7 "Contractor's Personnel” means the Contractor's Representative and all personnel whom the Contractor utilises on Site, who may include the staff, labour and other employees of the Contractor and of each Subcontractor; and any other personnel assisting the Contractor in the execution of the Works.</x:v>
      </x:c>
      <x:c r="G1416" s="48" t="str">
        <x:v>Definition</x:v>
      </x:c>
      <x:c r="H1416" s="48" t="str"/>
      <x:c r="I1416" s="48" t="n">
        <x:v>0.97</x:v>
      </x:c>
      <x:c r="J1416" s="48" t="n">
        <x:v>0.99</x:v>
      </x:c>
      <x:c r="K1416" s="48" t="str">
        <x:v>No</x:v>
      </x:c>
      <x:c r="L1416" s="48" t="str">
        <x:v>PDF text</x:v>
      </x:c>
    </x:row>
    <x:row r="1417">
      <x:c r="A1417" s="48" t="str">
        <x:v>UNI-1416</x:v>
      </x:c>
      <x:c r="B1417" s="48" t="str">
        <x:v>YELLOW</x:v>
      </x:c>
      <x:c r="C1417" s="48" t="str">
        <x:v>English</x:v>
      </x:c>
      <x:c r="D1417" s="48" t="n">
        <x:v>18</x:v>
      </x:c>
      <x:c r="E1417" s="48" t="str">
        <x:v>1.1.2.9</x:v>
      </x:c>
      <x:c r="F1417" s="48" t="str">
        <x:v>1.1.2.9 "DAB” means the person or three persons so named in the Contract, or other person(s) appointed under Sub-Clause 20.2 [Appointment of the Dispute Adjudication Board] or Sub-Clause 20.3 [Failure to Agree Dispute Adjudication Board].</x:v>
      </x:c>
      <x:c r="G1417" s="48" t="str">
        <x:v>Definition</x:v>
      </x:c>
      <x:c r="H1417" s="48" t="str"/>
      <x:c r="I1417" s="48" t="n">
        <x:v>0.97</x:v>
      </x:c>
      <x:c r="J1417" s="48" t="n">
        <x:v>0.99</x:v>
      </x:c>
      <x:c r="K1417" s="48" t="str">
        <x:v>No</x:v>
      </x:c>
      <x:c r="L1417" s="48" t="str">
        <x:v>PDF text</x:v>
      </x:c>
    </x:row>
    <x:row r="1418">
      <x:c r="A1418" s="48" t="str">
        <x:v>UNI-1417</x:v>
      </x:c>
      <x:c r="B1418" s="48" t="str">
        <x:v>YELLOW</x:v>
      </x:c>
      <x:c r="C1418" s="48" t="str">
        <x:v>English</x:v>
      </x:c>
      <x:c r="D1418" s="48" t="n">
        <x:v>18</x:v>
      </x:c>
      <x:c r="E1418" s="48" t="str">
        <x:v>1.1.3.1</x:v>
      </x:c>
      <x:c r="F1418" s="48" t="str">
        <x:v>1.1.3.1 "Base Date” means the date 28 days prior to the latest date for submission of the Tender.</x:v>
      </x:c>
      <x:c r="G1418" s="48" t="str">
        <x:v>Definition</x:v>
      </x:c>
      <x:c r="H1418" s="48" t="str"/>
      <x:c r="I1418" s="48" t="n">
        <x:v>0.97</x:v>
      </x:c>
      <x:c r="J1418" s="48" t="n">
        <x:v>0.99</x:v>
      </x:c>
      <x:c r="K1418" s="48" t="str">
        <x:v>No</x:v>
      </x:c>
      <x:c r="L1418" s="48" t="str">
        <x:v>PDF text</x:v>
      </x:c>
    </x:row>
    <x:row r="1419">
      <x:c r="A1419" s="48" t="str">
        <x:v>UNI-1418</x:v>
      </x:c>
      <x:c r="B1419" s="48" t="str">
        <x:v>YELLOW</x:v>
      </x:c>
      <x:c r="C1419" s="48" t="str">
        <x:v>English</x:v>
      </x:c>
      <x:c r="D1419" s="48" t="n">
        <x:v>18</x:v>
      </x:c>
      <x:c r="E1419" s="48" t="str">
        <x:v>1.1.3.3</x:v>
      </x:c>
      <x:c r="F1419" s="48" t="str">
        <x:v>1.1.3.3 "Time for Completion” means the time for completing the Works or a Section (as the case may be) under Sub-Clause 8.2 [Time for Completion], as stated in the Appendix to Tender (with any extension under Sub-Clause 1.1.2</x:v>
      </x:c>
      <x:c r="G1419" s="48" t="str">
        <x:v>Definition</x:v>
      </x:c>
      <x:c r="H1419" s="48" t="str"/>
      <x:c r="I1419" s="48" t="n">
        <x:v>0.97</x:v>
      </x:c>
      <x:c r="J1419" s="48" t="n">
        <x:v>0.99</x:v>
      </x:c>
      <x:c r="K1419" s="48" t="str">
        <x:v>No</x:v>
      </x:c>
      <x:c r="L1419" s="48" t="str">
        <x:v>PDF text</x:v>
      </x:c>
    </x:row>
    <x:row r="1420">
      <x:c r="A1420" s="48" t="str">
        <x:v>UNI-1419</x:v>
      </x:c>
      <x:c r="B1420" s="48" t="str">
        <x:v>YELLOW</x:v>
      </x:c>
      <x:c r="C1420" s="48" t="str">
        <x:v>English</x:v>
      </x:c>
      <x:c r="D1420" s="48" t="n">
        <x:v>19</x:v>
      </x:c>
      <x:c r="E1420" s="48" t="str">
        <x:v>8.4</x:v>
      </x:c>
      <x:c r="F1420" s="48" t="str">
        <x:v>8.4 [Extension of Time for Completion]), calculated from the Commencement</x:v>
      </x:c>
      <x:c r="G1420" s="48" t="str">
        <x:v>Obligation</x:v>
      </x:c>
      <x:c r="H1420" s="48" t="str">
        <x:v>Shared</x:v>
      </x:c>
      <x:c r="I1420" s="48" t="n">
        <x:v>0.45</x:v>
      </x:c>
      <x:c r="J1420" s="48" t="n">
        <x:v>0.4</x:v>
      </x:c>
      <x:c r="K1420" s="48" t="str">
        <x:v>Yes</x:v>
      </x:c>
      <x:c r="L1420" s="48" t="str">
        <x:v>PDF text</x:v>
      </x:c>
    </x:row>
    <x:row r="1421">
      <x:c r="A1421" s="48" t="str">
        <x:v>UNI-1420</x:v>
      </x:c>
      <x:c r="B1421" s="48" t="str">
        <x:v>YELLOW</x:v>
      </x:c>
      <x:c r="C1421" s="48" t="str">
        <x:v>English</x:v>
      </x:c>
      <x:c r="D1421" s="48" t="n">
        <x:v>19</x:v>
      </x:c>
      <x:c r="E1421" s="48" t="str">
        <x:v>1.1.3.5</x:v>
      </x:c>
      <x:c r="F1421" s="48" t="str">
        <x:v>1.1.3.5 "Taking-Over Certificate” means a certificate issued under Clause 10 [Employer's Taking Over].</x:v>
      </x:c>
      <x:c r="G1421" s="48" t="str">
        <x:v>Definition</x:v>
      </x:c>
      <x:c r="H1421" s="48" t="str"/>
      <x:c r="I1421" s="48" t="n">
        <x:v>0.97</x:v>
      </x:c>
      <x:c r="J1421" s="48" t="n">
        <x:v>0.99</x:v>
      </x:c>
      <x:c r="K1421" s="48" t="str">
        <x:v>No</x:v>
      </x:c>
      <x:c r="L1421" s="48" t="str">
        <x:v>PDF text</x:v>
      </x:c>
    </x:row>
    <x:row r="1422">
      <x:c r="A1422" s="48" t="str">
        <x:v>UNI-1421</x:v>
      </x:c>
      <x:c r="B1422" s="48" t="str">
        <x:v>YELLOW</x:v>
      </x:c>
      <x:c r="C1422" s="48" t="str">
        <x:v>English</x:v>
      </x:c>
      <x:c r="D1422" s="48" t="n">
        <x:v>19</x:v>
      </x:c>
      <x:c r="E1422" s="48" t="str">
        <x:v>1.1.3.6</x:v>
      </x:c>
      <x:c r="F1422" s="48" t="str">
        <x:v>1.1.3.6 "Tests after Completion” means the tests (if any) which are specified in the Contract and which are carried out under Clause 12 [Tests after Completion] after the Works or a Section (as the case may be) are taken over by the Employer.</x:v>
      </x:c>
      <x:c r="G1422" s="48" t="str">
        <x:v>Definition</x:v>
      </x:c>
      <x:c r="H1422" s="48" t="str"/>
      <x:c r="I1422" s="48" t="n">
        <x:v>0.97</x:v>
      </x:c>
      <x:c r="J1422" s="48" t="n">
        <x:v>0.99</x:v>
      </x:c>
      <x:c r="K1422" s="48" t="str">
        <x:v>No</x:v>
      </x:c>
      <x:c r="L1422" s="48" t="str">
        <x:v>PDF text</x:v>
      </x:c>
    </x:row>
    <x:row r="1423">
      <x:c r="A1423" s="48" t="str">
        <x:v>UNI-1422</x:v>
      </x:c>
      <x:c r="B1423" s="48" t="str">
        <x:v>YELLOW</x:v>
      </x:c>
      <x:c r="C1423" s="48" t="str">
        <x:v>English</x:v>
      </x:c>
      <x:c r="D1423" s="48" t="n">
        <x:v>19</x:v>
      </x:c>
      <x:c r="E1423" s="48" t="str">
        <x:v>1.1.3.7</x:v>
      </x:c>
      <x:c r="F1423" s="48" t="str">
        <x:v>1.1.3.7 "Defects Notification Period” means the period for notifying defects in the Works or a Section (as the case may be) under Sub-Clause 11.1 [Completion of Outstanding Work and Remedying Defects], as stated in the Appendix to Tender (with any extension under Sub-Clause 11.3 [Extension of Defects Notification Period]), calculated from the date on which the Works or Section is completed as certified under Sub-Clause 10.1 [Taking Over of the Works and Sections].</x:v>
      </x:c>
      <x:c r="G1423" s="48" t="str">
        <x:v>Definition</x:v>
      </x:c>
      <x:c r="H1423" s="48" t="str"/>
      <x:c r="I1423" s="48" t="n">
        <x:v>0.97</x:v>
      </x:c>
      <x:c r="J1423" s="48" t="n">
        <x:v>0.99</x:v>
      </x:c>
      <x:c r="K1423" s="48" t="str">
        <x:v>No</x:v>
      </x:c>
      <x:c r="L1423" s="48" t="str">
        <x:v>PDF text</x:v>
      </x:c>
    </x:row>
    <x:row r="1424">
      <x:c r="A1424" s="48" t="str">
        <x:v>UNI-1423</x:v>
      </x:c>
      <x:c r="B1424" s="48" t="str">
        <x:v>YELLOW</x:v>
      </x:c>
      <x:c r="C1424" s="48" t="str">
        <x:v>English</x:v>
      </x:c>
      <x:c r="D1424" s="48" t="n">
        <x:v>20</x:v>
      </x:c>
      <x:c r="E1424" s="48" t="str">
        <x:v>1.1.5.6</x:v>
      </x:c>
      <x:c r="F1424" s="48" t="str">
        <x:v>1.1.5.6 “Section” means a part of the Works specified in the Appendix to Tender as a Section (if any).</x:v>
      </x:c>
      <x:c r="G1424" s="48" t="str">
        <x:v>Definition</x:v>
      </x:c>
      <x:c r="H1424" s="48" t="str"/>
      <x:c r="I1424" s="48" t="n">
        <x:v>0.97</x:v>
      </x:c>
      <x:c r="J1424" s="48" t="n">
        <x:v>0.99</x:v>
      </x:c>
      <x:c r="K1424" s="48" t="str">
        <x:v>No</x:v>
      </x:c>
      <x:c r="L1424" s="48" t="str">
        <x:v>PDF text</x:v>
      </x:c>
    </x:row>
    <x:row r="1425">
      <x:c r="A1425" s="48" t="str">
        <x:v>UNI-1424</x:v>
      </x:c>
      <x:c r="B1425" s="48" t="str">
        <x:v>YELLOW</x:v>
      </x:c>
      <x:c r="C1425" s="48" t="str">
        <x:v>English</x:v>
      </x:c>
      <x:c r="D1425" s="48" t="n">
        <x:v>20</x:v>
      </x:c>
      <x:c r="E1425" s="48" t="str">
        <x:v>1.1.6.1</x:v>
      </x:c>
      <x:c r="F1425" s="48" t="str">
        <x:v>1.1.6.1 “Contractor’s Documents” means the calculations, computer programs and other software, drawings, manuals, models and other documents of a technical nature (if any) supplied by the Contractor under the Contract; as described in Sub-Clause 5.2 [Contractor’s Documents].</x:v>
      </x:c>
      <x:c r="G1425" s="48" t="str">
        <x:v>Definition</x:v>
      </x:c>
      <x:c r="H1425" s="48" t="str"/>
      <x:c r="I1425" s="48" t="n">
        <x:v>0.97</x:v>
      </x:c>
      <x:c r="J1425" s="48" t="n">
        <x:v>0.99</x:v>
      </x:c>
      <x:c r="K1425" s="48" t="str">
        <x:v>No</x:v>
      </x:c>
      <x:c r="L1425" s="48" t="str">
        <x:v>PDF text</x:v>
      </x:c>
    </x:row>
    <x:row r="1426">
      <x:c r="A1426" s="48" t="str">
        <x:v>UNI-1425</x:v>
      </x:c>
      <x:c r="B1426" s="48" t="str">
        <x:v>YELLOW</x:v>
      </x:c>
      <x:c r="C1426" s="48" t="str">
        <x:v>English</x:v>
      </x:c>
      <x:c r="D1426" s="48" t="n">
        <x:v>20</x:v>
      </x:c>
      <x:c r="E1426" s="48" t="str">
        <x:v>1.1.6.3</x:v>
      </x:c>
      <x:c r="F1426" s="48" t="str">
        <x:v>1.1.6.3 “Employer’s Equipment” means the apparatus, machinery and vehicles (if any) made available by the Employer for the use of the Contractor in the execution of the Works, as stated in the Employer’s Requirements; but does not include Plant which has not been taken over by the Employer.</x:v>
      </x:c>
      <x:c r="G1426" s="48" t="str">
        <x:v>Definition</x:v>
      </x:c>
      <x:c r="H1426" s="48" t="str"/>
      <x:c r="I1426" s="48" t="n">
        <x:v>0.97</x:v>
      </x:c>
      <x:c r="J1426" s="48" t="n">
        <x:v>0.99</x:v>
      </x:c>
      <x:c r="K1426" s="48" t="str">
        <x:v>No</x:v>
      </x:c>
      <x:c r="L1426" s="48" t="str">
        <x:v>PDF text</x:v>
      </x:c>
    </x:row>
    <x:row r="1427">
      <x:c r="A1427" s="48" t="str">
        <x:v>UNI-1426</x:v>
      </x:c>
      <x:c r="B1427" s="48" t="str">
        <x:v>YELLOW</x:v>
      </x:c>
      <x:c r="C1427" s="48" t="str">
        <x:v>English</x:v>
      </x:c>
      <x:c r="D1427" s="48" t="n">
        <x:v>21</x:v>
      </x:c>
      <x:c r="E1427" s="48" t="str">
        <x:v>1.1.6.8</x:v>
      </x:c>
      <x:c r="F1427" s="48" t="str">
        <x:v>1.1.6.8 “Unforeseeable” means not reasonably foreseeable by an experienced contractor by the date for submission of the Tender.</x:v>
      </x:c>
      <x:c r="G1427" s="48" t="str">
        <x:v>Definition</x:v>
      </x:c>
      <x:c r="H1427" s="48" t="str"/>
      <x:c r="I1427" s="48" t="n">
        <x:v>0.97</x:v>
      </x:c>
      <x:c r="J1427" s="48" t="n">
        <x:v>0.99</x:v>
      </x:c>
      <x:c r="K1427" s="48" t="str">
        <x:v>No</x:v>
      </x:c>
      <x:c r="L1427" s="48" t="str">
        <x:v>PDF text</x:v>
      </x:c>
    </x:row>
    <x:row r="1428">
      <x:c r="A1428" s="48" t="str">
        <x:v>UNI-1427</x:v>
      </x:c>
      <x:c r="B1428" s="48" t="str">
        <x:v>YELLOW</x:v>
      </x:c>
      <x:c r="C1428" s="48" t="str">
        <x:v>English</x:v>
      </x:c>
      <x:c r="D1428" s="48" t="n">
        <x:v>21</x:v>
      </x:c>
      <x:c r="E1428" s="48" t="str">
        <x:v>1.1.6.9</x:v>
      </x:c>
      <x:c r="F1428" s="48" t="str">
        <x:v>1.1.6.9 “Variation” means any change to the Employer’s Requirements or the Works, which is instructed or approved as a variation under Clause 13 [Variations and Adjustments].</x:v>
      </x:c>
      <x:c r="G1428" s="48" t="str">
        <x:v>Definition</x:v>
      </x:c>
      <x:c r="H1428" s="48" t="str"/>
      <x:c r="I1428" s="48" t="n">
        <x:v>0.97</x:v>
      </x:c>
      <x:c r="J1428" s="48" t="n">
        <x:v>0.99</x:v>
      </x:c>
      <x:c r="K1428" s="48" t="str">
        <x:v>No</x:v>
      </x:c>
      <x:c r="L1428" s="48" t="str">
        <x:v>PDF text</x:v>
      </x:c>
    </x:row>
    <x:row r="1429">
      <x:c r="A1429" s="48" t="str">
        <x:v>UNI-1428</x:v>
      </x:c>
      <x:c r="B1429" s="48" t="str">
        <x:v>YELLOW</x:v>
      </x:c>
      <x:c r="C1429" s="48" t="str">
        <x:v>English</x:v>
      </x:c>
      <x:c r="D1429" s="48" t="n">
        <x:v>21</x:v>
      </x:c>
      <x:c r="E1429" s="48" t="str"/>
      <x:c r="F1429" s="48" t="str">
        <x:v>In the Contract, except where the context requires otherwise: (a) words indicating one gender include all genders; (b) words indicating the singular also include the plural and words indicating the plural also include the singular; (c) provisions including the word "agree", "agreed" or "agreement" require the agreement to be recorded in writing, and (d) "written" or "in writing" means hand-written, type-written, printed or electronically made, and resulting in a permanent record.</x:v>
      </x:c>
      <x:c r="G1429" s="48" t="str">
        <x:v>Definition</x:v>
      </x:c>
      <x:c r="H1429" s="48" t="str"/>
      <x:c r="I1429" s="48" t="n">
        <x:v>0.97</x:v>
      </x:c>
      <x:c r="J1429" s="48" t="n">
        <x:v>0.99</x:v>
      </x:c>
      <x:c r="K1429" s="48" t="str">
        <x:v>No</x:v>
      </x:c>
      <x:c r="L1429" s="48" t="str">
        <x:v>PDF text</x:v>
      </x:c>
    </x:row>
    <x:row r="1430">
      <x:c r="A1430" s="48" t="str">
        <x:v>UNI-1429</x:v>
      </x:c>
      <x:c r="B1430" s="48" t="str">
        <x:v>YELLOW</x:v>
      </x:c>
      <x:c r="C1430" s="48" t="str">
        <x:v>English</x:v>
      </x:c>
      <x:c r="D1430" s="48" t="n">
        <x:v>21</x:v>
      </x:c>
      <x:c r="E1430" s="48" t="str"/>
      <x:c r="F1430" s="48" t="str">
        <x:v>Wherever these Conditions provide for the giving or issuing of approvals, certificates, consents, determinations, notices and requests, these communications shall be: (a) in writing and delivered by hand (against receipt), sent by mail or courier, or transmitted using any of the agreed systems of electronic transmission as stated in the Appendix to Tender; and (b) delivered, sent or transmitted to the address for the recipient's communications as stated in the Appendix to Tender.</x:v>
      </x:c>
      <x:c r="G1430" s="48" t="str">
        <x:v>Obligation</x:v>
      </x:c>
      <x:c r="H1430" s="48" t="str">
        <x:v>Shared</x:v>
      </x:c>
      <x:c r="I1430" s="48" t="n">
        <x:v>0.88</x:v>
      </x:c>
      <x:c r="J1430" s="48" t="n">
        <x:v>0.4</x:v>
      </x:c>
      <x:c r="K1430" s="48" t="str">
        <x:v>Yes</x:v>
      </x:c>
      <x:c r="L1430" s="48" t="str">
        <x:v>PDF text</x:v>
      </x:c>
    </x:row>
    <x:row r="1431">
      <x:c r="A1431" s="48" t="str">
        <x:v>UNI-1430</x:v>
      </x:c>
      <x:c r="B1431" s="48" t="str">
        <x:v>YELLOW</x:v>
      </x:c>
      <x:c r="C1431" s="48" t="str">
        <x:v>English</x:v>
      </x:c>
      <x:c r="D1431" s="48" t="n">
        <x:v>21</x:v>
      </x:c>
      <x:c r="E1431" s="48" t="str"/>
      <x:c r="F1431" s="48" t="str">
        <x:v>The Contract shall be governed by the law of the country (or other jurisdiction) stated in the Appendix to Tender.</x:v>
      </x:c>
      <x:c r="G1431" s="48" t="str">
        <x:v>Obligation</x:v>
      </x:c>
      <x:c r="H1431" s="48" t="str">
        <x:v>Shared</x:v>
      </x:c>
      <x:c r="I1431" s="48" t="n">
        <x:v>0.88</x:v>
      </x:c>
      <x:c r="J1431" s="48" t="n">
        <x:v>0.4</x:v>
      </x:c>
      <x:c r="K1431" s="48" t="str">
        <x:v>Yes</x:v>
      </x:c>
      <x:c r="L1431" s="48" t="str">
        <x:v>PDF text</x:v>
      </x:c>
    </x:row>
    <x:row r="1432">
      <x:c r="A1432" s="48" t="str">
        <x:v>UNI-1431</x:v>
      </x:c>
      <x:c r="B1432" s="48" t="str">
        <x:v>YELLOW</x:v>
      </x:c>
      <x:c r="C1432" s="48" t="str">
        <x:v>English</x:v>
      </x:c>
      <x:c r="D1432" s="48" t="n">
        <x:v>22</x:v>
      </x:c>
      <x:c r="E1432" s="48" t="str"/>
      <x:c r="F1432" s="48" t="str">
        <x:v>If there are versions of any part of the Contract which are written in more than one language, the version which is in the ruling language stated in the Appendix to Tender shall prevail.</x:v>
      </x:c>
      <x:c r="G1432" s="48" t="str">
        <x:v>Obligation</x:v>
      </x:c>
      <x:c r="H1432" s="48" t="str">
        <x:v>Shared</x:v>
      </x:c>
      <x:c r="I1432" s="48" t="n">
        <x:v>0.88</x:v>
      </x:c>
      <x:c r="J1432" s="48" t="n">
        <x:v>0.4</x:v>
      </x:c>
      <x:c r="K1432" s="48" t="str">
        <x:v>Yes</x:v>
      </x:c>
      <x:c r="L1432" s="48" t="str">
        <x:v>PDF text</x:v>
      </x:c>
    </x:row>
    <x:row r="1433">
      <x:c r="A1433" s="48" t="str">
        <x:v>UNI-1432</x:v>
      </x:c>
      <x:c r="B1433" s="48" t="str">
        <x:v>YELLOW</x:v>
      </x:c>
      <x:c r="C1433" s="48" t="str">
        <x:v>English</x:v>
      </x:c>
      <x:c r="D1433" s="48" t="n">
        <x:v>22</x:v>
      </x:c>
      <x:c r="E1433" s="48" t="str"/>
      <x:c r="F1433" s="48" t="str">
        <x:v>The language for communications shall be that stated in the Appendix to Tender.</x:v>
      </x:c>
      <x:c r="G1433" s="48" t="str">
        <x:v>Obligation</x:v>
      </x:c>
      <x:c r="H1433" s="48" t="str">
        <x:v>Shared</x:v>
      </x:c>
      <x:c r="I1433" s="48" t="n">
        <x:v>0.88</x:v>
      </x:c>
      <x:c r="J1433" s="48" t="n">
        <x:v>0.4</x:v>
      </x:c>
      <x:c r="K1433" s="48" t="str">
        <x:v>Yes</x:v>
      </x:c>
      <x:c r="L1433" s="48" t="str">
        <x:v>PDF text</x:v>
      </x:c>
    </x:row>
    <x:row r="1434">
      <x:c r="A1434" s="48" t="str">
        <x:v>UNI-1433</x:v>
      </x:c>
      <x:c r="B1434" s="48" t="str">
        <x:v>YELLOW</x:v>
      </x:c>
      <x:c r="C1434" s="48" t="str">
        <x:v>English</x:v>
      </x:c>
      <x:c r="D1434" s="48" t="n">
        <x:v>22</x:v>
      </x:c>
      <x:c r="E1434" s="48" t="str"/>
      <x:c r="F1434" s="48" t="str">
        <x:v>If no language is stated there, the language for communications shall be the language in which the Contract (or most of it) is written.</x:v>
      </x:c>
      <x:c r="G1434" s="48" t="str">
        <x:v>Obligation</x:v>
      </x:c>
      <x:c r="H1434" s="48" t="str">
        <x:v>Shared</x:v>
      </x:c>
      <x:c r="I1434" s="48" t="n">
        <x:v>0.88</x:v>
      </x:c>
      <x:c r="J1434" s="48" t="n">
        <x:v>0.4</x:v>
      </x:c>
      <x:c r="K1434" s="48" t="str">
        <x:v>Yes</x:v>
      </x:c>
      <x:c r="L1434" s="48" t="str">
        <x:v>PDF text</x:v>
      </x:c>
    </x:row>
    <x:row r="1435">
      <x:c r="A1435" s="48" t="str">
        <x:v>UNI-1434</x:v>
      </x:c>
      <x:c r="B1435" s="48" t="str">
        <x:v>YELLOW</x:v>
      </x:c>
      <x:c r="C1435" s="48" t="str">
        <x:v>English</x:v>
      </x:c>
      <x:c r="D1435" s="48" t="n">
        <x:v>22</x:v>
      </x:c>
      <x:c r="E1435" s="48" t="str"/>
      <x:c r="F1435" s="48" t="str">
        <x:v>For the purposes of interpretation, the priority of the documents shall be in accordance with the following sequence: (a) the Contract Agreement (if any), (b) the Letter of Acceptance, (c) the Letter of Tender, (d) the Particular Conditions, (e) these General Conditions, (f) the Employer's Requirements, (g) the Schedules, and (h) the Contractor's Proposal and any other documents forming part of the Contract.</x:v>
      </x:c>
      <x:c r="G1435" s="48" t="str">
        <x:v>Obligation</x:v>
      </x:c>
      <x:c r="H1435" s="48" t="str">
        <x:v>Shared</x:v>
      </x:c>
      <x:c r="I1435" s="48" t="n">
        <x:v>0.88</x:v>
      </x:c>
      <x:c r="J1435" s="48" t="n">
        <x:v>0.6</x:v>
      </x:c>
      <x:c r="K1435" s="48" t="str">
        <x:v>Yes</x:v>
      </x:c>
      <x:c r="L1435" s="48" t="str">
        <x:v>PDF text</x:v>
      </x:c>
    </x:row>
    <x:row r="1436">
      <x:c r="A1436" s="48" t="str">
        <x:v>UNI-1435</x:v>
      </x:c>
      <x:c r="B1436" s="48" t="str">
        <x:v>YELLOW</x:v>
      </x:c>
      <x:c r="C1436" s="48" t="str">
        <x:v>English</x:v>
      </x:c>
      <x:c r="D1436" s="48" t="n">
        <x:v>22</x:v>
      </x:c>
      <x:c r="E1436" s="48" t="str"/>
      <x:c r="F1436" s="48" t="str">
        <x:v>Each of the Contractor's Documents shall be in the custody and care of the</x:v>
      </x:c>
      <x:c r="G1436" s="48" t="str">
        <x:v>Obligation</x:v>
      </x:c>
      <x:c r="H1436" s="48" t="str">
        <x:v>Contractor</x:v>
      </x:c>
      <x:c r="I1436" s="48" t="n">
        <x:v>0.88</x:v>
      </x:c>
      <x:c r="J1436" s="48" t="n">
        <x:v>0.68</x:v>
      </x:c>
      <x:c r="K1436" s="48" t="str">
        <x:v>Yes</x:v>
      </x:c>
      <x:c r="L1436" s="48" t="str">
        <x:v>PDF text</x:v>
      </x:c>
    </x:row>
    <x:row r="1437">
      <x:c r="A1437" s="48" t="str">
        <x:v>UNI-1436</x:v>
      </x:c>
      <x:c r="B1437" s="48" t="str">
        <x:v>YELLOW</x:v>
      </x:c>
      <x:c r="C1437" s="48" t="str">
        <x:v>English</x:v>
      </x:c>
      <x:c r="D1437" s="48" t="n">
        <x:v>22</x:v>
      </x:c>
      <x:c r="E1437" s="48" t="str"/>
      <x:c r="F1437" s="48" t="str">
        <x:v>Unless otherwise stated in the Contract, the Contractor shall supply to the Engineer six copies of each of the Contractor's Documents.</x:v>
      </x:c>
      <x:c r="G1437" s="48" t="str">
        <x:v>Obligation</x:v>
      </x:c>
      <x:c r="H1437" s="48" t="str">
        <x:v>Contractor</x:v>
      </x:c>
      <x:c r="I1437" s="48" t="n">
        <x:v>0.88</x:v>
      </x:c>
      <x:c r="J1437" s="48" t="n">
        <x:v>0.92</x:v>
      </x:c>
      <x:c r="K1437" s="48" t="str">
        <x:v>No</x:v>
      </x:c>
      <x:c r="L1437" s="48" t="str">
        <x:v>PDF text</x:v>
      </x:c>
    </x:row>
    <x:row r="1438">
      <x:c r="A1438" s="48" t="str">
        <x:v>UNI-1437</x:v>
      </x:c>
      <x:c r="B1438" s="48" t="str">
        <x:v>YELLOW</x:v>
      </x:c>
      <x:c r="C1438" s="48" t="str">
        <x:v>English</x:v>
      </x:c>
      <x:c r="D1438" s="48" t="n">
        <x:v>22</x:v>
      </x:c>
      <x:c r="E1438" s="48" t="str"/>
      <x:c r="F1438" s="48" t="str">
        <x:v>The Contractor shall keep, on the Site, a copy of the Contract, publications named in the Employer's Requirements, the Contractor's Documents, and Variations and other communications given under the Contract.</x:v>
      </x:c>
      <x:c r="G1438" s="48" t="str">
        <x:v>Obligation</x:v>
      </x:c>
      <x:c r="H1438" s="48" t="str">
        <x:v>Contractor</x:v>
      </x:c>
      <x:c r="I1438" s="48" t="n">
        <x:v>0.88</x:v>
      </x:c>
      <x:c r="J1438" s="48" t="n">
        <x:v>0.92</x:v>
      </x:c>
      <x:c r="K1438" s="48" t="str">
        <x:v>No</x:v>
      </x:c>
      <x:c r="L1438" s="48" t="str">
        <x:v>PDF text</x:v>
      </x:c>
    </x:row>
    <x:row r="1439">
      <x:c r="A1439" s="48" t="str">
        <x:v>UNI-1438</x:v>
      </x:c>
      <x:c r="B1439" s="48" t="str">
        <x:v>YELLOW</x:v>
      </x:c>
      <x:c r="C1439" s="48" t="str">
        <x:v>English</x:v>
      </x:c>
      <x:c r="D1439" s="48" t="n">
        <x:v>22</x:v>
      </x:c>
      <x:c r="E1439" s="48" t="str"/>
      <x:c r="F1439" s="48" t="str">
        <x:v>The Employer's Personnel shall have the right of access to all these documents at all reasonable times.</x:v>
      </x:c>
      <x:c r="G1439" s="48" t="str">
        <x:v>Obligation</x:v>
      </x:c>
      <x:c r="H1439" s="48" t="str">
        <x:v>Employer</x:v>
      </x:c>
      <x:c r="I1439" s="48" t="n">
        <x:v>0.88</x:v>
      </x:c>
      <x:c r="J1439" s="48" t="n">
        <x:v>0.68</x:v>
      </x:c>
      <x:c r="K1439" s="48" t="str">
        <x:v>Yes</x:v>
      </x:c>
      <x:c r="L1439" s="48" t="str">
        <x:v>PDF text</x:v>
      </x:c>
    </x:row>
    <x:row r="1440">
      <x:c r="A1440" s="48" t="str">
        <x:v>UNI-1439</x:v>
      </x:c>
      <x:c r="B1440" s="48" t="str">
        <x:v>YELLOW</x:v>
      </x:c>
      <x:c r="C1440" s="48" t="str">
        <x:v>English</x:v>
      </x:c>
      <x:c r="D1440" s="48" t="n">
        <x:v>22</x:v>
      </x:c>
      <x:c r="E1440" s="48" t="str"/>
      <x:c r="F1440" s="48" t="str">
        <x:v>If a Party becomes aware of an error or defect of a technical nature in a document which was prepared for use in executing the Works, the Party shall promptly give notice to the other Party of such error or defect.</x:v>
      </x:c>
      <x:c r="G1440" s="48" t="str">
        <x:v>Risk</x:v>
      </x:c>
      <x:c r="H1440" s="48" t="str">
        <x:v>Shared</x:v>
      </x:c>
      <x:c r="I1440" s="48" t="n">
        <x:v>0.78</x:v>
      </x:c>
      <x:c r="J1440" s="48" t="n">
        <x:v>0.4</x:v>
      </x:c>
      <x:c r="K1440" s="48" t="str">
        <x:v>Yes</x:v>
      </x:c>
      <x:c r="L1440" s="48" t="str">
        <x:v>PDF text</x:v>
      </x:c>
    </x:row>
    <x:row r="1441">
      <x:c r="A1441" s="48" t="str">
        <x:v>UNI-1440</x:v>
      </x:c>
      <x:c r="B1441" s="48" t="str">
        <x:v>YELLOW</x:v>
      </x:c>
      <x:c r="C1441" s="48" t="str">
        <x:v>English</x:v>
      </x:c>
      <x:c r="D1441" s="48" t="n">
        <x:v>23</x:v>
      </x:c>
      <x:c r="E1441" s="48" t="str"/>
      <x:c r="F1441" s="48" t="str">
        <x:v>If the Contractor suffers delay and/or incurs Cost as a result of an error in the</x:v>
      </x:c>
      <x:c r="G1441" s="48" t="str">
        <x:v>Risk</x:v>
      </x:c>
      <x:c r="H1441" s="48" t="str">
        <x:v>Contractor</x:v>
      </x:c>
      <x:c r="I1441" s="48" t="n">
        <x:v>0.78</x:v>
      </x:c>
      <x:c r="J1441" s="48" t="n">
        <x:v>0.68</x:v>
      </x:c>
      <x:c r="K1441" s="48" t="str">
        <x:v>Yes</x:v>
      </x:c>
      <x:c r="L1441" s="48" t="str">
        <x:v>PDF text</x:v>
      </x:c>
    </x:row>
    <x:row r="1442">
      <x:c r="A1442" s="48" t="str">
        <x:v>UNI-1441</x:v>
      </x:c>
      <x:c r="B1442" s="48" t="str">
        <x:v>YELLOW</x:v>
      </x:c>
      <x:c r="C1442" s="48" t="str">
        <x:v>English</x:v>
      </x:c>
      <x:c r="D1442" s="48" t="n">
        <x:v>23</x:v>
      </x:c>
      <x:c r="E1442" s="48" t="str"/>
      <x:c r="F1442" s="48" t="str">
        <x:v>Employer's Requirements, and an experienced contractor exercising due care</x:v>
      </x:c>
      <x:c r="G1442" s="48" t="str">
        <x:v>Obligation</x:v>
      </x:c>
      <x:c r="H1442" s="48" t="str">
        <x:v>Shared</x:v>
      </x:c>
      <x:c r="I1442" s="48" t="n">
        <x:v>0.45</x:v>
      </x:c>
      <x:c r="J1442" s="48" t="n">
        <x:v>0.6</x:v>
      </x:c>
      <x:c r="K1442" s="48" t="str">
        <x:v>Yes</x:v>
      </x:c>
      <x:c r="L1442" s="48" t="str">
        <x:v>PDF text</x:v>
      </x:c>
    </x:row>
    <x:row r="1443">
      <x:c r="A1443" s="48" t="str">
        <x:v>UNI-1442</x:v>
      </x:c>
      <x:c r="B1443" s="48" t="str">
        <x:v>YELLOW</x:v>
      </x:c>
      <x:c r="C1443" s="48" t="str">
        <x:v>English</x:v>
      </x:c>
      <x:c r="D1443" s="48" t="n">
        <x:v>23</x:v>
      </x:c>
      <x:c r="E1443" s="48" t="str"/>
      <x:c r="F1443" s="48" t="str">
        <x:v>would not have discovered the error when scrutinising the Employer's Requirements under Sub-Clause 5.1 [General Design Obligations], the Contractor shall give notice to the Engineer and shall be entitled subject to Sub-Clause 20.1 [Contractor's Claims] to: (a) an extension of time for any such delay, if completion is or will be delayed, under Sub-Clause 8.4 [Extension of Time for Completion], and (b) payment of any such Cost plus reasonable profit, which shall be included in the Contract Price.</x:v>
      </x:c>
      <x:c r="G1443" s="48" t="str">
        <x:v>Risk</x:v>
      </x:c>
      <x:c r="H1443" s="48" t="str">
        <x:v>Contractor</x:v>
      </x:c>
      <x:c r="I1443" s="48" t="n">
        <x:v>0.78</x:v>
      </x:c>
      <x:c r="J1443" s="48" t="n">
        <x:v>0.92</x:v>
      </x:c>
      <x:c r="K1443" s="48" t="str">
        <x:v>No</x:v>
      </x:c>
      <x:c r="L1443" s="48" t="str">
        <x:v>PDF text</x:v>
      </x:c>
    </x:row>
    <x:row r="1444">
      <x:c r="A1444" s="48" t="str">
        <x:v>UNI-1443</x:v>
      </x:c>
      <x:c r="B1444" s="48" t="str">
        <x:v>YELLOW</x:v>
      </x:c>
      <x:c r="C1444" s="48" t="str">
        <x:v>English</x:v>
      </x:c>
      <x:c r="D1444" s="48" t="n">
        <x:v>23</x:v>
      </x:c>
      <x:c r="E1444" s="48" t="str"/>
      <x:c r="F1444" s="48" t="str">
        <x:v>error could not reasonably have been so discovered, and (ii) the matters described in sub-paragraphs (a) and (b) above related to this extent.</x:v>
      </x:c>
      <x:c r="G1444" s="48" t="str">
        <x:v>Obligation</x:v>
      </x:c>
      <x:c r="H1444" s="48" t="str">
        <x:v>Shared</x:v>
      </x:c>
      <x:c r="I1444" s="48" t="n">
        <x:v>0.45</x:v>
      </x:c>
      <x:c r="J1444" s="48" t="n">
        <x:v>0.4</x:v>
      </x:c>
      <x:c r="K1444" s="48" t="str">
        <x:v>Yes</x:v>
      </x:c>
      <x:c r="L1444" s="48" t="str">
        <x:v>PDF text</x:v>
      </x:c>
    </x:row>
    <x:row r="1445">
      <x:c r="A1445" s="48" t="str">
        <x:v>UNI-1444</x:v>
      </x:c>
      <x:c r="B1445" s="48" t="str">
        <x:v>YELLOW</x:v>
      </x:c>
      <x:c r="C1445" s="48" t="str">
        <x:v>English</x:v>
      </x:c>
      <x:c r="D1445" s="48" t="n">
        <x:v>23</x:v>
      </x:c>
      <x:c r="E1445" s="48" t="str"/>
      <x:c r="F1445" s="48" t="str">
        <x:v>The Contractor shall be deemed (by signing the Contract) to give to the Employer a non-terminable transferable non-exclusive royalty-free licence to copy, use and communicate the Contractor's Documents, including making and using modifications of them.</x:v>
      </x:c>
      <x:c r="G1445" s="48" t="str">
        <x:v>Obligation</x:v>
      </x:c>
      <x:c r="H1445" s="48" t="str">
        <x:v>Contractor</x:v>
      </x:c>
      <x:c r="I1445" s="48" t="n">
        <x:v>0.88</x:v>
      </x:c>
      <x:c r="J1445" s="48" t="n">
        <x:v>0.92</x:v>
      </x:c>
      <x:c r="K1445" s="48" t="str">
        <x:v>No</x:v>
      </x:c>
      <x:c r="L1445" s="48" t="str">
        <x:v>PDF text</x:v>
      </x:c>
    </x:row>
    <x:row r="1446">
      <x:c r="A1446" s="48" t="str">
        <x:v>UNI-1445</x:v>
      </x:c>
      <x:c r="B1446" s="48" t="str">
        <x:v>YELLOW</x:v>
      </x:c>
      <x:c r="C1446" s="48" t="str">
        <x:v>English</x:v>
      </x:c>
      <x:c r="D1446" s="48" t="n">
        <x:v>23</x:v>
      </x:c>
      <x:c r="E1446" s="48" t="str"/>
      <x:c r="F1446" s="48" t="str">
        <x:v>This licence shall: (a) apply throughout the actual or intended working life (whichever is longer) of the relevant parts of the Works, (b) entitle any person in proper possession of the relevant part of the Works to copy, use and communicate the Contractor's Documents for the purposes of completing, operating, maintaining, altering, adjusting, repairing and demolishing the Works, and (c) in the case of Contractor's Documents which are in the form of computer programs and other software, permit their use on any computer on the Site and other places as envisaged by the Contract, including replacements of any computers supplied by the Contractor.</x:v>
      </x:c>
      <x:c r="G1446" s="48" t="str">
        <x:v>Obligation</x:v>
      </x:c>
      <x:c r="H1446" s="48" t="str">
        <x:v>Contractor</x:v>
      </x:c>
      <x:c r="I1446" s="48" t="n">
        <x:v>0.88</x:v>
      </x:c>
      <x:c r="J1446" s="48" t="n">
        <x:v>0.68</x:v>
      </x:c>
      <x:c r="K1446" s="48" t="str">
        <x:v>Yes</x:v>
      </x:c>
      <x:c r="L1446" s="48" t="str">
        <x:v>PDF text</x:v>
      </x:c>
    </x:row>
    <x:row r="1447">
      <x:c r="A1447" s="48" t="str">
        <x:v>UNI-1446</x:v>
      </x:c>
      <x:c r="B1447" s="48" t="str">
        <x:v>YELLOW</x:v>
      </x:c>
      <x:c r="C1447" s="48" t="str">
        <x:v>English</x:v>
      </x:c>
      <x:c r="D1447" s="48" t="n">
        <x:v>23</x:v>
      </x:c>
      <x:c r="E1447" s="48" t="str"/>
      <x:c r="F1447" s="48" t="str">
        <x:v>The Contractor's Documents and other design documents made by (or on behalf of)</x:v>
      </x:c>
      <x:c r="G1447" s="48" t="str">
        <x:v>Obligation</x:v>
      </x:c>
      <x:c r="H1447" s="48" t="str">
        <x:v>Contractor</x:v>
      </x:c>
      <x:c r="I1447" s="48" t="n">
        <x:v>0.45</x:v>
      </x:c>
      <x:c r="J1447" s="48" t="n">
        <x:v>0.68</x:v>
      </x:c>
      <x:c r="K1447" s="48" t="str">
        <x:v>Yes</x:v>
      </x:c>
      <x:c r="L1447" s="48" t="str">
        <x:v>PDF text</x:v>
      </x:c>
    </x:row>
    <x:row r="1448">
      <x:c r="A1448" s="48" t="str">
        <x:v>UNI-1447</x:v>
      </x:c>
      <x:c r="B1448" s="48" t="str">
        <x:v>YELLOW</x:v>
      </x:c>
      <x:c r="C1448" s="48" t="str">
        <x:v>English</x:v>
      </x:c>
      <x:c r="D1448" s="48" t="n">
        <x:v>23</x:v>
      </x:c>
      <x:c r="E1448" s="48" t="str"/>
      <x:c r="F1448" s="48" t="str">
        <x:v>the Contractor shall not, without the Contractor's consent, be used, copied or communicated to a third party by (or on behalf of) the Employer for purposes other than those permitted under this Sub-Clause.</x:v>
      </x:c>
      <x:c r="G1448" s="48" t="str">
        <x:v>Obligation</x:v>
      </x:c>
      <x:c r="H1448" s="48" t="str">
        <x:v>Contractor</x:v>
      </x:c>
      <x:c r="I1448" s="48" t="n">
        <x:v>0.88</x:v>
      </x:c>
      <x:c r="J1448" s="48" t="n">
        <x:v>0.92</x:v>
      </x:c>
      <x:c r="K1448" s="48" t="str">
        <x:v>No</x:v>
      </x:c>
      <x:c r="L1448" s="48" t="str">
        <x:v>PDF text</x:v>
      </x:c>
    </x:row>
    <x:row r="1449">
      <x:c r="A1449" s="48" t="str">
        <x:v>UNI-1448</x:v>
      </x:c>
      <x:c r="B1449" s="48" t="str">
        <x:v>YELLOW</x:v>
      </x:c>
      <x:c r="C1449" s="48" t="str">
        <x:v>English</x:v>
      </x:c>
      <x:c r="D1449" s="48" t="n">
        <x:v>23</x:v>
      </x:c>
      <x:c r="E1449" s="48" t="str"/>
      <x:c r="F1449" s="48" t="str">
        <x:v>intellectual property rights in the Employer's Requirements and other documents made by (or on behalf of) the Employer.</x:v>
      </x:c>
      <x:c r="G1449" s="48" t="str">
        <x:v>Obligation</x:v>
      </x:c>
      <x:c r="H1449" s="48" t="str">
        <x:v>Employer</x:v>
      </x:c>
      <x:c r="I1449" s="48" t="n">
        <x:v>0.45</x:v>
      </x:c>
      <x:c r="J1449" s="48" t="n">
        <x:v>0.68</x:v>
      </x:c>
      <x:c r="K1449" s="48" t="str">
        <x:v>Yes</x:v>
      </x:c>
      <x:c r="L1449" s="48" t="str">
        <x:v>PDF text</x:v>
      </x:c>
    </x:row>
    <x:row r="1450">
      <x:c r="A1450" s="48" t="str">
        <x:v>UNI-1449</x:v>
      </x:c>
      <x:c r="B1450" s="48" t="str">
        <x:v>YELLOW</x:v>
      </x:c>
      <x:c r="C1450" s="48" t="str">
        <x:v>English</x:v>
      </x:c>
      <x:c r="D1450" s="48" t="n">
        <x:v>23</x:v>
      </x:c>
      <x:c r="E1450" s="48" t="str"/>
      <x:c r="F1450" s="48" t="str">
        <x:v>They shall not, without the Employer's consent, be copied, used or communicated</x:v>
      </x:c>
      <x:c r="G1450" s="48" t="str">
        <x:v>Obligation</x:v>
      </x:c>
      <x:c r="H1450" s="48" t="str">
        <x:v>Employer</x:v>
      </x:c>
      <x:c r="I1450" s="48" t="n">
        <x:v>0.88</x:v>
      </x:c>
      <x:c r="J1450" s="48" t="n">
        <x:v>0.68</x:v>
      </x:c>
      <x:c r="K1450" s="48" t="str">
        <x:v>Yes</x:v>
      </x:c>
      <x:c r="L1450" s="48" t="str">
        <x:v>PDF text</x:v>
      </x:c>
    </x:row>
    <x:row r="1451">
      <x:c r="A1451" s="48" t="str">
        <x:v>UNI-1450</x:v>
      </x:c>
      <x:c r="B1451" s="48" t="str">
        <x:v>YELLOW</x:v>
      </x:c>
      <x:c r="C1451" s="48" t="str">
        <x:v>English</x:v>
      </x:c>
      <x:c r="D1451" s="48" t="n">
        <x:v>23</x:v>
      </x:c>
      <x:c r="E1451" s="48" t="str"/>
      <x:c r="F1451" s="48" t="str">
        <x:v>to a third party by the Contractor, except as necessary for the purposes of the Contract.</x:v>
      </x:c>
      <x:c r="G1451" s="48" t="str">
        <x:v>Obligation</x:v>
      </x:c>
      <x:c r="H1451" s="48" t="str">
        <x:v>Contractor</x:v>
      </x:c>
      <x:c r="I1451" s="48" t="n">
        <x:v>0.45</x:v>
      </x:c>
      <x:c r="J1451" s="48" t="n">
        <x:v>0.68</x:v>
      </x:c>
      <x:c r="K1451" s="48" t="str">
        <x:v>Yes</x:v>
      </x:c>
      <x:c r="L1451" s="48" t="str">
        <x:v>PDF text</x:v>
      </x:c>
    </x:row>
    <x:row r="1452">
      <x:c r="A1452" s="48" t="str">
        <x:v>UNI-1451</x:v>
      </x:c>
      <x:c r="B1452" s="48" t="str">
        <x:v>YELLOW</x:v>
      </x:c>
      <x:c r="C1452" s="48" t="str">
        <x:v>English</x:v>
      </x:c>
      <x:c r="D1452" s="48" t="n">
        <x:v>23</x:v>
      </x:c>
      <x:c r="E1452" s="48" t="str"/>
      <x:c r="F1452" s="48" t="str">
        <x:v>The Contractor shall disclose all such confidential and other information as the</x:v>
      </x:c>
      <x:c r="G1452" s="48" t="str">
        <x:v>Obligation</x:v>
      </x:c>
      <x:c r="H1452" s="48" t="str">
        <x:v>Contractor</x:v>
      </x:c>
      <x:c r="I1452" s="48" t="n">
        <x:v>0.88</x:v>
      </x:c>
      <x:c r="J1452" s="48" t="n">
        <x:v>0.92</x:v>
      </x:c>
      <x:c r="K1452" s="48" t="str">
        <x:v>No</x:v>
      </x:c>
      <x:c r="L1452" s="48" t="str">
        <x:v>PDF text</x:v>
      </x:c>
    </x:row>
    <x:row r="1453">
      <x:c r="A1453" s="48" t="str">
        <x:v>UNI-1452</x:v>
      </x:c>
      <x:c r="B1453" s="48" t="str">
        <x:v>YELLOW</x:v>
      </x:c>
      <x:c r="C1453" s="48" t="str">
        <x:v>English</x:v>
      </x:c>
      <x:c r="D1453" s="48" t="n">
        <x:v>23</x:v>
      </x:c>
      <x:c r="E1453" s="48" t="str"/>
      <x:c r="F1453" s="48" t="str">
        <x:v>Engineer may reasonably require in order to verify the Contractor's compliance with the Contract.</x:v>
      </x:c>
      <x:c r="G1453" s="48" t="str">
        <x:v>Right</x:v>
      </x:c>
      <x:c r="H1453" s="48" t="str">
        <x:v>Contractor</x:v>
      </x:c>
      <x:c r="I1453" s="48" t="n">
        <x:v>0.78</x:v>
      </x:c>
      <x:c r="J1453" s="48" t="n">
        <x:v>0.68</x:v>
      </x:c>
      <x:c r="K1453" s="48" t="str">
        <x:v>Yes</x:v>
      </x:c>
      <x:c r="L1453" s="48" t="str">
        <x:v>PDF text</x:v>
      </x:c>
    </x:row>
    <x:row r="1454">
      <x:c r="A1454" s="48" t="str">
        <x:v>UNI-1453</x:v>
      </x:c>
      <x:c r="B1454" s="48" t="str">
        <x:v>YELLOW</x:v>
      </x:c>
      <x:c r="C1454" s="48" t="str">
        <x:v>English</x:v>
      </x:c>
      <x:c r="D1454" s="48" t="n">
        <x:v>23</x:v>
      </x:c>
      <x:c r="E1454" s="48" t="str"/>
      <x:c r="F1454" s="48" t="str">
        <x:v>Errors in the Employer's</x:v>
      </x:c>
      <x:c r="G1454" s="48" t="str">
        <x:v>Obligation</x:v>
      </x:c>
      <x:c r="H1454" s="48" t="str">
        <x:v>Employer</x:v>
      </x:c>
      <x:c r="I1454" s="48" t="n">
        <x:v>0.45</x:v>
      </x:c>
      <x:c r="J1454" s="48" t="n">
        <x:v>0.68</x:v>
      </x:c>
      <x:c r="K1454" s="48" t="str">
        <x:v>Yes</x:v>
      </x:c>
      <x:c r="L1454" s="48" t="str">
        <x:v>PDF text</x:v>
      </x:c>
    </x:row>
    <x:row r="1455">
      <x:c r="A1455" s="48" t="str">
        <x:v>UNI-1454</x:v>
      </x:c>
      <x:c r="B1455" s="48" t="str">
        <x:v>YELLOW</x:v>
      </x:c>
      <x:c r="C1455" s="48" t="str">
        <x:v>English</x:v>
      </x:c>
      <x:c r="D1455" s="48" t="n">
        <x:v>23</x:v>
      </x:c>
      <x:c r="E1455" s="48" t="str"/>
      <x:c r="F1455" s="48" t="str">
        <x:v>Requirements</x:v>
      </x:c>
      <x:c r="G1455" s="48" t="str">
        <x:v>Obligation</x:v>
      </x:c>
      <x:c r="H1455" s="48" t="str">
        <x:v>Shared</x:v>
      </x:c>
      <x:c r="I1455" s="48" t="n">
        <x:v>0.45</x:v>
      </x:c>
      <x:c r="J1455" s="48" t="n">
        <x:v>0.4</x:v>
      </x:c>
      <x:c r="K1455" s="48" t="str">
        <x:v>Yes</x:v>
      </x:c>
      <x:c r="L1455" s="48" t="str">
        <x:v>PDF text</x:v>
      </x:c>
    </x:row>
    <x:row r="1456">
      <x:c r="A1456" s="48" t="str">
        <x:v>UNI-1455</x:v>
      </x:c>
      <x:c r="B1456" s="48" t="str">
        <x:v>YELLOW</x:v>
      </x:c>
      <x:c r="C1456" s="48" t="str">
        <x:v>English</x:v>
      </x:c>
      <x:c r="D1456" s="48" t="n">
        <x:v>24</x:v>
      </x:c>
      <x:c r="E1456" s="48" t="str"/>
      <x:c r="F1456" s="48" t="str">
        <x:v>Unless otherwise stated in the Particular Conditions: (a) the Employer shall have obtained (or shall obtain) the planning, zoning or similar permission for the Permanent Works, and any other permissions described in the Employer's Requirements as having been (or being) obtained by the Employer; and the Employer shall indemnify and hold the Contractor harmless against and from the consequences of any failure to do so; and (b) the Contractor shall give all notices, pay all taxes, duties and fees, and obtain all permits, licences and approvals, as required by the Laws in relation to the design, execution and completion of the Works and the remedying of any defects; and the Contractor shall indemnify and hold the Employer harmless against and from the consequences of any failure to do so.</x:v>
      </x:c>
      <x:c r="G1456" s="48" t="str">
        <x:v>Obligation</x:v>
      </x:c>
      <x:c r="H1456" s="48" t="str">
        <x:v>Contractor</x:v>
      </x:c>
      <x:c r="I1456" s="48" t="n">
        <x:v>0.88</x:v>
      </x:c>
      <x:c r="J1456" s="48" t="n">
        <x:v>0.92</x:v>
      </x:c>
      <x:c r="K1456" s="48" t="str">
        <x:v>No</x:v>
      </x:c>
      <x:c r="L1456" s="48" t="str">
        <x:v>PDF text</x:v>
      </x:c>
    </x:row>
    <x:row r="1457">
      <x:c r="A1457" s="48" t="str">
        <x:v>UNI-1456</x:v>
      </x:c>
      <x:c r="B1457" s="48" t="str">
        <x:v>YELLOW</x:v>
      </x:c>
      <x:c r="C1457" s="48" t="str">
        <x:v>English</x:v>
      </x:c>
      <x:c r="D1457" s="48" t="n">
        <x:v>24</x:v>
      </x:c>
      <x:c r="E1457" s="48" t="str"/>
      <x:c r="F1457" s="48" t="str">
        <x:v>The Employer shall give the Contractor right of access to, and possession of, all</x:v>
      </x:c>
      <x:c r="G1457" s="48" t="str">
        <x:v>Obligation</x:v>
      </x:c>
      <x:c r="H1457" s="48" t="str">
        <x:v>Employer</x:v>
      </x:c>
      <x:c r="I1457" s="48" t="n">
        <x:v>0.88</x:v>
      </x:c>
      <x:c r="J1457" s="48" t="n">
        <x:v>0.92</x:v>
      </x:c>
      <x:c r="K1457" s="48" t="str">
        <x:v>No</x:v>
      </x:c>
      <x:c r="L1457" s="48" t="str">
        <x:v>PDF text</x:v>
      </x:c>
    </x:row>
    <x:row r="1458">
      <x:c r="A1458" s="48" t="str">
        <x:v>UNI-1457</x:v>
      </x:c>
      <x:c r="B1458" s="48" t="str">
        <x:v>YELLOW</x:v>
      </x:c>
      <x:c r="C1458" s="48" t="str">
        <x:v>English</x:v>
      </x:c>
      <x:c r="D1458" s="48" t="n">
        <x:v>24</x:v>
      </x:c>
      <x:c r="E1458" s="48" t="str"/>
      <x:c r="F1458" s="48" t="str">
        <x:v>parts of the Site within the time (or times) stated in the Appendix to Tender.</x:v>
      </x:c>
      <x:c r="G1458" s="48" t="str">
        <x:v>Obligation</x:v>
      </x:c>
      <x:c r="H1458" s="48" t="str">
        <x:v>Shared</x:v>
      </x:c>
      <x:c r="I1458" s="48" t="n">
        <x:v>0.45</x:v>
      </x:c>
      <x:c r="J1458" s="48" t="n">
        <x:v>0.4</x:v>
      </x:c>
      <x:c r="K1458" s="48" t="str">
        <x:v>Yes</x:v>
      </x:c>
      <x:c r="L1458" s="48" t="str">
        <x:v>PDF text</x:v>
      </x:c>
    </x:row>
    <x:row r="1459">
      <x:c r="A1459" s="48" t="str">
        <x:v>UNI-1458</x:v>
      </x:c>
      <x:c r="B1459" s="48" t="str">
        <x:v>YELLOW</x:v>
      </x:c>
      <x:c r="C1459" s="48" t="str">
        <x:v>English</x:v>
      </x:c>
      <x:c r="D1459" s="48" t="n">
        <x:v>24</x:v>
      </x:c>
      <x:c r="E1459" s="48" t="str"/>
      <x:c r="F1459" s="48" t="str">
        <x:v>structure, plant or means of access, the Employer shall do so in the time and manner stated in the Employer's Requirements.</x:v>
      </x:c>
      <x:c r="G1459" s="48" t="str">
        <x:v>Obligation</x:v>
      </x:c>
      <x:c r="H1459" s="48" t="str">
        <x:v>Employer</x:v>
      </x:c>
      <x:c r="I1459" s="48" t="n">
        <x:v>0.88</x:v>
      </x:c>
      <x:c r="J1459" s="48" t="n">
        <x:v>0.92</x:v>
      </x:c>
      <x:c r="K1459" s="48" t="str">
        <x:v>No</x:v>
      </x:c>
      <x:c r="L1459" s="48" t="str">
        <x:v>PDF text</x:v>
      </x:c>
    </x:row>
    <x:row r="1460">
      <x:c r="A1460" s="48" t="str">
        <x:v>UNI-1459</x:v>
      </x:c>
      <x:c r="B1460" s="48" t="str">
        <x:v>YELLOW</x:v>
      </x:c>
      <x:c r="C1460" s="48" t="str">
        <x:v>English</x:v>
      </x:c>
      <x:c r="D1460" s="48" t="n">
        <x:v>24</x:v>
      </x:c>
      <x:c r="E1460" s="48" t="str"/>
      <x:c r="F1460" s="48" t="str">
        <x:v>If no such time is stated in the Appendix to Tender, the Employer shall give the</x:v>
      </x:c>
      <x:c r="G1460" s="48" t="str">
        <x:v>Obligation</x:v>
      </x:c>
      <x:c r="H1460" s="48" t="str">
        <x:v>Employer</x:v>
      </x:c>
      <x:c r="I1460" s="48" t="n">
        <x:v>0.88</x:v>
      </x:c>
      <x:c r="J1460" s="48" t="n">
        <x:v>0.92</x:v>
      </x:c>
      <x:c r="K1460" s="48" t="str">
        <x:v>No</x:v>
      </x:c>
      <x:c r="L1460" s="48" t="str">
        <x:v>PDF text</x:v>
      </x:c>
    </x:row>
    <x:row r="1461">
      <x:c r="A1461" s="48" t="str">
        <x:v>UNI-1460</x:v>
      </x:c>
      <x:c r="B1461" s="48" t="str">
        <x:v>YELLOW</x:v>
      </x:c>
      <x:c r="C1461" s="48" t="str">
        <x:v>English</x:v>
      </x:c>
      <x:c r="D1461" s="48" t="n">
        <x:v>24</x:v>
      </x:c>
      <x:c r="E1461" s="48" t="str"/>
      <x:c r="F1461" s="48" t="str">
        <x:v>Contractor right of access to, and possession of, the Site within such times as may be required to enable the Contractor to proceed in accordance with the programme submitted under Sub-Clause 8.3 [Programme].</x:v>
      </x:c>
      <x:c r="G1461" s="48" t="str">
        <x:v>Right</x:v>
      </x:c>
      <x:c r="H1461" s="48" t="str">
        <x:v>Contractor</x:v>
      </x:c>
      <x:c r="I1461" s="48" t="n">
        <x:v>0.78</x:v>
      </x:c>
      <x:c r="J1461" s="48" t="n">
        <x:v>0.68</x:v>
      </x:c>
      <x:c r="K1461" s="48" t="str">
        <x:v>Yes</x:v>
      </x:c>
      <x:c r="L1461" s="48" t="str">
        <x:v>PDF text</x:v>
      </x:c>
    </x:row>
    <x:row r="1462">
      <x:c r="A1462" s="48" t="str">
        <x:v>UNI-1461</x:v>
      </x:c>
      <x:c r="B1462" s="48" t="str">
        <x:v>YELLOW</x:v>
      </x:c>
      <x:c r="C1462" s="48" t="str">
        <x:v>English</x:v>
      </x:c>
      <x:c r="D1462" s="48" t="n">
        <x:v>24</x:v>
      </x:c>
      <x:c r="E1462" s="48" t="str"/>
      <x:c r="F1462" s="48" t="str">
        <x:v>If the Contractor suffers delay and/or incurs Cost as a result of a failure by the Employer to give any such right or possession within such time, the Contractor shall give notice to the Engineer and shall be entitled subject to Sub-Clause 20.1 [Contractor's Claims] to: (a) an extension of time for any such delay, if completion is or will be delayed, under Sub-Clause 8.4 [Extension of Time for Completion], and (b) payment of any such Cost plus reasonable profit, which shall be included in the Contract Price.</x:v>
      </x:c>
      <x:c r="G1462" s="48" t="str">
        <x:v>Risk</x:v>
      </x:c>
      <x:c r="H1462" s="48" t="str">
        <x:v>Employer</x:v>
      </x:c>
      <x:c r="I1462" s="48" t="n">
        <x:v>0.78</x:v>
      </x:c>
      <x:c r="J1462" s="48" t="n">
        <x:v>0.85</x:v>
      </x:c>
      <x:c r="K1462" s="48" t="str">
        <x:v>No</x:v>
      </x:c>
      <x:c r="L1462" s="48" t="str">
        <x:v>PDF text</x:v>
      </x:c>
    </x:row>
    <x:row r="1463">
      <x:c r="A1463" s="48" t="str">
        <x:v>UNI-1462</x:v>
      </x:c>
      <x:c r="B1463" s="48" t="str">
        <x:v>YELLOW</x:v>
      </x:c>
      <x:c r="C1463" s="48" t="str">
        <x:v>English</x:v>
      </x:c>
      <x:c r="D1463" s="48" t="n">
        <x:v>24</x:v>
      </x:c>
      <x:c r="E1463" s="48" t="str"/>
      <x:c r="F1463" s="48" t="str">
        <x:v>Joint Several Liability</x:v>
      </x:c>
      <x:c r="G1463" s="48" t="str">
        <x:v>Risk</x:v>
      </x:c>
      <x:c r="H1463" s="48" t="str">
        <x:v>Shared</x:v>
      </x:c>
      <x:c r="I1463" s="48" t="n">
        <x:v>0.78</x:v>
      </x:c>
      <x:c r="J1463" s="48" t="n">
        <x:v>0.4</x:v>
      </x:c>
      <x:c r="K1463" s="48" t="str">
        <x:v>Yes</x:v>
      </x:c>
      <x:c r="L1463" s="48" t="str">
        <x:v>PDF text</x:v>
      </x:c>
    </x:row>
    <x:row r="1464">
      <x:c r="A1464" s="48" t="str">
        <x:v>UNI-1463</x:v>
      </x:c>
      <x:c r="B1464" s="48" t="str">
        <x:v>YELLOW</x:v>
      </x:c>
      <x:c r="C1464" s="48" t="str">
        <x:v>English</x:v>
      </x:c>
      <x:c r="D1464" s="48" t="n">
        <x:v>25</x:v>
      </x:c>
      <x:c r="E1464" s="48" t="str"/>
      <x:c r="F1464" s="48" t="str">
        <x:v>However, if and to the extent that the Employer's failure was caused by any error or delay by the Contractor, including an error in, or delay in the submission of, any of the</x:v>
      </x:c>
      <x:c r="G1464" s="48" t="str">
        <x:v>Risk</x:v>
      </x:c>
      <x:c r="H1464" s="48" t="str">
        <x:v>Shared</x:v>
      </x:c>
      <x:c r="I1464" s="48" t="n">
        <x:v>0.78</x:v>
      </x:c>
      <x:c r="J1464" s="48" t="n">
        <x:v>0.6</x:v>
      </x:c>
      <x:c r="K1464" s="48" t="str">
        <x:v>Yes</x:v>
      </x:c>
      <x:c r="L1464" s="48" t="str">
        <x:v>PDF text</x:v>
      </x:c>
    </x:row>
    <x:row r="1465">
      <x:c r="A1465" s="48" t="str">
        <x:v>UNI-1464</x:v>
      </x:c>
      <x:c r="B1465" s="48" t="str">
        <x:v>YELLOW</x:v>
      </x:c>
      <x:c r="C1465" s="48" t="str">
        <x:v>English</x:v>
      </x:c>
      <x:c r="D1465" s="48" t="n">
        <x:v>25</x:v>
      </x:c>
      <x:c r="E1465" s="48" t="str"/>
      <x:c r="F1465" s="48" t="str">
        <x:v>Contractor's Documents, the Contractor shall not be entitled to such extension of</x:v>
      </x:c>
      <x:c r="G1465" s="48" t="str">
        <x:v>Obligation</x:v>
      </x:c>
      <x:c r="H1465" s="48" t="str">
        <x:v>Contractor</x:v>
      </x:c>
      <x:c r="I1465" s="48" t="n">
        <x:v>0.88</x:v>
      </x:c>
      <x:c r="J1465" s="48" t="n">
        <x:v>0.92</x:v>
      </x:c>
      <x:c r="K1465" s="48" t="str">
        <x:v>No</x:v>
      </x:c>
      <x:c r="L1465" s="48" t="str">
        <x:v>PDF text</x:v>
      </x:c>
    </x:row>
    <x:row r="1466">
      <x:c r="A1466" s="48" t="str">
        <x:v>UNI-1465</x:v>
      </x:c>
      <x:c r="B1466" s="48" t="str">
        <x:v>YELLOW</x:v>
      </x:c>
      <x:c r="C1466" s="48" t="str">
        <x:v>English</x:v>
      </x:c>
      <x:c r="D1466" s="48" t="n">
        <x:v>25</x:v>
      </x:c>
      <x:c r="E1466" s="48" t="str"/>
      <x:c r="F1466" s="48" t="str">
        <x:v>(b) for the Contractor's applications for any permits, licences or approvals required by the Laws of the Country: (i) which the Contractor is required to obtain under Sub-Clause 1.13 [Compliance with Laws], (ii) for the delivery of Goods, including clearance through customs, and (iii) for the export of Contractor's Equipment when it is removed from the Site.</x:v>
      </x:c>
      <x:c r="G1466" s="48" t="str">
        <x:v>Obligation</x:v>
      </x:c>
      <x:c r="H1466" s="48" t="str">
        <x:v>Contractor</x:v>
      </x:c>
      <x:c r="I1466" s="48" t="n">
        <x:v>0.88</x:v>
      </x:c>
      <x:c r="J1466" s="48" t="n">
        <x:v>0.68</x:v>
      </x:c>
      <x:c r="K1466" s="48" t="str">
        <x:v>Yes</x:v>
      </x:c>
      <x:c r="L1466" s="48" t="str">
        <x:v>PDF text</x:v>
      </x:c>
    </x:row>
    <x:row r="1467">
      <x:c r="A1467" s="48" t="str">
        <x:v>UNI-1466</x:v>
      </x:c>
      <x:c r="B1467" s="48" t="str">
        <x:v>YELLOW</x:v>
      </x:c>
      <x:c r="C1467" s="48" t="str">
        <x:v>English</x:v>
      </x:c>
      <x:c r="D1467" s="48" t="n">
        <x:v>25</x:v>
      </x:c>
      <x:c r="E1467" s="48" t="str"/>
      <x:c r="F1467" s="48" t="str">
        <x:v>The Employer shall be responsible for ensuring that the Employer's Personnel and the Employer's other contractors on the Site: (a) co-operate with the Contractor's efforts under Sub-Clause 4.6 [Co-operation], and (b) take actions similar to those which the Contractor is required to take under subparagraphs (a), (b) and (c) of Sub-Clause 4.8 [Safety Procedures] and under Sub-Clause 4.18 [Protection of the Environment].</x:v>
      </x:c>
      <x:c r="G1467" s="48" t="str">
        <x:v>Obligation</x:v>
      </x:c>
      <x:c r="H1467" s="48" t="str">
        <x:v>Employer</x:v>
      </x:c>
      <x:c r="I1467" s="48" t="n">
        <x:v>0.88</x:v>
      </x:c>
      <x:c r="J1467" s="48" t="n">
        <x:v>0.92</x:v>
      </x:c>
      <x:c r="K1467" s="48" t="str">
        <x:v>No</x:v>
      </x:c>
      <x:c r="L1467" s="48" t="str">
        <x:v>PDF text</x:v>
      </x:c>
    </x:row>
    <x:row r="1468">
      <x:c r="A1468" s="48" t="str">
        <x:v>UNI-1467</x:v>
      </x:c>
      <x:c r="B1468" s="48" t="str">
        <x:v>YELLOW</x:v>
      </x:c>
      <x:c r="C1468" s="48" t="str">
        <x:v>English</x:v>
      </x:c>
      <x:c r="D1468" s="48" t="n">
        <x:v>25</x:v>
      </x:c>
      <x:c r="E1468" s="48" t="str"/>
      <x:c r="F1468" s="48" t="str">
        <x:v>If the Employer intends to make any material change to his financial arrangements, the Employer shall give notice to the Contractor with detailed particulars.</x:v>
      </x:c>
      <x:c r="G1468" s="48" t="str">
        <x:v>Obligation</x:v>
      </x:c>
      <x:c r="H1468" s="48" t="str">
        <x:v>Employer</x:v>
      </x:c>
      <x:c r="I1468" s="48" t="n">
        <x:v>0.88</x:v>
      </x:c>
      <x:c r="J1468" s="48" t="n">
        <x:v>0.92</x:v>
      </x:c>
      <x:c r="K1468" s="48" t="str">
        <x:v>No</x:v>
      </x:c>
      <x:c r="L1468" s="48" t="str">
        <x:v>PDF text</x:v>
      </x:c>
    </x:row>
    <x:row r="1469">
      <x:c r="A1469" s="48" t="str">
        <x:v>UNI-1468</x:v>
      </x:c>
      <x:c r="B1469" s="48" t="str">
        <x:v>YELLOW</x:v>
      </x:c>
      <x:c r="C1469" s="48" t="str">
        <x:v>English</x:v>
      </x:c>
      <x:c r="D1469" s="48" t="n">
        <x:v>25</x:v>
      </x:c>
      <x:c r="E1469" s="48" t="str"/>
      <x:c r="F1469" s="48" t="str">
        <x:v>However, notice is not required for payments due under Sub-Clause 4.19 [Electricity, Water and Gas], under Sub-Clause 4.20 [Employer's Equipment and Free-Issue Material], or for other services requested by the Contractor.</x:v>
      </x:c>
      <x:c r="G1469" s="48" t="str">
        <x:v>Obligation</x:v>
      </x:c>
      <x:c r="H1469" s="48" t="str">
        <x:v>Shared</x:v>
      </x:c>
      <x:c r="I1469" s="48" t="n">
        <x:v>0.55</x:v>
      </x:c>
      <x:c r="J1469" s="48" t="n">
        <x:v>0.6</x:v>
      </x:c>
      <x:c r="K1469" s="48" t="str">
        <x:v>Yes</x:v>
      </x:c>
      <x:c r="L1469" s="48" t="str">
        <x:v>PDF text</x:v>
      </x:c>
    </x:row>
    <x:row r="1470">
      <x:c r="A1470" s="48" t="str">
        <x:v>UNI-1469</x:v>
      </x:c>
      <x:c r="B1470" s="48" t="str">
        <x:v>YELLOW</x:v>
      </x:c>
      <x:c r="C1470" s="48" t="str">
        <x:v>English</x:v>
      </x:c>
      <x:c r="D1470" s="48" t="n">
        <x:v>25</x:v>
      </x:c>
      <x:c r="E1470" s="48" t="str"/>
      <x:c r="F1470" s="48" t="str">
        <x:v>The notice shall be given as soon as practicable after the Employer became aware of the event or circumstances giving rise to the claim.</x:v>
      </x:c>
      <x:c r="G1470" s="48" t="str">
        <x:v>Obligation</x:v>
      </x:c>
      <x:c r="H1470" s="48" t="str">
        <x:v>Employer</x:v>
      </x:c>
      <x:c r="I1470" s="48" t="n">
        <x:v>0.88</x:v>
      </x:c>
      <x:c r="J1470" s="48" t="n">
        <x:v>0.68</x:v>
      </x:c>
      <x:c r="K1470" s="48" t="str">
        <x:v>Yes</x:v>
      </x:c>
      <x:c r="L1470" s="48" t="str">
        <x:v>PDF text</x:v>
      </x:c>
    </x:row>
    <x:row r="1471">
      <x:c r="A1471" s="48" t="str">
        <x:v>UNI-1470</x:v>
      </x:c>
      <x:c r="B1471" s="48" t="str">
        <x:v>YELLOW</x:v>
      </x:c>
      <x:c r="C1471" s="48" t="str">
        <x:v>English</x:v>
      </x:c>
      <x:c r="D1471" s="48" t="n">
        <x:v>25</x:v>
      </x:c>
      <x:c r="E1471" s="48" t="str"/>
      <x:c r="F1471" s="48" t="str">
        <x:v>The Engineer shall then proceed in accordance with Sub-Clause 3.5 [Determinations] to agree or determine (i) the amount (if any) which the Employer is entitled to be paid by the Contractor, 2.2</x:v>
      </x:c>
      <x:c r="G1471" s="48" t="str">
        <x:v>Obligation</x:v>
      </x:c>
      <x:c r="H1471" s="48" t="str">
        <x:v>Shared</x:v>
      </x:c>
      <x:c r="I1471" s="48" t="n">
        <x:v>0.88</x:v>
      </x:c>
      <x:c r="J1471" s="48" t="n">
        <x:v>0.6</x:v>
      </x:c>
      <x:c r="K1471" s="48" t="str">
        <x:v>Yes</x:v>
      </x:c>
      <x:c r="L1471" s="48" t="str">
        <x:v>PDF text</x:v>
      </x:c>
    </x:row>
    <x:row r="1472">
      <x:c r="A1472" s="48" t="str">
        <x:v>UNI-1471</x:v>
      </x:c>
      <x:c r="B1472" s="48" t="str">
        <x:v>YELLOW</x:v>
      </x:c>
      <x:c r="C1472" s="48" t="str">
        <x:v>English</x:v>
      </x:c>
      <x:c r="D1472" s="48" t="n">
        <x:v>26</x:v>
      </x:c>
      <x:c r="E1472" s="48" t="str"/>
      <x:c r="F1472" s="48" t="str">
        <x:v>and/or (ii) the extension (if any) of the Defects Notification Period in accordance with Sub-Clause 11.3 [Extension of Defects Notification Period].</x:v>
      </x:c>
      <x:c r="G1472" s="48" t="str">
        <x:v>Obligation</x:v>
      </x:c>
      <x:c r="H1472" s="48" t="str">
        <x:v>Shared</x:v>
      </x:c>
      <x:c r="I1472" s="48" t="n">
        <x:v>0.45</x:v>
      </x:c>
      <x:c r="J1472" s="48" t="n">
        <x:v>0.4</x:v>
      </x:c>
      <x:c r="K1472" s="48" t="str">
        <x:v>Yes</x:v>
      </x:c>
      <x:c r="L1472" s="48" t="str">
        <x:v>PDF text</x:v>
      </x:c>
    </x:row>
    <x:row r="1473">
      <x:c r="A1473" s="48" t="str">
        <x:v>UNI-1472</x:v>
      </x:c>
      <x:c r="B1473" s="48" t="str">
        <x:v>YELLOW</x:v>
      </x:c>
      <x:c r="C1473" s="48" t="str">
        <x:v>English</x:v>
      </x:c>
      <x:c r="D1473" s="48" t="n">
        <x:v>26</x:v>
      </x:c>
      <x:c r="E1473" s="48" t="str"/>
      <x:c r="F1473" s="48" t="str">
        <x:v>The Engineer's staff shall include suitably qualified engineers and other professionals who are competent to carry out these duties.</x:v>
      </x:c>
      <x:c r="G1473" s="48" t="str">
        <x:v>Obligation</x:v>
      </x:c>
      <x:c r="H1473" s="48" t="str">
        <x:v>Shared</x:v>
      </x:c>
      <x:c r="I1473" s="48" t="n">
        <x:v>0.88</x:v>
      </x:c>
      <x:c r="J1473" s="48" t="n">
        <x:v>0.4</x:v>
      </x:c>
      <x:c r="K1473" s="48" t="str">
        <x:v>Yes</x:v>
      </x:c>
      <x:c r="L1473" s="48" t="str">
        <x:v>PDF text</x:v>
      </x:c>
    </x:row>
    <x:row r="1474">
      <x:c r="A1474" s="48" t="str">
        <x:v>UNI-1473</x:v>
      </x:c>
      <x:c r="B1474" s="48" t="str">
        <x:v>YELLOW</x:v>
      </x:c>
      <x:c r="C1474" s="48" t="str">
        <x:v>English</x:v>
      </x:c>
      <x:c r="D1474" s="48" t="n">
        <x:v>26</x:v>
      </x:c>
      <x:c r="E1474" s="48" t="str"/>
      <x:c r="F1474" s="48" t="str">
        <x:v>If the Engineer is required to obtain the approval of the Employer before exercising a specified authority, the requirements shall be as stated in the Particular Conditions.</x:v>
      </x:c>
      <x:c r="G1474" s="48" t="str">
        <x:v>Obligation</x:v>
      </x:c>
      <x:c r="H1474" s="48" t="str">
        <x:v>Employer</x:v>
      </x:c>
      <x:c r="I1474" s="48" t="n">
        <x:v>0.88</x:v>
      </x:c>
      <x:c r="J1474" s="48" t="n">
        <x:v>0.68</x:v>
      </x:c>
      <x:c r="K1474" s="48" t="str">
        <x:v>Yes</x:v>
      </x:c>
      <x:c r="L1474" s="48" t="str">
        <x:v>PDF text</x:v>
      </x:c>
    </x:row>
    <x:row r="1475">
      <x:c r="A1475" s="48" t="str">
        <x:v>UNI-1474</x:v>
      </x:c>
      <x:c r="B1475" s="48" t="str">
        <x:v>YELLOW</x:v>
      </x:c>
      <x:c r="C1475" s="48" t="str">
        <x:v>English</x:v>
      </x:c>
      <x:c r="D1475" s="48" t="n">
        <x:v>26</x:v>
      </x:c>
      <x:c r="E1475" s="48" t="str"/>
      <x:c r="F1475" s="48" t="str">
        <x:v>The Employer undertakes not to impose further constraints on the Engineer's authority, except as agreed with the Contractor.</x:v>
      </x:c>
      <x:c r="G1475" s="48" t="str">
        <x:v>Obligation</x:v>
      </x:c>
      <x:c r="H1475" s="48" t="str">
        <x:v>Shared</x:v>
      </x:c>
      <x:c r="I1475" s="48" t="n">
        <x:v>0.45</x:v>
      </x:c>
      <x:c r="J1475" s="48" t="n">
        <x:v>0.6</x:v>
      </x:c>
      <x:c r="K1475" s="48" t="str">
        <x:v>Yes</x:v>
      </x:c>
      <x:c r="L1475" s="48" t="str">
        <x:v>PDF text</x:v>
      </x:c>
    </x:row>
    <x:row r="1476">
      <x:c r="A1476" s="48" t="str">
        <x:v>UNI-1475</x:v>
      </x:c>
      <x:c r="B1476" s="48" t="str">
        <x:v>YELLOW</x:v>
      </x:c>
      <x:c r="C1476" s="48" t="str">
        <x:v>English</x:v>
      </x:c>
      <x:c r="D1476" s="48" t="n">
        <x:v>26</x:v>
      </x:c>
      <x:c r="E1476" s="48" t="str"/>
      <x:c r="F1476" s="48" t="str">
        <x:v>Employer's approval is required, then (for the purposes of the Contract) the Employer shall be deemed to have given approval.</x:v>
      </x:c>
      <x:c r="G1476" s="48" t="str">
        <x:v>Obligation</x:v>
      </x:c>
      <x:c r="H1476" s="48" t="str">
        <x:v>Employer</x:v>
      </x:c>
      <x:c r="I1476" s="48" t="n">
        <x:v>0.88</x:v>
      </x:c>
      <x:c r="J1476" s="48" t="n">
        <x:v>0.92</x:v>
      </x:c>
      <x:c r="K1476" s="48" t="str">
        <x:v>No</x:v>
      </x:c>
      <x:c r="L1476" s="48" t="str">
        <x:v>PDF text</x:v>
      </x:c>
    </x:row>
    <x:row r="1477">
      <x:c r="A1477" s="48" t="str">
        <x:v>UNI-1476</x:v>
      </x:c>
      <x:c r="B1477" s="48" t="str">
        <x:v>YELLOW</x:v>
      </x:c>
      <x:c r="C1477" s="48" t="str">
        <x:v>English</x:v>
      </x:c>
      <x:c r="D1477" s="48" t="n">
        <x:v>26</x:v>
      </x:c>
      <x:c r="E1477" s="48" t="str"/>
      <x:c r="F1477" s="48" t="str">
        <x:v>However, unless otherwise agreed by both Parties, the Engineer shall not delegate the authority to determine any matter in accordance with Sub-Clause 3.5 [Determinations].</x:v>
      </x:c>
      <x:c r="G1477" s="48" t="str">
        <x:v>Obligation</x:v>
      </x:c>
      <x:c r="H1477" s="48" t="str">
        <x:v>Shared</x:v>
      </x:c>
      <x:c r="I1477" s="48" t="n">
        <x:v>0.88</x:v>
      </x:c>
      <x:c r="J1477" s="48" t="n">
        <x:v>0.93</x:v>
      </x:c>
      <x:c r="K1477" s="48" t="str">
        <x:v>No</x:v>
      </x:c>
      <x:c r="L1477" s="48" t="str">
        <x:v>PDF text</x:v>
      </x:c>
    </x:row>
    <x:row r="1478">
      <x:c r="A1478" s="48" t="str">
        <x:v>UNI-1477</x:v>
      </x:c>
      <x:c r="B1478" s="48" t="str">
        <x:v>YELLOW</x:v>
      </x:c>
      <x:c r="C1478" s="48" t="str">
        <x:v>English</x:v>
      </x:c>
      <x:c r="D1478" s="48" t="n">
        <x:v>26</x:v>
      </x:c>
      <x:c r="E1478" s="48" t="str"/>
      <x:c r="F1478" s="48" t="str">
        <x:v>Each assistant, to whom duties have been assigned or authority has been delegated, shall only be authorised to issue instructions to the Contractor to the extent defined 3.1</x:v>
      </x:c>
      <x:c r="G1478" s="48" t="str">
        <x:v>Obligation</x:v>
      </x:c>
      <x:c r="H1478" s="48" t="str">
        <x:v>Contractor</x:v>
      </x:c>
      <x:c r="I1478" s="48" t="n">
        <x:v>0.88</x:v>
      </x:c>
      <x:c r="J1478" s="48" t="n">
        <x:v>0.68</x:v>
      </x:c>
      <x:c r="K1478" s="48" t="str">
        <x:v>Yes</x:v>
      </x:c>
      <x:c r="L1478" s="48" t="str">
        <x:v>PDF text</x:v>
      </x:c>
    </x:row>
    <x:row r="1479">
      <x:c r="A1479" s="48" t="str">
        <x:v>UNI-1478</x:v>
      </x:c>
      <x:c r="B1479" s="48" t="str">
        <x:v>YELLOW</x:v>
      </x:c>
      <x:c r="C1479" s="48" t="str">
        <x:v>English</x:v>
      </x:c>
      <x:c r="D1479" s="48" t="n">
        <x:v>27</x:v>
      </x:c>
      <x:c r="E1479" s="48" t="str"/>
      <x:c r="F1479" s="48" t="str">
        <x:v>by the delegation.</x:v>
      </x:c>
      <x:c r="G1479" s="48" t="str">
        <x:v>Obligation</x:v>
      </x:c>
      <x:c r="H1479" s="48" t="str">
        <x:v>Shared</x:v>
      </x:c>
      <x:c r="I1479" s="48" t="n">
        <x:v>0.45</x:v>
      </x:c>
      <x:c r="J1479" s="48" t="n">
        <x:v>0.4</x:v>
      </x:c>
      <x:c r="K1479" s="48" t="str">
        <x:v>Yes</x:v>
      </x:c>
      <x:c r="L1479" s="48" t="str">
        <x:v>PDF text</x:v>
      </x:c>
    </x:row>
    <x:row r="1480">
      <x:c r="A1480" s="48" t="str">
        <x:v>UNI-1479</x:v>
      </x:c>
      <x:c r="B1480" s="48" t="str">
        <x:v>YELLOW</x:v>
      </x:c>
      <x:c r="C1480" s="48" t="str">
        <x:v>English</x:v>
      </x:c>
      <x:c r="D1480" s="48" t="n">
        <x:v>27</x:v>
      </x:c>
      <x:c r="E1480" s="48" t="str"/>
      <x:c r="F1480" s="48" t="str">
        <x:v>The Engineer may issue to the Contractor (at any time) instructions which may be</x:v>
      </x:c>
      <x:c r="G1480" s="48" t="str">
        <x:v>Right</x:v>
      </x:c>
      <x:c r="H1480" s="48" t="str">
        <x:v>Contractor</x:v>
      </x:c>
      <x:c r="I1480" s="48" t="n">
        <x:v>0.78</x:v>
      </x:c>
      <x:c r="J1480" s="48" t="n">
        <x:v>0.68</x:v>
      </x:c>
      <x:c r="K1480" s="48" t="str">
        <x:v>Yes</x:v>
      </x:c>
      <x:c r="L1480" s="48" t="str">
        <x:v>PDF text</x:v>
      </x:c>
    </x:row>
    <x:row r="1481">
      <x:c r="A1481" s="48" t="str">
        <x:v>UNI-1480</x:v>
      </x:c>
      <x:c r="B1481" s="48" t="str">
        <x:v>YELLOW</x:v>
      </x:c>
      <x:c r="C1481" s="48" t="str">
        <x:v>English</x:v>
      </x:c>
      <x:c r="D1481" s="48" t="n">
        <x:v>27</x:v>
      </x:c>
      <x:c r="E1481" s="48" t="str"/>
      <x:c r="F1481" s="48" t="str">
        <x:v>necessary for the execution of the Works and the remedying of any defects, all in accordance with the Contract.</x:v>
      </x:c>
      <x:c r="G1481" s="48" t="str">
        <x:v>Obligation</x:v>
      </x:c>
      <x:c r="H1481" s="48" t="str">
        <x:v>Shared</x:v>
      </x:c>
      <x:c r="I1481" s="48" t="n">
        <x:v>0.45</x:v>
      </x:c>
      <x:c r="J1481" s="48" t="n">
        <x:v>0.4</x:v>
      </x:c>
      <x:c r="K1481" s="48" t="str">
        <x:v>Yes</x:v>
      </x:c>
      <x:c r="L1481" s="48" t="str">
        <x:v>PDF text</x:v>
      </x:c>
    </x:row>
    <x:row r="1482">
      <x:c r="A1482" s="48" t="str">
        <x:v>UNI-1481</x:v>
      </x:c>
      <x:c r="B1482" s="48" t="str">
        <x:v>YELLOW</x:v>
      </x:c>
      <x:c r="C1482" s="48" t="str">
        <x:v>English</x:v>
      </x:c>
      <x:c r="D1482" s="48" t="n">
        <x:v>27</x:v>
      </x:c>
      <x:c r="E1482" s="48" t="str"/>
      <x:c r="F1482" s="48" t="str">
        <x:v>These instructions shall be given in writing.</x:v>
      </x:c>
      <x:c r="G1482" s="48" t="str">
        <x:v>Obligation</x:v>
      </x:c>
      <x:c r="H1482" s="48" t="str">
        <x:v>Shared</x:v>
      </x:c>
      <x:c r="I1482" s="48" t="n">
        <x:v>0.88</x:v>
      </x:c>
      <x:c r="J1482" s="48" t="n">
        <x:v>0.4</x:v>
      </x:c>
      <x:c r="K1482" s="48" t="str">
        <x:v>Yes</x:v>
      </x:c>
      <x:c r="L1482" s="48" t="str">
        <x:v>PDF text</x:v>
      </x:c>
    </x:row>
    <x:row r="1483">
      <x:c r="A1483" s="48" t="str">
        <x:v>UNI-1482</x:v>
      </x:c>
      <x:c r="B1483" s="48" t="str">
        <x:v>YELLOW</x:v>
      </x:c>
      <x:c r="C1483" s="48" t="str">
        <x:v>English</x:v>
      </x:c>
      <x:c r="D1483" s="48" t="n">
        <x:v>27</x:v>
      </x:c>
      <x:c r="E1483" s="48" t="str"/>
      <x:c r="F1483" s="48" t="str">
        <x:v>If the Employer intends to replace the Engineer, the Employer shall, not less than 42 days before the intended date of replacement, give notice to the Contractor of the name, address and relevant experience of the intended replacement Engineer.</x:v>
      </x:c>
      <x:c r="G1483" s="48" t="str">
        <x:v>Obligation</x:v>
      </x:c>
      <x:c r="H1483" s="48" t="str">
        <x:v>Employer</x:v>
      </x:c>
      <x:c r="I1483" s="48" t="n">
        <x:v>0.88</x:v>
      </x:c>
      <x:c r="J1483" s="48" t="n">
        <x:v>0.92</x:v>
      </x:c>
      <x:c r="K1483" s="48" t="str">
        <x:v>No</x:v>
      </x:c>
      <x:c r="L1483" s="48" t="str">
        <x:v>PDF text</x:v>
      </x:c>
    </x:row>
    <x:row r="1484">
      <x:c r="A1484" s="48" t="str">
        <x:v>UNI-1483</x:v>
      </x:c>
      <x:c r="B1484" s="48" t="str">
        <x:v>YELLOW</x:v>
      </x:c>
      <x:c r="C1484" s="48" t="str">
        <x:v>English</x:v>
      </x:c>
      <x:c r="D1484" s="48" t="n">
        <x:v>27</x:v>
      </x:c>
      <x:c r="E1484" s="48" t="str"/>
      <x:c r="F1484" s="48" t="str">
        <x:v>Employer shall not replace the Engineer with a person against whom the Contractor</x:v>
      </x:c>
      <x:c r="G1484" s="48" t="str">
        <x:v>Obligation</x:v>
      </x:c>
      <x:c r="H1484" s="48" t="str">
        <x:v>Shared</x:v>
      </x:c>
      <x:c r="I1484" s="48" t="n">
        <x:v>0.88</x:v>
      </x:c>
      <x:c r="J1484" s="48" t="n">
        <x:v>0.6</x:v>
      </x:c>
      <x:c r="K1484" s="48" t="str">
        <x:v>Yes</x:v>
      </x:c>
      <x:c r="L1484" s="48" t="str">
        <x:v>PDF text</x:v>
      </x:c>
    </x:row>
    <x:row r="1485">
      <x:c r="A1485" s="48" t="str">
        <x:v>UNI-1484</x:v>
      </x:c>
      <x:c r="B1485" s="48" t="str">
        <x:v>YELLOW</x:v>
      </x:c>
      <x:c r="C1485" s="48" t="str">
        <x:v>English</x:v>
      </x:c>
      <x:c r="D1485" s="48" t="n">
        <x:v>27</x:v>
      </x:c>
      <x:c r="E1485" s="48" t="str"/>
      <x:c r="F1485" s="48" t="str">
        <x:v>raises reasonable objection by notice to the Employer, with supporting particulars.</x:v>
      </x:c>
      <x:c r="G1485" s="48" t="str">
        <x:v>Obligation</x:v>
      </x:c>
      <x:c r="H1485" s="48" t="str">
        <x:v>Employer</x:v>
      </x:c>
      <x:c r="I1485" s="48" t="n">
        <x:v>0.55</x:v>
      </x:c>
      <x:c r="J1485" s="48" t="n">
        <x:v>0.68</x:v>
      </x:c>
      <x:c r="K1485" s="48" t="str">
        <x:v>Yes</x:v>
      </x:c>
      <x:c r="L1485" s="48" t="str">
        <x:v>PDF text</x:v>
      </x:c>
    </x:row>
    <x:row r="1486">
      <x:c r="A1486" s="48" t="str">
        <x:v>UNI-1485</x:v>
      </x:c>
      <x:c r="B1486" s="48" t="str">
        <x:v>YELLOW</x:v>
      </x:c>
      <x:c r="C1486" s="48" t="str">
        <x:v>English</x:v>
      </x:c>
      <x:c r="D1486" s="48" t="n">
        <x:v>27</x:v>
      </x:c>
      <x:c r="E1486" s="48" t="str"/>
      <x:c r="F1486" s="48" t="str">
        <x:v>The Contractor shall design, execute and complete the Works in accordance with the Contract, and shall remedy any defects in the Works.</x:v>
      </x:c>
      <x:c r="G1486" s="48" t="str">
        <x:v>Obligation</x:v>
      </x:c>
      <x:c r="H1486" s="48" t="str">
        <x:v>Contractor</x:v>
      </x:c>
      <x:c r="I1486" s="48" t="n">
        <x:v>0.88</x:v>
      </x:c>
      <x:c r="J1486" s="48" t="n">
        <x:v>0.92</x:v>
      </x:c>
      <x:c r="K1486" s="48" t="str">
        <x:v>No</x:v>
      </x:c>
      <x:c r="L1486" s="48" t="str">
        <x:v>PDF text</x:v>
      </x:c>
    </x:row>
    <x:row r="1487">
      <x:c r="A1487" s="48" t="str">
        <x:v>UNI-1486</x:v>
      </x:c>
      <x:c r="B1487" s="48" t="str">
        <x:v>YELLOW</x:v>
      </x:c>
      <x:c r="C1487" s="48" t="str">
        <x:v>English</x:v>
      </x:c>
      <x:c r="D1487" s="48" t="n">
        <x:v>27</x:v>
      </x:c>
      <x:c r="E1487" s="48" t="str"/>
      <x:c r="F1487" s="48" t="str">
        <x:v>When completed, the Works shall be fit for the purposes for which the Works are intended as defined in the Contract.</x:v>
      </x:c>
      <x:c r="G1487" s="48" t="str">
        <x:v>Obligation</x:v>
      </x:c>
      <x:c r="H1487" s="48" t="str">
        <x:v>Shared</x:v>
      </x:c>
      <x:c r="I1487" s="48" t="n">
        <x:v>0.88</x:v>
      </x:c>
      <x:c r="J1487" s="48" t="n">
        <x:v>0.4</x:v>
      </x:c>
      <x:c r="K1487" s="48" t="str">
        <x:v>Yes</x:v>
      </x:c>
      <x:c r="L1487" s="48" t="str">
        <x:v>PDF text</x:v>
      </x:c>
    </x:row>
    <x:row r="1488">
      <x:c r="A1488" s="48" t="str">
        <x:v>UNI-1487</x:v>
      </x:c>
      <x:c r="B1488" s="48" t="str">
        <x:v>YELLOW</x:v>
      </x:c>
      <x:c r="C1488" s="48" t="str">
        <x:v>English</x:v>
      </x:c>
      <x:c r="D1488" s="48" t="n">
        <x:v>27</x:v>
      </x:c>
      <x:c r="E1488" s="48" t="str"/>
      <x:c r="F1488" s="48" t="str">
        <x:v>The Contractor shall provide the Plant and Contractor's Documents specified in the</x:v>
      </x:c>
      <x:c r="G1488" s="48" t="str">
        <x:v>Obligation</x:v>
      </x:c>
      <x:c r="H1488" s="48" t="str">
        <x:v>Contractor</x:v>
      </x:c>
      <x:c r="I1488" s="48" t="n">
        <x:v>0.88</x:v>
      </x:c>
      <x:c r="J1488" s="48" t="n">
        <x:v>0.92</x:v>
      </x:c>
      <x:c r="K1488" s="48" t="str">
        <x:v>No</x:v>
      </x:c>
      <x:c r="L1488" s="48" t="str">
        <x:v>PDF text</x:v>
      </x:c>
    </x:row>
    <x:row r="1489">
      <x:c r="A1489" s="48" t="str">
        <x:v>UNI-1488</x:v>
      </x:c>
      <x:c r="B1489" s="48" t="str">
        <x:v>YELLOW</x:v>
      </x:c>
      <x:c r="C1489" s="48" t="str">
        <x:v>English</x:v>
      </x:c>
      <x:c r="D1489" s="48" t="n">
        <x:v>27</x:v>
      </x:c>
      <x:c r="E1489" s="48" t="str"/>
      <x:c r="F1489" s="48" t="str">
        <x:v>Contract, and all Contractor's Personnel, Goods, consumables and other things and</x:v>
      </x:c>
      <x:c r="G1489" s="48" t="str">
        <x:v>Obligation</x:v>
      </x:c>
      <x:c r="H1489" s="48" t="str">
        <x:v>Contractor</x:v>
      </x:c>
      <x:c r="I1489" s="48" t="n">
        <x:v>0.45</x:v>
      </x:c>
      <x:c r="J1489" s="48" t="n">
        <x:v>0.68</x:v>
      </x:c>
      <x:c r="K1489" s="48" t="str">
        <x:v>Yes</x:v>
      </x:c>
      <x:c r="L1489" s="48" t="str">
        <x:v>PDF text</x:v>
      </x:c>
    </x:row>
    <x:row r="1490">
      <x:c r="A1490" s="48" t="str">
        <x:v>UNI-1489</x:v>
      </x:c>
      <x:c r="B1490" s="48" t="str">
        <x:v>YELLOW</x:v>
      </x:c>
      <x:c r="C1490" s="48" t="str">
        <x:v>English</x:v>
      </x:c>
      <x:c r="D1490" s="48" t="n">
        <x:v>28</x:v>
      </x:c>
      <x:c r="E1490" s="48" t="str"/>
      <x:c r="F1490" s="48" t="str">
        <x:v>The Works shall include any work which is necessary to satisfy the Employer's</x:v>
      </x:c>
      <x:c r="G1490" s="48" t="str">
        <x:v>Obligation</x:v>
      </x:c>
      <x:c r="H1490" s="48" t="str">
        <x:v>Employer</x:v>
      </x:c>
      <x:c r="I1490" s="48" t="n">
        <x:v>0.88</x:v>
      </x:c>
      <x:c r="J1490" s="48" t="n">
        <x:v>0.68</x:v>
      </x:c>
      <x:c r="K1490" s="48" t="str">
        <x:v>Yes</x:v>
      </x:c>
      <x:c r="L1490" s="48" t="str">
        <x:v>PDF text</x:v>
      </x:c>
    </x:row>
    <x:row r="1491">
      <x:c r="A1491" s="48" t="str">
        <x:v>UNI-1490</x:v>
      </x:c>
      <x:c r="B1491" s="48" t="str">
        <x:v>YELLOW</x:v>
      </x:c>
      <x:c r="C1491" s="48" t="str">
        <x:v>English</x:v>
      </x:c>
      <x:c r="D1491" s="48" t="n">
        <x:v>28</x:v>
      </x:c>
      <x:c r="E1491" s="48" t="str"/>
      <x:c r="F1491" s="48" t="str">
        <x:v>Requirements, Contractor's Proposal and Schedules, or is implied by the Contract,</x:v>
      </x:c>
      <x:c r="G1491" s="48" t="str">
        <x:v>Obligation</x:v>
      </x:c>
      <x:c r="H1491" s="48" t="str">
        <x:v>Contractor</x:v>
      </x:c>
      <x:c r="I1491" s="48" t="n">
        <x:v>0.45</x:v>
      </x:c>
      <x:c r="J1491" s="48" t="n">
        <x:v>0.68</x:v>
      </x:c>
      <x:c r="K1491" s="48" t="str">
        <x:v>Yes</x:v>
      </x:c>
      <x:c r="L1491" s="48" t="str">
        <x:v>PDF text</x:v>
      </x:c>
    </x:row>
    <x:row r="1492">
      <x:c r="A1492" s="48" t="str">
        <x:v>UNI-1491</x:v>
      </x:c>
      <x:c r="B1492" s="48" t="str">
        <x:v>YELLOW</x:v>
      </x:c>
      <x:c r="C1492" s="48" t="str">
        <x:v>English</x:v>
      </x:c>
      <x:c r="D1492" s="48" t="n">
        <x:v>28</x:v>
      </x:c>
      <x:c r="E1492" s="48" t="str"/>
      <x:c r="F1492" s="48" t="str">
        <x:v>and all works which (although not mentioned in the Contract) are necessary for stability or for the completion, or safe and proper operation, of the Works.</x:v>
      </x:c>
      <x:c r="G1492" s="48" t="str">
        <x:v>Obligation</x:v>
      </x:c>
      <x:c r="H1492" s="48" t="str">
        <x:v>Shared</x:v>
      </x:c>
      <x:c r="I1492" s="48" t="n">
        <x:v>0.45</x:v>
      </x:c>
      <x:c r="J1492" s="48" t="n">
        <x:v>0.4</x:v>
      </x:c>
      <x:c r="K1492" s="48" t="str">
        <x:v>Yes</x:v>
      </x:c>
      <x:c r="L1492" s="48" t="str">
        <x:v>PDF text</x:v>
      </x:c>
    </x:row>
    <x:row r="1493">
      <x:c r="A1493" s="48" t="str">
        <x:v>UNI-1492</x:v>
      </x:c>
      <x:c r="B1493" s="48" t="str">
        <x:v>YELLOW</x:v>
      </x:c>
      <x:c r="C1493" s="48" t="str">
        <x:v>English</x:v>
      </x:c>
      <x:c r="D1493" s="48" t="n">
        <x:v>28</x:v>
      </x:c>
      <x:c r="E1493" s="48" t="str"/>
      <x:c r="F1493" s="48" t="str">
        <x:v>The Contractor shall be responsible for the adequacy, stability and safety of all Site operations, of all methods of construction and of all the Works.</x:v>
      </x:c>
      <x:c r="G1493" s="48" t="str">
        <x:v>Obligation</x:v>
      </x:c>
      <x:c r="H1493" s="48" t="str">
        <x:v>Contractor</x:v>
      </x:c>
      <x:c r="I1493" s="48" t="n">
        <x:v>0.88</x:v>
      </x:c>
      <x:c r="J1493" s="48" t="n">
        <x:v>0.92</x:v>
      </x:c>
      <x:c r="K1493" s="48" t="str">
        <x:v>No</x:v>
      </x:c>
      <x:c r="L1493" s="48" t="str">
        <x:v>PDF text</x:v>
      </x:c>
    </x:row>
    <x:row r="1494">
      <x:c r="A1494" s="48" t="str">
        <x:v>UNI-1493</x:v>
      </x:c>
      <x:c r="B1494" s="48" t="str">
        <x:v>YELLOW</x:v>
      </x:c>
      <x:c r="C1494" s="48" t="str">
        <x:v>English</x:v>
      </x:c>
      <x:c r="D1494" s="48" t="n">
        <x:v>28</x:v>
      </x:c>
      <x:c r="E1494" s="48" t="str"/>
      <x:c r="F1494" s="48" t="str">
        <x:v>No significant alteration to these arrangements and methods shall be made without this having previously been notified to the</x:v>
      </x:c>
      <x:c r="G1494" s="48" t="str">
        <x:v>Obligation</x:v>
      </x:c>
      <x:c r="H1494" s="48" t="str">
        <x:v>Shared</x:v>
      </x:c>
      <x:c r="I1494" s="48" t="n">
        <x:v>0.88</x:v>
      </x:c>
      <x:c r="J1494" s="48" t="n">
        <x:v>0.4</x:v>
      </x:c>
      <x:c r="K1494" s="48" t="str">
        <x:v>Yes</x:v>
      </x:c>
      <x:c r="L1494" s="48" t="str">
        <x:v>PDF text</x:v>
      </x:c>
    </x:row>
    <x:row r="1495">
      <x:c r="A1495" s="48" t="str">
        <x:v>UNI-1494</x:v>
      </x:c>
      <x:c r="B1495" s="48" t="str">
        <x:v>YELLOW</x:v>
      </x:c>
      <x:c r="C1495" s="48" t="str">
        <x:v>English</x:v>
      </x:c>
      <x:c r="D1495" s="48" t="n">
        <x:v>28</x:v>
      </x:c>
      <x:c r="E1495" s="48" t="str"/>
      <x:c r="F1495" s="48" t="str">
        <x:v>performance, in the amount and currencies stated in the Appendix to Tender.</x:v>
      </x:c>
      <x:c r="G1495" s="48" t="str">
        <x:v>Obligation</x:v>
      </x:c>
      <x:c r="H1495" s="48" t="str">
        <x:v>Shared</x:v>
      </x:c>
      <x:c r="I1495" s="48" t="n">
        <x:v>0.45</x:v>
      </x:c>
      <x:c r="J1495" s="48" t="n">
        <x:v>0.4</x:v>
      </x:c>
      <x:c r="K1495" s="48" t="str">
        <x:v>Yes</x:v>
      </x:c>
      <x:c r="L1495" s="48" t="str">
        <x:v>PDF text</x:v>
      </x:c>
    </x:row>
    <x:row r="1496">
      <x:c r="A1496" s="48" t="str">
        <x:v>UNI-1495</x:v>
      </x:c>
      <x:c r="B1496" s="48" t="str">
        <x:v>YELLOW</x:v>
      </x:c>
      <x:c r="C1496" s="48" t="str">
        <x:v>English</x:v>
      </x:c>
      <x:c r="D1496" s="48" t="n">
        <x:v>28</x:v>
      </x:c>
      <x:c r="E1496" s="48" t="str"/>
      <x:c r="F1496" s="48" t="str">
        <x:v>If an amount is not stated in the Appendix to Tender, this Sub-Clause shall not apply.</x:v>
      </x:c>
      <x:c r="G1496" s="48" t="str">
        <x:v>Obligation</x:v>
      </x:c>
      <x:c r="H1496" s="48" t="str">
        <x:v>Shared</x:v>
      </x:c>
      <x:c r="I1496" s="48" t="n">
        <x:v>0.88</x:v>
      </x:c>
      <x:c r="J1496" s="48" t="n">
        <x:v>0.4</x:v>
      </x:c>
      <x:c r="K1496" s="48" t="str">
        <x:v>Yes</x:v>
      </x:c>
      <x:c r="L1496" s="48" t="str">
        <x:v>PDF text</x:v>
      </x:c>
    </x:row>
    <x:row r="1497">
      <x:c r="A1497" s="48" t="str">
        <x:v>UNI-1496</x:v>
      </x:c>
      <x:c r="B1497" s="48" t="str">
        <x:v>YELLOW</x:v>
      </x:c>
      <x:c r="C1497" s="48" t="str">
        <x:v>English</x:v>
      </x:c>
      <x:c r="D1497" s="48" t="n">
        <x:v>28</x:v>
      </x:c>
      <x:c r="E1497" s="48" t="str"/>
      <x:c r="F1497" s="48" t="str">
        <x:v>The Employer shall not make a claim under the Performance Security, except for</x:v>
      </x:c>
      <x:c r="G1497" s="48" t="str">
        <x:v>Obligation</x:v>
      </x:c>
      <x:c r="H1497" s="48" t="str">
        <x:v>Employer</x:v>
      </x:c>
      <x:c r="I1497" s="48" t="n">
        <x:v>0.88</x:v>
      </x:c>
      <x:c r="J1497" s="48" t="n">
        <x:v>0.92</x:v>
      </x:c>
      <x:c r="K1497" s="48" t="str">
        <x:v>No</x:v>
      </x:c>
      <x:c r="L1497" s="48" t="str">
        <x:v>PDF text</x:v>
      </x:c>
    </x:row>
    <x:row r="1498">
      <x:c r="A1498" s="48" t="str">
        <x:v>UNI-1497</x:v>
      </x:c>
      <x:c r="B1498" s="48" t="str">
        <x:v>YELLOW</x:v>
      </x:c>
      <x:c r="C1498" s="48" t="str">
        <x:v>English</x:v>
      </x:c>
      <x:c r="D1498" s="48" t="n">
        <x:v>28</x:v>
      </x:c>
      <x:c r="E1498" s="48" t="str"/>
      <x:c r="F1498" s="48" t="str">
        <x:v>amounts to which the Employer is entitled under the Contract in the event of: (a) failure by the Contractor to extend the validity of the Performance Security as described in the preceding paragraph, in which event the Employer may claim the full amount of the Performance Security, (b) failure by the Contractor to pay the Employer an amount due, as either agreed by the Contractor or determined under Sub-Clause 2.5 [Employer's Claims] or Clause 20 [Claims, Disputes and Arbitration], within 42 days after this agreement or determination, (c) failure by the Contractor to remedy a default within 42 days after receiving the</x:v>
      </x:c>
      <x:c r="G1498" s="48" t="str">
        <x:v>Risk</x:v>
      </x:c>
      <x:c r="H1498" s="48" t="str">
        <x:v>Shared</x:v>
      </x:c>
      <x:c r="I1498" s="48" t="n">
        <x:v>0.78</x:v>
      </x:c>
      <x:c r="J1498" s="48" t="n">
        <x:v>0.6</x:v>
      </x:c>
      <x:c r="K1498" s="48" t="str">
        <x:v>Yes</x:v>
      </x:c>
      <x:c r="L1498" s="48" t="str">
        <x:v>PDF text</x:v>
      </x:c>
    </x:row>
    <x:row r="1499">
      <x:c r="A1499" s="48" t="str">
        <x:v>UNI-1498</x:v>
      </x:c>
      <x:c r="B1499" s="48" t="str">
        <x:v>YELLOW</x:v>
      </x:c>
      <x:c r="C1499" s="48" t="str">
        <x:v>English</x:v>
      </x:c>
      <x:c r="D1499" s="48" t="n">
        <x:v>28</x:v>
      </x:c>
      <x:c r="E1499" s="48" t="str"/>
      <x:c r="F1499" s="48" t="str">
        <x:v>Employer's notice requiring the default to be remedied, or</x:v>
      </x:c>
      <x:c r="G1499" s="48" t="str">
        <x:v>Obligation</x:v>
      </x:c>
      <x:c r="H1499" s="48" t="str">
        <x:v>Employer</x:v>
      </x:c>
      <x:c r="I1499" s="48" t="n">
        <x:v>0.55</x:v>
      </x:c>
      <x:c r="J1499" s="48" t="n">
        <x:v>0.68</x:v>
      </x:c>
      <x:c r="K1499" s="48" t="str">
        <x:v>Yes</x:v>
      </x:c>
      <x:c r="L1499" s="48" t="str">
        <x:v>PDF text</x:v>
      </x:c>
    </x:row>
    <x:row r="1500">
      <x:c r="A1500" s="48" t="str">
        <x:v>UNI-1499</x:v>
      </x:c>
      <x:c r="B1500" s="48" t="str">
        <x:v>YELLOW</x:v>
      </x:c>
      <x:c r="C1500" s="48" t="str">
        <x:v>English</x:v>
      </x:c>
      <x:c r="D1500" s="48" t="n">
        <x:v>28</x:v>
      </x:c>
      <x:c r="E1500" s="48" t="str"/>
      <x:c r="F1500" s="48" t="str">
        <x:v>(d) circumstances which entitle the Employer to termination under Sub-Clause</x:v>
      </x:c>
      <x:c r="G1500" s="48" t="str">
        <x:v>Obligation</x:v>
      </x:c>
      <x:c r="H1500" s="48" t="str">
        <x:v>Employer</x:v>
      </x:c>
      <x:c r="I1500" s="48" t="n">
        <x:v>0.55</x:v>
      </x:c>
      <x:c r="J1500" s="48" t="n">
        <x:v>0.68</x:v>
      </x:c>
      <x:c r="K1500" s="48" t="str">
        <x:v>Yes</x:v>
      </x:c>
      <x:c r="L1500" s="48" t="str">
        <x:v>PDF text</x:v>
      </x:c>
    </x:row>
    <x:row r="1501">
      <x:c r="A1501" s="48" t="str">
        <x:v>UNI-1500</x:v>
      </x:c>
      <x:c r="B1501" s="48" t="str">
        <x:v>YELLOW</x:v>
      </x:c>
      <x:c r="C1501" s="48" t="str">
        <x:v>English</x:v>
      </x:c>
      <x:c r="D1501" s="48" t="n">
        <x:v>28</x:v>
      </x:c>
      <x:c r="E1501" s="48" t="str">
        <x:v>15.2</x:v>
      </x:c>
      <x:c r="F1501" s="48" t="str">
        <x:v>15.2 [Termination by Employer], irrespective of whether notice of termination</x:v>
      </x:c>
      <x:c r="G1501" s="48" t="str">
        <x:v>Obligation</x:v>
      </x:c>
      <x:c r="H1501" s="48" t="str">
        <x:v>Employer</x:v>
      </x:c>
      <x:c r="I1501" s="48" t="n">
        <x:v>0.55</x:v>
      </x:c>
      <x:c r="J1501" s="48" t="n">
        <x:v>0.68</x:v>
      </x:c>
      <x:c r="K1501" s="48" t="str">
        <x:v>Yes</x:v>
      </x:c>
      <x:c r="L1501" s="48" t="str">
        <x:v>PDF text</x:v>
      </x:c>
    </x:row>
    <x:row r="1502">
      <x:c r="A1502" s="48" t="str">
        <x:v>UNI-1501</x:v>
      </x:c>
      <x:c r="B1502" s="48" t="str">
        <x:v>YELLOW</x:v>
      </x:c>
      <x:c r="C1502" s="48" t="str">
        <x:v>English</x:v>
      </x:c>
      <x:c r="D1502" s="48" t="n">
        <x:v>28</x:v>
      </x:c>
      <x:c r="E1502" s="48" t="str"/>
      <x:c r="F1502" s="48" t="str">
        <x:v>has been given.</x:v>
      </x:c>
      <x:c r="G1502" s="48" t="str">
        <x:v>Obligation</x:v>
      </x:c>
      <x:c r="H1502" s="48" t="str">
        <x:v>Shared</x:v>
      </x:c>
      <x:c r="I1502" s="48" t="n">
        <x:v>0.45</x:v>
      </x:c>
      <x:c r="J1502" s="48" t="n">
        <x:v>0.4</x:v>
      </x:c>
      <x:c r="K1502" s="48" t="str">
        <x:v>Yes</x:v>
      </x:c>
      <x:c r="L1502" s="48" t="str">
        <x:v>PDF text</x:v>
      </x:c>
    </x:row>
    <x:row r="1503">
      <x:c r="A1503" s="48" t="str">
        <x:v>UNI-1502</x:v>
      </x:c>
      <x:c r="B1503" s="48" t="str">
        <x:v>YELLOW</x:v>
      </x:c>
      <x:c r="C1503" s="48" t="str">
        <x:v>English</x:v>
      </x:c>
      <x:c r="D1503" s="48" t="n">
        <x:v>29</x:v>
      </x:c>
      <x:c r="E1503" s="48" t="str"/>
      <x:c r="F1503" s="48" t="str">
        <x:v>The Contractor shall appoint the Contractor's Representative and shall give him all authority necessary to act on the Contractor's behalf under the Contract.</x:v>
      </x:c>
      <x:c r="G1503" s="48" t="str">
        <x:v>Obligation</x:v>
      </x:c>
      <x:c r="H1503" s="48" t="str">
        <x:v>Contractor</x:v>
      </x:c>
      <x:c r="I1503" s="48" t="n">
        <x:v>0.88</x:v>
      </x:c>
      <x:c r="J1503" s="48" t="n">
        <x:v>0.92</x:v>
      </x:c>
      <x:c r="K1503" s="48" t="str">
        <x:v>No</x:v>
      </x:c>
      <x:c r="L1503" s="48" t="str">
        <x:v>PDF text</x:v>
      </x:c>
    </x:row>
    <x:row r="1504">
      <x:c r="A1504" s="48" t="str">
        <x:v>UNI-1503</x:v>
      </x:c>
      <x:c r="B1504" s="48" t="str">
        <x:v>YELLOW</x:v>
      </x:c>
      <x:c r="C1504" s="48" t="str">
        <x:v>English</x:v>
      </x:c>
      <x:c r="D1504" s="48" t="n">
        <x:v>29</x:v>
      </x:c>
      <x:c r="E1504" s="48" t="str"/>
      <x:c r="F1504" s="48" t="str">
        <x:v>Unless the Contractor's Representative is named in the Contract, the Contractor shall, prior to the Commencement Date, submit to the Engineer for consent the name and particulars of the person the Contractor proposes to appoint as Contractor's Representative.</x:v>
      </x:c>
      <x:c r="G1504" s="48" t="str">
        <x:v>Obligation</x:v>
      </x:c>
      <x:c r="H1504" s="48" t="str">
        <x:v>Contractor</x:v>
      </x:c>
      <x:c r="I1504" s="48" t="n">
        <x:v>0.88</x:v>
      </x:c>
      <x:c r="J1504" s="48" t="n">
        <x:v>0.92</x:v>
      </x:c>
      <x:c r="K1504" s="48" t="str">
        <x:v>No</x:v>
      </x:c>
      <x:c r="L1504" s="48" t="str">
        <x:v>PDF text</x:v>
      </x:c>
    </x:row>
    <x:row r="1505">
      <x:c r="A1505" s="48" t="str">
        <x:v>UNI-1504</x:v>
      </x:c>
      <x:c r="B1505" s="48" t="str">
        <x:v>YELLOW</x:v>
      </x:c>
      <x:c r="C1505" s="48" t="str">
        <x:v>English</x:v>
      </x:c>
      <x:c r="D1505" s="48" t="n">
        <x:v>29</x:v>
      </x:c>
      <x:c r="E1505" s="48" t="str"/>
      <x:c r="F1505" s="48" t="str">
        <x:v>If consent is withheld or subsequently revoked, or if the appointed person fails to act as Contractor's Representative, the Contractor shall similarly submit the name and particulars of another suitable person for such appointment.</x:v>
      </x:c>
      <x:c r="G1505" s="48" t="str">
        <x:v>Obligation</x:v>
      </x:c>
      <x:c r="H1505" s="48" t="str">
        <x:v>Contractor</x:v>
      </x:c>
      <x:c r="I1505" s="48" t="n">
        <x:v>0.88</x:v>
      </x:c>
      <x:c r="J1505" s="48" t="n">
        <x:v>0.92</x:v>
      </x:c>
      <x:c r="K1505" s="48" t="str">
        <x:v>No</x:v>
      </x:c>
      <x:c r="L1505" s="48" t="str">
        <x:v>PDF text</x:v>
      </x:c>
    </x:row>
    <x:row r="1506">
      <x:c r="A1506" s="48" t="str">
        <x:v>UNI-1505</x:v>
      </x:c>
      <x:c r="B1506" s="48" t="str">
        <x:v>YELLOW</x:v>
      </x:c>
      <x:c r="C1506" s="48" t="str">
        <x:v>English</x:v>
      </x:c>
      <x:c r="D1506" s="48" t="n">
        <x:v>29</x:v>
      </x:c>
      <x:c r="E1506" s="48" t="str"/>
      <x:c r="F1506" s="48" t="str">
        <x:v>appointment of the Contractor's Representative or appoint a replacement.</x:v>
      </x:c>
      <x:c r="G1506" s="48" t="str">
        <x:v>Obligation</x:v>
      </x:c>
      <x:c r="H1506" s="48" t="str">
        <x:v>Contractor</x:v>
      </x:c>
      <x:c r="I1506" s="48" t="n">
        <x:v>0.45</x:v>
      </x:c>
      <x:c r="J1506" s="48" t="n">
        <x:v>0.68</x:v>
      </x:c>
      <x:c r="K1506" s="48" t="str">
        <x:v>Yes</x:v>
      </x:c>
      <x:c r="L1506" s="48" t="str">
        <x:v>PDF text</x:v>
      </x:c>
    </x:row>
    <x:row r="1507">
      <x:c r="A1507" s="48" t="str">
        <x:v>UNI-1506</x:v>
      </x:c>
      <x:c r="B1507" s="48" t="str">
        <x:v>YELLOW</x:v>
      </x:c>
      <x:c r="C1507" s="48" t="str">
        <x:v>English</x:v>
      </x:c>
      <x:c r="D1507" s="48" t="n">
        <x:v>29</x:v>
      </x:c>
      <x:c r="E1507" s="48" t="str"/>
      <x:c r="F1507" s="48" t="str">
        <x:v>The whole time of the Contractor's Representative shall be given to directing the</x:v>
      </x:c>
      <x:c r="G1507" s="48" t="str">
        <x:v>Obligation</x:v>
      </x:c>
      <x:c r="H1507" s="48" t="str">
        <x:v>Contractor</x:v>
      </x:c>
      <x:c r="I1507" s="48" t="n">
        <x:v>0.88</x:v>
      </x:c>
      <x:c r="J1507" s="48" t="n">
        <x:v>0.68</x:v>
      </x:c>
      <x:c r="K1507" s="48" t="str">
        <x:v>Yes</x:v>
      </x:c>
      <x:c r="L1507" s="48" t="str">
        <x:v>PDF text</x:v>
      </x:c>
    </x:row>
    <x:row r="1508">
      <x:c r="A1508" s="48" t="str">
        <x:v>UNI-1507</x:v>
      </x:c>
      <x:c r="B1508" s="48" t="str">
        <x:v>YELLOW</x:v>
      </x:c>
      <x:c r="C1508" s="48" t="str">
        <x:v>English</x:v>
      </x:c>
      <x:c r="D1508" s="48" t="n">
        <x:v>29</x:v>
      </x:c>
      <x:c r="E1508" s="48" t="str"/>
      <x:c r="F1508" s="48" t="str">
        <x:v>Contractor's performance of the Contract.</x:v>
      </x:c>
      <x:c r="G1508" s="48" t="str">
        <x:v>Obligation</x:v>
      </x:c>
      <x:c r="H1508" s="48" t="str">
        <x:v>Contractor</x:v>
      </x:c>
      <x:c r="I1508" s="48" t="n">
        <x:v>0.45</x:v>
      </x:c>
      <x:c r="J1508" s="48" t="n">
        <x:v>0.68</x:v>
      </x:c>
      <x:c r="K1508" s="48" t="str">
        <x:v>Yes</x:v>
      </x:c>
      <x:c r="L1508" s="48" t="str">
        <x:v>PDF text</x:v>
      </x:c>
    </x:row>
    <x:row r="1509">
      <x:c r="A1509" s="48" t="str">
        <x:v>UNI-1508</x:v>
      </x:c>
      <x:c r="B1509" s="48" t="str">
        <x:v>YELLOW</x:v>
      </x:c>
      <x:c r="C1509" s="48" t="str">
        <x:v>English</x:v>
      </x:c>
      <x:c r="D1509" s="48" t="n">
        <x:v>29</x:v>
      </x:c>
      <x:c r="E1509" s="48" t="str"/>
      <x:c r="F1509" s="48" t="str">
        <x:v>If the Contractor's Representative is to be temporarily absent from the Site during the execution of the Works, a suitable replacement person shall be appointed, subject to the Engineer's prior consent, and the Engineer shall be notified accordingly.</x:v>
      </x:c>
      <x:c r="G1509" s="48" t="str">
        <x:v>Obligation</x:v>
      </x:c>
      <x:c r="H1509" s="48" t="str">
        <x:v>Contractor</x:v>
      </x:c>
      <x:c r="I1509" s="48" t="n">
        <x:v>0.88</x:v>
      </x:c>
      <x:c r="J1509" s="48" t="n">
        <x:v>0.68</x:v>
      </x:c>
      <x:c r="K1509" s="48" t="str">
        <x:v>Yes</x:v>
      </x:c>
      <x:c r="L1509" s="48" t="str">
        <x:v>PDF text</x:v>
      </x:c>
    </x:row>
    <x:row r="1510">
      <x:c r="A1510" s="48" t="str">
        <x:v>UNI-1509</x:v>
      </x:c>
      <x:c r="B1510" s="48" t="str">
        <x:v>YELLOW</x:v>
      </x:c>
      <x:c r="C1510" s="48" t="str">
        <x:v>English</x:v>
      </x:c>
      <x:c r="D1510" s="48" t="n">
        <x:v>29</x:v>
      </x:c>
      <x:c r="E1510" s="48" t="str"/>
      <x:c r="F1510" s="48" t="str">
        <x:v>The Contractor's Representative shall, on behalf of the Contractor, receive instructions under Sub-Clause 3.3 [Instructions of the Engineer].</x:v>
      </x:c>
      <x:c r="G1510" s="48" t="str">
        <x:v>Obligation</x:v>
      </x:c>
      <x:c r="H1510" s="48" t="str">
        <x:v>Contractor</x:v>
      </x:c>
      <x:c r="I1510" s="48" t="n">
        <x:v>0.88</x:v>
      </x:c>
      <x:c r="J1510" s="48" t="n">
        <x:v>0.68</x:v>
      </x:c>
      <x:c r="K1510" s="48" t="str">
        <x:v>Yes</x:v>
      </x:c>
      <x:c r="L1510" s="48" t="str">
        <x:v>PDF text</x:v>
      </x:c>
    </x:row>
    <x:row r="1511">
      <x:c r="A1511" s="48" t="str">
        <x:v>UNI-1510</x:v>
      </x:c>
      <x:c r="B1511" s="48" t="str">
        <x:v>YELLOW</x:v>
      </x:c>
      <x:c r="C1511" s="48" t="str">
        <x:v>English</x:v>
      </x:c>
      <x:c r="D1511" s="48" t="n">
        <x:v>29</x:v>
      </x:c>
      <x:c r="E1511" s="48" t="str"/>
      <x:c r="F1511" s="48" t="str">
        <x:v>The Contractor's Representative may delegate any powers, functions and authority to any competent person, and may at any time revoke the delegation.</x:v>
      </x:c>
      <x:c r="G1511" s="48" t="str">
        <x:v>Right</x:v>
      </x:c>
      <x:c r="H1511" s="48" t="str">
        <x:v>Contractor</x:v>
      </x:c>
      <x:c r="I1511" s="48" t="n">
        <x:v>0.78</x:v>
      </x:c>
      <x:c r="J1511" s="48" t="n">
        <x:v>0.68</x:v>
      </x:c>
      <x:c r="K1511" s="48" t="str">
        <x:v>Yes</x:v>
      </x:c>
      <x:c r="L1511" s="48" t="str">
        <x:v>PDF text</x:v>
      </x:c>
    </x:row>
    <x:row r="1512">
      <x:c r="A1512" s="48" t="str">
        <x:v>UNI-1511</x:v>
      </x:c>
      <x:c r="B1512" s="48" t="str">
        <x:v>YELLOW</x:v>
      </x:c>
      <x:c r="C1512" s="48" t="str">
        <x:v>English</x:v>
      </x:c>
      <x:c r="D1512" s="48" t="n">
        <x:v>29</x:v>
      </x:c>
      <x:c r="E1512" s="48" t="str"/>
      <x:c r="F1512" s="48" t="str">
        <x:v>Any delegation or revocation shall not take effect until the Engineer has received prior notice signed by the Contractor's Representative, naming the person and specifying the powers, functions and authority being delegated or revoked.</x:v>
      </x:c>
      <x:c r="G1512" s="48" t="str">
        <x:v>Obligation</x:v>
      </x:c>
      <x:c r="H1512" s="48" t="str">
        <x:v>Contractor</x:v>
      </x:c>
      <x:c r="I1512" s="48" t="n">
        <x:v>0.88</x:v>
      </x:c>
      <x:c r="J1512" s="48" t="n">
        <x:v>0.68</x:v>
      </x:c>
      <x:c r="K1512" s="48" t="str">
        <x:v>Yes</x:v>
      </x:c>
      <x:c r="L1512" s="48" t="str">
        <x:v>PDF text</x:v>
      </x:c>
    </x:row>
    <x:row r="1513">
      <x:c r="A1513" s="48" t="str">
        <x:v>UNI-1512</x:v>
      </x:c>
      <x:c r="B1513" s="48" t="str">
        <x:v>YELLOW</x:v>
      </x:c>
      <x:c r="C1513" s="48" t="str">
        <x:v>English</x:v>
      </x:c>
      <x:c r="D1513" s="48" t="n">
        <x:v>29</x:v>
      </x:c>
      <x:c r="E1513" s="48" t="str"/>
      <x:c r="F1513" s="48" t="str">
        <x:v>The Contractor's Representative and all these persons shall be fluent in the language for communications defined in Sub-Clause 1.4 [Law and Language].</x:v>
      </x:c>
      <x:c r="G1513" s="48" t="str">
        <x:v>Obligation</x:v>
      </x:c>
      <x:c r="H1513" s="48" t="str">
        <x:v>Contractor</x:v>
      </x:c>
      <x:c r="I1513" s="48" t="n">
        <x:v>0.88</x:v>
      </x:c>
      <x:c r="J1513" s="48" t="n">
        <x:v>0.68</x:v>
      </x:c>
      <x:c r="K1513" s="48" t="str">
        <x:v>Yes</x:v>
      </x:c>
      <x:c r="L1513" s="48" t="str">
        <x:v>PDF text</x:v>
      </x:c>
    </x:row>
    <x:row r="1514">
      <x:c r="A1514" s="48" t="str">
        <x:v>UNI-1513</x:v>
      </x:c>
      <x:c r="B1514" s="48" t="str">
        <x:v>YELLOW</x:v>
      </x:c>
      <x:c r="C1514" s="48" t="str">
        <x:v>English</x:v>
      </x:c>
      <x:c r="D1514" s="48" t="n">
        <x:v>29</x:v>
      </x:c>
      <x:c r="E1514" s="48" t="str"/>
      <x:c r="F1514" s="48" t="str">
        <x:v>Unless otherwise stated in the Particular Conditions: (a) the Contractor shall not be required to obtain consent to suppliers of Materials, or to a subcontract for which the Subcontractor is named in the Contract; (b) the prior consent of the Engineer shall be obtained to other proposed Subcontractors; and (c) the Contractor shall give the Engineer not less than 28 days' notice of the intended date of the commencement of each Subcontractor's work, and of the commencement of such work on the Site.</x:v>
      </x:c>
      <x:c r="G1514" s="48" t="str">
        <x:v>Obligation</x:v>
      </x:c>
      <x:c r="H1514" s="48" t="str">
        <x:v>Contractor</x:v>
      </x:c>
      <x:c r="I1514" s="48" t="n">
        <x:v>0.88</x:v>
      </x:c>
      <x:c r="J1514" s="48" t="n">
        <x:v>0.92</x:v>
      </x:c>
      <x:c r="K1514" s="48" t="str">
        <x:v>No</x:v>
      </x:c>
      <x:c r="L1514" s="48" t="str">
        <x:v>PDF text</x:v>
      </x:c>
    </x:row>
    <x:row r="1515">
      <x:c r="A1515" s="48" t="str">
        <x:v>UNI-1514</x:v>
      </x:c>
      <x:c r="B1515" s="48" t="str">
        <x:v>YELLOW</x:v>
      </x:c>
      <x:c r="C1515" s="48" t="str">
        <x:v>English</x:v>
      </x:c>
      <x:c r="D1515" s="48" t="n">
        <x:v>29</x:v>
      </x:c>
      <x:c r="E1515" s="48" t="str"/>
      <x:c r="F1515" s="48" t="str">
        <x:v>In this Sub-Clause, "nominated Subcontractor" means a Subcontractor whom the Engineer, under Clause 13 [Variations and Adjustments], instructs the Contractor to employ as a Subcontractor.</x:v>
      </x:c>
      <x:c r="G1515" s="48" t="str">
        <x:v>Definition</x:v>
      </x:c>
      <x:c r="H1515" s="48" t="str"/>
      <x:c r="I1515" s="48" t="n">
        <x:v>0.97</x:v>
      </x:c>
      <x:c r="J1515" s="48" t="n">
        <x:v>0.99</x:v>
      </x:c>
      <x:c r="K1515" s="48" t="str">
        <x:v>No</x:v>
      </x:c>
      <x:c r="L1515" s="48" t="str">
        <x:v>PDF text</x:v>
      </x:c>
    </x:row>
    <x:row r="1516">
      <x:c r="A1516" s="48" t="str">
        <x:v>UNI-1515</x:v>
      </x:c>
      <x:c r="B1516" s="48" t="str">
        <x:v>YELLOW</x:v>
      </x:c>
      <x:c r="C1516" s="48" t="str">
        <x:v>English</x:v>
      </x:c>
      <x:c r="D1516" s="48" t="n">
        <x:v>29</x:v>
      </x:c>
      <x:c r="E1516" s="48" t="str"/>
      <x:c r="F1516" s="48" t="str">
        <x:v>The Contractor shall not be under any obligation to employ a nominated Subcontractor against whom the Contractor raises reasonable objection by notice to the Engineer as soon as practicable, with supporting particulars.</x:v>
      </x:c>
      <x:c r="G1516" s="48" t="str">
        <x:v>Obligation</x:v>
      </x:c>
      <x:c r="H1516" s="48" t="str">
        <x:v>Contractor</x:v>
      </x:c>
      <x:c r="I1516" s="48" t="n">
        <x:v>0.88</x:v>
      </x:c>
      <x:c r="J1516" s="48" t="n">
        <x:v>0.92</x:v>
      </x:c>
      <x:c r="K1516" s="48" t="str">
        <x:v>No</x:v>
      </x:c>
      <x:c r="L1516" s="48" t="str">
        <x:v>PDF text</x:v>
      </x:c>
    </x:row>
    <x:row r="1517">
      <x:c r="A1517" s="48" t="str">
        <x:v>UNI-1516</x:v>
      </x:c>
      <x:c r="B1517" s="48" t="str">
        <x:v>YELLOW</x:v>
      </x:c>
      <x:c r="C1517" s="48" t="str">
        <x:v>English</x:v>
      </x:c>
      <x:c r="D1517" s="48" t="n">
        <x:v>29</x:v>
      </x:c>
      <x:c r="E1517" s="48" t="str"/>
      <x:c r="F1517" s="48" t="str">
        <x:v>The Contractor shall, as specified in the Contract or as instructed by the Engineer, allow appropriate opportunities for carrying out work to: 4.3</x:v>
      </x:c>
      <x:c r="G1517" s="48" t="str">
        <x:v>Obligation</x:v>
      </x:c>
      <x:c r="H1517" s="48" t="str">
        <x:v>Contractor</x:v>
      </x:c>
      <x:c r="I1517" s="48" t="n">
        <x:v>0.88</x:v>
      </x:c>
      <x:c r="J1517" s="48" t="n">
        <x:v>0.92</x:v>
      </x:c>
      <x:c r="K1517" s="48" t="str">
        <x:v>No</x:v>
      </x:c>
      <x:c r="L1517" s="48" t="str">
        <x:v>PDF text</x:v>
      </x:c>
    </x:row>
    <x:row r="1518">
      <x:c r="A1518" s="48" t="str">
        <x:v>UNI-1517</x:v>
      </x:c>
      <x:c r="B1518" s="48" t="str">
        <x:v>YELLOW</x:v>
      </x:c>
      <x:c r="C1518" s="48" t="str">
        <x:v>English</x:v>
      </x:c>
      <x:c r="D1518" s="48" t="n">
        <x:v>29</x:v>
      </x:c>
      <x:c r="E1518" s="48" t="str"/>
      <x:c r="F1518" s="48" t="str">
        <x:v>Nominated</x:v>
      </x:c>
      <x:c r="G1518" s="48" t="str">
        <x:v>Obligation</x:v>
      </x:c>
      <x:c r="H1518" s="48" t="str">
        <x:v>Shared</x:v>
      </x:c>
      <x:c r="I1518" s="48" t="n">
        <x:v>0.45</x:v>
      </x:c>
      <x:c r="J1518" s="48" t="n">
        <x:v>0.4</x:v>
      </x:c>
      <x:c r="K1518" s="48" t="str">
        <x:v>Yes</x:v>
      </x:c>
      <x:c r="L1518" s="48" t="str">
        <x:v>PDF text</x:v>
      </x:c>
    </x:row>
    <x:row r="1519">
      <x:c r="A1519" s="48" t="str">
        <x:v>UNI-1518</x:v>
      </x:c>
      <x:c r="B1519" s="48" t="str">
        <x:v>YELLOW</x:v>
      </x:c>
      <x:c r="C1519" s="48" t="str">
        <x:v>English</x:v>
      </x:c>
      <x:c r="D1519" s="48" t="n">
        <x:v>30</x:v>
      </x:c>
      <x:c r="E1519" s="48" t="str"/>
      <x:c r="F1519" s="48" t="str">
        <x:v>(a) the Employer's Personnel, (b) any other contractors employed by the Employer, and (c) the personnel of any legally constituted public authorities, who may be employed in the execution on or near the Site of any work not included in the Contract.</x:v>
      </x:c>
      <x:c r="G1519" s="48" t="str">
        <x:v>Right</x:v>
      </x:c>
      <x:c r="H1519" s="48" t="str">
        <x:v>Employer</x:v>
      </x:c>
      <x:c r="I1519" s="48" t="n">
        <x:v>0.78</x:v>
      </x:c>
      <x:c r="J1519" s="48" t="n">
        <x:v>0.68</x:v>
      </x:c>
      <x:c r="K1519" s="48" t="str">
        <x:v>Yes</x:v>
      </x:c>
      <x:c r="L1519" s="48" t="str">
        <x:v>PDF text</x:v>
      </x:c>
    </x:row>
    <x:row r="1520">
      <x:c r="A1520" s="48" t="str">
        <x:v>UNI-1519</x:v>
      </x:c>
      <x:c r="B1520" s="48" t="str">
        <x:v>YELLOW</x:v>
      </x:c>
      <x:c r="C1520" s="48" t="str">
        <x:v>English</x:v>
      </x:c>
      <x:c r="D1520" s="48" t="n">
        <x:v>30</x:v>
      </x:c>
      <x:c r="E1520" s="48" t="str"/>
      <x:c r="F1520" s="48" t="str">
        <x:v>Services for these personnel and other contractors may include the use of Contractor's Equipment, Temporary Works or access arrangements which are the responsibility of the Contractor.</x:v>
      </x:c>
      <x:c r="G1520" s="48" t="str">
        <x:v>Right</x:v>
      </x:c>
      <x:c r="H1520" s="48" t="str">
        <x:v>Contractor</x:v>
      </x:c>
      <x:c r="I1520" s="48" t="n">
        <x:v>0.78</x:v>
      </x:c>
      <x:c r="J1520" s="48" t="n">
        <x:v>0.68</x:v>
      </x:c>
      <x:c r="K1520" s="48" t="str">
        <x:v>Yes</x:v>
      </x:c>
      <x:c r="L1520" s="48" t="str">
        <x:v>PDF text</x:v>
      </x:c>
    </x:row>
    <x:row r="1521">
      <x:c r="A1521" s="48" t="str">
        <x:v>UNI-1520</x:v>
      </x:c>
      <x:c r="B1521" s="48" t="str">
        <x:v>YELLOW</x:v>
      </x:c>
      <x:c r="C1521" s="48" t="str">
        <x:v>English</x:v>
      </x:c>
      <x:c r="D1521" s="48" t="n">
        <x:v>30</x:v>
      </x:c>
      <x:c r="E1521" s="48" t="str"/>
      <x:c r="F1521" s="48" t="str">
        <x:v>The Contractor shall be responsible for his construction activities on the Site, and shall co-ordinate his own activities with those of other contractors to the extent (if any) specified in the Employer's Requirements.</x:v>
      </x:c>
      <x:c r="G1521" s="48" t="str">
        <x:v>Obligation</x:v>
      </x:c>
      <x:c r="H1521" s="48" t="str">
        <x:v>Contractor</x:v>
      </x:c>
      <x:c r="I1521" s="48" t="n">
        <x:v>0.88</x:v>
      </x:c>
      <x:c r="J1521" s="48" t="n">
        <x:v>0.92</x:v>
      </x:c>
      <x:c r="K1521" s="48" t="str">
        <x:v>No</x:v>
      </x:c>
      <x:c r="L1521" s="48" t="str">
        <x:v>PDF text</x:v>
      </x:c>
    </x:row>
    <x:row r="1522">
      <x:c r="A1522" s="48" t="str">
        <x:v>UNI-1521</x:v>
      </x:c>
      <x:c r="B1522" s="48" t="str">
        <x:v>YELLOW</x:v>
      </x:c>
      <x:c r="C1522" s="48" t="str">
        <x:v>English</x:v>
      </x:c>
      <x:c r="D1522" s="48" t="n">
        <x:v>30</x:v>
      </x:c>
      <x:c r="E1522" s="48" t="str"/>
      <x:c r="F1522" s="48" t="str">
        <x:v>If, under the Contract, the Employer is required to give to the Contractor possession of any foundation, structure, plant or means of access in accordance with</x:v>
      </x:c>
      <x:c r="G1522" s="48" t="str">
        <x:v>Obligation</x:v>
      </x:c>
      <x:c r="H1522" s="48" t="str">
        <x:v>Shared</x:v>
      </x:c>
      <x:c r="I1522" s="48" t="n">
        <x:v>0.88</x:v>
      </x:c>
      <x:c r="J1522" s="48" t="n">
        <x:v>0.6</x:v>
      </x:c>
      <x:c r="K1522" s="48" t="str">
        <x:v>Yes</x:v>
      </x:c>
      <x:c r="L1522" s="48" t="str">
        <x:v>PDF text</x:v>
      </x:c>
    </x:row>
    <x:row r="1523">
      <x:c r="A1523" s="48" t="str">
        <x:v>UNI-1522</x:v>
      </x:c>
      <x:c r="B1523" s="48" t="str">
        <x:v>YELLOW</x:v>
      </x:c>
      <x:c r="C1523" s="48" t="str">
        <x:v>English</x:v>
      </x:c>
      <x:c r="D1523" s="48" t="n">
        <x:v>30</x:v>
      </x:c>
      <x:c r="E1523" s="48" t="str"/>
      <x:c r="F1523" s="48" t="str">
        <x:v>Contractor's Documents, the Contractor shall submit such documents to the</x:v>
      </x:c>
      <x:c r="G1523" s="48" t="str">
        <x:v>Obligation</x:v>
      </x:c>
      <x:c r="H1523" s="48" t="str">
        <x:v>Contractor</x:v>
      </x:c>
      <x:c r="I1523" s="48" t="n">
        <x:v>0.88</x:v>
      </x:c>
      <x:c r="J1523" s="48" t="n">
        <x:v>0.92</x:v>
      </x:c>
      <x:c r="K1523" s="48" t="str">
        <x:v>No</x:v>
      </x:c>
      <x:c r="L1523" s="48" t="str">
        <x:v>PDF text</x:v>
      </x:c>
    </x:row>
    <x:row r="1524">
      <x:c r="A1524" s="48" t="str">
        <x:v>UNI-1523</x:v>
      </x:c>
      <x:c r="B1524" s="48" t="str">
        <x:v>YELLOW</x:v>
      </x:c>
      <x:c r="C1524" s="48" t="str">
        <x:v>English</x:v>
      </x:c>
      <x:c r="D1524" s="48" t="n">
        <x:v>30</x:v>
      </x:c>
      <x:c r="E1524" s="48" t="str"/>
      <x:c r="F1524" s="48" t="str">
        <x:v>Engineer in the time and manner stated in the Employer's Requirements.</x:v>
      </x:c>
      <x:c r="G1524" s="48" t="str">
        <x:v>Obligation</x:v>
      </x:c>
      <x:c r="H1524" s="48" t="str">
        <x:v>Employer</x:v>
      </x:c>
      <x:c r="I1524" s="48" t="n">
        <x:v>0.45</x:v>
      </x:c>
      <x:c r="J1524" s="48" t="n">
        <x:v>0.68</x:v>
      </x:c>
      <x:c r="K1524" s="48" t="str">
        <x:v>Yes</x:v>
      </x:c>
      <x:c r="L1524" s="48" t="str">
        <x:v>PDF text</x:v>
      </x:c>
    </x:row>
    <x:row r="1525">
      <x:c r="A1525" s="48" t="str">
        <x:v>UNI-1524</x:v>
      </x:c>
      <x:c r="B1525" s="48" t="str">
        <x:v>YELLOW</x:v>
      </x:c>
      <x:c r="C1525" s="48" t="str">
        <x:v>English</x:v>
      </x:c>
      <x:c r="D1525" s="48" t="n">
        <x:v>30</x:v>
      </x:c>
      <x:c r="E1525" s="48" t="str"/>
      <x:c r="F1525" s="48" t="str">
        <x:v>necessitated by an error in these items of reference, and an experienced contractor could not reasonably have discovered such error and avoided this delay and/or Cost, the Contractor shall give notice to the Engineer and shall be entitled subject to SubClause 20.1 [Contractor's Claims] to: (a) an extension of time for any such delay, if completion is or will be delayed, under Sub-Clause 8.4 [Extension of Time for Completion], and (b) payment of any such Cost plus reasonable profit, which shall be included in the Contract Price.</x:v>
      </x:c>
      <x:c r="G1525" s="48" t="str">
        <x:v>Risk</x:v>
      </x:c>
      <x:c r="H1525" s="48" t="str">
        <x:v>Contractor</x:v>
      </x:c>
      <x:c r="I1525" s="48" t="n">
        <x:v>0.78</x:v>
      </x:c>
      <x:c r="J1525" s="48" t="n">
        <x:v>0.92</x:v>
      </x:c>
      <x:c r="K1525" s="48" t="str">
        <x:v>No</x:v>
      </x:c>
      <x:c r="L1525" s="48" t="str">
        <x:v>PDF text</x:v>
      </x:c>
    </x:row>
    <x:row r="1526">
      <x:c r="A1526" s="48" t="str">
        <x:v>UNI-1525</x:v>
      </x:c>
      <x:c r="B1526" s="48" t="str">
        <x:v>YELLOW</x:v>
      </x:c>
      <x:c r="C1526" s="48" t="str">
        <x:v>English</x:v>
      </x:c>
      <x:c r="D1526" s="48" t="n">
        <x:v>30</x:v>
      </x:c>
      <x:c r="E1526" s="48" t="str"/>
      <x:c r="F1526" s="48" t="str">
        <x:v>The Contractor shall: (a) comply with all applicable safety regulations, (b) take care for the safety of all persons entitled to be on the Site, (c) use reasonable efforts to keep the Site and Works clear of unnecessary obstruction so as to avoid danger to these persons, (d) provide fencing, lighting, guarding and watching of the Works until completion and taking over under Clause 10 [Employer's Taking Over], and 4.7</x:v>
      </x:c>
      <x:c r="G1526" s="48" t="str">
        <x:v>Obligation</x:v>
      </x:c>
      <x:c r="H1526" s="48" t="str">
        <x:v>Contractor</x:v>
      </x:c>
      <x:c r="I1526" s="48" t="n">
        <x:v>0.88</x:v>
      </x:c>
      <x:c r="J1526" s="48" t="n">
        <x:v>0.92</x:v>
      </x:c>
      <x:c r="K1526" s="48" t="str">
        <x:v>No</x:v>
      </x:c>
      <x:c r="L1526" s="48" t="str">
        <x:v>PDF text</x:v>
      </x:c>
    </x:row>
    <x:row r="1527">
      <x:c r="A1527" s="48" t="str">
        <x:v>UNI-1526</x:v>
      </x:c>
      <x:c r="B1527" s="48" t="str">
        <x:v>YELLOW</x:v>
      </x:c>
      <x:c r="C1527" s="48" t="str">
        <x:v>English</x:v>
      </x:c>
      <x:c r="D1527" s="48" t="n">
        <x:v>31</x:v>
      </x:c>
      <x:c r="E1527" s="48" t="str"/>
      <x:c r="F1527" s="48" t="str">
        <x:v>(e) provide any Temporary Works (including roadways, footways, guards and fences) which may be necessary, because of the execution of the Works, for the use and protection of the public and of owners and occupiers of adjacent land.</x:v>
      </x:c>
      <x:c r="G1527" s="48" t="str">
        <x:v>Right</x:v>
      </x:c>
      <x:c r="H1527" s="48" t="str">
        <x:v>Shared</x:v>
      </x:c>
      <x:c r="I1527" s="48" t="n">
        <x:v>0.78</x:v>
      </x:c>
      <x:c r="J1527" s="48" t="n">
        <x:v>0.4</x:v>
      </x:c>
      <x:c r="K1527" s="48" t="str">
        <x:v>Yes</x:v>
      </x:c>
      <x:c r="L1527" s="48" t="str">
        <x:v>PDF text</x:v>
      </x:c>
    </x:row>
    <x:row r="1528">
      <x:c r="A1528" s="48" t="str">
        <x:v>UNI-1527</x:v>
      </x:c>
      <x:c r="B1528" s="48" t="str">
        <x:v>YELLOW</x:v>
      </x:c>
      <x:c r="C1528" s="48" t="str">
        <x:v>English</x:v>
      </x:c>
      <x:c r="D1528" s="48" t="n">
        <x:v>31</x:v>
      </x:c>
      <x:c r="E1528" s="48" t="str"/>
      <x:c r="F1528" s="48" t="str">
        <x:v>Details of all procedures and compliance documents shall be submitted to the</x:v>
      </x:c>
      <x:c r="G1528" s="48" t="str">
        <x:v>Obligation</x:v>
      </x:c>
      <x:c r="H1528" s="48" t="str">
        <x:v>Shared</x:v>
      </x:c>
      <x:c r="I1528" s="48" t="n">
        <x:v>0.88</x:v>
      </x:c>
      <x:c r="J1528" s="48" t="n">
        <x:v>0.4</x:v>
      </x:c>
      <x:c r="K1528" s="48" t="str">
        <x:v>Yes</x:v>
      </x:c>
      <x:c r="L1528" s="48" t="str">
        <x:v>PDF text</x:v>
      </x:c>
    </x:row>
    <x:row r="1529">
      <x:c r="A1529" s="48" t="str">
        <x:v>UNI-1528</x:v>
      </x:c>
      <x:c r="B1529" s="48" t="str">
        <x:v>YELLOW</x:v>
      </x:c>
      <x:c r="C1529" s="48" t="str">
        <x:v>English</x:v>
      </x:c>
      <x:c r="D1529" s="48" t="n">
        <x:v>31</x:v>
      </x:c>
      <x:c r="E1529" s="48" t="str"/>
      <x:c r="F1529" s="48" t="str">
        <x:v>Engineer for information before each design and execution stage is commenced.</x:v>
      </x:c>
      <x:c r="G1529" s="48" t="str">
        <x:v>Obligation</x:v>
      </x:c>
      <x:c r="H1529" s="48" t="str">
        <x:v>Shared</x:v>
      </x:c>
      <x:c r="I1529" s="48" t="n">
        <x:v>0.45</x:v>
      </x:c>
      <x:c r="J1529" s="48" t="n">
        <x:v>0.4</x:v>
      </x:c>
      <x:c r="K1529" s="48" t="str">
        <x:v>Yes</x:v>
      </x:c>
      <x:c r="L1529" s="48" t="str">
        <x:v>PDF text</x:v>
      </x:c>
    </x:row>
    <x:row r="1530">
      <x:c r="A1530" s="48" t="str">
        <x:v>UNI-1529</x:v>
      </x:c>
      <x:c r="B1530" s="48" t="str">
        <x:v>YELLOW</x:v>
      </x:c>
      <x:c r="C1530" s="48" t="str">
        <x:v>English</x:v>
      </x:c>
      <x:c r="D1530" s="48" t="n">
        <x:v>31</x:v>
      </x:c>
      <x:c r="E1530" s="48" t="str"/>
      <x:c r="F1530" s="48" t="str">
        <x:v>When any document of a technical nature is issued to the Engineer, evidence of the prior approval by the Contractor himself shall be apparent on the document itself.</x:v>
      </x:c>
      <x:c r="G1530" s="48" t="str">
        <x:v>Obligation</x:v>
      </x:c>
      <x:c r="H1530" s="48" t="str">
        <x:v>Contractor</x:v>
      </x:c>
      <x:c r="I1530" s="48" t="n">
        <x:v>0.88</x:v>
      </x:c>
      <x:c r="J1530" s="48" t="n">
        <x:v>0.68</x:v>
      </x:c>
      <x:c r="K1530" s="48" t="str">
        <x:v>Yes</x:v>
      </x:c>
      <x:c r="L1530" s="48" t="str">
        <x:v>PDF text</x:v>
      </x:c>
    </x:row>
    <x:row r="1531">
      <x:c r="A1531" s="48" t="str">
        <x:v>UNI-1530</x:v>
      </x:c>
      <x:c r="B1531" s="48" t="str">
        <x:v>YELLOW</x:v>
      </x:c>
      <x:c r="C1531" s="48" t="str">
        <x:v>English</x:v>
      </x:c>
      <x:c r="D1531" s="48" t="n">
        <x:v>31</x:v>
      </x:c>
      <x:c r="E1531" s="48" t="str"/>
      <x:c r="F1531" s="48" t="str">
        <x:v>The Employer shall have made available to the Contractor for his information, prior to the Base Date, all relevant data in the Employer's possession on sub-surface and hydrological conditions at the Site, including environmental aspects.</x:v>
      </x:c>
      <x:c r="G1531" s="48" t="str">
        <x:v>Obligation</x:v>
      </x:c>
      <x:c r="H1531" s="48" t="str">
        <x:v>Employer</x:v>
      </x:c>
      <x:c r="I1531" s="48" t="n">
        <x:v>0.88</x:v>
      </x:c>
      <x:c r="J1531" s="48" t="n">
        <x:v>0.92</x:v>
      </x:c>
      <x:c r="K1531" s="48" t="str">
        <x:v>No</x:v>
      </x:c>
      <x:c r="L1531" s="48" t="str">
        <x:v>PDF text</x:v>
      </x:c>
    </x:row>
    <x:row r="1532">
      <x:c r="A1532" s="48" t="str">
        <x:v>UNI-1531</x:v>
      </x:c>
      <x:c r="B1532" s="48" t="str">
        <x:v>YELLOW</x:v>
      </x:c>
      <x:c r="C1532" s="48" t="str">
        <x:v>English</x:v>
      </x:c>
      <x:c r="D1532" s="48" t="n">
        <x:v>31</x:v>
      </x:c>
      <x:c r="E1532" s="48" t="str"/>
      <x:c r="F1532" s="48" t="str">
        <x:v>The Employer shall similarly make available to the Contractor all such data which come into the Employer's possession after the Base Date.</x:v>
      </x:c>
      <x:c r="G1532" s="48" t="str">
        <x:v>Obligation</x:v>
      </x:c>
      <x:c r="H1532" s="48" t="str">
        <x:v>Employer</x:v>
      </x:c>
      <x:c r="I1532" s="48" t="n">
        <x:v>0.88</x:v>
      </x:c>
      <x:c r="J1532" s="48" t="n">
        <x:v>0.92</x:v>
      </x:c>
      <x:c r="K1532" s="48" t="str">
        <x:v>No</x:v>
      </x:c>
      <x:c r="L1532" s="48" t="str">
        <x:v>PDF text</x:v>
      </x:c>
    </x:row>
    <x:row r="1533">
      <x:c r="A1533" s="48" t="str">
        <x:v>UNI-1532</x:v>
      </x:c>
      <x:c r="B1533" s="48" t="str">
        <x:v>YELLOW</x:v>
      </x:c>
      <x:c r="C1533" s="48" t="str">
        <x:v>English</x:v>
      </x:c>
      <x:c r="D1533" s="48" t="n">
        <x:v>31</x:v>
      </x:c>
      <x:c r="E1533" s="48" t="str"/>
      <x:c r="F1533" s="48" t="str">
        <x:v>To the same extent, the Contractor shall be deemed to have inspected and examined the Site, its surroundings, the above data and other available information, and to have been satisfied before submitting the Tender as to all relevant matters, including (without limitation): (a) the form and nature of the Site, including sub-surface conditions, (b) the hydrological and climatic conditions, (c) the extent and nature of the work and Goods necessary for the execution and completion of the Works and the remedying of any defects, (d) the Laws, procedures and labour practices of the Country, and (e) the Contractor's requirements for access, accommodation, facilities, personnel, power, transport, water and other services.</x:v>
      </x:c>
      <x:c r="G1533" s="48" t="str">
        <x:v>Obligation</x:v>
      </x:c>
      <x:c r="H1533" s="48" t="str">
        <x:v>Contractor</x:v>
      </x:c>
      <x:c r="I1533" s="48" t="n">
        <x:v>0.88</x:v>
      </x:c>
      <x:c r="J1533" s="48" t="n">
        <x:v>0.92</x:v>
      </x:c>
      <x:c r="K1533" s="48" t="str">
        <x:v>No</x:v>
      </x:c>
      <x:c r="L1533" s="48" t="str">
        <x:v>PDF text</x:v>
      </x:c>
    </x:row>
    <x:row r="1534">
      <x:c r="A1534" s="48" t="str">
        <x:v>UNI-1533</x:v>
      </x:c>
      <x:c r="B1534" s="48" t="str">
        <x:v>YELLOW</x:v>
      </x:c>
      <x:c r="C1534" s="48" t="str">
        <x:v>English</x:v>
      </x:c>
      <x:c r="D1534" s="48" t="n">
        <x:v>31</x:v>
      </x:c>
      <x:c r="E1534" s="48" t="str"/>
      <x:c r="F1534" s="48" t="str">
        <x:v>(b) have based the Accepted Contract Amount on the data, interpretations, necessary information, inspections, examinations and satisfaction as to all relevant matters referred to in Sub-Clause 4.10 [Site Data] and any further data relevant to the Contractor's design.</x:v>
      </x:c>
      <x:c r="G1534" s="48" t="str">
        <x:v>Obligation</x:v>
      </x:c>
      <x:c r="H1534" s="48" t="str">
        <x:v>Contractor</x:v>
      </x:c>
      <x:c r="I1534" s="48" t="n">
        <x:v>0.45</x:v>
      </x:c>
      <x:c r="J1534" s="48" t="n">
        <x:v>0.68</x:v>
      </x:c>
      <x:c r="K1534" s="48" t="str">
        <x:v>Yes</x:v>
      </x:c>
      <x:c r="L1534" s="48" t="str">
        <x:v>PDF text</x:v>
      </x:c>
    </x:row>
    <x:row r="1535">
      <x:c r="A1535" s="48" t="str">
        <x:v>UNI-1534</x:v>
      </x:c>
      <x:c r="B1535" s="48" t="str">
        <x:v>YELLOW</x:v>
      </x:c>
      <x:c r="C1535" s="48" t="str">
        <x:v>English</x:v>
      </x:c>
      <x:c r="D1535" s="48" t="n">
        <x:v>31</x:v>
      </x:c>
      <x:c r="E1535" s="48" t="str"/>
      <x:c r="F1535" s="48" t="str">
        <x:v>Unless otherwise stated in the Contract, the Accepted Contract Amount covers all the Contractor's obligations under the Contract (including those under Provisional Sums, if any) and all things necessary for the proper design, execution and completion of the Works and the remedying of any defects.</x:v>
      </x:c>
      <x:c r="G1535" s="48" t="str">
        <x:v>Obligation</x:v>
      </x:c>
      <x:c r="H1535" s="48" t="str">
        <x:v>Contractor</x:v>
      </x:c>
      <x:c r="I1535" s="48" t="n">
        <x:v>0.45</x:v>
      </x:c>
      <x:c r="J1535" s="48" t="n">
        <x:v>0.68</x:v>
      </x:c>
      <x:c r="K1535" s="48" t="str">
        <x:v>Yes</x:v>
      </x:c>
      <x:c r="L1535" s="48" t="str">
        <x:v>PDF text</x:v>
      </x:c>
    </x:row>
    <x:row r="1536">
      <x:c r="A1536" s="48" t="str">
        <x:v>UNI-1535</x:v>
      </x:c>
      <x:c r="B1536" s="48" t="str">
        <x:v>YELLOW</x:v>
      </x:c>
      <x:c r="C1536" s="48" t="str">
        <x:v>English</x:v>
      </x:c>
      <x:c r="D1536" s="48" t="n">
        <x:v>32</x:v>
      </x:c>
      <x:c r="E1536" s="48" t="str"/>
      <x:c r="F1536" s="48" t="str">
        <x:v>This notice shall describe the physical conditions, so that they can be inspected by the Engineer, and shall set out the reasons why the Contractor considers them to be Unforeseeable.</x:v>
      </x:c>
      <x:c r="G1536" s="48" t="str">
        <x:v>Obligation</x:v>
      </x:c>
      <x:c r="H1536" s="48" t="str">
        <x:v>Contractor</x:v>
      </x:c>
      <x:c r="I1536" s="48" t="n">
        <x:v>0.88</x:v>
      </x:c>
      <x:c r="J1536" s="48" t="n">
        <x:v>0.68</x:v>
      </x:c>
      <x:c r="K1536" s="48" t="str">
        <x:v>Yes</x:v>
      </x:c>
      <x:c r="L1536" s="48" t="str">
        <x:v>PDF text</x:v>
      </x:c>
    </x:row>
    <x:row r="1537">
      <x:c r="A1537" s="48" t="str">
        <x:v>UNI-1536</x:v>
      </x:c>
      <x:c r="B1537" s="48" t="str">
        <x:v>YELLOW</x:v>
      </x:c>
      <x:c r="C1537" s="48" t="str">
        <x:v>English</x:v>
      </x:c>
      <x:c r="D1537" s="48" t="n">
        <x:v>32</x:v>
      </x:c>
      <x:c r="E1537" s="48" t="str"/>
      <x:c r="F1537" s="48" t="str">
        <x:v>Unforeseeable, gives such a notice, and suffers delay and/or incurs Cost due to these conditions, the Contractor shall be entitled subject to Sub-Clause 20.1 [Contractor's Claims] to: (a) an extension of time for any such delay, if completion is or will be delayed, under Sub-Clause 8.4 [Extension of Time for Completion], and (b) payment of any such Cost, which shall be included in the Contract Price.</x:v>
      </x:c>
      <x:c r="G1537" s="48" t="str">
        <x:v>Risk</x:v>
      </x:c>
      <x:c r="H1537" s="48" t="str">
        <x:v>Contractor</x:v>
      </x:c>
      <x:c r="I1537" s="48" t="n">
        <x:v>0.78</x:v>
      </x:c>
      <x:c r="J1537" s="48" t="n">
        <x:v>0.92</x:v>
      </x:c>
      <x:c r="K1537" s="48" t="str">
        <x:v>No</x:v>
      </x:c>
      <x:c r="L1537" s="48" t="str">
        <x:v>PDF text</x:v>
      </x:c>
    </x:row>
    <x:row r="1538">
      <x:c r="A1538" s="48" t="str">
        <x:v>UNI-1537</x:v>
      </x:c>
      <x:c r="B1538" s="48" t="str">
        <x:v>YELLOW</x:v>
      </x:c>
      <x:c r="C1538" s="48" t="str">
        <x:v>English</x:v>
      </x:c>
      <x:c r="D1538" s="48" t="n">
        <x:v>32</x:v>
      </x:c>
      <x:c r="E1538" s="48" t="str"/>
      <x:c r="F1538" s="48" t="str">
        <x:v>However, before additional Cost is finally agreed or determined under sub-paragraph (ii), the Engineer may also review whether other physical conditions in similar parts of the</x:v>
      </x:c>
      <x:c r="G1538" s="48" t="str">
        <x:v>Right</x:v>
      </x:c>
      <x:c r="H1538" s="48" t="str">
        <x:v>Shared</x:v>
      </x:c>
      <x:c r="I1538" s="48" t="n">
        <x:v>0.78</x:v>
      </x:c>
      <x:c r="J1538" s="48" t="n">
        <x:v>0.4</x:v>
      </x:c>
      <x:c r="K1538" s="48" t="str">
        <x:v>Yes</x:v>
      </x:c>
      <x:c r="L1538" s="48" t="str">
        <x:v>PDF text</x:v>
      </x:c>
    </x:row>
    <x:row r="1539">
      <x:c r="A1539" s="48" t="str">
        <x:v>UNI-1538</x:v>
      </x:c>
      <x:c r="B1539" s="48" t="str">
        <x:v>YELLOW</x:v>
      </x:c>
      <x:c r="C1539" s="48" t="str">
        <x:v>English</x:v>
      </x:c>
      <x:c r="D1539" s="48" t="n">
        <x:v>32</x:v>
      </x:c>
      <x:c r="E1539" s="48" t="str"/>
      <x:c r="F1539" s="48" t="str">
        <x:v>Works (if any) were more favourable than could reasonably have been foreseen when</x:v>
      </x:c>
      <x:c r="G1539" s="48" t="str">
        <x:v>Obligation</x:v>
      </x:c>
      <x:c r="H1539" s="48" t="str">
        <x:v>Shared</x:v>
      </x:c>
      <x:c r="I1539" s="48" t="n">
        <x:v>0.45</x:v>
      </x:c>
      <x:c r="J1539" s="48" t="n">
        <x:v>0.4</x:v>
      </x:c>
      <x:c r="K1539" s="48" t="str">
        <x:v>Yes</x:v>
      </x:c>
      <x:c r="L1539" s="48" t="str">
        <x:v>PDF text</x:v>
      </x:c>
    </x:row>
    <x:row r="1540">
      <x:c r="A1540" s="48" t="str">
        <x:v>UNI-1539</x:v>
      </x:c>
      <x:c r="B1540" s="48" t="str">
        <x:v>YELLOW</x:v>
      </x:c>
      <x:c r="C1540" s="48" t="str">
        <x:v>English</x:v>
      </x:c>
      <x:c r="D1540" s="48" t="n">
        <x:v>32</x:v>
      </x:c>
      <x:c r="E1540" s="48" t="str"/>
      <x:c r="F1540" s="48" t="str">
        <x:v>the Contractor submitted the Tender.</x:v>
      </x:c>
      <x:c r="G1540" s="48" t="str">
        <x:v>Obligation</x:v>
      </x:c>
      <x:c r="H1540" s="48" t="str">
        <x:v>Contractor</x:v>
      </x:c>
      <x:c r="I1540" s="48" t="n">
        <x:v>0.45</x:v>
      </x:c>
      <x:c r="J1540" s="48" t="n">
        <x:v>0.68</x:v>
      </x:c>
      <x:c r="K1540" s="48" t="str">
        <x:v>Yes</x:v>
      </x:c>
      <x:c r="L1540" s="48" t="str">
        <x:v>PDF text</x:v>
      </x:c>
    </x:row>
    <x:row r="1541">
      <x:c r="A1541" s="48" t="str">
        <x:v>UNI-1540</x:v>
      </x:c>
      <x:c r="B1541" s="48" t="str">
        <x:v>YELLOW</x:v>
      </x:c>
      <x:c r="C1541" s="48" t="str">
        <x:v>English</x:v>
      </x:c>
      <x:c r="D1541" s="48" t="n">
        <x:v>32</x:v>
      </x:c>
      <x:c r="E1541" s="48" t="str"/>
      <x:c r="F1541" s="48" t="str">
        <x:v>If and to the extent that these more favourable conditions were encountered, the Engineer may proceed in accordance with SubClause 3.5 [Determinations] to agree or determine the reductions in Cost which were due to these conditions, which may be included (as deductions) in the Contract Price and Payment Certificates.</x:v>
      </x:c>
      <x:c r="G1541" s="48" t="str">
        <x:v>Right</x:v>
      </x:c>
      <x:c r="H1541" s="48" t="str">
        <x:v>Shared</x:v>
      </x:c>
      <x:c r="I1541" s="48" t="n">
        <x:v>0.78</x:v>
      </x:c>
      <x:c r="J1541" s="48" t="n">
        <x:v>0.4</x:v>
      </x:c>
      <x:c r="K1541" s="48" t="str">
        <x:v>Yes</x:v>
      </x:c>
      <x:c r="L1541" s="48" t="str">
        <x:v>PDF text</x:v>
      </x:c>
    </x:row>
    <x:row r="1542">
      <x:c r="A1542" s="48" t="str">
        <x:v>UNI-1541</x:v>
      </x:c>
      <x:c r="B1542" s="48" t="str">
        <x:v>YELLOW</x:v>
      </x:c>
      <x:c r="C1542" s="48" t="str">
        <x:v>English</x:v>
      </x:c>
      <x:c r="D1542" s="48" t="n">
        <x:v>32</x:v>
      </x:c>
      <x:c r="E1542" s="48" t="str"/>
      <x:c r="F1542" s="48" t="str">
        <x:v>However, the net effect of all adjustments under subparagraph (b) and all these reductions, for all the physical conditions encountered in similar parts of the Works, shall not result in a net reduction in the Contract Price.</x:v>
      </x:c>
      <x:c r="G1542" s="48" t="str">
        <x:v>Obligation</x:v>
      </x:c>
      <x:c r="H1542" s="48" t="str">
        <x:v>Shared</x:v>
      </x:c>
      <x:c r="I1542" s="48" t="n">
        <x:v>0.88</x:v>
      </x:c>
      <x:c r="J1542" s="48" t="n">
        <x:v>0.4</x:v>
      </x:c>
      <x:c r="K1542" s="48" t="str">
        <x:v>Yes</x:v>
      </x:c>
      <x:c r="L1542" s="48" t="str">
        <x:v>PDF text</x:v>
      </x:c>
    </x:row>
    <x:row r="1543">
      <x:c r="A1543" s="48" t="str">
        <x:v>UNI-1542</x:v>
      </x:c>
      <x:c r="B1543" s="48" t="str">
        <x:v>YELLOW</x:v>
      </x:c>
      <x:c r="C1543" s="48" t="str">
        <x:v>English</x:v>
      </x:c>
      <x:c r="D1543" s="48" t="n">
        <x:v>32</x:v>
      </x:c>
      <x:c r="E1543" s="48" t="str"/>
      <x:c r="F1543" s="48" t="str">
        <x:v>The Contractor shall not interfere unnecessarily or improperly with: (a) the convenience of the public, or 4.12</x:v>
      </x:c>
      <x:c r="G1543" s="48" t="str">
        <x:v>Obligation</x:v>
      </x:c>
      <x:c r="H1543" s="48" t="str">
        <x:v>Contractor</x:v>
      </x:c>
      <x:c r="I1543" s="48" t="n">
        <x:v>0.88</x:v>
      </x:c>
      <x:c r="J1543" s="48" t="n">
        <x:v>0.92</x:v>
      </x:c>
      <x:c r="K1543" s="48" t="str">
        <x:v>No</x:v>
      </x:c>
      <x:c r="L1543" s="48" t="str">
        <x:v>PDF text</x:v>
      </x:c>
    </x:row>
    <x:row r="1544">
      <x:c r="A1544" s="48" t="str">
        <x:v>UNI-1543</x:v>
      </x:c>
      <x:c r="B1544" s="48" t="str">
        <x:v>YELLOW</x:v>
      </x:c>
      <x:c r="C1544" s="48" t="str">
        <x:v>English</x:v>
      </x:c>
      <x:c r="D1544" s="48" t="n">
        <x:v>33</x:v>
      </x:c>
      <x:c r="E1544" s="48" t="str"/>
      <x:c r="F1544" s="48" t="str">
        <x:v>(b) the access to and use and occupation of all roads and footpaths, irrespective of whether they are public or in the possession of the Employer or of others.</x:v>
      </x:c>
      <x:c r="G1544" s="48" t="str">
        <x:v>Obligation</x:v>
      </x:c>
      <x:c r="H1544" s="48" t="str">
        <x:v>Employer</x:v>
      </x:c>
      <x:c r="I1544" s="48" t="n">
        <x:v>0.45</x:v>
      </x:c>
      <x:c r="J1544" s="48" t="n">
        <x:v>0.68</x:v>
      </x:c>
      <x:c r="K1544" s="48" t="str">
        <x:v>Yes</x:v>
      </x:c>
      <x:c r="L1544" s="48" t="str">
        <x:v>PDF text</x:v>
      </x:c>
    </x:row>
    <x:row r="1545">
      <x:c r="A1545" s="48" t="str">
        <x:v>UNI-1544</x:v>
      </x:c>
      <x:c r="B1545" s="48" t="str">
        <x:v>YELLOW</x:v>
      </x:c>
      <x:c r="C1545" s="48" t="str">
        <x:v>English</x:v>
      </x:c>
      <x:c r="D1545" s="48" t="n">
        <x:v>33</x:v>
      </x:c>
      <x:c r="E1545" s="48" t="str"/>
      <x:c r="F1545" s="48" t="str">
        <x:v>The Contractor shall be deemed to have been satisfied as to the suitability and</x:v>
      </x:c>
      <x:c r="G1545" s="48" t="str">
        <x:v>Obligation</x:v>
      </x:c>
      <x:c r="H1545" s="48" t="str">
        <x:v>Contractor</x:v>
      </x:c>
      <x:c r="I1545" s="48" t="n">
        <x:v>0.88</x:v>
      </x:c>
      <x:c r="J1545" s="48" t="n">
        <x:v>0.92</x:v>
      </x:c>
      <x:c r="K1545" s="48" t="str">
        <x:v>No</x:v>
      </x:c>
      <x:c r="L1545" s="48" t="str">
        <x:v>PDF text</x:v>
      </x:c>
    </x:row>
    <x:row r="1546">
      <x:c r="A1546" s="48" t="str">
        <x:v>UNI-1545</x:v>
      </x:c>
      <x:c r="B1546" s="48" t="str">
        <x:v>YELLOW</x:v>
      </x:c>
      <x:c r="C1546" s="48" t="str">
        <x:v>English</x:v>
      </x:c>
      <x:c r="D1546" s="48" t="n">
        <x:v>33</x:v>
      </x:c>
      <x:c r="E1546" s="48" t="str"/>
      <x:c r="F1546" s="48" t="str">
        <x:v>availability of access routes to the Site.</x:v>
      </x:c>
      <x:c r="G1546" s="48" t="str">
        <x:v>Obligation</x:v>
      </x:c>
      <x:c r="H1546" s="48" t="str">
        <x:v>Shared</x:v>
      </x:c>
      <x:c r="I1546" s="48" t="n">
        <x:v>0.45</x:v>
      </x:c>
      <x:c r="J1546" s="48" t="n">
        <x:v>0.4</x:v>
      </x:c>
      <x:c r="K1546" s="48" t="str">
        <x:v>Yes</x:v>
      </x:c>
      <x:c r="L1546" s="48" t="str">
        <x:v>PDF text</x:v>
      </x:c>
    </x:row>
    <x:row r="1547">
      <x:c r="A1547" s="48" t="str">
        <x:v>UNI-1546</x:v>
      </x:c>
      <x:c r="B1547" s="48" t="str">
        <x:v>YELLOW</x:v>
      </x:c>
      <x:c r="C1547" s="48" t="str">
        <x:v>English</x:v>
      </x:c>
      <x:c r="D1547" s="48" t="n">
        <x:v>33</x:v>
      </x:c>
      <x:c r="E1547" s="48" t="str"/>
      <x:c r="F1547" s="48" t="str">
        <x:v>The Contractor shall use reasonable efforts to prevent any road or bridge from being damaged by the Contractor's traffic or by the Contractor's Personnel.</x:v>
      </x:c>
      <x:c r="G1547" s="48" t="str">
        <x:v>Obligation</x:v>
      </x:c>
      <x:c r="H1547" s="48" t="str">
        <x:v>Contractor</x:v>
      </x:c>
      <x:c r="I1547" s="48" t="n">
        <x:v>0.88</x:v>
      </x:c>
      <x:c r="J1547" s="48" t="n">
        <x:v>0.92</x:v>
      </x:c>
      <x:c r="K1547" s="48" t="str">
        <x:v>No</x:v>
      </x:c>
      <x:c r="L1547" s="48" t="str">
        <x:v>PDF text</x:v>
      </x:c>
    </x:row>
    <x:row r="1548">
      <x:c r="A1548" s="48" t="str">
        <x:v>UNI-1547</x:v>
      </x:c>
      <x:c r="B1548" s="48" t="str">
        <x:v>YELLOW</x:v>
      </x:c>
      <x:c r="C1548" s="48" t="str">
        <x:v>English</x:v>
      </x:c>
      <x:c r="D1548" s="48" t="n">
        <x:v>33</x:v>
      </x:c>
      <x:c r="E1548" s="48" t="str"/>
      <x:c r="F1548" s="48" t="str">
        <x:v>The Contractor shall be responsible for all Contractor's Equipment.</x:v>
      </x:c>
      <x:c r="G1548" s="48" t="str">
        <x:v>Obligation</x:v>
      </x:c>
      <x:c r="H1548" s="48" t="str">
        <x:v>Contractor</x:v>
      </x:c>
      <x:c r="I1548" s="48" t="n">
        <x:v>0.88</x:v>
      </x:c>
      <x:c r="J1548" s="48" t="n">
        <x:v>0.92</x:v>
      </x:c>
      <x:c r="K1548" s="48" t="str">
        <x:v>No</x:v>
      </x:c>
      <x:c r="L1548" s="48" t="str">
        <x:v>PDF text</x:v>
      </x:c>
    </x:row>
    <x:row r="1549">
      <x:c r="A1549" s="48" t="str">
        <x:v>UNI-1548</x:v>
      </x:c>
      <x:c r="B1549" s="48" t="str">
        <x:v>YELLOW</x:v>
      </x:c>
      <x:c r="C1549" s="48" t="str">
        <x:v>English</x:v>
      </x:c>
      <x:c r="D1549" s="48" t="n">
        <x:v>33</x:v>
      </x:c>
      <x:c r="E1549" s="48" t="str"/>
      <x:c r="F1549" s="48" t="str">
        <x:v>When brought on to the Site, Contractor's Equipment shall be deemed to be exclusively intended for the execution of the Works.</x:v>
      </x:c>
      <x:c r="G1549" s="48" t="str">
        <x:v>Obligation</x:v>
      </x:c>
      <x:c r="H1549" s="48" t="str">
        <x:v>Contractor</x:v>
      </x:c>
      <x:c r="I1549" s="48" t="n">
        <x:v>0.88</x:v>
      </x:c>
      <x:c r="J1549" s="48" t="n">
        <x:v>0.68</x:v>
      </x:c>
      <x:c r="K1549" s="48" t="str">
        <x:v>Yes</x:v>
      </x:c>
      <x:c r="L1549" s="48" t="str">
        <x:v>PDF text</x:v>
      </x:c>
    </x:row>
    <x:row r="1550">
      <x:c r="A1550" s="48" t="str">
        <x:v>UNI-1549</x:v>
      </x:c>
      <x:c r="B1550" s="48" t="str">
        <x:v>YELLOW</x:v>
      </x:c>
      <x:c r="C1550" s="48" t="str">
        <x:v>English</x:v>
      </x:c>
      <x:c r="D1550" s="48" t="n">
        <x:v>33</x:v>
      </x:c>
      <x:c r="E1550" s="48" t="str"/>
      <x:c r="F1550" s="48" t="str">
        <x:v>The Contractor shall not remove from the Site any major items of Contractor's Equipment without the consent of the Engineer.</x:v>
      </x:c>
      <x:c r="G1550" s="48" t="str">
        <x:v>Obligation</x:v>
      </x:c>
      <x:c r="H1550" s="48" t="str">
        <x:v>Contractor</x:v>
      </x:c>
      <x:c r="I1550" s="48" t="n">
        <x:v>0.88</x:v>
      </x:c>
      <x:c r="J1550" s="48" t="n">
        <x:v>0.92</x:v>
      </x:c>
      <x:c r="K1550" s="48" t="str">
        <x:v>No</x:v>
      </x:c>
      <x:c r="L1550" s="48" t="str">
        <x:v>PDF text</x:v>
      </x:c>
    </x:row>
    <x:row r="1551">
      <x:c r="A1551" s="48" t="str">
        <x:v>UNI-1550</x:v>
      </x:c>
      <x:c r="B1551" s="48" t="str">
        <x:v>YELLOW</x:v>
      </x:c>
      <x:c r="C1551" s="48" t="str">
        <x:v>English</x:v>
      </x:c>
      <x:c r="D1551" s="48" t="n">
        <x:v>33</x:v>
      </x:c>
      <x:c r="E1551" s="48" t="str"/>
      <x:c r="F1551" s="48" t="str">
        <x:v>However, consent shall not be required for vehicles transporting Goods or Contractor's Personnel off Site.</x:v>
      </x:c>
      <x:c r="G1551" s="48" t="str">
        <x:v>Obligation</x:v>
      </x:c>
      <x:c r="H1551" s="48" t="str">
        <x:v>Contractor</x:v>
      </x:c>
      <x:c r="I1551" s="48" t="n">
        <x:v>0.88</x:v>
      </x:c>
      <x:c r="J1551" s="48" t="n">
        <x:v>0.68</x:v>
      </x:c>
      <x:c r="K1551" s="48" t="str">
        <x:v>Yes</x:v>
      </x:c>
      <x:c r="L1551" s="48" t="str">
        <x:v>PDF text</x:v>
      </x:c>
    </x:row>
    <x:row r="1552">
      <x:c r="A1552" s="48" t="str">
        <x:v>UNI-1551</x:v>
      </x:c>
      <x:c r="B1552" s="48" t="str">
        <x:v>YELLOW</x:v>
      </x:c>
      <x:c r="C1552" s="48" t="str">
        <x:v>English</x:v>
      </x:c>
      <x:c r="D1552" s="48" t="n">
        <x:v>33</x:v>
      </x:c>
      <x:c r="E1552" s="48" t="str"/>
      <x:c r="F1552" s="48" t="str">
        <x:v>The Contractor shall ensure that emissions, surface discharges and effluent from the</x:v>
      </x:c>
      <x:c r="G1552" s="48" t="str">
        <x:v>Obligation</x:v>
      </x:c>
      <x:c r="H1552" s="48" t="str">
        <x:v>Contractor</x:v>
      </x:c>
      <x:c r="I1552" s="48" t="n">
        <x:v>0.88</x:v>
      </x:c>
      <x:c r="J1552" s="48" t="n">
        <x:v>0.92</x:v>
      </x:c>
      <x:c r="K1552" s="48" t="str">
        <x:v>No</x:v>
      </x:c>
      <x:c r="L1552" s="48" t="str">
        <x:v>PDF text</x:v>
      </x:c>
    </x:row>
    <x:row r="1553">
      <x:c r="A1553" s="48" t="str">
        <x:v>UNI-1552</x:v>
      </x:c>
      <x:c r="B1553" s="48" t="str">
        <x:v>YELLOW</x:v>
      </x:c>
      <x:c r="C1553" s="48" t="str">
        <x:v>English</x:v>
      </x:c>
      <x:c r="D1553" s="48" t="n">
        <x:v>33</x:v>
      </x:c>
      <x:c r="E1553" s="48" t="str"/>
      <x:c r="F1553" s="48" t="str">
        <x:v>Contractor's activities shall not exceed the values indicated in the Employer's</x:v>
      </x:c>
      <x:c r="G1553" s="48" t="str">
        <x:v>Obligation</x:v>
      </x:c>
      <x:c r="H1553" s="48" t="str">
        <x:v>Shared</x:v>
      </x:c>
      <x:c r="I1553" s="48" t="n">
        <x:v>0.88</x:v>
      </x:c>
      <x:c r="J1553" s="48" t="n">
        <x:v>0.6</x:v>
      </x:c>
      <x:c r="K1553" s="48" t="str">
        <x:v>Yes</x:v>
      </x:c>
      <x:c r="L1553" s="48" t="str">
        <x:v>PDF text</x:v>
      </x:c>
    </x:row>
    <x:row r="1554">
      <x:c r="A1554" s="48" t="str">
        <x:v>UNI-1553</x:v>
      </x:c>
      <x:c r="B1554" s="48" t="str">
        <x:v>YELLOW</x:v>
      </x:c>
      <x:c r="C1554" s="48" t="str">
        <x:v>English</x:v>
      </x:c>
      <x:c r="D1554" s="48" t="n">
        <x:v>33</x:v>
      </x:c>
      <x:c r="E1554" s="48" t="str"/>
      <x:c r="F1554" s="48" t="str">
        <x:v>Requirements, and shall not exceed the values prescribed by applicable Laws.</x:v>
      </x:c>
      <x:c r="G1554" s="48" t="str">
        <x:v>Obligation</x:v>
      </x:c>
      <x:c r="H1554" s="48" t="str">
        <x:v>Shared</x:v>
      </x:c>
      <x:c r="I1554" s="48" t="n">
        <x:v>0.88</x:v>
      </x:c>
      <x:c r="J1554" s="48" t="n">
        <x:v>0.4</x:v>
      </x:c>
      <x:c r="K1554" s="48" t="str">
        <x:v>Yes</x:v>
      </x:c>
      <x:c r="L1554" s="48" t="str">
        <x:v>PDF text</x:v>
      </x:c>
    </x:row>
    <x:row r="1555">
      <x:c r="A1555" s="48" t="str">
        <x:v>UNI-1554</x:v>
      </x:c>
      <x:c r="B1555" s="48" t="str">
        <x:v>YELLOW</x:v>
      </x:c>
      <x:c r="C1555" s="48" t="str">
        <x:v>English</x:v>
      </x:c>
      <x:c r="D1555" s="48" t="n">
        <x:v>34</x:v>
      </x:c>
      <x:c r="E1555" s="48" t="str"/>
      <x:c r="F1555" s="48" t="str">
        <x:v>The Contractor shall be entitled to use for the purposes of the Works such supplies of electricity, water, gas and other services as may be available on the Site and of which details and prices are given in the Employer's Requirements.</x:v>
      </x:c>
      <x:c r="G1555" s="48" t="str">
        <x:v>Obligation</x:v>
      </x:c>
      <x:c r="H1555" s="48" t="str">
        <x:v>Contractor</x:v>
      </x:c>
      <x:c r="I1555" s="48" t="n">
        <x:v>0.88</x:v>
      </x:c>
      <x:c r="J1555" s="48" t="n">
        <x:v>0.92</x:v>
      </x:c>
      <x:c r="K1555" s="48" t="str">
        <x:v>No</x:v>
      </x:c>
      <x:c r="L1555" s="48" t="str">
        <x:v>PDF text</x:v>
      </x:c>
    </x:row>
    <x:row r="1556">
      <x:c r="A1556" s="48" t="str">
        <x:v>UNI-1555</x:v>
      </x:c>
      <x:c r="B1556" s="48" t="str">
        <x:v>YELLOW</x:v>
      </x:c>
      <x:c r="C1556" s="48" t="str">
        <x:v>English</x:v>
      </x:c>
      <x:c r="D1556" s="48" t="n">
        <x:v>34</x:v>
      </x:c>
      <x:c r="E1556" s="48" t="str"/>
      <x:c r="F1556" s="48" t="str">
        <x:v>The quantities consumed and the amounts due (at these prices) for such services shall be agreed or determined by the Engineer in accordance with Sub-Clause 2.5 [Employer's Claims] and Sub-Clause 3.5 [Determinations].</x:v>
      </x:c>
      <x:c r="G1556" s="48" t="str">
        <x:v>Obligation</x:v>
      </x:c>
      <x:c r="H1556" s="48" t="str">
        <x:v>Employer</x:v>
      </x:c>
      <x:c r="I1556" s="48" t="n">
        <x:v>0.88</x:v>
      </x:c>
      <x:c r="J1556" s="48" t="n">
        <x:v>0.68</x:v>
      </x:c>
      <x:c r="K1556" s="48" t="str">
        <x:v>Yes</x:v>
      </x:c>
      <x:c r="L1556" s="48" t="str">
        <x:v>PDF text</x:v>
      </x:c>
    </x:row>
    <x:row r="1557">
      <x:c r="A1557" s="48" t="str">
        <x:v>UNI-1556</x:v>
      </x:c>
      <x:c r="B1557" s="48" t="str">
        <x:v>YELLOW</x:v>
      </x:c>
      <x:c r="C1557" s="48" t="str">
        <x:v>English</x:v>
      </x:c>
      <x:c r="D1557" s="48" t="n">
        <x:v>34</x:v>
      </x:c>
      <x:c r="E1557" s="48" t="str"/>
      <x:c r="F1557" s="48" t="str">
        <x:v>The Employer shall make the Employer's Equipment (if any) available for the use of the Contractor in the execution of the Works in accordance with the details, arrangements and prices stated in the Employer's Requirements.</x:v>
      </x:c>
      <x:c r="G1557" s="48" t="str">
        <x:v>Obligation</x:v>
      </x:c>
      <x:c r="H1557" s="48" t="str">
        <x:v>Employer</x:v>
      </x:c>
      <x:c r="I1557" s="48" t="n">
        <x:v>0.88</x:v>
      </x:c>
      <x:c r="J1557" s="48" t="n">
        <x:v>0.92</x:v>
      </x:c>
      <x:c r="K1557" s="48" t="str">
        <x:v>No</x:v>
      </x:c>
      <x:c r="L1557" s="48" t="str">
        <x:v>PDF text</x:v>
      </x:c>
    </x:row>
    <x:row r="1558">
      <x:c r="A1558" s="48" t="str">
        <x:v>UNI-1557</x:v>
      </x:c>
      <x:c r="B1558" s="48" t="str">
        <x:v>YELLOW</x:v>
      </x:c>
      <x:c r="C1558" s="48" t="str">
        <x:v>English</x:v>
      </x:c>
      <x:c r="D1558" s="48" t="n">
        <x:v>34</x:v>
      </x:c>
      <x:c r="E1558" s="48" t="str"/>
      <x:c r="F1558" s="48" t="str">
        <x:v>Unless otherwise stated in the Employer's Requirements: (a) the Employer shall be responsible for the Employer's Equipment, except that (b) the Contractor shall be responsible for each item of Employer's Equipment whilst any of the Contractor's Personnel is operating it, driving it, directing it or in possession or control of it.</x:v>
      </x:c>
      <x:c r="G1558" s="48" t="str">
        <x:v>Obligation</x:v>
      </x:c>
      <x:c r="H1558" s="48" t="str">
        <x:v>Contractor</x:v>
      </x:c>
      <x:c r="I1558" s="48" t="n">
        <x:v>0.88</x:v>
      </x:c>
      <x:c r="J1558" s="48" t="n">
        <x:v>0.92</x:v>
      </x:c>
      <x:c r="K1558" s="48" t="str">
        <x:v>No</x:v>
      </x:c>
      <x:c r="L1558" s="48" t="str">
        <x:v>PDF text</x:v>
      </x:c>
    </x:row>
    <x:row r="1559">
      <x:c r="A1559" s="48" t="str">
        <x:v>UNI-1558</x:v>
      </x:c>
      <x:c r="B1559" s="48" t="str">
        <x:v>YELLOW</x:v>
      </x:c>
      <x:c r="C1559" s="48" t="str">
        <x:v>English</x:v>
      </x:c>
      <x:c r="D1559" s="48" t="n">
        <x:v>34</x:v>
      </x:c>
      <x:c r="E1559" s="48" t="str"/>
      <x:c r="F1559" s="48" t="str">
        <x:v>Employer's Equipment shall be agreed or determined by the Engineer in accordance</x:v>
      </x:c>
      <x:c r="G1559" s="48" t="str">
        <x:v>Obligation</x:v>
      </x:c>
      <x:c r="H1559" s="48" t="str">
        <x:v>Employer</x:v>
      </x:c>
      <x:c r="I1559" s="48" t="n">
        <x:v>0.88</x:v>
      </x:c>
      <x:c r="J1559" s="48" t="n">
        <x:v>0.68</x:v>
      </x:c>
      <x:c r="K1559" s="48" t="str">
        <x:v>Yes</x:v>
      </x:c>
      <x:c r="L1559" s="48" t="str">
        <x:v>PDF text</x:v>
      </x:c>
    </x:row>
    <x:row r="1560">
      <x:c r="A1560" s="48" t="str">
        <x:v>UNI-1559</x:v>
      </x:c>
      <x:c r="B1560" s="48" t="str">
        <x:v>YELLOW</x:v>
      </x:c>
      <x:c r="C1560" s="48" t="str">
        <x:v>English</x:v>
      </x:c>
      <x:c r="D1560" s="48" t="n">
        <x:v>34</x:v>
      </x:c>
      <x:c r="E1560" s="48" t="str"/>
      <x:c r="F1560" s="48" t="str">
        <x:v>with Sub-Clause 2.5 [Employer's Claims] and Sub-Clause 3.5 [Determinations].</x:v>
      </x:c>
      <x:c r="G1560" s="48" t="str">
        <x:v>Obligation</x:v>
      </x:c>
      <x:c r="H1560" s="48" t="str">
        <x:v>Employer</x:v>
      </x:c>
      <x:c r="I1560" s="48" t="n">
        <x:v>0.45</x:v>
      </x:c>
      <x:c r="J1560" s="48" t="n">
        <x:v>0.68</x:v>
      </x:c>
      <x:c r="K1560" s="48" t="str">
        <x:v>Yes</x:v>
      </x:c>
      <x:c r="L1560" s="48" t="str">
        <x:v>PDF text</x:v>
      </x:c>
    </x:row>
    <x:row r="1561">
      <x:c r="A1561" s="48" t="str">
        <x:v>UNI-1560</x:v>
      </x:c>
      <x:c r="B1561" s="48" t="str">
        <x:v>YELLOW</x:v>
      </x:c>
      <x:c r="C1561" s="48" t="str">
        <x:v>English</x:v>
      </x:c>
      <x:c r="D1561" s="48" t="n">
        <x:v>34</x:v>
      </x:c>
      <x:c r="E1561" s="48" t="str"/>
      <x:c r="F1561" s="48" t="str">
        <x:v>The Employer shall supply, free of charge, the "free-issue materials" (if any) in accordance with the details stated in the Employer's Requirements.</x:v>
      </x:c>
      <x:c r="G1561" s="48" t="str">
        <x:v>Obligation</x:v>
      </x:c>
      <x:c r="H1561" s="48" t="str">
        <x:v>Employer</x:v>
      </x:c>
      <x:c r="I1561" s="48" t="n">
        <x:v>0.88</x:v>
      </x:c>
      <x:c r="J1561" s="48" t="n">
        <x:v>0.92</x:v>
      </x:c>
      <x:c r="K1561" s="48" t="str">
        <x:v>No</x:v>
      </x:c>
      <x:c r="L1561" s="48" t="str">
        <x:v>PDF text</x:v>
      </x:c>
    </x:row>
    <x:row r="1562">
      <x:c r="A1562" s="48" t="str">
        <x:v>UNI-1561</x:v>
      </x:c>
      <x:c r="B1562" s="48" t="str">
        <x:v>YELLOW</x:v>
      </x:c>
      <x:c r="C1562" s="48" t="str">
        <x:v>English</x:v>
      </x:c>
      <x:c r="D1562" s="48" t="n">
        <x:v>34</x:v>
      </x:c>
      <x:c r="E1562" s="48" t="str"/>
      <x:c r="F1562" s="48" t="str">
        <x:v>The Contractor's obligations of inspection, care, custody and control shall not relieve the Employer of liability for any shortage, defect or default not apparent from a visual inspection.</x:v>
      </x:c>
      <x:c r="G1562" s="48" t="str">
        <x:v>Risk</x:v>
      </x:c>
      <x:c r="H1562" s="48" t="str">
        <x:v>Shared</x:v>
      </x:c>
      <x:c r="I1562" s="48" t="n">
        <x:v>0.78</x:v>
      </x:c>
      <x:c r="J1562" s="48" t="n">
        <x:v>0.6</x:v>
      </x:c>
      <x:c r="K1562" s="48" t="str">
        <x:v>Yes</x:v>
      </x:c>
      <x:c r="L1562" s="48" t="str">
        <x:v>PDF text</x:v>
      </x:c>
    </x:row>
    <x:row r="1563">
      <x:c r="A1563" s="48" t="str">
        <x:v>UNI-1562</x:v>
      </x:c>
      <x:c r="B1563" s="48" t="str">
        <x:v>YELLOW</x:v>
      </x:c>
      <x:c r="C1563" s="48" t="str">
        <x:v>English</x:v>
      </x:c>
      <x:c r="D1563" s="48" t="n">
        <x:v>34</x:v>
      </x:c>
      <x:c r="E1563" s="48" t="str"/>
      <x:c r="F1563" s="48" t="str">
        <x:v>Each report shall include: 4.19</x:v>
      </x:c>
      <x:c r="G1563" s="48" t="str">
        <x:v>Obligation</x:v>
      </x:c>
      <x:c r="H1563" s="48" t="str">
        <x:v>Shared</x:v>
      </x:c>
      <x:c r="I1563" s="48" t="n">
        <x:v>0.88</x:v>
      </x:c>
      <x:c r="J1563" s="48" t="n">
        <x:v>0.4</x:v>
      </x:c>
      <x:c r="K1563" s="48" t="str">
        <x:v>Yes</x:v>
      </x:c>
      <x:c r="L1563" s="48" t="str">
        <x:v>PDF text</x:v>
      </x:c>
    </x:row>
    <x:row r="1564">
      <x:c r="A1564" s="48" t="str">
        <x:v>UNI-1563</x:v>
      </x:c>
      <x:c r="B1564" s="48" t="str">
        <x:v>YELLOW</x:v>
      </x:c>
      <x:c r="C1564" s="48" t="str">
        <x:v>English</x:v>
      </x:c>
      <x:c r="D1564" s="48" t="n">
        <x:v>35</x:v>
      </x:c>
      <x:c r="E1564" s="48" t="str"/>
      <x:c r="F1564" s="48" t="str">
        <x:v>(a) charts and detailed descriptions of progress, including each stage of design,</x:v>
      </x:c>
      <x:c r="G1564" s="48" t="str">
        <x:v>Obligation</x:v>
      </x:c>
      <x:c r="H1564" s="48" t="str">
        <x:v>Shared</x:v>
      </x:c>
      <x:c r="I1564" s="48" t="n">
        <x:v>0.45</x:v>
      </x:c>
      <x:c r="J1564" s="48" t="n">
        <x:v>0.4</x:v>
      </x:c>
      <x:c r="K1564" s="48" t="str">
        <x:v>Yes</x:v>
      </x:c>
      <x:c r="L1564" s="48" t="str">
        <x:v>PDF text</x:v>
      </x:c>
    </x:row>
    <x:row r="1565">
      <x:c r="A1565" s="48" t="str">
        <x:v>UNI-1564</x:v>
      </x:c>
      <x:c r="B1565" s="48" t="str">
        <x:v>YELLOW</x:v>
      </x:c>
      <x:c r="C1565" s="48" t="str">
        <x:v>English</x:v>
      </x:c>
      <x:c r="D1565" s="48" t="n">
        <x:v>35</x:v>
      </x:c>
      <x:c r="E1565" s="48" t="str"/>
      <x:c r="F1565" s="48" t="str">
        <x:v>Contractor's Documents, procurement, manufacture, delivery to Site,</x:v>
      </x:c>
      <x:c r="G1565" s="48" t="str">
        <x:v>Obligation</x:v>
      </x:c>
      <x:c r="H1565" s="48" t="str">
        <x:v>Contractor</x:v>
      </x:c>
      <x:c r="I1565" s="48" t="n">
        <x:v>0.45</x:v>
      </x:c>
      <x:c r="J1565" s="48" t="n">
        <x:v>0.68</x:v>
      </x:c>
      <x:c r="K1565" s="48" t="str">
        <x:v>Yes</x:v>
      </x:c>
      <x:c r="L1565" s="48" t="str">
        <x:v>PDF text</x:v>
      </x:c>
    </x:row>
    <x:row r="1566">
      <x:c r="A1566" s="48" t="str">
        <x:v>UNI-1565</x:v>
      </x:c>
      <x:c r="B1566" s="48" t="str">
        <x:v>YELLOW</x:v>
      </x:c>
      <x:c r="C1566" s="48" t="str">
        <x:v>English</x:v>
      </x:c>
      <x:c r="D1566" s="48" t="n">
        <x:v>35</x:v>
      </x:c>
      <x:c r="E1566" s="48" t="str"/>
      <x:c r="F1566" s="48" t="str">
        <x:v>construction, erection, testing, commissioning and trial operation; (b) photographs showing the status of manufacture and of progress on the Site; (c) for the manufacture of each main item of Plant and Materials, the name of the manufacturer, manufacture location, percentage progress, and the actual or expected dates of: (i) commencement of manufacture, (ii)</x:v>
      </x:c>
      <x:c r="G1566" s="48" t="str">
        <x:v>Obligation</x:v>
      </x:c>
      <x:c r="H1566" s="48" t="str">
        <x:v>Shared</x:v>
      </x:c>
      <x:c r="I1566" s="48" t="n">
        <x:v>0.45</x:v>
      </x:c>
      <x:c r="J1566" s="48" t="n">
        <x:v>0.4</x:v>
      </x:c>
      <x:c r="K1566" s="48" t="str">
        <x:v>Yes</x:v>
      </x:c>
      <x:c r="L1566" s="48" t="str">
        <x:v>PDF text</x:v>
      </x:c>
    </x:row>
    <x:row r="1567">
      <x:c r="A1567" s="48" t="str">
        <x:v>UNI-1566</x:v>
      </x:c>
      <x:c r="B1567" s="48" t="str">
        <x:v>YELLOW</x:v>
      </x:c>
      <x:c r="C1567" s="48" t="str">
        <x:v>English</x:v>
      </x:c>
      <x:c r="D1567" s="48" t="n">
        <x:v>35</x:v>
      </x:c>
      <x:c r="E1567" s="48" t="str"/>
      <x:c r="F1567" s="48" t="str">
        <x:v>Contractor's inspections,</x:v>
      </x:c>
      <x:c r="G1567" s="48" t="str">
        <x:v>Obligation</x:v>
      </x:c>
      <x:c r="H1567" s="48" t="str">
        <x:v>Contractor</x:v>
      </x:c>
      <x:c r="I1567" s="48" t="n">
        <x:v>0.45</x:v>
      </x:c>
      <x:c r="J1567" s="48" t="n">
        <x:v>0.68</x:v>
      </x:c>
      <x:c r="K1567" s="48" t="str">
        <x:v>Yes</x:v>
      </x:c>
      <x:c r="L1567" s="48" t="str">
        <x:v>PDF text</x:v>
      </x:c>
    </x:row>
    <x:row r="1568">
      <x:c r="A1568" s="48" t="str">
        <x:v>UNI-1567</x:v>
      </x:c>
      <x:c r="B1568" s="48" t="str">
        <x:v>YELLOW</x:v>
      </x:c>
      <x:c r="C1568" s="48" t="str">
        <x:v>English</x:v>
      </x:c>
      <x:c r="D1568" s="48" t="n">
        <x:v>35</x:v>
      </x:c>
      <x:c r="E1568" s="48" t="str"/>
      <x:c r="F1568" s="48" t="str">
        <x:v>(iii) tests, and (iv) shipment and arrival at the Site; (d) the details described in Sub-Clause 6.10 [Records of Contractor's Personnel and Equipment]; (e) copies of quality assurance documents, test results and certificates of Materials; (f) list of Variations, notices given under Sub-Clause 2.5 [Employer's Claims] and notices given under Sub-Clause 20.1 [Contractor's Claims]; (g) safety statistics, including details of any hazardous incidents and activities relating to environmental aspects and public relations; and (h) comparisons of actual and planned progress, with details of any events or circumstances which may jeopardise the completion in accordance with the Contract, and the measures being (or to be) adopted to overcome delays.</x:v>
      </x:c>
      <x:c r="G1568" s="48" t="str">
        <x:v>Right</x:v>
      </x:c>
      <x:c r="H1568" s="48" t="str">
        <x:v>Shared</x:v>
      </x:c>
      <x:c r="I1568" s="48" t="n">
        <x:v>0.78</x:v>
      </x:c>
      <x:c r="J1568" s="48" t="n">
        <x:v>0.6</x:v>
      </x:c>
      <x:c r="K1568" s="48" t="str">
        <x:v>Yes</x:v>
      </x:c>
      <x:c r="L1568" s="48" t="str">
        <x:v>PDF text</x:v>
      </x:c>
    </x:row>
    <x:row r="1569">
      <x:c r="A1569" s="48" t="str">
        <x:v>UNI-1568</x:v>
      </x:c>
      <x:c r="B1569" s="48" t="str">
        <x:v>YELLOW</x:v>
      </x:c>
      <x:c r="C1569" s="48" t="str">
        <x:v>English</x:v>
      </x:c>
      <x:c r="D1569" s="48" t="n">
        <x:v>35</x:v>
      </x:c>
      <x:c r="E1569" s="48" t="str"/>
      <x:c r="F1569" s="48" t="str">
        <x:v>(b) authorised persons shall be limited to the Contractor's Personnel and the Employer's Personnel; and to any other personnel notified to the Contractor, by the Employer or the Engineer, as authorised personnel of the Employer's other contractors on the Site.</x:v>
      </x:c>
      <x:c r="G1569" s="48" t="str">
        <x:v>Obligation</x:v>
      </x:c>
      <x:c r="H1569" s="48" t="str">
        <x:v>Shared</x:v>
      </x:c>
      <x:c r="I1569" s="48" t="n">
        <x:v>0.88</x:v>
      </x:c>
      <x:c r="J1569" s="48" t="n">
        <x:v>0.6</x:v>
      </x:c>
      <x:c r="K1569" s="48" t="str">
        <x:v>Yes</x:v>
      </x:c>
      <x:c r="L1569" s="48" t="str">
        <x:v>PDF text</x:v>
      </x:c>
    </x:row>
    <x:row r="1570">
      <x:c r="A1570" s="48" t="str">
        <x:v>UNI-1569</x:v>
      </x:c>
      <x:c r="B1570" s="48" t="str">
        <x:v>YELLOW</x:v>
      </x:c>
      <x:c r="C1570" s="48" t="str">
        <x:v>English</x:v>
      </x:c>
      <x:c r="D1570" s="48" t="n">
        <x:v>35</x:v>
      </x:c>
      <x:c r="E1570" s="48" t="str"/>
      <x:c r="F1570" s="48" t="str">
        <x:v>The Contractor shall take all necessary precautions to keep Contractor's Equipment and Contractor's Personnel within the Site and these additional areas, and to keep them off adjacent land.</x:v>
      </x:c>
      <x:c r="G1570" s="48" t="str">
        <x:v>Obligation</x:v>
      </x:c>
      <x:c r="H1570" s="48" t="str">
        <x:v>Contractor</x:v>
      </x:c>
      <x:c r="I1570" s="48" t="n">
        <x:v>0.88</x:v>
      </x:c>
      <x:c r="J1570" s="48" t="n">
        <x:v>0.92</x:v>
      </x:c>
      <x:c r="K1570" s="48" t="str">
        <x:v>No</x:v>
      </x:c>
      <x:c r="L1570" s="48" t="str">
        <x:v>PDF text</x:v>
      </x:c>
    </x:row>
    <x:row r="1571">
      <x:c r="A1571" s="48" t="str">
        <x:v>UNI-1570</x:v>
      </x:c>
      <x:c r="B1571" s="48" t="str">
        <x:v>YELLOW</x:v>
      </x:c>
      <x:c r="C1571" s="48" t="str">
        <x:v>English</x:v>
      </x:c>
      <x:c r="D1571" s="48" t="n">
        <x:v>35</x:v>
      </x:c>
      <x:c r="E1571" s="48" t="str"/>
      <x:c r="F1571" s="48" t="str">
        <x:v>During the execution of the Works, the Contractor shall keep the Site free from all unnecessary obstruction, and shall store or dispose of any Contractor's Equipment or surplus materials.</x:v>
      </x:c>
      <x:c r="G1571" s="48" t="str">
        <x:v>Obligation</x:v>
      </x:c>
      <x:c r="H1571" s="48" t="str">
        <x:v>Contractor</x:v>
      </x:c>
      <x:c r="I1571" s="48" t="n">
        <x:v>0.88</x:v>
      </x:c>
      <x:c r="J1571" s="48" t="n">
        <x:v>0.92</x:v>
      </x:c>
      <x:c r="K1571" s="48" t="str">
        <x:v>No</x:v>
      </x:c>
      <x:c r="L1571" s="48" t="str">
        <x:v>PDF text</x:v>
      </x:c>
    </x:row>
    <x:row r="1572">
      <x:c r="A1572" s="48" t="str">
        <x:v>UNI-1571</x:v>
      </x:c>
      <x:c r="B1572" s="48" t="str">
        <x:v>YELLOW</x:v>
      </x:c>
      <x:c r="C1572" s="48" t="str">
        <x:v>English</x:v>
      </x:c>
      <x:c r="D1572" s="48" t="n">
        <x:v>35</x:v>
      </x:c>
      <x:c r="E1572" s="48" t="str"/>
      <x:c r="F1572" s="48" t="str">
        <x:v>Upon the issue of a Taking-Over Certificate, the Contractor shall clear away and</x:v>
      </x:c>
      <x:c r="G1572" s="48" t="str">
        <x:v>Obligation</x:v>
      </x:c>
      <x:c r="H1572" s="48" t="str">
        <x:v>Contractor</x:v>
      </x:c>
      <x:c r="I1572" s="48" t="n">
        <x:v>0.88</x:v>
      </x:c>
      <x:c r="J1572" s="48" t="n">
        <x:v>0.92</x:v>
      </x:c>
      <x:c r="K1572" s="48" t="str">
        <x:v>No</x:v>
      </x:c>
      <x:c r="L1572" s="48" t="str">
        <x:v>PDF text</x:v>
      </x:c>
    </x:row>
    <x:row r="1573">
      <x:c r="A1573" s="48" t="str">
        <x:v>UNI-1572</x:v>
      </x:c>
      <x:c r="B1573" s="48" t="str">
        <x:v>YELLOW</x:v>
      </x:c>
      <x:c r="C1573" s="48" t="str">
        <x:v>English</x:v>
      </x:c>
      <x:c r="D1573" s="48" t="n">
        <x:v>35</x:v>
      </x:c>
      <x:c r="E1573" s="48" t="str"/>
      <x:c r="F1573" s="48" t="str">
        <x:v>remove, from that part of the Site and Works to which the Taking-Over Certificate refers, all Contractor's Equipment, surplus material, wreckage, rubbish and Temporary Works.</x:v>
      </x:c>
      <x:c r="G1573" s="48" t="str">
        <x:v>Obligation</x:v>
      </x:c>
      <x:c r="H1573" s="48" t="str">
        <x:v>Contractor</x:v>
      </x:c>
      <x:c r="I1573" s="48" t="n">
        <x:v>0.55</x:v>
      </x:c>
      <x:c r="J1573" s="48" t="n">
        <x:v>0.68</x:v>
      </x:c>
      <x:c r="K1573" s="48" t="str">
        <x:v>Yes</x:v>
      </x:c>
      <x:c r="L1573" s="48" t="str">
        <x:v>PDF text</x:v>
      </x:c>
    </x:row>
    <x:row r="1574">
      <x:c r="A1574" s="48" t="str">
        <x:v>UNI-1573</x:v>
      </x:c>
      <x:c r="B1574" s="48" t="str">
        <x:v>YELLOW</x:v>
      </x:c>
      <x:c r="C1574" s="48" t="str">
        <x:v>English</x:v>
      </x:c>
      <x:c r="D1574" s="48" t="n">
        <x:v>35</x:v>
      </x:c>
      <x:c r="E1574" s="48" t="str"/>
      <x:c r="F1574" s="48" t="str">
        <x:v>However, the Contractor may retain on Site, during the Defects Notification Period, such Goods as are required for the Contractor to fulfil obligations under the Contract.</x:v>
      </x:c>
      <x:c r="G1574" s="48" t="str">
        <x:v>Right</x:v>
      </x:c>
      <x:c r="H1574" s="48" t="str">
        <x:v>Contractor</x:v>
      </x:c>
      <x:c r="I1574" s="48" t="n">
        <x:v>0.78</x:v>
      </x:c>
      <x:c r="J1574" s="48" t="n">
        <x:v>0.92</x:v>
      </x:c>
      <x:c r="K1574" s="48" t="str">
        <x:v>No</x:v>
      </x:c>
      <x:c r="L1574" s="48" t="str">
        <x:v>PDF text</x:v>
      </x:c>
    </x:row>
    <x:row r="1575">
      <x:c r="A1575" s="48" t="str">
        <x:v>UNI-1574</x:v>
      </x:c>
      <x:c r="B1575" s="48" t="str">
        <x:v>YELLOW</x:v>
      </x:c>
      <x:c r="C1575" s="48" t="str">
        <x:v>English</x:v>
      </x:c>
      <x:c r="D1575" s="48" t="n">
        <x:v>36</x:v>
      </x:c>
      <x:c r="E1575" s="48" t="str"/>
      <x:c r="F1575" s="48" t="str">
        <x:v>The Contractor shall take reasonable precautions to prevent Contractor's Personnel or other persons from removing or damaging any of these findings.</x:v>
      </x:c>
      <x:c r="G1575" s="48" t="str">
        <x:v>Obligation</x:v>
      </x:c>
      <x:c r="H1575" s="48" t="str">
        <x:v>Contractor</x:v>
      </x:c>
      <x:c r="I1575" s="48" t="n">
        <x:v>0.88</x:v>
      </x:c>
      <x:c r="J1575" s="48" t="n">
        <x:v>0.92</x:v>
      </x:c>
      <x:c r="K1575" s="48" t="str">
        <x:v>No</x:v>
      </x:c>
      <x:c r="L1575" s="48" t="str">
        <x:v>PDF text</x:v>
      </x:c>
    </x:row>
    <x:row r="1576">
      <x:c r="A1576" s="48" t="str">
        <x:v>UNI-1575</x:v>
      </x:c>
      <x:c r="B1576" s="48" t="str">
        <x:v>YELLOW</x:v>
      </x:c>
      <x:c r="C1576" s="48" t="str">
        <x:v>English</x:v>
      </x:c>
      <x:c r="D1576" s="48" t="n">
        <x:v>36</x:v>
      </x:c>
      <x:c r="E1576" s="48" t="str"/>
      <x:c r="F1576" s="48" t="str">
        <x:v>If the Contractor suffers delay and/or incurs Cost from complying with the instructions, the Contractor shall give a further notice to the Engineer and shall be entitled subject to Sub-Clause 20.1 [Contractor's Claims] to: (a) an extension of time for any such delay, if completion is or will be delayed, under Sub-Clause 8.4 [Extension of Time for Completion], and (b) payment of any such Cost, which shall be included in the Contract Price.</x:v>
      </x:c>
      <x:c r="G1576" s="48" t="str">
        <x:v>Risk</x:v>
      </x:c>
      <x:c r="H1576" s="48" t="str">
        <x:v>Contractor</x:v>
      </x:c>
      <x:c r="I1576" s="48" t="n">
        <x:v>0.78</x:v>
      </x:c>
      <x:c r="J1576" s="48" t="n">
        <x:v>0.92</x:v>
      </x:c>
      <x:c r="K1576" s="48" t="str">
        <x:v>No</x:v>
      </x:c>
      <x:c r="L1576" s="48" t="str">
        <x:v>PDF text</x:v>
      </x:c>
    </x:row>
    <x:row r="1577">
      <x:c r="A1577" s="48" t="str">
        <x:v>UNI-1576</x:v>
      </x:c>
      <x:c r="B1577" s="48" t="str">
        <x:v>YELLOW</x:v>
      </x:c>
      <x:c r="C1577" s="48" t="str">
        <x:v>English</x:v>
      </x:c>
      <x:c r="D1577" s="48" t="n">
        <x:v>36</x:v>
      </x:c>
      <x:c r="E1577" s="48" t="str"/>
      <x:c r="F1577" s="48" t="str">
        <x:v>The Contractor shall carry out, and be responsible for, the design of the Works.</x:v>
      </x:c>
      <x:c r="G1577" s="48" t="str">
        <x:v>Obligation</x:v>
      </x:c>
      <x:c r="H1577" s="48" t="str">
        <x:v>Contractor</x:v>
      </x:c>
      <x:c r="I1577" s="48" t="n">
        <x:v>0.88</x:v>
      </x:c>
      <x:c r="J1577" s="48" t="n">
        <x:v>0.92</x:v>
      </x:c>
      <x:c r="K1577" s="48" t="str">
        <x:v>No</x:v>
      </x:c>
      <x:c r="L1577" s="48" t="str">
        <x:v>PDF text</x:v>
      </x:c>
    </x:row>
    <x:row r="1578">
      <x:c r="A1578" s="48" t="str">
        <x:v>UNI-1577</x:v>
      </x:c>
      <x:c r="B1578" s="48" t="str">
        <x:v>YELLOW</x:v>
      </x:c>
      <x:c r="C1578" s="48" t="str">
        <x:v>English</x:v>
      </x:c>
      <x:c r="D1578" s="48" t="n">
        <x:v>36</x:v>
      </x:c>
      <x:c r="E1578" s="48" t="str"/>
      <x:c r="F1578" s="48" t="str">
        <x:v>Design shall be prepared by qualified designers who are engineers or other professionals who comply with the criteria (if any) stated in the Employer's Requirements.</x:v>
      </x:c>
      <x:c r="G1578" s="48" t="str">
        <x:v>Obligation</x:v>
      </x:c>
      <x:c r="H1578" s="48" t="str">
        <x:v>Employer</x:v>
      </x:c>
      <x:c r="I1578" s="48" t="n">
        <x:v>0.88</x:v>
      </x:c>
      <x:c r="J1578" s="48" t="n">
        <x:v>0.68</x:v>
      </x:c>
      <x:c r="K1578" s="48" t="str">
        <x:v>Yes</x:v>
      </x:c>
      <x:c r="L1578" s="48" t="str">
        <x:v>PDF text</x:v>
      </x:c>
    </x:row>
    <x:row r="1579">
      <x:c r="A1579" s="48" t="str">
        <x:v>UNI-1578</x:v>
      </x:c>
      <x:c r="B1579" s="48" t="str">
        <x:v>YELLOW</x:v>
      </x:c>
      <x:c r="C1579" s="48" t="str">
        <x:v>English</x:v>
      </x:c>
      <x:c r="D1579" s="48" t="n">
        <x:v>36</x:v>
      </x:c>
      <x:c r="E1579" s="48" t="str"/>
      <x:c r="F1579" s="48" t="str">
        <x:v>Unless otherwise stated in the Contract, the Contractor shall submit to the Engineer for consent the name and particulars of each proposed designer and design Subcontractor.</x:v>
      </x:c>
      <x:c r="G1579" s="48" t="str">
        <x:v>Obligation</x:v>
      </x:c>
      <x:c r="H1579" s="48" t="str">
        <x:v>Contractor</x:v>
      </x:c>
      <x:c r="I1579" s="48" t="n">
        <x:v>0.88</x:v>
      </x:c>
      <x:c r="J1579" s="48" t="n">
        <x:v>0.92</x:v>
      </x:c>
      <x:c r="K1579" s="48" t="str">
        <x:v>No</x:v>
      </x:c>
      <x:c r="L1579" s="48" t="str">
        <x:v>PDF text</x:v>
      </x:c>
    </x:row>
    <x:row r="1580">
      <x:c r="A1580" s="48" t="str">
        <x:v>UNI-1579</x:v>
      </x:c>
      <x:c r="B1580" s="48" t="str">
        <x:v>YELLOW</x:v>
      </x:c>
      <x:c r="C1580" s="48" t="str">
        <x:v>English</x:v>
      </x:c>
      <x:c r="D1580" s="48" t="n">
        <x:v>36</x:v>
      </x:c>
      <x:c r="E1580" s="48" t="str"/>
      <x:c r="F1580" s="48" t="str">
        <x:v>The Contractor warrants that he, his designers and design Subcontractors have the</x:v>
      </x:c>
      <x:c r="G1580" s="48" t="str">
        <x:v>Obligation</x:v>
      </x:c>
      <x:c r="H1580" s="48" t="str">
        <x:v>Contractor</x:v>
      </x:c>
      <x:c r="I1580" s="48" t="n">
        <x:v>0.45</x:v>
      </x:c>
      <x:c r="J1580" s="48" t="n">
        <x:v>0.68</x:v>
      </x:c>
      <x:c r="K1580" s="48" t="str">
        <x:v>Yes</x:v>
      </x:c>
      <x:c r="L1580" s="48" t="str">
        <x:v>PDF text</x:v>
      </x:c>
    </x:row>
    <x:row r="1581">
      <x:c r="A1581" s="48" t="str">
        <x:v>UNI-1580</x:v>
      </x:c>
      <x:c r="B1581" s="48" t="str">
        <x:v>YELLOW</x:v>
      </x:c>
      <x:c r="C1581" s="48" t="str">
        <x:v>English</x:v>
      </x:c>
      <x:c r="D1581" s="48" t="n">
        <x:v>36</x:v>
      </x:c>
      <x:c r="E1581" s="48" t="str"/>
      <x:c r="F1581" s="48" t="str">
        <x:v>experience and capability necessary for the design.</x:v>
      </x:c>
      <x:c r="G1581" s="48" t="str">
        <x:v>Obligation</x:v>
      </x:c>
      <x:c r="H1581" s="48" t="str">
        <x:v>Shared</x:v>
      </x:c>
      <x:c r="I1581" s="48" t="n">
        <x:v>0.45</x:v>
      </x:c>
      <x:c r="J1581" s="48" t="n">
        <x:v>0.4</x:v>
      </x:c>
      <x:c r="K1581" s="48" t="str">
        <x:v>Yes</x:v>
      </x:c>
      <x:c r="L1581" s="48" t="str">
        <x:v>PDF text</x:v>
      </x:c>
    </x:row>
    <x:row r="1582">
      <x:c r="A1582" s="48" t="str">
        <x:v>UNI-1581</x:v>
      </x:c>
      <x:c r="B1582" s="48" t="str">
        <x:v>YELLOW</x:v>
      </x:c>
      <x:c r="C1582" s="48" t="str">
        <x:v>English</x:v>
      </x:c>
      <x:c r="D1582" s="48" t="n">
        <x:v>36</x:v>
      </x:c>
      <x:c r="E1582" s="48" t="str"/>
      <x:c r="F1582" s="48" t="str">
        <x:v>The Contractor undertakes that the designers shall be available to attend discussions with the Engineer at all reasonable times, until the expiry date of the relevant Defects Notification Period.</x:v>
      </x:c>
      <x:c r="G1582" s="48" t="str">
        <x:v>Obligation</x:v>
      </x:c>
      <x:c r="H1582" s="48" t="str">
        <x:v>Contractor</x:v>
      </x:c>
      <x:c r="I1582" s="48" t="n">
        <x:v>0.88</x:v>
      </x:c>
      <x:c r="J1582" s="48" t="n">
        <x:v>0.68</x:v>
      </x:c>
      <x:c r="K1582" s="48" t="str">
        <x:v>Yes</x:v>
      </x:c>
      <x:c r="L1582" s="48" t="str">
        <x:v>PDF text</x:v>
      </x:c>
    </x:row>
    <x:row r="1583">
      <x:c r="A1583" s="48" t="str">
        <x:v>UNI-1582</x:v>
      </x:c>
      <x:c r="B1583" s="48" t="str">
        <x:v>YELLOW</x:v>
      </x:c>
      <x:c r="C1583" s="48" t="str">
        <x:v>English</x:v>
      </x:c>
      <x:c r="D1583" s="48" t="n">
        <x:v>36</x:v>
      </x:c>
      <x:c r="E1583" s="48" t="str"/>
      <x:c r="F1583" s="48" t="str">
        <x:v>Upon receiving notice under Sub-Clause 8.1 [Commencement of Works], the Contractor shall scrutinise the Employer's Requirements (including design criteria and calculations, if any) and the items of reference mentioned in Sub-Clause 4.7 [Setting Out].</x:v>
      </x:c>
      <x:c r="G1583" s="48" t="str">
        <x:v>Obligation</x:v>
      </x:c>
      <x:c r="H1583" s="48" t="str">
        <x:v>Contractor</x:v>
      </x:c>
      <x:c r="I1583" s="48" t="n">
        <x:v>0.88</x:v>
      </x:c>
      <x:c r="J1583" s="48" t="n">
        <x:v>0.92</x:v>
      </x:c>
      <x:c r="K1583" s="48" t="str">
        <x:v>No</x:v>
      </x:c>
      <x:c r="L1583" s="48" t="str">
        <x:v>PDF text</x:v>
      </x:c>
    </x:row>
    <x:row r="1584">
      <x:c r="A1584" s="48" t="str">
        <x:v>UNI-1583</x:v>
      </x:c>
      <x:c r="B1584" s="48" t="str">
        <x:v>YELLOW</x:v>
      </x:c>
      <x:c r="C1584" s="48" t="str">
        <x:v>English</x:v>
      </x:c>
      <x:c r="D1584" s="48" t="n">
        <x:v>36</x:v>
      </x:c>
      <x:c r="E1584" s="48" t="str"/>
      <x:c r="F1584" s="48" t="str">
        <x:v>Within the period stated in the Appendix to Tender, calculated from the</x:v>
      </x:c>
      <x:c r="G1584" s="48" t="str">
        <x:v>Obligation</x:v>
      </x:c>
      <x:c r="H1584" s="48" t="str">
        <x:v>Shared</x:v>
      </x:c>
      <x:c r="I1584" s="48" t="n">
        <x:v>0.45</x:v>
      </x:c>
      <x:c r="J1584" s="48" t="n">
        <x:v>0.4</x:v>
      </x:c>
      <x:c r="K1584" s="48" t="str">
        <x:v>Yes</x:v>
      </x:c>
      <x:c r="L1584" s="48" t="str">
        <x:v>PDF text</x:v>
      </x:c>
    </x:row>
    <x:row r="1585">
      <x:c r="A1585" s="48" t="str">
        <x:v>UNI-1584</x:v>
      </x:c>
      <x:c r="B1585" s="48" t="str">
        <x:v>YELLOW</x:v>
      </x:c>
      <x:c r="C1585" s="48" t="str">
        <x:v>English</x:v>
      </x:c>
      <x:c r="D1585" s="48" t="n">
        <x:v>36</x:v>
      </x:c>
      <x:c r="E1585" s="48" t="str"/>
      <x:c r="F1585" s="48" t="str">
        <x:v>Commencement Date, the Contractor shall give notice to the Engineer of any error,</x:v>
      </x:c>
      <x:c r="G1585" s="48" t="str">
        <x:v>Obligation</x:v>
      </x:c>
      <x:c r="H1585" s="48" t="str">
        <x:v>Contractor</x:v>
      </x:c>
      <x:c r="I1585" s="48" t="n">
        <x:v>0.88</x:v>
      </x:c>
      <x:c r="J1585" s="48" t="n">
        <x:v>0.92</x:v>
      </x:c>
      <x:c r="K1585" s="48" t="str">
        <x:v>No</x:v>
      </x:c>
      <x:c r="L1585" s="48" t="str">
        <x:v>PDF text</x:v>
      </x:c>
    </x:row>
    <x:row r="1586">
      <x:c r="A1586" s="48" t="str">
        <x:v>UNI-1585</x:v>
      </x:c>
      <x:c r="B1586" s="48" t="str">
        <x:v>YELLOW</x:v>
      </x:c>
      <x:c r="C1586" s="48" t="str">
        <x:v>English</x:v>
      </x:c>
      <x:c r="D1586" s="48" t="n">
        <x:v>36</x:v>
      </x:c>
      <x:c r="E1586" s="48" t="str"/>
      <x:c r="F1586" s="48" t="str">
        <x:v>fault or other defect found in the Employer's Requirements or these items of reference.</x:v>
      </x:c>
      <x:c r="G1586" s="48" t="str">
        <x:v>Obligation</x:v>
      </x:c>
      <x:c r="H1586" s="48" t="str">
        <x:v>Employer</x:v>
      </x:c>
      <x:c r="I1586" s="48" t="n">
        <x:v>0.45</x:v>
      </x:c>
      <x:c r="J1586" s="48" t="n">
        <x:v>0.68</x:v>
      </x:c>
      <x:c r="K1586" s="48" t="str">
        <x:v>Yes</x:v>
      </x:c>
      <x:c r="L1586" s="48" t="str">
        <x:v>PDF text</x:v>
      </x:c>
    </x:row>
    <x:row r="1587">
      <x:c r="A1587" s="48" t="str">
        <x:v>UNI-1586</x:v>
      </x:c>
      <x:c r="B1587" s="48" t="str">
        <x:v>YELLOW</x:v>
      </x:c>
      <x:c r="C1587" s="48" t="str">
        <x:v>English</x:v>
      </x:c>
      <x:c r="D1587" s="48" t="n">
        <x:v>36</x:v>
      </x:c>
      <x:c r="E1587" s="48" t="str"/>
      <x:c r="F1587" s="48" t="str">
        <x:v>After receiving this notice, the Engineer shall determine whether Clause 13 [Variations and Adjustments] shall be applied, and shall give notice to the Contractor accordingly.</x:v>
      </x:c>
      <x:c r="G1587" s="48" t="str">
        <x:v>Obligation</x:v>
      </x:c>
      <x:c r="H1587" s="48" t="str">
        <x:v>Contractor</x:v>
      </x:c>
      <x:c r="I1587" s="48" t="n">
        <x:v>0.88</x:v>
      </x:c>
      <x:c r="J1587" s="48" t="n">
        <x:v>0.68</x:v>
      </x:c>
      <x:c r="K1587" s="48" t="str">
        <x:v>Yes</x:v>
      </x:c>
      <x:c r="L1587" s="48" t="str">
        <x:v>PDF text</x:v>
      </x:c>
    </x:row>
    <x:row r="1588">
      <x:c r="A1588" s="48" t="str">
        <x:v>UNI-1587</x:v>
      </x:c>
      <x:c r="B1588" s="48" t="str">
        <x:v>YELLOW</x:v>
      </x:c>
      <x:c r="C1588" s="48" t="str">
        <x:v>English</x:v>
      </x:c>
      <x:c r="D1588" s="48" t="n">
        <x:v>36</x:v>
      </x:c>
      <x:c r="E1588" s="48" t="str"/>
      <x:c r="F1588" s="48" t="str">
        <x:v>If and to the extent that (taking account of cost and time) an experienced contractor exercising due care would have discovered the error, fault or other defect when examining the Site and the Employer's Requirements before submitting the Tender, the Time for Completion shall not be extended and the Contract Price shall not be adjusted.</x:v>
      </x:c>
      <x:c r="G1588" s="48" t="str">
        <x:v>Risk</x:v>
      </x:c>
      <x:c r="H1588" s="48" t="str">
        <x:v>Shared</x:v>
      </x:c>
      <x:c r="I1588" s="48" t="n">
        <x:v>0.78</x:v>
      </x:c>
      <x:c r="J1588" s="48" t="n">
        <x:v>0.6</x:v>
      </x:c>
      <x:c r="K1588" s="48" t="str">
        <x:v>Yes</x:v>
      </x:c>
      <x:c r="L1588" s="48" t="str">
        <x:v>PDF text</x:v>
      </x:c>
    </x:row>
    <x:row r="1589">
      <x:c r="A1589" s="48" t="str">
        <x:v>UNI-1588</x:v>
      </x:c>
      <x:c r="B1589" s="48" t="str">
        <x:v>YELLOW</x:v>
      </x:c>
      <x:c r="C1589" s="48" t="str">
        <x:v>English</x:v>
      </x:c>
      <x:c r="D1589" s="48" t="n">
        <x:v>36</x:v>
      </x:c>
      <x:c r="E1589" s="48" t="str"/>
      <x:c r="F1589" s="48" t="str">
        <x:v>The Contractor's Documents shall comprise the technical documents specified in the Employer's Requirements, documents required to satisfy all regulatory approvals, and the documents described in Sub-Clause 5.6 [As-Built Documents] and Sub-Clause</x:v>
      </x:c>
      <x:c r="G1589" s="48" t="str">
        <x:v>Obligation</x:v>
      </x:c>
      <x:c r="H1589" s="48" t="str">
        <x:v>Shared</x:v>
      </x:c>
      <x:c r="I1589" s="48" t="n">
        <x:v>0.88</x:v>
      </x:c>
      <x:c r="J1589" s="48" t="n">
        <x:v>0.6</x:v>
      </x:c>
      <x:c r="K1589" s="48" t="str">
        <x:v>Yes</x:v>
      </x:c>
      <x:c r="L1589" s="48" t="str">
        <x:v>PDF text</x:v>
      </x:c>
    </x:row>
    <x:row r="1590">
      <x:c r="A1590" s="48" t="str">
        <x:v>UNI-1589</x:v>
      </x:c>
      <x:c r="B1590" s="48" t="str">
        <x:v>YELLOW</x:v>
      </x:c>
      <x:c r="C1590" s="48" t="str">
        <x:v>English</x:v>
      </x:c>
      <x:c r="D1590" s="48" t="n">
        <x:v>36</x:v>
      </x:c>
      <x:c r="E1590" s="48" t="str">
        <x:v>5.7</x:v>
      </x:c>
      <x:c r="F1590" s="48" t="str">
        <x:v>5.7 [Operation and Maintenance Manuals]. Unless otherwise stated in the Employer's</x:v>
      </x:c>
      <x:c r="G1590" s="48" t="str">
        <x:v>Obligation</x:v>
      </x:c>
      <x:c r="H1590" s="48" t="str">
        <x:v>Employer</x:v>
      </x:c>
      <x:c r="I1590" s="48" t="n">
        <x:v>0.45</x:v>
      </x:c>
      <x:c r="J1590" s="48" t="n">
        <x:v>0.68</x:v>
      </x:c>
      <x:c r="K1590" s="48" t="str">
        <x:v>Yes</x:v>
      </x:c>
      <x:c r="L1590" s="48" t="str">
        <x:v>PDF text</x:v>
      </x:c>
    </x:row>
    <x:row r="1591">
      <x:c r="A1591" s="48" t="str">
        <x:v>UNI-1590</x:v>
      </x:c>
      <x:c r="B1591" s="48" t="str">
        <x:v>YELLOW</x:v>
      </x:c>
      <x:c r="C1591" s="48" t="str">
        <x:v>English</x:v>
      </x:c>
      <x:c r="D1591" s="48" t="n">
        <x:v>36</x:v>
      </x:c>
      <x:c r="E1591" s="48" t="str"/>
      <x:c r="F1591" s="48" t="str">
        <x:v>Requirements, the Contractor's Documents shall be written in the language for</x:v>
      </x:c>
      <x:c r="G1591" s="48" t="str">
        <x:v>Obligation</x:v>
      </x:c>
      <x:c r="H1591" s="48" t="str">
        <x:v>Contractor</x:v>
      </x:c>
      <x:c r="I1591" s="48" t="n">
        <x:v>0.88</x:v>
      </x:c>
      <x:c r="J1591" s="48" t="n">
        <x:v>0.68</x:v>
      </x:c>
      <x:c r="K1591" s="48" t="str">
        <x:v>Yes</x:v>
      </x:c>
      <x:c r="L1591" s="48" t="str">
        <x:v>PDF text</x:v>
      </x:c>
    </x:row>
    <x:row r="1592">
      <x:c r="A1592" s="48" t="str">
        <x:v>UNI-1591</x:v>
      </x:c>
      <x:c r="B1592" s="48" t="str">
        <x:v>YELLOW</x:v>
      </x:c>
      <x:c r="C1592" s="48" t="str">
        <x:v>English</x:v>
      </x:c>
      <x:c r="D1592" s="48" t="n">
        <x:v>36</x:v>
      </x:c>
      <x:c r="E1592" s="48" t="str"/>
      <x:c r="F1592" s="48" t="str">
        <x:v>communications defined in Sub-Clause 1.4 [Law and Language].</x:v>
      </x:c>
      <x:c r="G1592" s="48" t="str">
        <x:v>Obligation</x:v>
      </x:c>
      <x:c r="H1592" s="48" t="str">
        <x:v>Shared</x:v>
      </x:c>
      <x:c r="I1592" s="48" t="n">
        <x:v>0.45</x:v>
      </x:c>
      <x:c r="J1592" s="48" t="n">
        <x:v>0.4</x:v>
      </x:c>
      <x:c r="K1592" s="48" t="str">
        <x:v>Yes</x:v>
      </x:c>
      <x:c r="L1592" s="48" t="str">
        <x:v>PDF text</x:v>
      </x:c>
    </x:row>
    <x:row r="1593">
      <x:c r="A1593" s="48" t="str">
        <x:v>UNI-1592</x:v>
      </x:c>
      <x:c r="B1593" s="48" t="str">
        <x:v>YELLOW</x:v>
      </x:c>
      <x:c r="C1593" s="48" t="str">
        <x:v>English</x:v>
      </x:c>
      <x:c r="D1593" s="48" t="n">
        <x:v>36</x:v>
      </x:c>
      <x:c r="E1593" s="48" t="str"/>
      <x:c r="F1593" s="48" t="str">
        <x:v>General Design</x:v>
      </x:c>
      <x:c r="G1593" s="48" t="str">
        <x:v>Obligation</x:v>
      </x:c>
      <x:c r="H1593" s="48" t="str">
        <x:v>Shared</x:v>
      </x:c>
      <x:c r="I1593" s="48" t="n">
        <x:v>0.45</x:v>
      </x:c>
      <x:c r="J1593" s="48" t="n">
        <x:v>0.4</x:v>
      </x:c>
      <x:c r="K1593" s="48" t="str">
        <x:v>Yes</x:v>
      </x:c>
      <x:c r="L1593" s="48" t="str">
        <x:v>PDF text</x:v>
      </x:c>
    </x:row>
    <x:row r="1594">
      <x:c r="A1594" s="48" t="str">
        <x:v>UNI-1593</x:v>
      </x:c>
      <x:c r="B1594" s="48" t="str">
        <x:v>YELLOW</x:v>
      </x:c>
      <x:c r="C1594" s="48" t="str">
        <x:v>English</x:v>
      </x:c>
      <x:c r="D1594" s="48" t="n">
        <x:v>36</x:v>
      </x:c>
      <x:c r="E1594" s="48" t="str"/>
      <x:c r="F1594" s="48" t="str">
        <x:v>Contractor's Documents</x:v>
      </x:c>
      <x:c r="G1594" s="48" t="str">
        <x:v>Obligation</x:v>
      </x:c>
      <x:c r="H1594" s="48" t="str">
        <x:v>Contractor</x:v>
      </x:c>
      <x:c r="I1594" s="48" t="n">
        <x:v>0.45</x:v>
      </x:c>
      <x:c r="J1594" s="48" t="n">
        <x:v>0.68</x:v>
      </x:c>
      <x:c r="K1594" s="48" t="str">
        <x:v>Yes</x:v>
      </x:c>
      <x:c r="L1594" s="48" t="str">
        <x:v>PDF text</x:v>
      </x:c>
    </x:row>
    <x:row r="1595">
      <x:c r="A1595" s="48" t="str">
        <x:v>UNI-1594</x:v>
      </x:c>
      <x:c r="B1595" s="48" t="str">
        <x:v>YELLOW</x:v>
      </x:c>
      <x:c r="C1595" s="48" t="str">
        <x:v>English</x:v>
      </x:c>
      <x:c r="D1595" s="48" t="n">
        <x:v>37</x:v>
      </x:c>
      <x:c r="E1595" s="48" t="str"/>
      <x:c r="F1595" s="48" t="str">
        <x:v>The Contractor shall prepare all Contractor's Documents, and shall also prepare any other documents necessary to instruct the Contractor's Personnel.</x:v>
      </x:c>
      <x:c r="G1595" s="48" t="str">
        <x:v>Obligation</x:v>
      </x:c>
      <x:c r="H1595" s="48" t="str">
        <x:v>Contractor</x:v>
      </x:c>
      <x:c r="I1595" s="48" t="n">
        <x:v>0.88</x:v>
      </x:c>
      <x:c r="J1595" s="48" t="n">
        <x:v>0.92</x:v>
      </x:c>
      <x:c r="K1595" s="48" t="str">
        <x:v>No</x:v>
      </x:c>
      <x:c r="L1595" s="48" t="str">
        <x:v>PDF text</x:v>
      </x:c>
    </x:row>
    <x:row r="1596">
      <x:c r="A1596" s="48" t="str">
        <x:v>UNI-1595</x:v>
      </x:c>
      <x:c r="B1596" s="48" t="str">
        <x:v>YELLOW</x:v>
      </x:c>
      <x:c r="C1596" s="48" t="str">
        <x:v>English</x:v>
      </x:c>
      <x:c r="D1596" s="48" t="n">
        <x:v>37</x:v>
      </x:c>
      <x:c r="E1596" s="48" t="str"/>
      <x:c r="F1596" s="48" t="str">
        <x:v>The Employer's</x:v>
      </x:c>
      <x:c r="G1596" s="48" t="str">
        <x:v>Obligation</x:v>
      </x:c>
      <x:c r="H1596" s="48" t="str">
        <x:v>Employer</x:v>
      </x:c>
      <x:c r="I1596" s="48" t="n">
        <x:v>0.45</x:v>
      </x:c>
      <x:c r="J1596" s="48" t="n">
        <x:v>0.68</x:v>
      </x:c>
      <x:c r="K1596" s="48" t="str">
        <x:v>Yes</x:v>
      </x:c>
      <x:c r="L1596" s="48" t="str">
        <x:v>PDF text</x:v>
      </x:c>
    </x:row>
    <x:row r="1597">
      <x:c r="A1597" s="48" t="str">
        <x:v>UNI-1596</x:v>
      </x:c>
      <x:c r="B1597" s="48" t="str">
        <x:v>YELLOW</x:v>
      </x:c>
      <x:c r="C1597" s="48" t="str">
        <x:v>English</x:v>
      </x:c>
      <x:c r="D1597" s="48" t="n">
        <x:v>37</x:v>
      </x:c>
      <x:c r="E1597" s="48" t="str"/>
      <x:c r="F1597" s="48" t="str">
        <x:v>Personnel shall have the right to inspect the preparation of all these documents,</x:v>
      </x:c>
      <x:c r="G1597" s="48" t="str">
        <x:v>Obligation</x:v>
      </x:c>
      <x:c r="H1597" s="48" t="str">
        <x:v>Shared</x:v>
      </x:c>
      <x:c r="I1597" s="48" t="n">
        <x:v>0.88</x:v>
      </x:c>
      <x:c r="J1597" s="48" t="n">
        <x:v>0.4</x:v>
      </x:c>
      <x:c r="K1597" s="48" t="str">
        <x:v>Yes</x:v>
      </x:c>
      <x:c r="L1597" s="48" t="str">
        <x:v>PDF text</x:v>
      </x:c>
    </x:row>
    <x:row r="1598">
      <x:c r="A1598" s="48" t="str">
        <x:v>UNI-1597</x:v>
      </x:c>
      <x:c r="B1598" s="48" t="str">
        <x:v>YELLOW</x:v>
      </x:c>
      <x:c r="C1598" s="48" t="str">
        <x:v>English</x:v>
      </x:c>
      <x:c r="D1598" s="48" t="n">
        <x:v>37</x:v>
      </x:c>
      <x:c r="E1598" s="48" t="str"/>
      <x:c r="F1598" s="48" t="str">
        <x:v>wherever they are being prepared.</x:v>
      </x:c>
      <x:c r="G1598" s="48" t="str">
        <x:v>Obligation</x:v>
      </x:c>
      <x:c r="H1598" s="48" t="str">
        <x:v>Shared</x:v>
      </x:c>
      <x:c r="I1598" s="48" t="n">
        <x:v>0.45</x:v>
      </x:c>
      <x:c r="J1598" s="48" t="n">
        <x:v>0.4</x:v>
      </x:c>
      <x:c r="K1598" s="48" t="str">
        <x:v>Yes</x:v>
      </x:c>
      <x:c r="L1598" s="48" t="str">
        <x:v>PDF text</x:v>
      </x:c>
    </x:row>
    <x:row r="1599">
      <x:c r="A1599" s="48" t="str">
        <x:v>UNI-1598</x:v>
      </x:c>
      <x:c r="B1599" s="48" t="str">
        <x:v>YELLOW</x:v>
      </x:c>
      <x:c r="C1599" s="48" t="str">
        <x:v>English</x:v>
      </x:c>
      <x:c r="D1599" s="48" t="n">
        <x:v>37</x:v>
      </x:c>
      <x:c r="E1599" s="48" t="str"/>
      <x:c r="F1599" s="48" t="str">
        <x:v>If the Employer's Requirements describe the Contractor's Documents which are to be submitted to the Engineer for review and/or for approval, they shall be submitted accordingly, together with a notice as described below.</x:v>
      </x:c>
      <x:c r="G1599" s="48" t="str">
        <x:v>Obligation</x:v>
      </x:c>
      <x:c r="H1599" s="48" t="str">
        <x:v>Shared</x:v>
      </x:c>
      <x:c r="I1599" s="48" t="n">
        <x:v>0.88</x:v>
      </x:c>
      <x:c r="J1599" s="48" t="n">
        <x:v>0.6</x:v>
      </x:c>
      <x:c r="K1599" s="48" t="str">
        <x:v>Yes</x:v>
      </x:c>
      <x:c r="L1599" s="48" t="str">
        <x:v>PDF text</x:v>
      </x:c>
    </x:row>
    <x:row r="1600">
      <x:c r="A1600" s="48" t="str">
        <x:v>UNI-1599</x:v>
      </x:c>
      <x:c r="B1600" s="48" t="str">
        <x:v>YELLOW</x:v>
      </x:c>
      <x:c r="C1600" s="48" t="str">
        <x:v>English</x:v>
      </x:c>
      <x:c r="D1600" s="48" t="n">
        <x:v>37</x:v>
      </x:c>
      <x:c r="E1600" s="48" t="str"/>
      <x:c r="F1600" s="48" t="str">
        <x:v>In the following provisions of this Sub-Clause, (i) "review period" means the period required by the Engineer for review and (if so specified) for approval, and (ii) "Contractor's Documents" exclude any documents which are not specified as being required to be submitted for review and/or for approval.</x:v>
      </x:c>
      <x:c r="G1600" s="48" t="str">
        <x:v>Definition</x:v>
      </x:c>
      <x:c r="H1600" s="48" t="str"/>
      <x:c r="I1600" s="48" t="n">
        <x:v>0.97</x:v>
      </x:c>
      <x:c r="J1600" s="48" t="n">
        <x:v>0.99</x:v>
      </x:c>
      <x:c r="K1600" s="48" t="str">
        <x:v>No</x:v>
      </x:c>
      <x:c r="L1600" s="48" t="str">
        <x:v>PDF text</x:v>
      </x:c>
    </x:row>
    <x:row r="1601">
      <x:c r="A1601" s="48" t="str">
        <x:v>UNI-1600</x:v>
      </x:c>
      <x:c r="B1601" s="48" t="str">
        <x:v>YELLOW</x:v>
      </x:c>
      <x:c r="C1601" s="48" t="str">
        <x:v>English</x:v>
      </x:c>
      <x:c r="D1601" s="48" t="n">
        <x:v>37</x:v>
      </x:c>
      <x:c r="E1601" s="48" t="str"/>
      <x:c r="F1601" s="48" t="str">
        <x:v>Unless otherwise stated in the Employer's Requirements, each review period shall not exceed 21 days, calculated from the date on which the Engineer receives a Contractor's Document and the Contractor's notice.</x:v>
      </x:c>
      <x:c r="G1601" s="48" t="str">
        <x:v>Obligation</x:v>
      </x:c>
      <x:c r="H1601" s="48" t="str">
        <x:v>Shared</x:v>
      </x:c>
      <x:c r="I1601" s="48" t="n">
        <x:v>0.88</x:v>
      </x:c>
      <x:c r="J1601" s="48" t="n">
        <x:v>0.6</x:v>
      </x:c>
      <x:c r="K1601" s="48" t="str">
        <x:v>Yes</x:v>
      </x:c>
      <x:c r="L1601" s="48" t="str">
        <x:v>PDF text</x:v>
      </x:c>
    </x:row>
    <x:row r="1602">
      <x:c r="A1602" s="48" t="str">
        <x:v>UNI-1601</x:v>
      </x:c>
      <x:c r="B1602" s="48" t="str">
        <x:v>YELLOW</x:v>
      </x:c>
      <x:c r="C1602" s="48" t="str">
        <x:v>English</x:v>
      </x:c>
      <x:c r="D1602" s="48" t="n">
        <x:v>37</x:v>
      </x:c>
      <x:c r="E1602" s="48" t="str"/>
      <x:c r="F1602" s="48" t="str">
        <x:v>This notice shall state that the Contractor's Document is considered ready, both for review (and approval, if so specified) in accordance with this Sub-Clause and for use.</x:v>
      </x:c>
      <x:c r="G1602" s="48" t="str">
        <x:v>Obligation</x:v>
      </x:c>
      <x:c r="H1602" s="48" t="str">
        <x:v>Contractor</x:v>
      </x:c>
      <x:c r="I1602" s="48" t="n">
        <x:v>0.88</x:v>
      </x:c>
      <x:c r="J1602" s="48" t="n">
        <x:v>0.68</x:v>
      </x:c>
      <x:c r="K1602" s="48" t="str">
        <x:v>Yes</x:v>
      </x:c>
      <x:c r="L1602" s="48" t="str">
        <x:v>PDF text</x:v>
      </x:c>
    </x:row>
    <x:row r="1603">
      <x:c r="A1603" s="48" t="str">
        <x:v>UNI-1602</x:v>
      </x:c>
      <x:c r="B1603" s="48" t="str">
        <x:v>YELLOW</x:v>
      </x:c>
      <x:c r="C1603" s="48" t="str">
        <x:v>English</x:v>
      </x:c>
      <x:c r="D1603" s="48" t="n">
        <x:v>37</x:v>
      </x:c>
      <x:c r="E1603" s="48" t="str"/>
      <x:c r="F1603" s="48" t="str">
        <x:v>The notice shall also state that the Contractor's Document complies with the Contract, or the extent to which it does not comply.</x:v>
      </x:c>
      <x:c r="G1603" s="48" t="str">
        <x:v>Obligation</x:v>
      </x:c>
      <x:c r="H1603" s="48" t="str">
        <x:v>Contractor</x:v>
      </x:c>
      <x:c r="I1603" s="48" t="n">
        <x:v>0.88</x:v>
      </x:c>
      <x:c r="J1603" s="48" t="n">
        <x:v>0.68</x:v>
      </x:c>
      <x:c r="K1603" s="48" t="str">
        <x:v>Yes</x:v>
      </x:c>
      <x:c r="L1603" s="48" t="str">
        <x:v>PDF text</x:v>
      </x:c>
    </x:row>
    <x:row r="1604">
      <x:c r="A1604" s="48" t="str">
        <x:v>UNI-1603</x:v>
      </x:c>
      <x:c r="B1604" s="48" t="str">
        <x:v>YELLOW</x:v>
      </x:c>
      <x:c r="C1604" s="48" t="str">
        <x:v>English</x:v>
      </x:c>
      <x:c r="D1604" s="48" t="n">
        <x:v>37</x:v>
      </x:c>
      <x:c r="E1604" s="48" t="str"/>
      <x:c r="F1604" s="48" t="str">
        <x:v>The Engineer may, within the review period, give notice to the Contractor that a</x:v>
      </x:c>
      <x:c r="G1604" s="48" t="str">
        <x:v>Obligation</x:v>
      </x:c>
      <x:c r="H1604" s="48" t="str">
        <x:v>Contractor</x:v>
      </x:c>
      <x:c r="I1604" s="48" t="n">
        <x:v>0.55</x:v>
      </x:c>
      <x:c r="J1604" s="48" t="n">
        <x:v>0.68</x:v>
      </x:c>
      <x:c r="K1604" s="48" t="str">
        <x:v>Yes</x:v>
      </x:c>
      <x:c r="L1604" s="48" t="str">
        <x:v>PDF text</x:v>
      </x:c>
    </x:row>
    <x:row r="1605">
      <x:c r="A1605" s="48" t="str">
        <x:v>UNI-1604</x:v>
      </x:c>
      <x:c r="B1605" s="48" t="str">
        <x:v>YELLOW</x:v>
      </x:c>
      <x:c r="C1605" s="48" t="str">
        <x:v>English</x:v>
      </x:c>
      <x:c r="D1605" s="48" t="n">
        <x:v>37</x:v>
      </x:c>
      <x:c r="E1605" s="48" t="str"/>
      <x:c r="F1605" s="48" t="str">
        <x:v>Contractor's Document fails (to the extent stated) to comply with the Contract.</x:v>
      </x:c>
      <x:c r="G1605" s="48" t="str">
        <x:v>Obligation</x:v>
      </x:c>
      <x:c r="H1605" s="48" t="str">
        <x:v>Contractor</x:v>
      </x:c>
      <x:c r="I1605" s="48" t="n">
        <x:v>0.45</x:v>
      </x:c>
      <x:c r="J1605" s="48" t="n">
        <x:v>0.68</x:v>
      </x:c>
      <x:c r="K1605" s="48" t="str">
        <x:v>Yes</x:v>
      </x:c>
      <x:c r="L1605" s="48" t="str">
        <x:v>PDF text</x:v>
      </x:c>
    </x:row>
    <x:row r="1606">
      <x:c r="A1606" s="48" t="str">
        <x:v>UNI-1605</x:v>
      </x:c>
      <x:c r="B1606" s="48" t="str">
        <x:v>YELLOW</x:v>
      </x:c>
      <x:c r="C1606" s="48" t="str">
        <x:v>English</x:v>
      </x:c>
      <x:c r="D1606" s="48" t="n">
        <x:v>37</x:v>
      </x:c>
      <x:c r="E1606" s="48" t="str"/>
      <x:c r="F1606" s="48" t="str">
        <x:v>Contractor's Document so fails to comply, it shall be rectified, resubmitted and</x:v>
      </x:c>
      <x:c r="G1606" s="48" t="str">
        <x:v>Obligation</x:v>
      </x:c>
      <x:c r="H1606" s="48" t="str">
        <x:v>Contractor</x:v>
      </x:c>
      <x:c r="I1606" s="48" t="n">
        <x:v>0.88</x:v>
      </x:c>
      <x:c r="J1606" s="48" t="n">
        <x:v>0.68</x:v>
      </x:c>
      <x:c r="K1606" s="48" t="str">
        <x:v>Yes</x:v>
      </x:c>
      <x:c r="L1606" s="48" t="str">
        <x:v>PDF text</x:v>
      </x:c>
    </x:row>
    <x:row r="1607">
      <x:c r="A1607" s="48" t="str">
        <x:v>UNI-1606</x:v>
      </x:c>
      <x:c r="B1607" s="48" t="str">
        <x:v>YELLOW</x:v>
      </x:c>
      <x:c r="C1607" s="48" t="str">
        <x:v>English</x:v>
      </x:c>
      <x:c r="D1607" s="48" t="n">
        <x:v>37</x:v>
      </x:c>
      <x:c r="E1607" s="48" t="str"/>
      <x:c r="F1607" s="48" t="str">
        <x:v>reviewed (and, if specified, approved) in accordance with this Sub-Clause, at the Contractor's cost.</x:v>
      </x:c>
      <x:c r="G1607" s="48" t="str">
        <x:v>Obligation</x:v>
      </x:c>
      <x:c r="H1607" s="48" t="str">
        <x:v>Contractor</x:v>
      </x:c>
      <x:c r="I1607" s="48" t="n">
        <x:v>0.45</x:v>
      </x:c>
      <x:c r="J1607" s="48" t="n">
        <x:v>0.68</x:v>
      </x:c>
      <x:c r="K1607" s="48" t="str">
        <x:v>Yes</x:v>
      </x:c>
      <x:c r="L1607" s="48" t="str">
        <x:v>PDF text</x:v>
      </x:c>
    </x:row>
    <x:row r="1608">
      <x:c r="A1608" s="48" t="str">
        <x:v>UNI-1607</x:v>
      </x:c>
      <x:c r="B1608" s="48" t="str">
        <x:v>YELLOW</x:v>
      </x:c>
      <x:c r="C1608" s="48" t="str">
        <x:v>English</x:v>
      </x:c>
      <x:c r="D1608" s="48" t="n">
        <x:v>37</x:v>
      </x:c>
      <x:c r="E1608" s="48" t="str"/>
      <x:c r="F1608" s="48" t="str">
        <x:v>For each part of the Works, and except to the extent that the prior approval or consent of the Engineer shall have been obtained: (a) in the case of a Contractor's Document which has (as specified) been submitted for the Engineer's approval: (i) the Engineer shall give notice to the Contractor that the Contractor's</x:v>
      </x:c>
      <x:c r="G1608" s="48" t="str">
        <x:v>Obligation</x:v>
      </x:c>
      <x:c r="H1608" s="48" t="str">
        <x:v>Contractor</x:v>
      </x:c>
      <x:c r="I1608" s="48" t="n">
        <x:v>0.88</x:v>
      </x:c>
      <x:c r="J1608" s="48" t="n">
        <x:v>0.68</x:v>
      </x:c>
      <x:c r="K1608" s="48" t="str">
        <x:v>Yes</x:v>
      </x:c>
      <x:c r="L1608" s="48" t="str">
        <x:v>PDF text</x:v>
      </x:c>
    </x:row>
    <x:row r="1609">
      <x:c r="A1609" s="48" t="str">
        <x:v>UNI-1608</x:v>
      </x:c>
      <x:c r="B1609" s="48" t="str">
        <x:v>YELLOW</x:v>
      </x:c>
      <x:c r="C1609" s="48" t="str">
        <x:v>English</x:v>
      </x:c>
      <x:c r="D1609" s="48" t="n">
        <x:v>37</x:v>
      </x:c>
      <x:c r="E1609" s="48" t="str"/>
      <x:c r="F1609" s="48" t="str">
        <x:v>Document is approved, with or without comments, or that it fails (to the</x:v>
      </x:c>
      <x:c r="G1609" s="48" t="str">
        <x:v>Obligation</x:v>
      </x:c>
      <x:c r="H1609" s="48" t="str">
        <x:v>Shared</x:v>
      </x:c>
      <x:c r="I1609" s="48" t="n">
        <x:v>0.45</x:v>
      </x:c>
      <x:c r="J1609" s="48" t="n">
        <x:v>0.4</x:v>
      </x:c>
      <x:c r="K1609" s="48" t="str">
        <x:v>Yes</x:v>
      </x:c>
      <x:c r="L1609" s="48" t="str">
        <x:v>PDF text</x:v>
      </x:c>
    </x:row>
    <x:row r="1610">
      <x:c r="A1610" s="48" t="str">
        <x:v>UNI-1609</x:v>
      </x:c>
      <x:c r="B1610" s="48" t="str">
        <x:v>YELLOW</x:v>
      </x:c>
      <x:c r="C1610" s="48" t="str">
        <x:v>English</x:v>
      </x:c>
      <x:c r="D1610" s="48" t="n">
        <x:v>37</x:v>
      </x:c>
      <x:c r="E1610" s="48" t="str"/>
      <x:c r="F1610" s="48" t="str">
        <x:v>extent stated) to comply with the Contract; (ii) execution of such part of the Works shall not commence until the Engineer has approved the Contractor's Document; and (iii) the Engineer shall be deemed to have approved the Contractor's</x:v>
      </x:c>
      <x:c r="G1610" s="48" t="str">
        <x:v>Obligation</x:v>
      </x:c>
      <x:c r="H1610" s="48" t="str">
        <x:v>Contractor</x:v>
      </x:c>
      <x:c r="I1610" s="48" t="n">
        <x:v>0.88</x:v>
      </x:c>
      <x:c r="J1610" s="48" t="n">
        <x:v>0.68</x:v>
      </x:c>
      <x:c r="K1610" s="48" t="str">
        <x:v>Yes</x:v>
      </x:c>
      <x:c r="L1610" s="48" t="str">
        <x:v>PDF text</x:v>
      </x:c>
    </x:row>
    <x:row r="1611">
      <x:c r="A1611" s="48" t="str">
        <x:v>UNI-1610</x:v>
      </x:c>
      <x:c r="B1611" s="48" t="str">
        <x:v>YELLOW</x:v>
      </x:c>
      <x:c r="C1611" s="48" t="str">
        <x:v>English</x:v>
      </x:c>
      <x:c r="D1611" s="48" t="n">
        <x:v>37</x:v>
      </x:c>
      <x:c r="E1611" s="48" t="str"/>
      <x:c r="F1611" s="48" t="str">
        <x:v>Document upon the expiry of the review periods for all the Contractor's</x:v>
      </x:c>
      <x:c r="G1611" s="48" t="str">
        <x:v>Obligation</x:v>
      </x:c>
      <x:c r="H1611" s="48" t="str">
        <x:v>Contractor</x:v>
      </x:c>
      <x:c r="I1611" s="48" t="n">
        <x:v>0.45</x:v>
      </x:c>
      <x:c r="J1611" s="48" t="n">
        <x:v>0.68</x:v>
      </x:c>
      <x:c r="K1611" s="48" t="str">
        <x:v>Yes</x:v>
      </x:c>
      <x:c r="L1611" s="48" t="str">
        <x:v>PDF text</x:v>
      </x:c>
    </x:row>
    <x:row r="1612">
      <x:c r="A1612" s="48" t="str">
        <x:v>UNI-1611</x:v>
      </x:c>
      <x:c r="B1612" s="48" t="str">
        <x:v>YELLOW</x:v>
      </x:c>
      <x:c r="C1612" s="48" t="str">
        <x:v>English</x:v>
      </x:c>
      <x:c r="D1612" s="48" t="n">
        <x:v>37</x:v>
      </x:c>
      <x:c r="E1612" s="48" t="str"/>
      <x:c r="F1612" s="48" t="str">
        <x:v>Documents which are relevant to the design and execution of such part,</x:v>
      </x:c>
      <x:c r="G1612" s="48" t="str">
        <x:v>Obligation</x:v>
      </x:c>
      <x:c r="H1612" s="48" t="str">
        <x:v>Shared</x:v>
      </x:c>
      <x:c r="I1612" s="48" t="n">
        <x:v>0.45</x:v>
      </x:c>
      <x:c r="J1612" s="48" t="n">
        <x:v>0.4</x:v>
      </x:c>
      <x:c r="K1612" s="48" t="str">
        <x:v>Yes</x:v>
      </x:c>
      <x:c r="L1612" s="48" t="str">
        <x:v>PDF text</x:v>
      </x:c>
    </x:row>
    <x:row r="1613">
      <x:c r="A1613" s="48" t="str">
        <x:v>UNI-1612</x:v>
      </x:c>
      <x:c r="B1613" s="48" t="str">
        <x:v>YELLOW</x:v>
      </x:c>
      <x:c r="C1613" s="48" t="str">
        <x:v>English</x:v>
      </x:c>
      <x:c r="D1613" s="48" t="n">
        <x:v>37</x:v>
      </x:c>
      <x:c r="E1613" s="48" t="str"/>
      <x:c r="F1613" s="48" t="str">
        <x:v>unless the Engineer has previously notified otherwise in accordance with sub-paragraph (i); (b) execution of such part of the Works shall not commence prior to the expiry of the review periods for all the Contractor's Documents which are relevant to its design and execution; (c) execution of such part of the Works shall be in accordance with these reviewed (and, if specified, approved) Contractor's Documents; and (d) if the Contractor wishes to modify any design or document which has previously been submitted for review (and, if specified, approval), the Contractor shall immediately give notice to the Engineer.</x:v>
      </x:c>
      <x:c r="G1613" s="48" t="str">
        <x:v>Obligation</x:v>
      </x:c>
      <x:c r="H1613" s="48" t="str">
        <x:v>Contractor</x:v>
      </x:c>
      <x:c r="I1613" s="48" t="n">
        <x:v>0.88</x:v>
      </x:c>
      <x:c r="J1613" s="48" t="n">
        <x:v>0.92</x:v>
      </x:c>
      <x:c r="K1613" s="48" t="str">
        <x:v>No</x:v>
      </x:c>
      <x:c r="L1613" s="48" t="str">
        <x:v>PDF text</x:v>
      </x:c>
    </x:row>
    <x:row r="1614">
      <x:c r="A1614" s="48" t="str">
        <x:v>UNI-1613</x:v>
      </x:c>
      <x:c r="B1614" s="48" t="str">
        <x:v>YELLOW</x:v>
      </x:c>
      <x:c r="C1614" s="48" t="str">
        <x:v>English</x:v>
      </x:c>
      <x:c r="D1614" s="48" t="n">
        <x:v>37</x:v>
      </x:c>
      <x:c r="E1614" s="48" t="str"/>
      <x:c r="F1614" s="48" t="str">
        <x:v>Thereafter, the</x:v>
      </x:c>
      <x:c r="G1614" s="48" t="str">
        <x:v>Obligation</x:v>
      </x:c>
      <x:c r="H1614" s="48" t="str">
        <x:v>Shared</x:v>
      </x:c>
      <x:c r="I1614" s="48" t="n">
        <x:v>0.45</x:v>
      </x:c>
      <x:c r="J1614" s="48" t="n">
        <x:v>0.4</x:v>
      </x:c>
      <x:c r="K1614" s="48" t="str">
        <x:v>Yes</x:v>
      </x:c>
      <x:c r="L1614" s="48" t="str">
        <x:v>PDF text</x:v>
      </x:c>
    </x:row>
    <x:row r="1615">
      <x:c r="A1615" s="48" t="str">
        <x:v>UNI-1614</x:v>
      </x:c>
      <x:c r="B1615" s="48" t="str">
        <x:v>YELLOW</x:v>
      </x:c>
      <x:c r="C1615" s="48" t="str">
        <x:v>English</x:v>
      </x:c>
      <x:c r="D1615" s="48" t="n">
        <x:v>37</x:v>
      </x:c>
      <x:c r="E1615" s="48" t="str"/>
      <x:c r="F1615" s="48" t="str">
        <x:v>Contractor shall submit revised documents to the Engineer in accordance with</x:v>
      </x:c>
      <x:c r="G1615" s="48" t="str">
        <x:v>Obligation</x:v>
      </x:c>
      <x:c r="H1615" s="48" t="str">
        <x:v>Contractor</x:v>
      </x:c>
      <x:c r="I1615" s="48" t="n">
        <x:v>0.88</x:v>
      </x:c>
      <x:c r="J1615" s="48" t="n">
        <x:v>0.68</x:v>
      </x:c>
      <x:c r="K1615" s="48" t="str">
        <x:v>Yes</x:v>
      </x:c>
      <x:c r="L1615" s="48" t="str">
        <x:v>PDF text</x:v>
      </x:c>
    </x:row>
    <x:row r="1616">
      <x:c r="A1616" s="48" t="str">
        <x:v>UNI-1615</x:v>
      </x:c>
      <x:c r="B1616" s="48" t="str">
        <x:v>YELLOW</x:v>
      </x:c>
      <x:c r="C1616" s="48" t="str">
        <x:v>English</x:v>
      </x:c>
      <x:c r="D1616" s="48" t="n">
        <x:v>37</x:v>
      </x:c>
      <x:c r="E1616" s="48" t="str"/>
      <x:c r="F1616" s="48" t="str">
        <x:v>the above procedure.</x:v>
      </x:c>
      <x:c r="G1616" s="48" t="str">
        <x:v>Obligation</x:v>
      </x:c>
      <x:c r="H1616" s="48" t="str">
        <x:v>Shared</x:v>
      </x:c>
      <x:c r="I1616" s="48" t="n">
        <x:v>0.45</x:v>
      </x:c>
      <x:c r="J1616" s="48" t="n">
        <x:v>0.4</x:v>
      </x:c>
      <x:c r="K1616" s="48" t="str">
        <x:v>Yes</x:v>
      </x:c>
      <x:c r="L1616" s="48" t="str">
        <x:v>PDF text</x:v>
      </x:c>
    </x:row>
    <x:row r="1617">
      <x:c r="A1617" s="48" t="str">
        <x:v>UNI-1616</x:v>
      </x:c>
      <x:c r="B1617" s="48" t="str">
        <x:v>YELLOW</x:v>
      </x:c>
      <x:c r="C1617" s="48" t="str">
        <x:v>English</x:v>
      </x:c>
      <x:c r="D1617" s="48" t="n">
        <x:v>37</x:v>
      </x:c>
      <x:c r="E1617" s="48" t="str"/>
      <x:c r="F1617" s="48" t="str">
        <x:v>If the Engineer instructs that further Contractor's Documents are required, the</x:v>
      </x:c>
      <x:c r="G1617" s="48" t="str">
        <x:v>Obligation</x:v>
      </x:c>
      <x:c r="H1617" s="48" t="str">
        <x:v>Contractor</x:v>
      </x:c>
      <x:c r="I1617" s="48" t="n">
        <x:v>0.45</x:v>
      </x:c>
      <x:c r="J1617" s="48" t="n">
        <x:v>0.68</x:v>
      </x:c>
      <x:c r="K1617" s="48" t="str">
        <x:v>Yes</x:v>
      </x:c>
      <x:c r="L1617" s="48" t="str">
        <x:v>PDF text</x:v>
      </x:c>
    </x:row>
    <x:row r="1618">
      <x:c r="A1618" s="48" t="str">
        <x:v>UNI-1617</x:v>
      </x:c>
      <x:c r="B1618" s="48" t="str">
        <x:v>YELLOW</x:v>
      </x:c>
      <x:c r="C1618" s="48" t="str">
        <x:v>English</x:v>
      </x:c>
      <x:c r="D1618" s="48" t="n">
        <x:v>37</x:v>
      </x:c>
      <x:c r="E1618" s="48" t="str"/>
      <x:c r="F1618" s="48" t="str">
        <x:v>Contractor shall prepare them promptly.</x:v>
      </x:c>
      <x:c r="G1618" s="48" t="str">
        <x:v>Obligation</x:v>
      </x:c>
      <x:c r="H1618" s="48" t="str">
        <x:v>Contractor</x:v>
      </x:c>
      <x:c r="I1618" s="48" t="n">
        <x:v>0.88</x:v>
      </x:c>
      <x:c r="J1618" s="48" t="n">
        <x:v>0.68</x:v>
      </x:c>
      <x:c r="K1618" s="48" t="str">
        <x:v>Yes</x:v>
      </x:c>
      <x:c r="L1618" s="48" t="str">
        <x:v>PDF text</x:v>
      </x:c>
    </x:row>
    <x:row r="1619">
      <x:c r="A1619" s="48" t="str">
        <x:v>UNI-1618</x:v>
      </x:c>
      <x:c r="B1619" s="48" t="str">
        <x:v>YELLOW</x:v>
      </x:c>
      <x:c r="C1619" s="48" t="str">
        <x:v>English</x:v>
      </x:c>
      <x:c r="D1619" s="48" t="n">
        <x:v>38</x:v>
      </x:c>
      <x:c r="E1619" s="48" t="str"/>
      <x:c r="F1619" s="48" t="str">
        <x:v>Contractor's Undertaking</x:v>
      </x:c>
      <x:c r="G1619" s="48" t="str">
        <x:v>Obligation</x:v>
      </x:c>
      <x:c r="H1619" s="48" t="str">
        <x:v>Contractor</x:v>
      </x:c>
      <x:c r="I1619" s="48" t="n">
        <x:v>0.45</x:v>
      </x:c>
      <x:c r="J1619" s="48" t="n">
        <x:v>0.68</x:v>
      </x:c>
      <x:c r="K1619" s="48" t="str">
        <x:v>Yes</x:v>
      </x:c>
      <x:c r="L1619" s="48" t="str">
        <x:v>PDF text</x:v>
      </x:c>
    </x:row>
    <x:row r="1620">
      <x:c r="A1620" s="48" t="str">
        <x:v>UNI-1619</x:v>
      </x:c>
      <x:c r="B1620" s="48" t="str">
        <x:v>YELLOW</x:v>
      </x:c>
      <x:c r="C1620" s="48" t="str">
        <x:v>English</x:v>
      </x:c>
      <x:c r="D1620" s="48" t="n">
        <x:v>38</x:v>
      </x:c>
      <x:c r="E1620" s="48" t="str"/>
      <x:c r="F1620" s="48" t="str">
        <x:v>Technical Standards and</x:v>
      </x:c>
      <x:c r="G1620" s="48" t="str">
        <x:v>Obligation</x:v>
      </x:c>
      <x:c r="H1620" s="48" t="str">
        <x:v>Shared</x:v>
      </x:c>
      <x:c r="I1620" s="48" t="n">
        <x:v>0.45</x:v>
      </x:c>
      <x:c r="J1620" s="48" t="n">
        <x:v>0.4</x:v>
      </x:c>
      <x:c r="K1620" s="48" t="str">
        <x:v>Yes</x:v>
      </x:c>
      <x:c r="L1620" s="48" t="str">
        <x:v>PDF text</x:v>
      </x:c>
    </x:row>
    <x:row r="1621">
      <x:c r="A1621" s="48" t="str">
        <x:v>UNI-1620</x:v>
      </x:c>
      <x:c r="B1621" s="48" t="str">
        <x:v>YELLOW</x:v>
      </x:c>
      <x:c r="C1621" s="48" t="str">
        <x:v>English</x:v>
      </x:c>
      <x:c r="D1621" s="48" t="n">
        <x:v>38</x:v>
      </x:c>
      <x:c r="E1621" s="48" t="str"/>
      <x:c r="F1621" s="48" t="str">
        <x:v>Regulations</x:v>
      </x:c>
      <x:c r="G1621" s="48" t="str">
        <x:v>Obligation</x:v>
      </x:c>
      <x:c r="H1621" s="48" t="str">
        <x:v>Shared</x:v>
      </x:c>
      <x:c r="I1621" s="48" t="n">
        <x:v>0.45</x:v>
      </x:c>
      <x:c r="J1621" s="48" t="n">
        <x:v>0.4</x:v>
      </x:c>
      <x:c r="K1621" s="48" t="str">
        <x:v>Yes</x:v>
      </x:c>
      <x:c r="L1621" s="48" t="str">
        <x:v>PDF text</x:v>
      </x:c>
    </x:row>
    <x:row r="1622">
      <x:c r="A1622" s="48" t="str">
        <x:v>UNI-1621</x:v>
      </x:c>
      <x:c r="B1622" s="48" t="str">
        <x:v>YELLOW</x:v>
      </x:c>
      <x:c r="C1622" s="48" t="str">
        <x:v>English</x:v>
      </x:c>
      <x:c r="D1622" s="48" t="n">
        <x:v>38</x:v>
      </x:c>
      <x:c r="E1622" s="48" t="str"/>
      <x:c r="F1622" s="48" t="str">
        <x:v>Training</x:v>
      </x:c>
      <x:c r="G1622" s="48" t="str">
        <x:v>Obligation</x:v>
      </x:c>
      <x:c r="H1622" s="48" t="str">
        <x:v>Shared</x:v>
      </x:c>
      <x:c r="I1622" s="48" t="n">
        <x:v>0.45</x:v>
      </x:c>
      <x:c r="J1622" s="48" t="n">
        <x:v>0.4</x:v>
      </x:c>
      <x:c r="K1622" s="48" t="str">
        <x:v>Yes</x:v>
      </x:c>
      <x:c r="L1622" s="48" t="str">
        <x:v>PDF text</x:v>
      </x:c>
    </x:row>
    <x:row r="1623">
      <x:c r="A1623" s="48" t="str">
        <x:v>UNI-1622</x:v>
      </x:c>
      <x:c r="B1623" s="48" t="str">
        <x:v>YELLOW</x:v>
      </x:c>
      <x:c r="C1623" s="48" t="str">
        <x:v>English</x:v>
      </x:c>
      <x:c r="D1623" s="48" t="n">
        <x:v>38</x:v>
      </x:c>
      <x:c r="E1623" s="48" t="str"/>
      <x:c r="F1623" s="48" t="str">
        <x:v>As-Built Documents</x:v>
      </x:c>
      <x:c r="G1623" s="48" t="str">
        <x:v>Obligation</x:v>
      </x:c>
      <x:c r="H1623" s="48" t="str">
        <x:v>Shared</x:v>
      </x:c>
      <x:c r="I1623" s="48" t="n">
        <x:v>0.45</x:v>
      </x:c>
      <x:c r="J1623" s="48" t="n">
        <x:v>0.4</x:v>
      </x:c>
      <x:c r="K1623" s="48" t="str">
        <x:v>Yes</x:v>
      </x:c>
      <x:c r="L1623" s="48" t="str">
        <x:v>PDF text</x:v>
      </x:c>
    </x:row>
    <x:row r="1624">
      <x:c r="A1624" s="48" t="str">
        <x:v>UNI-1623</x:v>
      </x:c>
      <x:c r="B1624" s="48" t="str">
        <x:v>YELLOW</x:v>
      </x:c>
      <x:c r="C1624" s="48" t="str">
        <x:v>English</x:v>
      </x:c>
      <x:c r="D1624" s="48" t="n">
        <x:v>38</x:v>
      </x:c>
      <x:c r="E1624" s="48" t="str"/>
      <x:c r="F1624" s="48" t="str">
        <x:v>Any such approval or consent, or any review (under this Sub-Clause or otherwise),</x:v>
      </x:c>
      <x:c r="G1624" s="48" t="str">
        <x:v>Obligation</x:v>
      </x:c>
      <x:c r="H1624" s="48" t="str">
        <x:v>Shared</x:v>
      </x:c>
      <x:c r="I1624" s="48" t="n">
        <x:v>0.45</x:v>
      </x:c>
      <x:c r="J1624" s="48" t="n">
        <x:v>0.4</x:v>
      </x:c>
      <x:c r="K1624" s="48" t="str">
        <x:v>Yes</x:v>
      </x:c>
      <x:c r="L1624" s="48" t="str">
        <x:v>PDF text</x:v>
      </x:c>
    </x:row>
    <x:row r="1625">
      <x:c r="A1625" s="48" t="str">
        <x:v>UNI-1624</x:v>
      </x:c>
      <x:c r="B1625" s="48" t="str">
        <x:v>YELLOW</x:v>
      </x:c>
      <x:c r="C1625" s="48" t="str">
        <x:v>English</x:v>
      </x:c>
      <x:c r="D1625" s="48" t="n">
        <x:v>38</x:v>
      </x:c>
      <x:c r="E1625" s="48" t="str"/>
      <x:c r="F1625" s="48" t="str">
        <x:v>shall not relieve the Contractor from any obligation or responsibility</x:v>
      </x:c>
      <x:c r="G1625" s="48" t="str">
        <x:v>Obligation</x:v>
      </x:c>
      <x:c r="H1625" s="48" t="str">
        <x:v>Contractor</x:v>
      </x:c>
      <x:c r="I1625" s="48" t="n">
        <x:v>0.88</x:v>
      </x:c>
      <x:c r="J1625" s="48" t="n">
        <x:v>0.68</x:v>
      </x:c>
      <x:c r="K1625" s="48" t="str">
        <x:v>Yes</x:v>
      </x:c>
      <x:c r="L1625" s="48" t="str">
        <x:v>PDF text</x:v>
      </x:c>
    </x:row>
    <x:row r="1626">
      <x:c r="A1626" s="48" t="str">
        <x:v>UNI-1625</x:v>
      </x:c>
      <x:c r="B1626" s="48" t="str">
        <x:v>YELLOW</x:v>
      </x:c>
      <x:c r="C1626" s="48" t="str">
        <x:v>English</x:v>
      </x:c>
      <x:c r="D1626" s="48" t="n">
        <x:v>38</x:v>
      </x:c>
      <x:c r="E1626" s="48" t="str"/>
      <x:c r="F1626" s="48" t="str">
        <x:v>The Contractor undertakes that the design, the Contractor's Documents, the</x:v>
      </x:c>
      <x:c r="G1626" s="48" t="str">
        <x:v>Obligation</x:v>
      </x:c>
      <x:c r="H1626" s="48" t="str">
        <x:v>Contractor</x:v>
      </x:c>
      <x:c r="I1626" s="48" t="n">
        <x:v>0.45</x:v>
      </x:c>
      <x:c r="J1626" s="48" t="n">
        <x:v>0.68</x:v>
      </x:c>
      <x:c r="K1626" s="48" t="str">
        <x:v>Yes</x:v>
      </x:c>
      <x:c r="L1626" s="48" t="str">
        <x:v>PDF text</x:v>
      </x:c>
    </x:row>
    <x:row r="1627">
      <x:c r="A1627" s="48" t="str">
        <x:v>UNI-1626</x:v>
      </x:c>
      <x:c r="B1627" s="48" t="str">
        <x:v>YELLOW</x:v>
      </x:c>
      <x:c r="C1627" s="48" t="str">
        <x:v>English</x:v>
      </x:c>
      <x:c r="D1627" s="48" t="n">
        <x:v>38</x:v>
      </x:c>
      <x:c r="E1627" s="48" t="str"/>
      <x:c r="F1627" s="48" t="str">
        <x:v>execution and the completed Works will be in accordance with: (a) the Laws in the Country, and (b) the documents forming the Contract, as altered or modified by Variations.</x:v>
      </x:c>
      <x:c r="G1627" s="48" t="str">
        <x:v>Obligation</x:v>
      </x:c>
      <x:c r="H1627" s="48" t="str">
        <x:v>Shared</x:v>
      </x:c>
      <x:c r="I1627" s="48" t="n">
        <x:v>0.45</x:v>
      </x:c>
      <x:c r="J1627" s="48" t="n">
        <x:v>0.4</x:v>
      </x:c>
      <x:c r="K1627" s="48" t="str">
        <x:v>Yes</x:v>
      </x:c>
      <x:c r="L1627" s="48" t="str">
        <x:v>PDF text</x:v>
      </x:c>
    </x:row>
    <x:row r="1628">
      <x:c r="A1628" s="48" t="str">
        <x:v>UNI-1627</x:v>
      </x:c>
      <x:c r="B1628" s="48" t="str">
        <x:v>YELLOW</x:v>
      </x:c>
      <x:c r="C1628" s="48" t="str">
        <x:v>English</x:v>
      </x:c>
      <x:c r="D1628" s="48" t="n">
        <x:v>38</x:v>
      </x:c>
      <x:c r="E1628" s="48" t="str"/>
      <x:c r="F1628" s="48" t="str">
        <x:v>The design, the Contractor's Documents, the execution and the completed Works</x:v>
      </x:c>
      <x:c r="G1628" s="48" t="str">
        <x:v>Obligation</x:v>
      </x:c>
      <x:c r="H1628" s="48" t="str">
        <x:v>Contractor</x:v>
      </x:c>
      <x:c r="I1628" s="48" t="n">
        <x:v>0.45</x:v>
      </x:c>
      <x:c r="J1628" s="48" t="n">
        <x:v>0.68</x:v>
      </x:c>
      <x:c r="K1628" s="48" t="str">
        <x:v>Yes</x:v>
      </x:c>
      <x:c r="L1628" s="48" t="str">
        <x:v>PDF text</x:v>
      </x:c>
    </x:row>
    <x:row r="1629">
      <x:c r="A1629" s="48" t="str">
        <x:v>UNI-1628</x:v>
      </x:c>
      <x:c r="B1629" s="48" t="str">
        <x:v>YELLOW</x:v>
      </x:c>
      <x:c r="C1629" s="48" t="str">
        <x:v>English</x:v>
      </x:c>
      <x:c r="D1629" s="48" t="n">
        <x:v>38</x:v>
      </x:c>
      <x:c r="E1629" s="48" t="str"/>
      <x:c r="F1629" s="48" t="str">
        <x:v>shall comply with the Country's technical standards, building, construction and environmental Laws, Laws applicable to the product being produced from the Works, and other standards specified in the Employer's Requirements, applicable to the Works, or defined by the applicable Laws.</x:v>
      </x:c>
      <x:c r="G1629" s="48" t="str">
        <x:v>Obligation</x:v>
      </x:c>
      <x:c r="H1629" s="48" t="str">
        <x:v>Employer</x:v>
      </x:c>
      <x:c r="I1629" s="48" t="n">
        <x:v>0.88</x:v>
      </x:c>
      <x:c r="J1629" s="48" t="n">
        <x:v>0.68</x:v>
      </x:c>
      <x:c r="K1629" s="48" t="str">
        <x:v>Yes</x:v>
      </x:c>
      <x:c r="L1629" s="48" t="str">
        <x:v>PDF text</x:v>
      </x:c>
    </x:row>
    <x:row r="1630">
      <x:c r="A1630" s="48" t="str">
        <x:v>UNI-1629</x:v>
      </x:c>
      <x:c r="B1630" s="48" t="str">
        <x:v>YELLOW</x:v>
      </x:c>
      <x:c r="C1630" s="48" t="str">
        <x:v>English</x:v>
      </x:c>
      <x:c r="D1630" s="48" t="n">
        <x:v>38</x:v>
      </x:c>
      <x:c r="E1630" s="48" t="str"/>
      <x:c r="F1630" s="48" t="str">
        <x:v>All these Laws shall, in respect of the Works and each Section, be those prevailing when the Works or Section are taken over by the Employer under Clause 10 [Employer's Taking Over].</x:v>
      </x:c>
      <x:c r="G1630" s="48" t="str">
        <x:v>Obligation</x:v>
      </x:c>
      <x:c r="H1630" s="48" t="str">
        <x:v>Employer</x:v>
      </x:c>
      <x:c r="I1630" s="48" t="n">
        <x:v>0.88</x:v>
      </x:c>
      <x:c r="J1630" s="48" t="n">
        <x:v>0.68</x:v>
      </x:c>
      <x:c r="K1630" s="48" t="str">
        <x:v>Yes</x:v>
      </x:c>
      <x:c r="L1630" s="48" t="str">
        <x:v>PDF text</x:v>
      </x:c>
    </x:row>
    <x:row r="1631">
      <x:c r="A1631" s="48" t="str">
        <x:v>UNI-1630</x:v>
      </x:c>
      <x:c r="B1631" s="48" t="str">
        <x:v>YELLOW</x:v>
      </x:c>
      <x:c r="C1631" s="48" t="str">
        <x:v>English</x:v>
      </x:c>
      <x:c r="D1631" s="48" t="n">
        <x:v>38</x:v>
      </x:c>
      <x:c r="E1631" s="48" t="str"/>
      <x:c r="F1631" s="48" t="str">
        <x:v>References in the Contract to published standards shall be understood to be references to the edition applicable on the Base Date, unless stated otherwise.</x:v>
      </x:c>
      <x:c r="G1631" s="48" t="str">
        <x:v>Obligation</x:v>
      </x:c>
      <x:c r="H1631" s="48" t="str">
        <x:v>Shared</x:v>
      </x:c>
      <x:c r="I1631" s="48" t="n">
        <x:v>0.88</x:v>
      </x:c>
      <x:c r="J1631" s="48" t="n">
        <x:v>0.4</x:v>
      </x:c>
      <x:c r="K1631" s="48" t="str">
        <x:v>Yes</x:v>
      </x:c>
      <x:c r="L1631" s="48" t="str">
        <x:v>PDF text</x:v>
      </x:c>
    </x:row>
    <x:row r="1632">
      <x:c r="A1632" s="48" t="str">
        <x:v>UNI-1631</x:v>
      </x:c>
      <x:c r="B1632" s="48" t="str">
        <x:v>YELLOW</x:v>
      </x:c>
      <x:c r="C1632" s="48" t="str">
        <x:v>English</x:v>
      </x:c>
      <x:c r="D1632" s="48" t="n">
        <x:v>38</x:v>
      </x:c>
      <x:c r="E1632" s="48" t="str"/>
      <x:c r="F1632" s="48" t="str">
        <x:v>If changed or new applicable standards come into force in the Country after the Base Date, the Contractor shall give notice to the Engineer and (if appropriate) submit proposals for compliance.</x:v>
      </x:c>
      <x:c r="G1632" s="48" t="str">
        <x:v>Obligation</x:v>
      </x:c>
      <x:c r="H1632" s="48" t="str">
        <x:v>Contractor</x:v>
      </x:c>
      <x:c r="I1632" s="48" t="n">
        <x:v>0.88</x:v>
      </x:c>
      <x:c r="J1632" s="48" t="n">
        <x:v>0.92</x:v>
      </x:c>
      <x:c r="K1632" s="48" t="str">
        <x:v>No</x:v>
      </x:c>
      <x:c r="L1632" s="48" t="str">
        <x:v>PDF text</x:v>
      </x:c>
    </x:row>
    <x:row r="1633">
      <x:c r="A1633" s="48" t="str">
        <x:v>UNI-1632</x:v>
      </x:c>
      <x:c r="B1633" s="48" t="str">
        <x:v>YELLOW</x:v>
      </x:c>
      <x:c r="C1633" s="48" t="str">
        <x:v>English</x:v>
      </x:c>
      <x:c r="D1633" s="48" t="n">
        <x:v>38</x:v>
      </x:c>
      <x:c r="E1633" s="48" t="str"/>
      <x:c r="F1633" s="48" t="str">
        <x:v>In the event that: (a) the Engineer determines that compliance is required, and (b) the proposals for compliance constitute a variation, then the Engineer shall initiate a Variation in accordance with Clause 13 [Variations and Adjustments].</x:v>
      </x:c>
      <x:c r="G1633" s="48" t="str">
        <x:v>Obligation</x:v>
      </x:c>
      <x:c r="H1633" s="48" t="str">
        <x:v>Shared</x:v>
      </x:c>
      <x:c r="I1633" s="48" t="n">
        <x:v>0.88</x:v>
      </x:c>
      <x:c r="J1633" s="48" t="n">
        <x:v>0.4</x:v>
      </x:c>
      <x:c r="K1633" s="48" t="str">
        <x:v>Yes</x:v>
      </x:c>
      <x:c r="L1633" s="48" t="str">
        <x:v>PDF text</x:v>
      </x:c>
    </x:row>
    <x:row r="1634">
      <x:c r="A1634" s="48" t="str">
        <x:v>UNI-1633</x:v>
      </x:c>
      <x:c r="B1634" s="48" t="str">
        <x:v>YELLOW</x:v>
      </x:c>
      <x:c r="C1634" s="48" t="str">
        <x:v>English</x:v>
      </x:c>
      <x:c r="D1634" s="48" t="n">
        <x:v>38</x:v>
      </x:c>
      <x:c r="E1634" s="48" t="str"/>
      <x:c r="F1634" s="48" t="str">
        <x:v>The Contractor shall carry out the training of Employer's Personnel in the operation and maintenance of the Works to the extent specified in the Employer's Requirements.</x:v>
      </x:c>
      <x:c r="G1634" s="48" t="str">
        <x:v>Obligation</x:v>
      </x:c>
      <x:c r="H1634" s="48" t="str">
        <x:v>Contractor</x:v>
      </x:c>
      <x:c r="I1634" s="48" t="n">
        <x:v>0.88</x:v>
      </x:c>
      <x:c r="J1634" s="48" t="n">
        <x:v>0.92</x:v>
      </x:c>
      <x:c r="K1634" s="48" t="str">
        <x:v>No</x:v>
      </x:c>
      <x:c r="L1634" s="48" t="str">
        <x:v>PDF text</x:v>
      </x:c>
    </x:row>
    <x:row r="1635">
      <x:c r="A1635" s="48" t="str">
        <x:v>UNI-1634</x:v>
      </x:c>
      <x:c r="B1635" s="48" t="str">
        <x:v>YELLOW</x:v>
      </x:c>
      <x:c r="C1635" s="48" t="str">
        <x:v>English</x:v>
      </x:c>
      <x:c r="D1635" s="48" t="n">
        <x:v>38</x:v>
      </x:c>
      <x:c r="E1635" s="48" t="str"/>
      <x:c r="F1635" s="48" t="str">
        <x:v>If the Contract specifies training which is to be carried out before taking-over, the Works shall not be considered to be completed for the purposes of taking-over under Sub-Clause 10.1 [Taking Over of the Works and Sections] until this training has been completed.</x:v>
      </x:c>
      <x:c r="G1635" s="48" t="str">
        <x:v>Obligation</x:v>
      </x:c>
      <x:c r="H1635" s="48" t="str">
        <x:v>Shared</x:v>
      </x:c>
      <x:c r="I1635" s="48" t="n">
        <x:v>0.88</x:v>
      </x:c>
      <x:c r="J1635" s="48" t="n">
        <x:v>0.4</x:v>
      </x:c>
      <x:c r="K1635" s="48" t="str">
        <x:v>Yes</x:v>
      </x:c>
      <x:c r="L1635" s="48" t="str">
        <x:v>PDF text</x:v>
      </x:c>
    </x:row>
    <x:row r="1636">
      <x:c r="A1636" s="48" t="str">
        <x:v>UNI-1635</x:v>
      </x:c>
      <x:c r="B1636" s="48" t="str">
        <x:v>YELLOW</x:v>
      </x:c>
      <x:c r="C1636" s="48" t="str">
        <x:v>English</x:v>
      </x:c>
      <x:c r="D1636" s="48" t="n">
        <x:v>38</x:v>
      </x:c>
      <x:c r="E1636" s="48" t="str"/>
      <x:c r="F1636" s="48" t="str">
        <x:v>The Contractor shall prepare, and keep up-to-date, a complete set of "as-built" records of the execution of the Works, showing the exact as-built locations, sizes and details of the work as executed.</x:v>
      </x:c>
      <x:c r="G1636" s="48" t="str">
        <x:v>Obligation</x:v>
      </x:c>
      <x:c r="H1636" s="48" t="str">
        <x:v>Contractor</x:v>
      </x:c>
      <x:c r="I1636" s="48" t="n">
        <x:v>0.88</x:v>
      </x:c>
      <x:c r="J1636" s="48" t="n">
        <x:v>0.92</x:v>
      </x:c>
      <x:c r="K1636" s="48" t="str">
        <x:v>No</x:v>
      </x:c>
      <x:c r="L1636" s="48" t="str">
        <x:v>PDF text</x:v>
      </x:c>
    </x:row>
    <x:row r="1637">
      <x:c r="A1637" s="48" t="str">
        <x:v>UNI-1636</x:v>
      </x:c>
      <x:c r="B1637" s="48" t="str">
        <x:v>YELLOW</x:v>
      </x:c>
      <x:c r="C1637" s="48" t="str">
        <x:v>English</x:v>
      </x:c>
      <x:c r="D1637" s="48" t="n">
        <x:v>38</x:v>
      </x:c>
      <x:c r="E1637" s="48" t="str"/>
      <x:c r="F1637" s="48" t="str">
        <x:v>These records shall be kept on the Site and shall be used exclusively for the purposes of this Sub-Clause.</x:v>
      </x:c>
      <x:c r="G1637" s="48" t="str">
        <x:v>Obligation</x:v>
      </x:c>
      <x:c r="H1637" s="48" t="str">
        <x:v>Shared</x:v>
      </x:c>
      <x:c r="I1637" s="48" t="n">
        <x:v>0.88</x:v>
      </x:c>
      <x:c r="J1637" s="48" t="n">
        <x:v>0.4</x:v>
      </x:c>
      <x:c r="K1637" s="48" t="str">
        <x:v>Yes</x:v>
      </x:c>
      <x:c r="L1637" s="48" t="str">
        <x:v>PDF text</x:v>
      </x:c>
    </x:row>
    <x:row r="1638">
      <x:c r="A1638" s="48" t="str">
        <x:v>UNI-1637</x:v>
      </x:c>
      <x:c r="B1638" s="48" t="str">
        <x:v>YELLOW</x:v>
      </x:c>
      <x:c r="C1638" s="48" t="str">
        <x:v>English</x:v>
      </x:c>
      <x:c r="D1638" s="48" t="n">
        <x:v>38</x:v>
      </x:c>
      <x:c r="E1638" s="48" t="str"/>
      <x:c r="F1638" s="48" t="str">
        <x:v>Two copies shall be supplied to the Engineer prior to the commencement of the Tests on Completion.</x:v>
      </x:c>
      <x:c r="G1638" s="48" t="str">
        <x:v>Obligation</x:v>
      </x:c>
      <x:c r="H1638" s="48" t="str">
        <x:v>Shared</x:v>
      </x:c>
      <x:c r="I1638" s="48" t="n">
        <x:v>0.88</x:v>
      </x:c>
      <x:c r="J1638" s="48" t="n">
        <x:v>0.4</x:v>
      </x:c>
      <x:c r="K1638" s="48" t="str">
        <x:v>Yes</x:v>
      </x:c>
      <x:c r="L1638" s="48" t="str">
        <x:v>PDF text</x:v>
      </x:c>
    </x:row>
    <x:row r="1639">
      <x:c r="A1639" s="48" t="str">
        <x:v>UNI-1638</x:v>
      </x:c>
      <x:c r="B1639" s="48" t="str">
        <x:v>YELLOW</x:v>
      </x:c>
      <x:c r="C1639" s="48" t="str">
        <x:v>English</x:v>
      </x:c>
      <x:c r="D1639" s="48" t="n">
        <x:v>38</x:v>
      </x:c>
      <x:c r="E1639" s="48" t="str"/>
      <x:c r="F1639" s="48" t="str">
        <x:v>In addition, the Contractor shall supply to the Engineer as-built drawings of the Works, showing all Works as executed, and submit them to the Engineer for review under Sub-Clause 5.2 [Contractor's Documents].</x:v>
      </x:c>
      <x:c r="G1639" s="48" t="str">
        <x:v>Obligation</x:v>
      </x:c>
      <x:c r="H1639" s="48" t="str">
        <x:v>Contractor</x:v>
      </x:c>
      <x:c r="I1639" s="48" t="n">
        <x:v>0.88</x:v>
      </x:c>
      <x:c r="J1639" s="48" t="n">
        <x:v>0.92</x:v>
      </x:c>
      <x:c r="K1639" s="48" t="str">
        <x:v>No</x:v>
      </x:c>
      <x:c r="L1639" s="48" t="str">
        <x:v>PDF text</x:v>
      </x:c>
    </x:row>
    <x:row r="1640">
      <x:c r="A1640" s="48" t="str">
        <x:v>UNI-1639</x:v>
      </x:c>
      <x:c r="B1640" s="48" t="str">
        <x:v>YELLOW</x:v>
      </x:c>
      <x:c r="C1640" s="48" t="str">
        <x:v>English</x:v>
      </x:c>
      <x:c r="D1640" s="48" t="n">
        <x:v>38</x:v>
      </x:c>
      <x:c r="E1640" s="48" t="str"/>
      <x:c r="F1640" s="48" t="str">
        <x:v>The Contractor shall obtain the consent of the Engineer as to their size, the referencing system, and other relevant details.</x:v>
      </x:c>
      <x:c r="G1640" s="48" t="str">
        <x:v>Obligation</x:v>
      </x:c>
      <x:c r="H1640" s="48" t="str">
        <x:v>Contractor</x:v>
      </x:c>
      <x:c r="I1640" s="48" t="n">
        <x:v>0.88</x:v>
      </x:c>
      <x:c r="J1640" s="48" t="n">
        <x:v>0.92</x:v>
      </x:c>
      <x:c r="K1640" s="48" t="str">
        <x:v>No</x:v>
      </x:c>
      <x:c r="L1640" s="48" t="str">
        <x:v>PDF text</x:v>
      </x:c>
    </x:row>
    <x:row r="1641">
      <x:c r="A1641" s="48" t="str">
        <x:v>UNI-1640</x:v>
      </x:c>
      <x:c r="B1641" s="48" t="str">
        <x:v>YELLOW</x:v>
      </x:c>
      <x:c r="C1641" s="48" t="str">
        <x:v>English</x:v>
      </x:c>
      <x:c r="D1641" s="48" t="n">
        <x:v>38</x:v>
      </x:c>
      <x:c r="E1641" s="48" t="str"/>
      <x:c r="F1641" s="48" t="str">
        <x:v>Prior to the issue of any Taking-Over Certificate, the Contractor shall supply to the Engineer the specified numbers and types of copies of the relevant as-built drawings, in accordance with the Employer's Requirements.</x:v>
      </x:c>
      <x:c r="G1641" s="48" t="str">
        <x:v>Obligation</x:v>
      </x:c>
      <x:c r="H1641" s="48" t="str">
        <x:v>Contractor</x:v>
      </x:c>
      <x:c r="I1641" s="48" t="n">
        <x:v>0.88</x:v>
      </x:c>
      <x:c r="J1641" s="48" t="n">
        <x:v>0.92</x:v>
      </x:c>
      <x:c r="K1641" s="48" t="str">
        <x:v>No</x:v>
      </x:c>
      <x:c r="L1641" s="48" t="str">
        <x:v>PDF text</x:v>
      </x:c>
    </x:row>
    <x:row r="1642">
      <x:c r="A1642" s="48" t="str">
        <x:v>UNI-1641</x:v>
      </x:c>
      <x:c r="B1642" s="48" t="str">
        <x:v>YELLOW</x:v>
      </x:c>
      <x:c r="C1642" s="48" t="str">
        <x:v>English</x:v>
      </x:c>
      <x:c r="D1642" s="48" t="n">
        <x:v>38</x:v>
      </x:c>
      <x:c r="E1642" s="48" t="str"/>
      <x:c r="F1642" s="48" t="str">
        <x:v>The Works shall not be considered</x:v>
      </x:c>
      <x:c r="G1642" s="48" t="str">
        <x:v>Obligation</x:v>
      </x:c>
      <x:c r="H1642" s="48" t="str">
        <x:v>Shared</x:v>
      </x:c>
      <x:c r="I1642" s="48" t="n">
        <x:v>0.88</x:v>
      </x:c>
      <x:c r="J1642" s="48" t="n">
        <x:v>0.4</x:v>
      </x:c>
      <x:c r="K1642" s="48" t="str">
        <x:v>Yes</x:v>
      </x:c>
      <x:c r="L1642" s="48" t="str">
        <x:v>PDF text</x:v>
      </x:c>
    </x:row>
    <x:row r="1643">
      <x:c r="A1643" s="48" t="str">
        <x:v>UNI-1642</x:v>
      </x:c>
      <x:c r="B1643" s="48" t="str">
        <x:v>YELLOW</x:v>
      </x:c>
      <x:c r="C1643" s="48" t="str">
        <x:v>English</x:v>
      </x:c>
      <x:c r="D1643" s="48" t="n">
        <x:v>39</x:v>
      </x:c>
      <x:c r="E1643" s="48" t="str"/>
      <x:c r="F1643" s="48" t="str">
        <x:v>to be completed for the purposes of taking-over under Sub-Clause 10.1 [Taking Over of the Works and Sections] until the Engineer has received these documents.</x:v>
      </x:c>
      <x:c r="G1643" s="48" t="str">
        <x:v>Obligation</x:v>
      </x:c>
      <x:c r="H1643" s="48" t="str">
        <x:v>Shared</x:v>
      </x:c>
      <x:c r="I1643" s="48" t="n">
        <x:v>0.45</x:v>
      </x:c>
      <x:c r="J1643" s="48" t="n">
        <x:v>0.4</x:v>
      </x:c>
      <x:c r="K1643" s="48" t="str">
        <x:v>Yes</x:v>
      </x:c>
      <x:c r="L1643" s="48" t="str">
        <x:v>PDF text</x:v>
      </x:c>
    </x:row>
    <x:row r="1644">
      <x:c r="A1644" s="48" t="str">
        <x:v>UNI-1643</x:v>
      </x:c>
      <x:c r="B1644" s="48" t="str">
        <x:v>YELLOW</x:v>
      </x:c>
      <x:c r="C1644" s="48" t="str">
        <x:v>English</x:v>
      </x:c>
      <x:c r="D1644" s="48" t="n">
        <x:v>39</x:v>
      </x:c>
      <x:c r="E1644" s="48" t="str"/>
      <x:c r="F1644" s="48" t="str">
        <x:v>Prior to commencement of the Tests on Completion, the Contractor shall supply to</x:v>
      </x:c>
      <x:c r="G1644" s="48" t="str">
        <x:v>Obligation</x:v>
      </x:c>
      <x:c r="H1644" s="48" t="str">
        <x:v>Contractor</x:v>
      </x:c>
      <x:c r="I1644" s="48" t="n">
        <x:v>0.88</x:v>
      </x:c>
      <x:c r="J1644" s="48" t="n">
        <x:v>0.92</x:v>
      </x:c>
      <x:c r="K1644" s="48" t="str">
        <x:v>No</x:v>
      </x:c>
      <x:c r="L1644" s="48" t="str">
        <x:v>PDF text</x:v>
      </x:c>
    </x:row>
    <x:row r="1645">
      <x:c r="A1645" s="48" t="str">
        <x:v>UNI-1644</x:v>
      </x:c>
      <x:c r="B1645" s="48" t="str">
        <x:v>YELLOW</x:v>
      </x:c>
      <x:c r="C1645" s="48" t="str">
        <x:v>English</x:v>
      </x:c>
      <x:c r="D1645" s="48" t="n">
        <x:v>39</x:v>
      </x:c>
      <x:c r="E1645" s="48" t="str"/>
      <x:c r="F1645" s="48" t="str">
        <x:v>the Engineer provisional operation and maintenance manuals in sufficient detail for the Employer to operate, maintain, dismantle, reassemble, adjust and repair the Plant.</x:v>
      </x:c>
      <x:c r="G1645" s="48" t="str">
        <x:v>Obligation</x:v>
      </x:c>
      <x:c r="H1645" s="48" t="str">
        <x:v>Employer</x:v>
      </x:c>
      <x:c r="I1645" s="48" t="n">
        <x:v>0.45</x:v>
      </x:c>
      <x:c r="J1645" s="48" t="n">
        <x:v>0.68</x:v>
      </x:c>
      <x:c r="K1645" s="48" t="str">
        <x:v>Yes</x:v>
      </x:c>
      <x:c r="L1645" s="48" t="str">
        <x:v>PDF text</x:v>
      </x:c>
    </x:row>
    <x:row r="1646">
      <x:c r="A1646" s="48" t="str">
        <x:v>UNI-1645</x:v>
      </x:c>
      <x:c r="B1646" s="48" t="str">
        <x:v>YELLOW</x:v>
      </x:c>
      <x:c r="C1646" s="48" t="str">
        <x:v>English</x:v>
      </x:c>
      <x:c r="D1646" s="48" t="n">
        <x:v>39</x:v>
      </x:c>
      <x:c r="E1646" s="48" t="str"/>
      <x:c r="F1646" s="48" t="str">
        <x:v>The Works shall not be considered to be completed for the purposes of taking-over</x:v>
      </x:c>
      <x:c r="G1646" s="48" t="str">
        <x:v>Obligation</x:v>
      </x:c>
      <x:c r="H1646" s="48" t="str">
        <x:v>Shared</x:v>
      </x:c>
      <x:c r="I1646" s="48" t="n">
        <x:v>0.88</x:v>
      </x:c>
      <x:c r="J1646" s="48" t="n">
        <x:v>0.4</x:v>
      </x:c>
      <x:c r="K1646" s="48" t="str">
        <x:v>Yes</x:v>
      </x:c>
      <x:c r="L1646" s="48" t="str">
        <x:v>PDF text</x:v>
      </x:c>
    </x:row>
    <x:row r="1647">
      <x:c r="A1647" s="48" t="str">
        <x:v>UNI-1646</x:v>
      </x:c>
      <x:c r="B1647" s="48" t="str">
        <x:v>YELLOW</x:v>
      </x:c>
      <x:c r="C1647" s="48" t="str">
        <x:v>English</x:v>
      </x:c>
      <x:c r="D1647" s="48" t="n">
        <x:v>39</x:v>
      </x:c>
      <x:c r="E1647" s="48" t="str"/>
      <x:c r="F1647" s="48" t="str">
        <x:v>under Sub-Clause 10.1 [Taking Over of the Works and Sections] until the Engineer has received final operation and maintenance manuals in such detail, and any other manuals specified in the Employer's Requirements for these purposes.</x:v>
      </x:c>
      <x:c r="G1647" s="48" t="str">
        <x:v>Obligation</x:v>
      </x:c>
      <x:c r="H1647" s="48" t="str">
        <x:v>Employer</x:v>
      </x:c>
      <x:c r="I1647" s="48" t="n">
        <x:v>0.45</x:v>
      </x:c>
      <x:c r="J1647" s="48" t="n">
        <x:v>0.68</x:v>
      </x:c>
      <x:c r="K1647" s="48" t="str">
        <x:v>Yes</x:v>
      </x:c>
      <x:c r="L1647" s="48" t="str">
        <x:v>PDF text</x:v>
      </x:c>
    </x:row>
    <x:row r="1648">
      <x:c r="A1648" s="48" t="str">
        <x:v>UNI-1647</x:v>
      </x:c>
      <x:c r="B1648" s="48" t="str">
        <x:v>YELLOW</x:v>
      </x:c>
      <x:c r="C1648" s="48" t="str">
        <x:v>English</x:v>
      </x:c>
      <x:c r="D1648" s="48" t="n">
        <x:v>39</x:v>
      </x:c>
      <x:c r="E1648" s="48" t="str"/>
      <x:c r="F1648" s="48" t="str">
        <x:v>If errors, omissions, ambiguities, inconsistencies, inadequacies or other defects are found in the Contractor's Documents, they and the Works shall be corrected at the Contractor's cost, notwithstanding any consent or approval under this Clause.</x:v>
      </x:c>
      <x:c r="G1648" s="48" t="str">
        <x:v>Obligation</x:v>
      </x:c>
      <x:c r="H1648" s="48" t="str">
        <x:v>Contractor</x:v>
      </x:c>
      <x:c r="I1648" s="48" t="n">
        <x:v>0.88</x:v>
      </x:c>
      <x:c r="J1648" s="48" t="n">
        <x:v>0.68</x:v>
      </x:c>
      <x:c r="K1648" s="48" t="str">
        <x:v>Yes</x:v>
      </x:c>
      <x:c r="L1648" s="48" t="str">
        <x:v>PDF text</x:v>
      </x:c>
    </x:row>
    <x:row r="1649">
      <x:c r="A1649" s="48" t="str">
        <x:v>UNI-1648</x:v>
      </x:c>
      <x:c r="B1649" s="48" t="str">
        <x:v>YELLOW</x:v>
      </x:c>
      <x:c r="C1649" s="48" t="str">
        <x:v>English</x:v>
      </x:c>
      <x:c r="D1649" s="48" t="n">
        <x:v>39</x:v>
      </x:c>
      <x:c r="E1649" s="48" t="str"/>
      <x:c r="F1649" s="48" t="str">
        <x:v>Except as otherwise stated in the Employer's Requirements, the Contractor shall</x:v>
      </x:c>
      <x:c r="G1649" s="48" t="str">
        <x:v>Obligation</x:v>
      </x:c>
      <x:c r="H1649" s="48" t="str">
        <x:v>Contractor</x:v>
      </x:c>
      <x:c r="I1649" s="48" t="n">
        <x:v>0.88</x:v>
      </x:c>
      <x:c r="J1649" s="48" t="n">
        <x:v>0.92</x:v>
      </x:c>
      <x:c r="K1649" s="48" t="str">
        <x:v>No</x:v>
      </x:c>
      <x:c r="L1649" s="48" t="str">
        <x:v>PDF text</x:v>
      </x:c>
    </x:row>
    <x:row r="1650">
      <x:c r="A1650" s="48" t="str">
        <x:v>UNI-1649</x:v>
      </x:c>
      <x:c r="B1650" s="48" t="str">
        <x:v>YELLOW</x:v>
      </x:c>
      <x:c r="C1650" s="48" t="str">
        <x:v>English</x:v>
      </x:c>
      <x:c r="D1650" s="48" t="n">
        <x:v>39</x:v>
      </x:c>
      <x:c r="E1650" s="48" t="str"/>
      <x:c r="F1650" s="48" t="str">
        <x:v>make arrangements for the engagement of all staff and labour, local or otherwise, and for their payment, housing, feeding and transport.</x:v>
      </x:c>
      <x:c r="G1650" s="48" t="str">
        <x:v>Obligation</x:v>
      </x:c>
      <x:c r="H1650" s="48" t="str">
        <x:v>Shared</x:v>
      </x:c>
      <x:c r="I1650" s="48" t="n">
        <x:v>0.55</x:v>
      </x:c>
      <x:c r="J1650" s="48" t="n">
        <x:v>0.4</x:v>
      </x:c>
      <x:c r="K1650" s="48" t="str">
        <x:v>Yes</x:v>
      </x:c>
      <x:c r="L1650" s="48" t="str">
        <x:v>PDF text</x:v>
      </x:c>
    </x:row>
    <x:row r="1651">
      <x:c r="A1651" s="48" t="str">
        <x:v>UNI-1650</x:v>
      </x:c>
      <x:c r="B1651" s="48" t="str">
        <x:v>YELLOW</x:v>
      </x:c>
      <x:c r="C1651" s="48" t="str">
        <x:v>English</x:v>
      </x:c>
      <x:c r="D1651" s="48" t="n">
        <x:v>39</x:v>
      </x:c>
      <x:c r="E1651" s="48" t="str"/>
      <x:c r="F1651" s="48" t="str">
        <x:v>The Contractor shall not recruit, or attempt to recruit, staff and labour from amongst the Employer's Personnel.</x:v>
      </x:c>
      <x:c r="G1651" s="48" t="str">
        <x:v>Obligation</x:v>
      </x:c>
      <x:c r="H1651" s="48" t="str">
        <x:v>Contractor</x:v>
      </x:c>
      <x:c r="I1651" s="48" t="n">
        <x:v>0.88</x:v>
      </x:c>
      <x:c r="J1651" s="48" t="n">
        <x:v>0.92</x:v>
      </x:c>
      <x:c r="K1651" s="48" t="str">
        <x:v>No</x:v>
      </x:c>
      <x:c r="L1651" s="48" t="str">
        <x:v>PDF text</x:v>
      </x:c>
    </x:row>
    <x:row r="1652">
      <x:c r="A1652" s="48" t="str">
        <x:v>UNI-1651</x:v>
      </x:c>
      <x:c r="B1652" s="48" t="str">
        <x:v>YELLOW</x:v>
      </x:c>
      <x:c r="C1652" s="48" t="str">
        <x:v>English</x:v>
      </x:c>
      <x:c r="D1652" s="48" t="n">
        <x:v>39</x:v>
      </x:c>
      <x:c r="E1652" s="48" t="str"/>
      <x:c r="F1652" s="48" t="str">
        <x:v>Contractor's Personnel, including Laws relating to their employment, health, safety, welfare, immigration and emigration, and shall allow them all their legal rights.</x:v>
      </x:c>
      <x:c r="G1652" s="48" t="str">
        <x:v>Obligation</x:v>
      </x:c>
      <x:c r="H1652" s="48" t="str">
        <x:v>Contractor</x:v>
      </x:c>
      <x:c r="I1652" s="48" t="n">
        <x:v>0.88</x:v>
      </x:c>
      <x:c r="J1652" s="48" t="n">
        <x:v>0.68</x:v>
      </x:c>
      <x:c r="K1652" s="48" t="str">
        <x:v>Yes</x:v>
      </x:c>
      <x:c r="L1652" s="48" t="str">
        <x:v>PDF text</x:v>
      </x:c>
    </x:row>
    <x:row r="1653">
      <x:c r="A1653" s="48" t="str">
        <x:v>UNI-1652</x:v>
      </x:c>
      <x:c r="B1653" s="48" t="str">
        <x:v>YELLOW</x:v>
      </x:c>
      <x:c r="C1653" s="48" t="str">
        <x:v>English</x:v>
      </x:c>
      <x:c r="D1653" s="48" t="n">
        <x:v>39</x:v>
      </x:c>
      <x:c r="E1653" s="48" t="str"/>
      <x:c r="F1653" s="48" t="str">
        <x:v>No work shall be carried out on the Site on locally recognised days of rest, or outside the normal working hours stated in the Appendix to Tender, unless: (a) otherwise stated in the Contract, (b) the Engineer gives consent, or (c) the work is unavoidable, or necessary for the protection of life or property or for the safety of the Works, in which case the Contractor shall immediately advise the Engineer.</x:v>
      </x:c>
      <x:c r="G1653" s="48" t="str">
        <x:v>Obligation</x:v>
      </x:c>
      <x:c r="H1653" s="48" t="str">
        <x:v>Contractor</x:v>
      </x:c>
      <x:c r="I1653" s="48" t="n">
        <x:v>0.88</x:v>
      </x:c>
      <x:c r="J1653" s="48" t="n">
        <x:v>0.92</x:v>
      </x:c>
      <x:c r="K1653" s="48" t="str">
        <x:v>No</x:v>
      </x:c>
      <x:c r="L1653" s="48" t="str">
        <x:v>PDF text</x:v>
      </x:c>
    </x:row>
    <x:row r="1654">
      <x:c r="A1654" s="48" t="str">
        <x:v>UNI-1653</x:v>
      </x:c>
      <x:c r="B1654" s="48" t="str">
        <x:v>YELLOW</x:v>
      </x:c>
      <x:c r="C1654" s="48" t="str">
        <x:v>English</x:v>
      </x:c>
      <x:c r="D1654" s="48" t="n">
        <x:v>39</x:v>
      </x:c>
      <x:c r="E1654" s="48" t="str"/>
      <x:c r="F1654" s="48" t="str">
        <x:v>Operation and</x:v>
      </x:c>
      <x:c r="G1654" s="48" t="str">
        <x:v>Obligation</x:v>
      </x:c>
      <x:c r="H1654" s="48" t="str">
        <x:v>Shared</x:v>
      </x:c>
      <x:c r="I1654" s="48" t="n">
        <x:v>0.45</x:v>
      </x:c>
      <x:c r="J1654" s="48" t="n">
        <x:v>0.4</x:v>
      </x:c>
      <x:c r="K1654" s="48" t="str">
        <x:v>Yes</x:v>
      </x:c>
      <x:c r="L1654" s="48" t="str">
        <x:v>PDF text</x:v>
      </x:c>
    </x:row>
    <x:row r="1655">
      <x:c r="A1655" s="48" t="str">
        <x:v>UNI-1654</x:v>
      </x:c>
      <x:c r="B1655" s="48" t="str">
        <x:v>YELLOW</x:v>
      </x:c>
      <x:c r="C1655" s="48" t="str">
        <x:v>English</x:v>
      </x:c>
      <x:c r="D1655" s="48" t="n">
        <x:v>39</x:v>
      </x:c>
      <x:c r="E1655" s="48" t="str"/>
      <x:c r="F1655" s="48" t="str">
        <x:v>Maintenance Manuals</x:v>
      </x:c>
      <x:c r="G1655" s="48" t="str">
        <x:v>Obligation</x:v>
      </x:c>
      <x:c r="H1655" s="48" t="str">
        <x:v>Shared</x:v>
      </x:c>
      <x:c r="I1655" s="48" t="n">
        <x:v>0.45</x:v>
      </x:c>
      <x:c r="J1655" s="48" t="n">
        <x:v>0.4</x:v>
      </x:c>
      <x:c r="K1655" s="48" t="str">
        <x:v>Yes</x:v>
      </x:c>
      <x:c r="L1655" s="48" t="str">
        <x:v>PDF text</x:v>
      </x:c>
    </x:row>
    <x:row r="1656">
      <x:c r="A1656" s="48" t="str">
        <x:v>UNI-1655</x:v>
      </x:c>
      <x:c r="B1656" s="48" t="str">
        <x:v>YELLOW</x:v>
      </x:c>
      <x:c r="C1656" s="48" t="str">
        <x:v>English</x:v>
      </x:c>
      <x:c r="D1656" s="48" t="n">
        <x:v>39</x:v>
      </x:c>
      <x:c r="E1656" s="48" t="str"/>
      <x:c r="F1656" s="48" t="str">
        <x:v>Design Error</x:v>
      </x:c>
      <x:c r="G1656" s="48" t="str">
        <x:v>Obligation</x:v>
      </x:c>
      <x:c r="H1656" s="48" t="str">
        <x:v>Shared</x:v>
      </x:c>
      <x:c r="I1656" s="48" t="n">
        <x:v>0.45</x:v>
      </x:c>
      <x:c r="J1656" s="48" t="n">
        <x:v>0.4</x:v>
      </x:c>
      <x:c r="K1656" s="48" t="str">
        <x:v>Yes</x:v>
      </x:c>
      <x:c r="L1656" s="48" t="str">
        <x:v>PDF text</x:v>
      </x:c>
    </x:row>
    <x:row r="1657">
      <x:c r="A1657" s="48" t="str">
        <x:v>UNI-1656</x:v>
      </x:c>
      <x:c r="B1657" s="48" t="str">
        <x:v>YELLOW</x:v>
      </x:c>
      <x:c r="C1657" s="48" t="str">
        <x:v>English</x:v>
      </x:c>
      <x:c r="D1657" s="48" t="n">
        <x:v>40</x:v>
      </x:c>
      <x:c r="E1657" s="48" t="str"/>
      <x:c r="F1657" s="48" t="str">
        <x:v>provide and maintain all necessary accommodation and welfare facilities for the Contractor's Personnel.</x:v>
      </x:c>
      <x:c r="G1657" s="48" t="str">
        <x:v>Obligation</x:v>
      </x:c>
      <x:c r="H1657" s="48" t="str">
        <x:v>Contractor</x:v>
      </x:c>
      <x:c r="I1657" s="48" t="n">
        <x:v>0.45</x:v>
      </x:c>
      <x:c r="J1657" s="48" t="n">
        <x:v>0.68</x:v>
      </x:c>
      <x:c r="K1657" s="48" t="str">
        <x:v>Yes</x:v>
      </x:c>
      <x:c r="L1657" s="48" t="str">
        <x:v>PDF text</x:v>
      </x:c>
    </x:row>
    <x:row r="1658">
      <x:c r="A1658" s="48" t="str">
        <x:v>UNI-1657</x:v>
      </x:c>
      <x:c r="B1658" s="48" t="str">
        <x:v>YELLOW</x:v>
      </x:c>
      <x:c r="C1658" s="48" t="str">
        <x:v>English</x:v>
      </x:c>
      <x:c r="D1658" s="48" t="n">
        <x:v>40</x:v>
      </x:c>
      <x:c r="E1658" s="48" t="str"/>
      <x:c r="F1658" s="48" t="str">
        <x:v>The Contractor shall also provide facilities for the Employer's Personnel as stated in the Employer's Requirements.</x:v>
      </x:c>
      <x:c r="G1658" s="48" t="str">
        <x:v>Obligation</x:v>
      </x:c>
      <x:c r="H1658" s="48" t="str">
        <x:v>Contractor</x:v>
      </x:c>
      <x:c r="I1658" s="48" t="n">
        <x:v>0.88</x:v>
      </x:c>
      <x:c r="J1658" s="48" t="n">
        <x:v>0.92</x:v>
      </x:c>
      <x:c r="K1658" s="48" t="str">
        <x:v>No</x:v>
      </x:c>
      <x:c r="L1658" s="48" t="str">
        <x:v>PDF text</x:v>
      </x:c>
    </x:row>
    <x:row r="1659">
      <x:c r="A1659" s="48" t="str">
        <x:v>UNI-1658</x:v>
      </x:c>
      <x:c r="B1659" s="48" t="str">
        <x:v>YELLOW</x:v>
      </x:c>
      <x:c r="C1659" s="48" t="str">
        <x:v>English</x:v>
      </x:c>
      <x:c r="D1659" s="48" t="n">
        <x:v>40</x:v>
      </x:c>
      <x:c r="E1659" s="48" t="str"/>
      <x:c r="F1659" s="48" t="str">
        <x:v>The Contractor shall not permit any of the Contractor's Personnel to maintain any</x:v>
      </x:c>
      <x:c r="G1659" s="48" t="str">
        <x:v>Obligation</x:v>
      </x:c>
      <x:c r="H1659" s="48" t="str">
        <x:v>Contractor</x:v>
      </x:c>
      <x:c r="I1659" s="48" t="n">
        <x:v>0.88</x:v>
      </x:c>
      <x:c r="J1659" s="48" t="n">
        <x:v>0.92</x:v>
      </x:c>
      <x:c r="K1659" s="48" t="str">
        <x:v>No</x:v>
      </x:c>
      <x:c r="L1659" s="48" t="str">
        <x:v>PDF text</x:v>
      </x:c>
    </x:row>
    <x:row r="1660">
      <x:c r="A1660" s="48" t="str">
        <x:v>UNI-1659</x:v>
      </x:c>
      <x:c r="B1660" s="48" t="str">
        <x:v>YELLOW</x:v>
      </x:c>
      <x:c r="C1660" s="48" t="str">
        <x:v>English</x:v>
      </x:c>
      <x:c r="D1660" s="48" t="n">
        <x:v>40</x:v>
      </x:c>
      <x:c r="E1660" s="48" t="str"/>
      <x:c r="F1660" s="48" t="str">
        <x:v>The Contractor shall at all times take all reasonable precautions to maintain the health and safety of the Contractor's Personnel.</x:v>
      </x:c>
      <x:c r="G1660" s="48" t="str">
        <x:v>Obligation</x:v>
      </x:c>
      <x:c r="H1660" s="48" t="str">
        <x:v>Contractor</x:v>
      </x:c>
      <x:c r="I1660" s="48" t="n">
        <x:v>0.88</x:v>
      </x:c>
      <x:c r="J1660" s="48" t="n">
        <x:v>0.92</x:v>
      </x:c>
      <x:c r="K1660" s="48" t="str">
        <x:v>No</x:v>
      </x:c>
      <x:c r="L1660" s="48" t="str">
        <x:v>PDF text</x:v>
      </x:c>
    </x:row>
    <x:row r="1661">
      <x:c r="A1661" s="48" t="str">
        <x:v>UNI-1660</x:v>
      </x:c>
      <x:c r="B1661" s="48" t="str">
        <x:v>YELLOW</x:v>
      </x:c>
      <x:c r="C1661" s="48" t="str">
        <x:v>English</x:v>
      </x:c>
      <x:c r="D1661" s="48" t="n">
        <x:v>40</x:v>
      </x:c>
      <x:c r="E1661" s="48" t="str"/>
      <x:c r="F1661" s="48" t="str">
        <x:v>In collaboration with local health authorities, the Contractor shall ensure that medical staff, first aid facilities, sick bay and ambulance service are available at all times at the Site and at any accommodation for Contractor's and Employer's Personnel, and that suitable arrangements are made for all necessary welfare and hygiene requirements and for the prevention of epidemics.</x:v>
      </x:c>
      <x:c r="G1661" s="48" t="str">
        <x:v>Obligation</x:v>
      </x:c>
      <x:c r="H1661" s="48" t="str">
        <x:v>Contractor</x:v>
      </x:c>
      <x:c r="I1661" s="48" t="n">
        <x:v>0.88</x:v>
      </x:c>
      <x:c r="J1661" s="48" t="n">
        <x:v>0.92</x:v>
      </x:c>
      <x:c r="K1661" s="48" t="str">
        <x:v>No</x:v>
      </x:c>
      <x:c r="L1661" s="48" t="str">
        <x:v>PDF text</x:v>
      </x:c>
    </x:row>
    <x:row r="1662">
      <x:c r="A1662" s="48" t="str">
        <x:v>UNI-1661</x:v>
      </x:c>
      <x:c r="B1662" s="48" t="str">
        <x:v>YELLOW</x:v>
      </x:c>
      <x:c r="C1662" s="48" t="str">
        <x:v>English</x:v>
      </x:c>
      <x:c r="D1662" s="48" t="n">
        <x:v>40</x:v>
      </x:c>
      <x:c r="E1662" s="48" t="str"/>
      <x:c r="F1662" s="48" t="str">
        <x:v>Throughout the design and execution of the Works, and as long thereafter as is</x:v>
      </x:c>
      <x:c r="G1662" s="48" t="str">
        <x:v>Obligation</x:v>
      </x:c>
      <x:c r="H1662" s="48" t="str">
        <x:v>Shared</x:v>
      </x:c>
      <x:c r="I1662" s="48" t="n">
        <x:v>0.45</x:v>
      </x:c>
      <x:c r="J1662" s="48" t="n">
        <x:v>0.4</x:v>
      </x:c>
      <x:c r="K1662" s="48" t="str">
        <x:v>Yes</x:v>
      </x:c>
      <x:c r="L1662" s="48" t="str">
        <x:v>PDF text</x:v>
      </x:c>
    </x:row>
    <x:row r="1663">
      <x:c r="A1663" s="48" t="str">
        <x:v>UNI-1662</x:v>
      </x:c>
      <x:c r="B1663" s="48" t="str">
        <x:v>YELLOW</x:v>
      </x:c>
      <x:c r="C1663" s="48" t="str">
        <x:v>English</x:v>
      </x:c>
      <x:c r="D1663" s="48" t="n">
        <x:v>40</x:v>
      </x:c>
      <x:c r="E1663" s="48" t="str"/>
      <x:c r="F1663" s="48" t="str">
        <x:v>necessary to fulfil the Contractor's obligations, the Contractor shall provide all necessary superintendence to plan, arrange, direct, manage, inspect and test the work.</x:v>
      </x:c>
      <x:c r="G1663" s="48" t="str">
        <x:v>Obligation</x:v>
      </x:c>
      <x:c r="H1663" s="48" t="str">
        <x:v>Contractor</x:v>
      </x:c>
      <x:c r="I1663" s="48" t="n">
        <x:v>0.88</x:v>
      </x:c>
      <x:c r="J1663" s="48" t="n">
        <x:v>0.92</x:v>
      </x:c>
      <x:c r="K1663" s="48" t="str">
        <x:v>No</x:v>
      </x:c>
      <x:c r="L1663" s="48" t="str">
        <x:v>PDF text</x:v>
      </x:c>
    </x:row>
    <x:row r="1664">
      <x:c r="A1664" s="48" t="str">
        <x:v>UNI-1663</x:v>
      </x:c>
      <x:c r="B1664" s="48" t="str">
        <x:v>YELLOW</x:v>
      </x:c>
      <x:c r="C1664" s="48" t="str">
        <x:v>English</x:v>
      </x:c>
      <x:c r="D1664" s="48" t="n">
        <x:v>40</x:v>
      </x:c>
      <x:c r="E1664" s="48" t="str"/>
      <x:c r="F1664" s="48" t="str">
        <x:v>The Contractor's Personnel shall be appropriately qualified, skilled and experienced in their respective trades or occupations.</x:v>
      </x:c>
      <x:c r="G1664" s="48" t="str">
        <x:v>Obligation</x:v>
      </x:c>
      <x:c r="H1664" s="48" t="str">
        <x:v>Contractor</x:v>
      </x:c>
      <x:c r="I1664" s="48" t="n">
        <x:v>0.88</x:v>
      </x:c>
      <x:c r="J1664" s="48" t="n">
        <x:v>0.68</x:v>
      </x:c>
      <x:c r="K1664" s="48" t="str">
        <x:v>Yes</x:v>
      </x:c>
      <x:c r="L1664" s="48" t="str">
        <x:v>PDF text</x:v>
      </x:c>
    </x:row>
    <x:row r="1665">
      <x:c r="A1665" s="48" t="str">
        <x:v>UNI-1664</x:v>
      </x:c>
      <x:c r="B1665" s="48" t="str">
        <x:v>YELLOW</x:v>
      </x:c>
      <x:c r="C1665" s="48" t="str">
        <x:v>English</x:v>
      </x:c>
      <x:c r="D1665" s="48" t="n">
        <x:v>40</x:v>
      </x:c>
      <x:c r="E1665" s="48" t="str"/>
      <x:c r="F1665" s="48" t="str">
        <x:v>The Engineer may require the Contractor to remove (or cause to be removed) any person employed on the Site or Works, including the Contractor's Representative if applicable, who: (a) persists in any misconduct or lack of care, (b) carries out duties incompetently or negligently, (c) fails to conform with any provisions of the Contract, or (d) persists in any conduct which is prejudicial to safety, health, or the protection of the environment.</x:v>
      </x:c>
      <x:c r="G1665" s="48" t="str">
        <x:v>Right</x:v>
      </x:c>
      <x:c r="H1665" s="48" t="str">
        <x:v>Contractor</x:v>
      </x:c>
      <x:c r="I1665" s="48" t="n">
        <x:v>0.78</x:v>
      </x:c>
      <x:c r="J1665" s="48" t="n">
        <x:v>0.68</x:v>
      </x:c>
      <x:c r="K1665" s="48" t="str">
        <x:v>Yes</x:v>
      </x:c>
      <x:c r="L1665" s="48" t="str">
        <x:v>PDF text</x:v>
      </x:c>
    </x:row>
    <x:row r="1666">
      <x:c r="A1666" s="48" t="str">
        <x:v>UNI-1665</x:v>
      </x:c>
      <x:c r="B1666" s="48" t="str">
        <x:v>YELLOW</x:v>
      </x:c>
      <x:c r="C1666" s="48" t="str">
        <x:v>English</x:v>
      </x:c>
      <x:c r="D1666" s="48" t="n">
        <x:v>41</x:v>
      </x:c>
      <x:c r="E1666" s="48" t="str"/>
      <x:c r="F1666" s="48" t="str">
        <x:v>class of Contractor's Personnel and of each type of Contractor's Equipment on the Site.</x:v>
      </x:c>
      <x:c r="G1666" s="48" t="str">
        <x:v>Obligation</x:v>
      </x:c>
      <x:c r="H1666" s="48" t="str">
        <x:v>Contractor</x:v>
      </x:c>
      <x:c r="I1666" s="48" t="n">
        <x:v>0.45</x:v>
      </x:c>
      <x:c r="J1666" s="48" t="n">
        <x:v>0.68</x:v>
      </x:c>
      <x:c r="K1666" s="48" t="str">
        <x:v>Yes</x:v>
      </x:c>
      <x:c r="L1666" s="48" t="str">
        <x:v>PDF text</x:v>
      </x:c>
    </x:row>
    <x:row r="1667">
      <x:c r="A1667" s="48" t="str">
        <x:v>UNI-1666</x:v>
      </x:c>
      <x:c r="B1667" s="48" t="str">
        <x:v>YELLOW</x:v>
      </x:c>
      <x:c r="C1667" s="48" t="str">
        <x:v>English</x:v>
      </x:c>
      <x:c r="D1667" s="48" t="n">
        <x:v>41</x:v>
      </x:c>
      <x:c r="E1667" s="48" t="str"/>
      <x:c r="F1667" s="48" t="str">
        <x:v>unlawful, riotous or disorderly conduct by or amongst the Contractor's Personnel, and to preserve peace and protection of persons and property on and near the Site.</x:v>
      </x:c>
      <x:c r="G1667" s="48" t="str">
        <x:v>Obligation</x:v>
      </x:c>
      <x:c r="H1667" s="48" t="str">
        <x:v>Contractor</x:v>
      </x:c>
      <x:c r="I1667" s="48" t="n">
        <x:v>0.45</x:v>
      </x:c>
      <x:c r="J1667" s="48" t="n">
        <x:v>0.68</x:v>
      </x:c>
      <x:c r="K1667" s="48" t="str">
        <x:v>Yes</x:v>
      </x:c>
      <x:c r="L1667" s="48" t="str">
        <x:v>PDF text</x:v>
      </x:c>
    </x:row>
    <x:row r="1668">
      <x:c r="A1668" s="48" t="str">
        <x:v>UNI-1667</x:v>
      </x:c>
      <x:c r="B1668" s="48" t="str">
        <x:v>YELLOW</x:v>
      </x:c>
      <x:c r="C1668" s="48" t="str">
        <x:v>English</x:v>
      </x:c>
      <x:c r="D1668" s="48" t="n">
        <x:v>41</x:v>
      </x:c>
      <x:c r="E1668" s="48" t="str"/>
      <x:c r="F1668" s="48" t="str">
        <x:v>information, to the Engineer for review in accordance with the procedures for Contractor's Documents described in Sub-Clause 5.2 [Contractor's Documents]: (a) manufacturer's standard samples of Materials and samples specified in the</x:v>
      </x:c>
      <x:c r="G1668" s="48" t="str">
        <x:v>Obligation</x:v>
      </x:c>
      <x:c r="H1668" s="48" t="str">
        <x:v>Contractor</x:v>
      </x:c>
      <x:c r="I1668" s="48" t="n">
        <x:v>0.45</x:v>
      </x:c>
      <x:c r="J1668" s="48" t="n">
        <x:v>0.68</x:v>
      </x:c>
      <x:c r="K1668" s="48" t="str">
        <x:v>Yes</x:v>
      </x:c>
      <x:c r="L1668" s="48" t="str">
        <x:v>PDF text</x:v>
      </x:c>
    </x:row>
    <x:row r="1669">
      <x:c r="A1669" s="48" t="str">
        <x:v>UNI-1668</x:v>
      </x:c>
      <x:c r="B1669" s="48" t="str">
        <x:v>YELLOW</x:v>
      </x:c>
      <x:c r="C1669" s="48" t="str">
        <x:v>English</x:v>
      </x:c>
      <x:c r="D1669" s="48" t="n">
        <x:v>41</x:v>
      </x:c>
      <x:c r="E1669" s="48" t="str"/>
      <x:c r="F1669" s="48" t="str">
        <x:v>Contract, all at the Contractor's cost, and</x:v>
      </x:c>
      <x:c r="G1669" s="48" t="str">
        <x:v>Obligation</x:v>
      </x:c>
      <x:c r="H1669" s="48" t="str">
        <x:v>Contractor</x:v>
      </x:c>
      <x:c r="I1669" s="48" t="n">
        <x:v>0.45</x:v>
      </x:c>
      <x:c r="J1669" s="48" t="n">
        <x:v>0.68</x:v>
      </x:c>
      <x:c r="K1669" s="48" t="str">
        <x:v>Yes</x:v>
      </x:c>
      <x:c r="L1669" s="48" t="str">
        <x:v>PDF text</x:v>
      </x:c>
    </x:row>
    <x:row r="1670">
      <x:c r="A1670" s="48" t="str">
        <x:v>UNI-1669</x:v>
      </x:c>
      <x:c r="B1670" s="48" t="str">
        <x:v>YELLOW</x:v>
      </x:c>
      <x:c r="C1670" s="48" t="str">
        <x:v>English</x:v>
      </x:c>
      <x:c r="D1670" s="48" t="n">
        <x:v>41</x:v>
      </x:c>
      <x:c r="E1670" s="48" t="str"/>
      <x:c r="F1670" s="48" t="str">
        <x:v>The Employer's Personnel shall at all reasonable times: (a) have full access to all parts of the Site and to all places from which natural</x:v>
      </x:c>
      <x:c r="G1670" s="48" t="str">
        <x:v>Obligation</x:v>
      </x:c>
      <x:c r="H1670" s="48" t="str">
        <x:v>Employer</x:v>
      </x:c>
      <x:c r="I1670" s="48" t="n">
        <x:v>0.88</x:v>
      </x:c>
      <x:c r="J1670" s="48" t="n">
        <x:v>0.68</x:v>
      </x:c>
      <x:c r="K1670" s="48" t="str">
        <x:v>Yes</x:v>
      </x:c>
      <x:c r="L1670" s="48" t="str">
        <x:v>PDF text</x:v>
      </x:c>
    </x:row>
    <x:row r="1671">
      <x:c r="A1671" s="48" t="str">
        <x:v>UNI-1670</x:v>
      </x:c>
      <x:c r="B1671" s="48" t="str">
        <x:v>YELLOW</x:v>
      </x:c>
      <x:c r="C1671" s="48" t="str">
        <x:v>English</x:v>
      </x:c>
      <x:c r="D1671" s="48" t="n">
        <x:v>41</x:v>
      </x:c>
      <x:c r="E1671" s="48" t="str"/>
      <x:c r="F1671" s="48" t="str">
        <x:v>The Contractor shall give the Employer's Personnel full opportunity to carry out these activities, including providing access, facilities, permissions and safety equipment.</x:v>
      </x:c>
      <x:c r="G1671" s="48" t="str">
        <x:v>Obligation</x:v>
      </x:c>
      <x:c r="H1671" s="48" t="str">
        <x:v>Contractor</x:v>
      </x:c>
      <x:c r="I1671" s="48" t="n">
        <x:v>0.88</x:v>
      </x:c>
      <x:c r="J1671" s="48" t="n">
        <x:v>0.92</x:v>
      </x:c>
      <x:c r="K1671" s="48" t="str">
        <x:v>No</x:v>
      </x:c>
      <x:c r="L1671" s="48" t="str">
        <x:v>PDF text</x:v>
      </x:c>
    </x:row>
    <x:row r="1672">
      <x:c r="A1672" s="48" t="str">
        <x:v>UNI-1671</x:v>
      </x:c>
      <x:c r="B1672" s="48" t="str">
        <x:v>YELLOW</x:v>
      </x:c>
      <x:c r="C1672" s="48" t="str">
        <x:v>English</x:v>
      </x:c>
      <x:c r="D1672" s="48" t="n">
        <x:v>42</x:v>
      </x:c>
      <x:c r="E1672" s="48" t="str"/>
      <x:c r="F1672" s="48" t="str">
        <x:v>If the Contractor fails to give the notice, he shall, if and when required by the Engineer, uncover the work and thereafter reinstate and make good, all at the Contractor's cost.</x:v>
      </x:c>
      <x:c r="G1672" s="48" t="str">
        <x:v>Obligation</x:v>
      </x:c>
      <x:c r="H1672" s="48" t="str">
        <x:v>Contractor</x:v>
      </x:c>
      <x:c r="I1672" s="48" t="n">
        <x:v>0.88</x:v>
      </x:c>
      <x:c r="J1672" s="48" t="n">
        <x:v>0.68</x:v>
      </x:c>
      <x:c r="K1672" s="48" t="str">
        <x:v>Yes</x:v>
      </x:c>
      <x:c r="L1672" s="48" t="str">
        <x:v>PDF text</x:v>
      </x:c>
    </x:row>
    <x:row r="1673">
      <x:c r="A1673" s="48" t="str">
        <x:v>UNI-1672</x:v>
      </x:c>
      <x:c r="B1673" s="48" t="str">
        <x:v>YELLOW</x:v>
      </x:c>
      <x:c r="C1673" s="48" t="str">
        <x:v>English</x:v>
      </x:c>
      <x:c r="D1673" s="48" t="n">
        <x:v>42</x:v>
      </x:c>
      <x:c r="E1673" s="48" t="str"/>
      <x:c r="F1673" s="48" t="str">
        <x:v>The Engineer shall give the Contractor not less than 24 hours' notice of the Engineer's intention to attend the tests.</x:v>
      </x:c>
      <x:c r="G1673" s="48" t="str">
        <x:v>Obligation</x:v>
      </x:c>
      <x:c r="H1673" s="48" t="str">
        <x:v>Contractor</x:v>
      </x:c>
      <x:c r="I1673" s="48" t="n">
        <x:v>0.88</x:v>
      </x:c>
      <x:c r="J1673" s="48" t="n">
        <x:v>0.68</x:v>
      </x:c>
      <x:c r="K1673" s="48" t="str">
        <x:v>Yes</x:v>
      </x:c>
      <x:c r="L1673" s="48" t="str">
        <x:v>PDF text</x:v>
      </x:c>
    </x:row>
    <x:row r="1674">
      <x:c r="A1674" s="48" t="str">
        <x:v>UNI-1673</x:v>
      </x:c>
      <x:c r="B1674" s="48" t="str">
        <x:v>YELLOW</x:v>
      </x:c>
      <x:c r="C1674" s="48" t="str">
        <x:v>English</x:v>
      </x:c>
      <x:c r="D1674" s="48" t="n">
        <x:v>42</x:v>
      </x:c>
      <x:c r="E1674" s="48" t="str"/>
      <x:c r="F1674" s="48" t="str">
        <x:v>If the Engineer does not attend at the time and place agreed, the Contractor may proceed with the tests, unless otherwise instructed by the Engineer, and the tests shall then be deemed to have been made in the Engineer's presence.</x:v>
      </x:c>
      <x:c r="G1674" s="48" t="str">
        <x:v>Obligation</x:v>
      </x:c>
      <x:c r="H1674" s="48" t="str">
        <x:v>Contractor</x:v>
      </x:c>
      <x:c r="I1674" s="48" t="n">
        <x:v>0.88</x:v>
      </x:c>
      <x:c r="J1674" s="48" t="n">
        <x:v>0.68</x:v>
      </x:c>
      <x:c r="K1674" s="48" t="str">
        <x:v>Yes</x:v>
      </x:c>
      <x:c r="L1674" s="48" t="str">
        <x:v>PDF text</x:v>
      </x:c>
    </x:row>
    <x:row r="1675">
      <x:c r="A1675" s="48" t="str">
        <x:v>UNI-1674</x:v>
      </x:c>
      <x:c r="B1675" s="48" t="str">
        <x:v>YELLOW</x:v>
      </x:c>
      <x:c r="C1675" s="48" t="str">
        <x:v>English</x:v>
      </x:c>
      <x:c r="D1675" s="48" t="n">
        <x:v>42</x:v>
      </x:c>
      <x:c r="E1675" s="48" t="str"/>
      <x:c r="F1675" s="48" t="str">
        <x:v>instructions or as a result of a delay for which the Employer is responsible, the Contractor shall give notice to the Engineer and shall be entitled subject to SubClause 20.1 [Contractor's Claims] to: (a) an extension of time for any such delay, if completion is or will be delayed, under Sub-Clause 8.4 [Extension of Time for Completion], and (b) payment of any such Cost plus reasonable profit, which shall be included in the Contract Price.</x:v>
      </x:c>
      <x:c r="G1675" s="48" t="str">
        <x:v>Risk</x:v>
      </x:c>
      <x:c r="H1675" s="48" t="str">
        <x:v>Contractor</x:v>
      </x:c>
      <x:c r="I1675" s="48" t="n">
        <x:v>0.78</x:v>
      </x:c>
      <x:c r="J1675" s="48" t="n">
        <x:v>0.92</x:v>
      </x:c>
      <x:c r="K1675" s="48" t="str">
        <x:v>No</x:v>
      </x:c>
      <x:c r="L1675" s="48" t="str">
        <x:v>PDF text</x:v>
      </x:c>
    </x:row>
    <x:row r="1676">
      <x:c r="A1676" s="48" t="str">
        <x:v>UNI-1675</x:v>
      </x:c>
      <x:c r="B1676" s="48" t="str">
        <x:v>YELLOW</x:v>
      </x:c>
      <x:c r="C1676" s="48" t="str">
        <x:v>English</x:v>
      </x:c>
      <x:c r="D1676" s="48" t="n">
        <x:v>42</x:v>
      </x:c>
      <x:c r="E1676" s="48" t="str"/>
      <x:c r="F1676" s="48" t="str">
        <x:v>When the specified tests have been passed, the Engineer shall endorse the Contractor's test certificate, or issue a certificate to him, to that effect.</x:v>
      </x:c>
      <x:c r="G1676" s="48" t="str">
        <x:v>Obligation</x:v>
      </x:c>
      <x:c r="H1676" s="48" t="str">
        <x:v>Contractor</x:v>
      </x:c>
      <x:c r="I1676" s="48" t="n">
        <x:v>0.88</x:v>
      </x:c>
      <x:c r="J1676" s="48" t="n">
        <x:v>0.68</x:v>
      </x:c>
      <x:c r="K1676" s="48" t="str">
        <x:v>Yes</x:v>
      </x:c>
      <x:c r="L1676" s="48" t="str">
        <x:v>PDF text</x:v>
      </x:c>
    </x:row>
    <x:row r="1677">
      <x:c r="A1677" s="48" t="str">
        <x:v>UNI-1676</x:v>
      </x:c>
      <x:c r="B1677" s="48" t="str">
        <x:v>YELLOW</x:v>
      </x:c>
      <x:c r="C1677" s="48" t="str">
        <x:v>English</x:v>
      </x:c>
      <x:c r="D1677" s="48" t="n">
        <x:v>42</x:v>
      </x:c>
      <x:c r="E1677" s="48" t="str"/>
      <x:c r="F1677" s="48" t="str">
        <x:v>Materials, design or workmanship is found to be defective or otherwise not in</x:v>
      </x:c>
      <x:c r="G1677" s="48" t="str">
        <x:v>Obligation</x:v>
      </x:c>
      <x:c r="H1677" s="48" t="str">
        <x:v>Shared</x:v>
      </x:c>
      <x:c r="I1677" s="48" t="n">
        <x:v>0.45</x:v>
      </x:c>
      <x:c r="J1677" s="48" t="n">
        <x:v>0.4</x:v>
      </x:c>
      <x:c r="K1677" s="48" t="str">
        <x:v>Yes</x:v>
      </x:c>
      <x:c r="L1677" s="48" t="str">
        <x:v>PDF text</x:v>
      </x:c>
    </x:row>
    <x:row r="1678">
      <x:c r="A1678" s="48" t="str">
        <x:v>UNI-1677</x:v>
      </x:c>
      <x:c r="B1678" s="48" t="str">
        <x:v>YELLOW</x:v>
      </x:c>
      <x:c r="C1678" s="48" t="str">
        <x:v>English</x:v>
      </x:c>
      <x:c r="D1678" s="48" t="n">
        <x:v>42</x:v>
      </x:c>
      <x:c r="E1678" s="48" t="str"/>
      <x:c r="F1678" s="48" t="str">
        <x:v>accordance with the Contract, the Engineer may reject the Plant, Materials, design or workmanship by giving notice to the Contractor, with reasons.</x:v>
      </x:c>
      <x:c r="G1678" s="48" t="str">
        <x:v>Right</x:v>
      </x:c>
      <x:c r="H1678" s="48" t="str">
        <x:v>Contractor</x:v>
      </x:c>
      <x:c r="I1678" s="48" t="n">
        <x:v>0.78</x:v>
      </x:c>
      <x:c r="J1678" s="48" t="n">
        <x:v>0.68</x:v>
      </x:c>
      <x:c r="K1678" s="48" t="str">
        <x:v>Yes</x:v>
      </x:c>
      <x:c r="L1678" s="48" t="str">
        <x:v>PDF text</x:v>
      </x:c>
    </x:row>
    <x:row r="1679">
      <x:c r="A1679" s="48" t="str">
        <x:v>UNI-1678</x:v>
      </x:c>
      <x:c r="B1679" s="48" t="str">
        <x:v>YELLOW</x:v>
      </x:c>
      <x:c r="C1679" s="48" t="str">
        <x:v>English</x:v>
      </x:c>
      <x:c r="D1679" s="48" t="n">
        <x:v>42</x:v>
      </x:c>
      <x:c r="E1679" s="48" t="str"/>
      <x:c r="F1679" s="48" t="str">
        <x:v>If the Engineer requires this Plant, Materials, design or workmanship to be retested, the tests shall be repeated under the same terms and conditions.</x:v>
      </x:c>
      <x:c r="G1679" s="48" t="str">
        <x:v>Obligation</x:v>
      </x:c>
      <x:c r="H1679" s="48" t="str">
        <x:v>Shared</x:v>
      </x:c>
      <x:c r="I1679" s="48" t="n">
        <x:v>0.88</x:v>
      </x:c>
      <x:c r="J1679" s="48" t="n">
        <x:v>0.4</x:v>
      </x:c>
      <x:c r="K1679" s="48" t="str">
        <x:v>Yes</x:v>
      </x:c>
      <x:c r="L1679" s="48" t="str">
        <x:v>PDF text</x:v>
      </x:c>
    </x:row>
    <x:row r="1680">
      <x:c r="A1680" s="48" t="str">
        <x:v>UNI-1679</x:v>
      </x:c>
      <x:c r="B1680" s="48" t="str">
        <x:v>YELLOW</x:v>
      </x:c>
      <x:c r="C1680" s="48" t="str">
        <x:v>English</x:v>
      </x:c>
      <x:c r="D1680" s="48" t="n">
        <x:v>42</x:v>
      </x:c>
      <x:c r="E1680" s="48" t="str"/>
      <x:c r="F1680" s="48" t="str">
        <x:v>If the rejection and 7.4</x:v>
      </x:c>
      <x:c r="G1680" s="48" t="str">
        <x:v>Obligation</x:v>
      </x:c>
      <x:c r="H1680" s="48" t="str">
        <x:v>Shared</x:v>
      </x:c>
      <x:c r="I1680" s="48" t="n">
        <x:v>0.45</x:v>
      </x:c>
      <x:c r="J1680" s="48" t="n">
        <x:v>0.4</x:v>
      </x:c>
      <x:c r="K1680" s="48" t="str">
        <x:v>Yes</x:v>
      </x:c>
      <x:c r="L1680" s="48" t="str">
        <x:v>PDF text</x:v>
      </x:c>
    </x:row>
    <x:row r="1681">
      <x:c r="A1681" s="48" t="str">
        <x:v>UNI-1680</x:v>
      </x:c>
      <x:c r="B1681" s="48" t="str">
        <x:v>YELLOW</x:v>
      </x:c>
      <x:c r="C1681" s="48" t="str">
        <x:v>English</x:v>
      </x:c>
      <x:c r="D1681" s="48" t="n">
        <x:v>43</x:v>
      </x:c>
      <x:c r="E1681" s="48" t="str"/>
      <x:c r="F1681" s="48" t="str">
        <x:v>retesting cause the Employer to incur additional costs, the Contractor shall subject to Sub-Clause 2.5 [Employer's Claims] pay these costs to the Employer.</x:v>
      </x:c>
      <x:c r="G1681" s="48" t="str">
        <x:v>Obligation</x:v>
      </x:c>
      <x:c r="H1681" s="48" t="str">
        <x:v>Contractor</x:v>
      </x:c>
      <x:c r="I1681" s="48" t="n">
        <x:v>0.88</x:v>
      </x:c>
      <x:c r="J1681" s="48" t="n">
        <x:v>0.92</x:v>
      </x:c>
      <x:c r="K1681" s="48" t="str">
        <x:v>No</x:v>
      </x:c>
      <x:c r="L1681" s="48" t="str">
        <x:v>PDF text</x:v>
      </x:c>
    </x:row>
    <x:row r="1682">
      <x:c r="A1682" s="48" t="str">
        <x:v>UNI-1681</x:v>
      </x:c>
      <x:c r="B1682" s="48" t="str">
        <x:v>YELLOW</x:v>
      </x:c>
      <x:c r="C1682" s="48" t="str">
        <x:v>English</x:v>
      </x:c>
      <x:c r="D1682" s="48" t="n">
        <x:v>43</x:v>
      </x:c>
      <x:c r="E1682" s="48" t="str"/>
      <x:c r="F1682" s="48" t="str">
        <x:v>subject to Sub-Clause 2.5 [Employer's Claims] pay to the Employer all costs arising from this failure.</x:v>
      </x:c>
      <x:c r="G1682" s="48" t="str">
        <x:v>Obligation</x:v>
      </x:c>
      <x:c r="H1682" s="48" t="str">
        <x:v>Employer</x:v>
      </x:c>
      <x:c r="I1682" s="48" t="n">
        <x:v>0.45</x:v>
      </x:c>
      <x:c r="J1682" s="48" t="n">
        <x:v>0.68</x:v>
      </x:c>
      <x:c r="K1682" s="48" t="str">
        <x:v>Yes</x:v>
      </x:c>
      <x:c r="L1682" s="48" t="str">
        <x:v>PDF text</x:v>
      </x:c>
    </x:row>
    <x:row r="1683">
      <x:c r="A1683" s="48" t="str">
        <x:v>UNI-1682</x:v>
      </x:c>
      <x:c r="B1683" s="48" t="str">
        <x:v>YELLOW</x:v>
      </x:c>
      <x:c r="C1683" s="48" t="str">
        <x:v>English</x:v>
      </x:c>
      <x:c r="D1683" s="48" t="n">
        <x:v>43</x:v>
      </x:c>
      <x:c r="E1683" s="48" t="str"/>
      <x:c r="F1683" s="48" t="str">
        <x:v>Unless otherwise stated in the Employer's Requirements, the Contractor shall pay all royalties, rents and other payments for: (a) natural Materials obtained from outside the Site, and (b) the disposal of material from demolitions and excavations and of other surplus material (whether natural or man-made), except to the extent that disposal areas within the Site are specified in the Contract.</x:v>
      </x:c>
      <x:c r="G1683" s="48" t="str">
        <x:v>Obligation</x:v>
      </x:c>
      <x:c r="H1683" s="48" t="str">
        <x:v>Contractor</x:v>
      </x:c>
      <x:c r="I1683" s="48" t="n">
        <x:v>0.88</x:v>
      </x:c>
      <x:c r="J1683" s="48" t="n">
        <x:v>0.92</x:v>
      </x:c>
      <x:c r="K1683" s="48" t="str">
        <x:v>No</x:v>
      </x:c>
      <x:c r="L1683" s="48" t="str">
        <x:v>PDF text</x:v>
      </x:c>
    </x:row>
    <x:row r="1684">
      <x:c r="A1684" s="48" t="str">
        <x:v>UNI-1683</x:v>
      </x:c>
      <x:c r="B1684" s="48" t="str">
        <x:v>YELLOW</x:v>
      </x:c>
      <x:c r="C1684" s="48" t="str">
        <x:v>English</x:v>
      </x:c>
      <x:c r="D1684" s="48" t="n">
        <x:v>43</x:v>
      </x:c>
      <x:c r="E1684" s="48" t="str"/>
      <x:c r="F1684" s="48" t="str">
        <x:v>The Contractor shall commence the design and execution of the Works as soon as is</x:v>
      </x:c>
      <x:c r="G1684" s="48" t="str">
        <x:v>Obligation</x:v>
      </x:c>
      <x:c r="H1684" s="48" t="str">
        <x:v>Contractor</x:v>
      </x:c>
      <x:c r="I1684" s="48" t="n">
        <x:v>0.88</x:v>
      </x:c>
      <x:c r="J1684" s="48" t="n">
        <x:v>0.92</x:v>
      </x:c>
      <x:c r="K1684" s="48" t="str">
        <x:v>No</x:v>
      </x:c>
      <x:c r="L1684" s="48" t="str">
        <x:v>PDF text</x:v>
      </x:c>
    </x:row>
    <x:row r="1685">
      <x:c r="A1685" s="48" t="str">
        <x:v>UNI-1684</x:v>
      </x:c>
      <x:c r="B1685" s="48" t="str">
        <x:v>YELLOW</x:v>
      </x:c>
      <x:c r="C1685" s="48" t="str">
        <x:v>English</x:v>
      </x:c>
      <x:c r="D1685" s="48" t="n">
        <x:v>43</x:v>
      </x:c>
      <x:c r="E1685" s="48" t="str"/>
      <x:c r="F1685" s="48" t="str">
        <x:v>reasonably practicable after the Commencement Date, and shall then proceed with the Works with due expedition and without delay.</x:v>
      </x:c>
      <x:c r="G1685" s="48" t="str">
        <x:v>Obligation</x:v>
      </x:c>
      <x:c r="H1685" s="48" t="str">
        <x:v>Shared</x:v>
      </x:c>
      <x:c r="I1685" s="48" t="n">
        <x:v>0.88</x:v>
      </x:c>
      <x:c r="J1685" s="48" t="n">
        <x:v>0.4</x:v>
      </x:c>
      <x:c r="K1685" s="48" t="str">
        <x:v>Yes</x:v>
      </x:c>
      <x:c r="L1685" s="48" t="str">
        <x:v>PDF text</x:v>
      </x:c>
    </x:row>
    <x:row r="1686">
      <x:c r="A1686" s="48" t="str">
        <x:v>UNI-1685</x:v>
      </x:c>
      <x:c r="B1686" s="48" t="str">
        <x:v>YELLOW</x:v>
      </x:c>
      <x:c r="C1686" s="48" t="str">
        <x:v>English</x:v>
      </x:c>
      <x:c r="D1686" s="48" t="n">
        <x:v>43</x:v>
      </x:c>
      <x:c r="E1686" s="48" t="str"/>
      <x:c r="F1686" s="48" t="str">
        <x:v>Commencement of Work</x:v>
      </x:c>
      <x:c r="G1686" s="48" t="str">
        <x:v>Obligation</x:v>
      </x:c>
      <x:c r="H1686" s="48" t="str">
        <x:v>Shared</x:v>
      </x:c>
      <x:c r="I1686" s="48" t="n">
        <x:v>0.45</x:v>
      </x:c>
      <x:c r="J1686" s="48" t="n">
        <x:v>0.4</x:v>
      </x:c>
      <x:c r="K1686" s="48" t="str">
        <x:v>Yes</x:v>
      </x:c>
      <x:c r="L1686" s="48" t="str">
        <x:v>PDF text</x:v>
      </x:c>
    </x:row>
    <x:row r="1687">
      <x:c r="A1687" s="48" t="str">
        <x:v>UNI-1686</x:v>
      </x:c>
      <x:c r="B1687" s="48" t="str">
        <x:v>YELLOW</x:v>
      </x:c>
      <x:c r="C1687" s="48" t="str">
        <x:v>English</x:v>
      </x:c>
      <x:c r="D1687" s="48" t="n">
        <x:v>44</x:v>
      </x:c>
      <x:c r="E1687" s="48" t="str"/>
      <x:c r="F1687" s="48" t="str">
        <x:v>The Contractor shall complete the whole of the Works, and each Section (if any),</x:v>
      </x:c>
      <x:c r="G1687" s="48" t="str">
        <x:v>Obligation</x:v>
      </x:c>
      <x:c r="H1687" s="48" t="str">
        <x:v>Contractor</x:v>
      </x:c>
      <x:c r="I1687" s="48" t="n">
        <x:v>0.88</x:v>
      </x:c>
      <x:c r="J1687" s="48" t="n">
        <x:v>0.92</x:v>
      </x:c>
      <x:c r="K1687" s="48" t="str">
        <x:v>No</x:v>
      </x:c>
      <x:c r="L1687" s="48" t="str">
        <x:v>PDF text</x:v>
      </x:c>
    </x:row>
    <x:row r="1688">
      <x:c r="A1688" s="48" t="str">
        <x:v>UNI-1687</x:v>
      </x:c>
      <x:c r="B1688" s="48" t="str">
        <x:v>YELLOW</x:v>
      </x:c>
      <x:c r="C1688" s="48" t="str">
        <x:v>English</x:v>
      </x:c>
      <x:c r="D1688" s="48" t="n">
        <x:v>44</x:v>
      </x:c>
      <x:c r="E1688" s="48" t="str"/>
      <x:c r="F1688" s="48" t="str">
        <x:v>within the Time for Completion for the Works or Section (as the case may be), including: (a) achieving the passing of the Tests on Completion, and (b) completing all work which is stated in the Contract as being required for the Works or Section to be considered to be completed for the purposes of takingover under Sub-Clause 10.1 [Taking Over of the Works and Sections].</x:v>
      </x:c>
      <x:c r="G1688" s="48" t="str">
        <x:v>Right</x:v>
      </x:c>
      <x:c r="H1688" s="48" t="str">
        <x:v>Shared</x:v>
      </x:c>
      <x:c r="I1688" s="48" t="n">
        <x:v>0.78</x:v>
      </x:c>
      <x:c r="J1688" s="48" t="n">
        <x:v>0.4</x:v>
      </x:c>
      <x:c r="K1688" s="48" t="str">
        <x:v>Yes</x:v>
      </x:c>
      <x:c r="L1688" s="48" t="str">
        <x:v>PDF text</x:v>
      </x:c>
    </x:row>
    <x:row r="1689">
      <x:c r="A1689" s="48" t="str">
        <x:v>UNI-1688</x:v>
      </x:c>
      <x:c r="B1689" s="48" t="str">
        <x:v>YELLOW</x:v>
      </x:c>
      <x:c r="C1689" s="48" t="str">
        <x:v>English</x:v>
      </x:c>
      <x:c r="D1689" s="48" t="n">
        <x:v>44</x:v>
      </x:c>
      <x:c r="E1689" s="48" t="str"/>
      <x:c r="F1689" s="48" t="str">
        <x:v>is inconsistent with actual progress or with the Contractor's obligations.</x:v>
      </x:c>
      <x:c r="G1689" s="48" t="str">
        <x:v>Obligation</x:v>
      </x:c>
      <x:c r="H1689" s="48" t="str">
        <x:v>Contractor</x:v>
      </x:c>
      <x:c r="I1689" s="48" t="n">
        <x:v>0.45</x:v>
      </x:c>
      <x:c r="J1689" s="48" t="n">
        <x:v>0.68</x:v>
      </x:c>
      <x:c r="K1689" s="48" t="str">
        <x:v>Yes</x:v>
      </x:c>
      <x:c r="L1689" s="48" t="str">
        <x:v>PDF text</x:v>
      </x:c>
    </x:row>
    <x:row r="1690">
      <x:c r="A1690" s="48" t="str">
        <x:v>UNI-1689</x:v>
      </x:c>
      <x:c r="B1690" s="48" t="str">
        <x:v>YELLOW</x:v>
      </x:c>
      <x:c r="C1690" s="48" t="str">
        <x:v>English</x:v>
      </x:c>
      <x:c r="D1690" s="48" t="n">
        <x:v>44</x:v>
      </x:c>
      <x:c r="E1690" s="48" t="str"/>
      <x:c r="F1690" s="48" t="str">
        <x:v>Each programme shall include: (a) the order in which the Contractor intends to carry out the Works, including the anticipated timing of each stage of design, Contractor's Documents, procurement, manufacture, inspection, delivery to Site, construction, erection, testing, commissioning and trial operation, (b) the periods for reviews under Sub-Clause 5.2 [Contractor's Documents] and for any other submissions, approvals and consents specified in the Employer's</x:v>
      </x:c>
      <x:c r="G1690" s="48" t="str">
        <x:v>Obligation</x:v>
      </x:c>
      <x:c r="H1690" s="48" t="str">
        <x:v>Shared</x:v>
      </x:c>
      <x:c r="I1690" s="48" t="n">
        <x:v>0.88</x:v>
      </x:c>
      <x:c r="J1690" s="48" t="n">
        <x:v>0.6</x:v>
      </x:c>
      <x:c r="K1690" s="48" t="str">
        <x:v>Yes</x:v>
      </x:c>
      <x:c r="L1690" s="48" t="str">
        <x:v>PDF text</x:v>
      </x:c>
    </x:row>
    <x:row r="1691">
      <x:c r="A1691" s="48" t="str">
        <x:v>UNI-1690</x:v>
      </x:c>
      <x:c r="B1691" s="48" t="str">
        <x:v>YELLOW</x:v>
      </x:c>
      <x:c r="C1691" s="48" t="str">
        <x:v>English</x:v>
      </x:c>
      <x:c r="D1691" s="48" t="n">
        <x:v>44</x:v>
      </x:c>
      <x:c r="E1691" s="48" t="str"/>
      <x:c r="F1691" s="48" t="str">
        <x:v>(c) the sequence and timing of inspections and tests specified in the Contract, and (d) a supporting report which includes: (i) a general description of the methods which the Contractor intends to adopt, and of the major stages, in the execution of the Works, and (ii) details showing the Contractor's reasonable estimate of the number of each class of Contractor's Personnel and of each type of Contractor's Equipment, required on the Site for each major stage.</x:v>
      </x:c>
      <x:c r="G1691" s="48" t="str">
        <x:v>Obligation</x:v>
      </x:c>
      <x:c r="H1691" s="48" t="str">
        <x:v>Contractor</x:v>
      </x:c>
      <x:c r="I1691" s="48" t="n">
        <x:v>0.45</x:v>
      </x:c>
      <x:c r="J1691" s="48" t="n">
        <x:v>0.68</x:v>
      </x:c>
      <x:c r="K1691" s="48" t="str">
        <x:v>Yes</x:v>
      </x:c>
      <x:c r="L1691" s="48" t="str">
        <x:v>PDF text</x:v>
      </x:c>
    </x:row>
    <x:row r="1692">
      <x:c r="A1692" s="48" t="str">
        <x:v>UNI-1691</x:v>
      </x:c>
      <x:c r="B1692" s="48" t="str">
        <x:v>YELLOW</x:v>
      </x:c>
      <x:c r="C1692" s="48" t="str">
        <x:v>English</x:v>
      </x:c>
      <x:c r="D1692" s="48" t="n">
        <x:v>44</x:v>
      </x:c>
      <x:c r="E1692" s="48" t="str"/>
      <x:c r="F1692" s="48" t="str">
        <x:v>The Employer's Personnel shall be entitled to rely upon the programme when planning their activities.</x:v>
      </x:c>
      <x:c r="G1692" s="48" t="str">
        <x:v>Obligation</x:v>
      </x:c>
      <x:c r="H1692" s="48" t="str">
        <x:v>Employer</x:v>
      </x:c>
      <x:c r="I1692" s="48" t="n">
        <x:v>0.88</x:v>
      </x:c>
      <x:c r="J1692" s="48" t="n">
        <x:v>0.68</x:v>
      </x:c>
      <x:c r="K1692" s="48" t="str">
        <x:v>Yes</x:v>
      </x:c>
      <x:c r="L1692" s="48" t="str">
        <x:v>PDF text</x:v>
      </x:c>
    </x:row>
    <x:row r="1693">
      <x:c r="A1693" s="48" t="str">
        <x:v>UNI-1692</x:v>
      </x:c>
      <x:c r="B1693" s="48" t="str">
        <x:v>YELLOW</x:v>
      </x:c>
      <x:c r="C1693" s="48" t="str">
        <x:v>English</x:v>
      </x:c>
      <x:c r="D1693" s="48" t="n">
        <x:v>44</x:v>
      </x:c>
      <x:c r="E1693" s="48" t="str"/>
      <x:c r="F1693" s="48" t="str">
        <x:v>If, at any time, the Engineer gives notice to the Contractor that a programme fails (to the extent stated) to comply with the Contract or to be consistent with actual progress and the Contractor's stated intentions, the Contractor shall submit a revised programme to the Engineer in accordance with this Sub-Clause The Contractor shall be entitled subject to Sub-Clause 20.1 [Contractor's Claims] to an extension of the Time for Completion if and to the extent that completion for the 8.2</x:v>
      </x:c>
      <x:c r="G1693" s="48" t="str">
        <x:v>Obligation</x:v>
      </x:c>
      <x:c r="H1693" s="48" t="str">
        <x:v>Contractor</x:v>
      </x:c>
      <x:c r="I1693" s="48" t="n">
        <x:v>0.88</x:v>
      </x:c>
      <x:c r="J1693" s="48" t="n">
        <x:v>0.92</x:v>
      </x:c>
      <x:c r="K1693" s="48" t="str">
        <x:v>No</x:v>
      </x:c>
      <x:c r="L1693" s="48" t="str">
        <x:v>PDF text</x:v>
      </x:c>
    </x:row>
    <x:row r="1694">
      <x:c r="A1694" s="48" t="str">
        <x:v>UNI-1693</x:v>
      </x:c>
      <x:c r="B1694" s="48" t="str">
        <x:v>YELLOW</x:v>
      </x:c>
      <x:c r="C1694" s="48" t="str">
        <x:v>English</x:v>
      </x:c>
      <x:c r="D1694" s="48" t="n">
        <x:v>45</x:v>
      </x:c>
      <x:c r="E1694" s="48" t="str"/>
      <x:c r="F1694" s="48" t="str">
        <x:v>purposes of Sub-Clause 10.1 [Taking Over of the Works and Sections] is or will be delayed by any of the following causes: (a) a Variation (unless an adjustment to the Time for Completion has been agreed under Sub-Clause 13.3 [Variation Procedure]), (b) a cause of delay giving an entitlement to extension of time under a Sub-Clause of these Conditions, (c) exceptionally adverse climatic conditions, (d)</x:v>
      </x:c>
      <x:c r="G1694" s="48" t="str">
        <x:v>Obligation</x:v>
      </x:c>
      <x:c r="H1694" s="48" t="str">
        <x:v>Shared</x:v>
      </x:c>
      <x:c r="I1694" s="48" t="n">
        <x:v>0.55</x:v>
      </x:c>
      <x:c r="J1694" s="48" t="n">
        <x:v>0.4</x:v>
      </x:c>
      <x:c r="K1694" s="48" t="str">
        <x:v>Yes</x:v>
      </x:c>
      <x:c r="L1694" s="48" t="str">
        <x:v>PDF text</x:v>
      </x:c>
    </x:row>
    <x:row r="1695">
      <x:c r="A1695" s="48" t="str">
        <x:v>UNI-1694</x:v>
      </x:c>
      <x:c r="B1695" s="48" t="str">
        <x:v>YELLOW</x:v>
      </x:c>
      <x:c r="C1695" s="48" t="str">
        <x:v>English</x:v>
      </x:c>
      <x:c r="D1695" s="48" t="n">
        <x:v>45</x:v>
      </x:c>
      <x:c r="E1695" s="48" t="str"/>
      <x:c r="F1695" s="48" t="str">
        <x:v>epidemic or governmental actions, or (e) any delay, impediment or prevention caused by or attributable to the</x:v>
      </x:c>
      <x:c r="G1695" s="48" t="str">
        <x:v>Obligation</x:v>
      </x:c>
      <x:c r="H1695" s="48" t="str">
        <x:v>Shared</x:v>
      </x:c>
      <x:c r="I1695" s="48" t="n">
        <x:v>0.45</x:v>
      </x:c>
      <x:c r="J1695" s="48" t="n">
        <x:v>0.4</x:v>
      </x:c>
      <x:c r="K1695" s="48" t="str">
        <x:v>Yes</x:v>
      </x:c>
      <x:c r="L1695" s="48" t="str">
        <x:v>PDF text</x:v>
      </x:c>
    </x:row>
    <x:row r="1696">
      <x:c r="A1696" s="48" t="str">
        <x:v>UNI-1695</x:v>
      </x:c>
      <x:c r="B1696" s="48" t="str">
        <x:v>YELLOW</x:v>
      </x:c>
      <x:c r="C1696" s="48" t="str">
        <x:v>English</x:v>
      </x:c>
      <x:c r="D1696" s="48" t="n">
        <x:v>45</x:v>
      </x:c>
      <x:c r="E1696" s="48" t="str"/>
      <x:c r="F1696" s="48" t="str">
        <x:v>Employer, the Employer's Personnel, or the Employer's other contractors on</x:v>
      </x:c>
      <x:c r="G1696" s="48" t="str">
        <x:v>Obligation</x:v>
      </x:c>
      <x:c r="H1696" s="48" t="str">
        <x:v>Employer</x:v>
      </x:c>
      <x:c r="I1696" s="48" t="n">
        <x:v>0.45</x:v>
      </x:c>
      <x:c r="J1696" s="48" t="n">
        <x:v>0.68</x:v>
      </x:c>
      <x:c r="K1696" s="48" t="str">
        <x:v>Yes</x:v>
      </x:c>
      <x:c r="L1696" s="48" t="str">
        <x:v>PDF text</x:v>
      </x:c>
    </x:row>
    <x:row r="1697">
      <x:c r="A1697" s="48" t="str">
        <x:v>UNI-1696</x:v>
      </x:c>
      <x:c r="B1697" s="48" t="str">
        <x:v>YELLOW</x:v>
      </x:c>
      <x:c r="C1697" s="48" t="str">
        <x:v>English</x:v>
      </x:c>
      <x:c r="D1697" s="48" t="n">
        <x:v>45</x:v>
      </x:c>
      <x:c r="E1697" s="48" t="str"/>
      <x:c r="F1697" s="48" t="str">
        <x:v>If the Contractor considers himself to be entitled to an extension of the Time for Completion, the Contractor shall give notice to the Engineer in accordance with SubClause 20.1 [Contractor's Claims].</x:v>
      </x:c>
      <x:c r="G1697" s="48" t="str">
        <x:v>Obligation</x:v>
      </x:c>
      <x:c r="H1697" s="48" t="str">
        <x:v>Contractor</x:v>
      </x:c>
      <x:c r="I1697" s="48" t="n">
        <x:v>0.88</x:v>
      </x:c>
      <x:c r="J1697" s="48" t="n">
        <x:v>0.92</x:v>
      </x:c>
      <x:c r="K1697" s="48" t="str">
        <x:v>No</x:v>
      </x:c>
      <x:c r="L1697" s="48" t="str">
        <x:v>PDF text</x:v>
      </x:c>
    </x:row>
    <x:row r="1698">
      <x:c r="A1698" s="48" t="str">
        <x:v>UNI-1697</x:v>
      </x:c>
      <x:c r="B1698" s="48" t="str">
        <x:v>YELLOW</x:v>
      </x:c>
      <x:c r="C1698" s="48" t="str">
        <x:v>English</x:v>
      </x:c>
      <x:c r="D1698" s="48" t="n">
        <x:v>45</x:v>
      </x:c>
      <x:c r="E1698" s="48" t="str"/>
      <x:c r="F1698" s="48" t="str">
        <x:v>If the following conditions apply, namely: (a) the Contractor has diligently followed the procedures laid down by the relevant legally constituted public authorities in the Country, (b) these authorities delay or disrupt the Contractor's work, and (c) the delay or disruption was Unforeseeable, then this delay or disruption will be considered as a cause of delay under subparagraph (b) of Sub-Clause 8.4 [Extension of Time for Completion].</x:v>
      </x:c>
      <x:c r="G1698" s="48" t="str">
        <x:v>Risk</x:v>
      </x:c>
      <x:c r="H1698" s="48" t="str">
        <x:v>Contractor</x:v>
      </x:c>
      <x:c r="I1698" s="48" t="n">
        <x:v>0.78</x:v>
      </x:c>
      <x:c r="J1698" s="48" t="n">
        <x:v>0.68</x:v>
      </x:c>
      <x:c r="K1698" s="48" t="str">
        <x:v>Yes</x:v>
      </x:c>
      <x:c r="L1698" s="48" t="str">
        <x:v>PDF text</x:v>
      </x:c>
    </x:row>
    <x:row r="1699">
      <x:c r="A1699" s="48" t="str">
        <x:v>UNI-1698</x:v>
      </x:c>
      <x:c r="B1699" s="48" t="str">
        <x:v>YELLOW</x:v>
      </x:c>
      <x:c r="C1699" s="48" t="str">
        <x:v>English</x:v>
      </x:c>
      <x:c r="D1699" s="48" t="n">
        <x:v>45</x:v>
      </x:c>
      <x:c r="E1699" s="48" t="str"/>
      <x:c r="F1699" s="48" t="str">
        <x:v>methods, which may require increases in the working hours and/or in the numbers of Contractor's Personnel and/or Goods, at the risk and cost of the Contractor.</x:v>
      </x:c>
      <x:c r="G1699" s="48" t="str">
        <x:v>Risk</x:v>
      </x:c>
      <x:c r="H1699" s="48" t="str">
        <x:v>Contractor</x:v>
      </x:c>
      <x:c r="I1699" s="48" t="n">
        <x:v>0.78</x:v>
      </x:c>
      <x:c r="J1699" s="48" t="n">
        <x:v>0.68</x:v>
      </x:c>
      <x:c r="K1699" s="48" t="str">
        <x:v>Yes</x:v>
      </x:c>
      <x:c r="L1699" s="48" t="str">
        <x:v>PDF text</x:v>
      </x:c>
    </x:row>
    <x:row r="1700">
      <x:c r="A1700" s="48" t="str">
        <x:v>UNI-1699</x:v>
      </x:c>
      <x:c r="B1700" s="48" t="str">
        <x:v>YELLOW</x:v>
      </x:c>
      <x:c r="C1700" s="48" t="str">
        <x:v>English</x:v>
      </x:c>
      <x:c r="D1700" s="48" t="n">
        <x:v>45</x:v>
      </x:c>
      <x:c r="E1700" s="48" t="str"/>
      <x:c r="F1700" s="48" t="str">
        <x:v>If these revised methods cause the Employer to incur additional costs, the Contractor shall subject to Sub-Clause 2.5 [Employer's Claims] pay these costs to the Employer, in addition to delay damages (if any) under Sub-Clause 8.7 below.</x:v>
      </x:c>
      <x:c r="G1700" s="48" t="str">
        <x:v>Risk</x:v>
      </x:c>
      <x:c r="H1700" s="48" t="str">
        <x:v>Contractor</x:v>
      </x:c>
      <x:c r="I1700" s="48" t="n">
        <x:v>0.78</x:v>
      </x:c>
      <x:c r="J1700" s="48" t="n">
        <x:v>0.92</x:v>
      </x:c>
      <x:c r="K1700" s="48" t="str">
        <x:v>No</x:v>
      </x:c>
      <x:c r="L1700" s="48" t="str">
        <x:v>PDF text</x:v>
      </x:c>
    </x:row>
    <x:row r="1701">
      <x:c r="A1701" s="48" t="str">
        <x:v>UNI-1700</x:v>
      </x:c>
      <x:c r="B1701" s="48" t="str">
        <x:v>YELLOW</x:v>
      </x:c>
      <x:c r="C1701" s="48" t="str">
        <x:v>English</x:v>
      </x:c>
      <x:c r="D1701" s="48" t="n">
        <x:v>45</x:v>
      </x:c>
      <x:c r="E1701" s="48" t="str"/>
      <x:c r="F1701" s="48" t="str">
        <x:v>If the Contractor fails to comply with Sub-Clause 8.2 [Time for Completion], the Contractor shall subject to Sub-Clause 2.5 [Employer's Claims] pay delay damages to the Employer for this default.</x:v>
      </x:c>
      <x:c r="G1701" s="48" t="str">
        <x:v>Risk</x:v>
      </x:c>
      <x:c r="H1701" s="48" t="str">
        <x:v>Contractor</x:v>
      </x:c>
      <x:c r="I1701" s="48" t="n">
        <x:v>0.78</x:v>
      </x:c>
      <x:c r="J1701" s="48" t="n">
        <x:v>0.92</x:v>
      </x:c>
      <x:c r="K1701" s="48" t="str">
        <x:v>No</x:v>
      </x:c>
      <x:c r="L1701" s="48" t="str">
        <x:v>PDF text</x:v>
      </x:c>
    </x:row>
    <x:row r="1702">
      <x:c r="A1702" s="48" t="str">
        <x:v>UNI-1701</x:v>
      </x:c>
      <x:c r="B1702" s="48" t="str">
        <x:v>YELLOW</x:v>
      </x:c>
      <x:c r="C1702" s="48" t="str">
        <x:v>English</x:v>
      </x:c>
      <x:c r="D1702" s="48" t="n">
        <x:v>45</x:v>
      </x:c>
      <x:c r="E1702" s="48" t="str"/>
      <x:c r="F1702" s="48" t="str">
        <x:v>These delay damages shall be the sum stated in the Appendix to Tender, which shall be paid for every day which shall elapse between the 8.5</x:v>
      </x:c>
      <x:c r="G1702" s="48" t="str">
        <x:v>Obligation</x:v>
      </x:c>
      <x:c r="H1702" s="48" t="str">
        <x:v>Shared</x:v>
      </x:c>
      <x:c r="I1702" s="48" t="n">
        <x:v>0.88</x:v>
      </x:c>
      <x:c r="J1702" s="48" t="n">
        <x:v>0.4</x:v>
      </x:c>
      <x:c r="K1702" s="48" t="str">
        <x:v>Yes</x:v>
      </x:c>
      <x:c r="L1702" s="48" t="str">
        <x:v>PDF text</x:v>
      </x:c>
    </x:row>
    <x:row r="1703">
      <x:c r="A1703" s="48" t="str">
        <x:v>UNI-1702</x:v>
      </x:c>
      <x:c r="B1703" s="48" t="str">
        <x:v>YELLOW</x:v>
      </x:c>
      <x:c r="C1703" s="48" t="str">
        <x:v>English</x:v>
      </x:c>
      <x:c r="D1703" s="48" t="n">
        <x:v>46</x:v>
      </x:c>
      <x:c r="E1703" s="48" t="str"/>
      <x:c r="F1703" s="48" t="str">
        <x:v>amount of delay damages (if any) stated in the Appendix to Tender.</x:v>
      </x:c>
      <x:c r="G1703" s="48" t="str">
        <x:v>Risk</x:v>
      </x:c>
      <x:c r="H1703" s="48" t="str">
        <x:v>Shared</x:v>
      </x:c>
      <x:c r="I1703" s="48" t="n">
        <x:v>0.78</x:v>
      </x:c>
      <x:c r="J1703" s="48" t="n">
        <x:v>0.4</x:v>
      </x:c>
      <x:c r="K1703" s="48" t="str">
        <x:v>Yes</x:v>
      </x:c>
      <x:c r="L1703" s="48" t="str">
        <x:v>PDF text</x:v>
      </x:c>
    </x:row>
    <x:row r="1704">
      <x:c r="A1704" s="48" t="str">
        <x:v>UNI-1703</x:v>
      </x:c>
      <x:c r="B1704" s="48" t="str">
        <x:v>YELLOW</x:v>
      </x:c>
      <x:c r="C1704" s="48" t="str">
        <x:v>English</x:v>
      </x:c>
      <x:c r="D1704" s="48" t="n">
        <x:v>46</x:v>
      </x:c>
      <x:c r="E1704" s="48" t="str"/>
      <x:c r="F1704" s="48" t="str">
        <x:v>The Engineer may at any time instruct the Contractor to suspend progress of</x:v>
      </x:c>
      <x:c r="G1704" s="48" t="str">
        <x:v>Right</x:v>
      </x:c>
      <x:c r="H1704" s="48" t="str">
        <x:v>Contractor</x:v>
      </x:c>
      <x:c r="I1704" s="48" t="n">
        <x:v>0.78</x:v>
      </x:c>
      <x:c r="J1704" s="48" t="n">
        <x:v>0.68</x:v>
      </x:c>
      <x:c r="K1704" s="48" t="str">
        <x:v>Yes</x:v>
      </x:c>
      <x:c r="L1704" s="48" t="str">
        <x:v>PDF text</x:v>
      </x:c>
    </x:row>
    <x:row r="1705">
      <x:c r="A1705" s="48" t="str">
        <x:v>UNI-1704</x:v>
      </x:c>
      <x:c r="B1705" s="48" t="str">
        <x:v>YELLOW</x:v>
      </x:c>
      <x:c r="C1705" s="48" t="str">
        <x:v>English</x:v>
      </x:c>
      <x:c r="D1705" s="48" t="n">
        <x:v>46</x:v>
      </x:c>
      <x:c r="E1705" s="48" t="str"/>
      <x:c r="F1705" s="48" t="str">
        <x:v>part or all of the Works.</x:v>
      </x:c>
      <x:c r="G1705" s="48" t="str">
        <x:v>Obligation</x:v>
      </x:c>
      <x:c r="H1705" s="48" t="str">
        <x:v>Shared</x:v>
      </x:c>
      <x:c r="I1705" s="48" t="n">
        <x:v>0.45</x:v>
      </x:c>
      <x:c r="J1705" s="48" t="n">
        <x:v>0.4</x:v>
      </x:c>
      <x:c r="K1705" s="48" t="str">
        <x:v>Yes</x:v>
      </x:c>
      <x:c r="L1705" s="48" t="str">
        <x:v>PDF text</x:v>
      </x:c>
    </x:row>
    <x:row r="1706">
      <x:c r="A1706" s="48" t="str">
        <x:v>UNI-1705</x:v>
      </x:c>
      <x:c r="B1706" s="48" t="str">
        <x:v>YELLOW</x:v>
      </x:c>
      <x:c r="C1706" s="48" t="str">
        <x:v>English</x:v>
      </x:c>
      <x:c r="D1706" s="48" t="n">
        <x:v>46</x:v>
      </x:c>
      <x:c r="E1706" s="48" t="str"/>
      <x:c r="F1706" s="48" t="str">
        <x:v>If the Contractor suffers delay and/or incurs Cost from complying with the Engineer's instructions under Sub-Clause 8.8 [Suspension of Work] and/or from resuming the work, the Contractor shall give notice to the Engineer and shall be entitled subject to Sub-Clause 20.1 [Contractor's Claims] to: (a) an extension of time for any such delay, if completion is or will be delayed, under Sub-Clause 8.4 [Extension of Time for Completion], and (b) payment of any such Cost, which shall be included in the Contract Price.</x:v>
      </x:c>
      <x:c r="G1706" s="48" t="str">
        <x:v>Risk</x:v>
      </x:c>
      <x:c r="H1706" s="48" t="str">
        <x:v>Contractor</x:v>
      </x:c>
      <x:c r="I1706" s="48" t="n">
        <x:v>0.78</x:v>
      </x:c>
      <x:c r="J1706" s="48" t="n">
        <x:v>0.92</x:v>
      </x:c>
      <x:c r="K1706" s="48" t="str">
        <x:v>No</x:v>
      </x:c>
      <x:c r="L1706" s="48" t="str">
        <x:v>PDF text</x:v>
      </x:c>
    </x:row>
    <x:row r="1707">
      <x:c r="A1707" s="48" t="str">
        <x:v>UNI-1706</x:v>
      </x:c>
      <x:c r="B1707" s="48" t="str">
        <x:v>YELLOW</x:v>
      </x:c>
      <x:c r="C1707" s="48" t="str">
        <x:v>English</x:v>
      </x:c>
      <x:c r="D1707" s="48" t="n">
        <x:v>46</x:v>
      </x:c>
      <x:c r="E1707" s="48" t="str"/>
      <x:c r="F1707" s="48" t="str">
        <x:v>Cost incurred in, making good the consequences of the Contractor's faulty design,</x:v>
      </x:c>
      <x:c r="G1707" s="48" t="str">
        <x:v>Obligation</x:v>
      </x:c>
      <x:c r="H1707" s="48" t="str">
        <x:v>Contractor</x:v>
      </x:c>
      <x:c r="I1707" s="48" t="n">
        <x:v>0.45</x:v>
      </x:c>
      <x:c r="J1707" s="48" t="n">
        <x:v>0.68</x:v>
      </x:c>
      <x:c r="K1707" s="48" t="str">
        <x:v>Yes</x:v>
      </x:c>
      <x:c r="L1707" s="48" t="str">
        <x:v>PDF text</x:v>
      </x:c>
    </x:row>
    <x:row r="1708">
      <x:c r="A1708" s="48" t="str">
        <x:v>UNI-1707</x:v>
      </x:c>
      <x:c r="B1708" s="48" t="str">
        <x:v>YELLOW</x:v>
      </x:c>
      <x:c r="C1708" s="48" t="str">
        <x:v>English</x:v>
      </x:c>
      <x:c r="D1708" s="48" t="n">
        <x:v>46</x:v>
      </x:c>
      <x:c r="E1708" s="48" t="str"/>
      <x:c r="F1708" s="48" t="str">
        <x:v>workmanship or materials, or of the Contractor's failure to protect, store or secure in accordance with Sub-Clause 8.8 [Suspension of Work].</x:v>
      </x:c>
      <x:c r="G1708" s="48" t="str">
        <x:v>Obligation</x:v>
      </x:c>
      <x:c r="H1708" s="48" t="str">
        <x:v>Contractor</x:v>
      </x:c>
      <x:c r="I1708" s="48" t="n">
        <x:v>0.45</x:v>
      </x:c>
      <x:c r="J1708" s="48" t="n">
        <x:v>0.68</x:v>
      </x:c>
      <x:c r="K1708" s="48" t="str">
        <x:v>Yes</x:v>
      </x:c>
      <x:c r="L1708" s="48" t="str">
        <x:v>PDF text</x:v>
      </x:c>
    </x:row>
    <x:row r="1709">
      <x:c r="A1709" s="48" t="str">
        <x:v>UNI-1708</x:v>
      </x:c>
      <x:c r="B1709" s="48" t="str">
        <x:v>YELLOW</x:v>
      </x:c>
      <x:c r="C1709" s="48" t="str">
        <x:v>English</x:v>
      </x:c>
      <x:c r="D1709" s="48" t="n">
        <x:v>46</x:v>
      </x:c>
      <x:c r="E1709" s="48" t="str"/>
      <x:c r="F1709" s="48" t="str">
        <x:v>The Contractor shall be entitled to payment of the value (as at the date of suspension) of Plant and/or Materials which have not been delivered to Site, if: (a) the work on Plant or delivery of Plant and/or Materials has been suspended for more than 28 days, and (b) the Contractor has marked the Plant and/or Materials as the Employer's property in accordance with the Engineer's instructions.</x:v>
      </x:c>
      <x:c r="G1709" s="48" t="str">
        <x:v>Obligation</x:v>
      </x:c>
      <x:c r="H1709" s="48" t="str">
        <x:v>Contractor</x:v>
      </x:c>
      <x:c r="I1709" s="48" t="n">
        <x:v>0.88</x:v>
      </x:c>
      <x:c r="J1709" s="48" t="n">
        <x:v>0.92</x:v>
      </x:c>
      <x:c r="K1709" s="48" t="str">
        <x:v>No</x:v>
      </x:c>
      <x:c r="L1709" s="48" t="str">
        <x:v>PDF text</x:v>
      </x:c>
    </x:row>
    <x:row r="1710">
      <x:c r="A1710" s="48" t="str">
        <x:v>UNI-1709</x:v>
      </x:c>
      <x:c r="B1710" s="48" t="str">
        <x:v>YELLOW</x:v>
      </x:c>
      <x:c r="C1710" s="48" t="str">
        <x:v>English</x:v>
      </x:c>
      <x:c r="D1710" s="48" t="n">
        <x:v>46</x:v>
      </x:c>
      <x:c r="E1710" s="48" t="str"/>
      <x:c r="F1710" s="48" t="str">
        <x:v>If the suspension under Sub-Clause 8.8 [Suspension of Work] has continued for more than 84 days, the Contractor may request the Engineer's permission to proceed.</x:v>
      </x:c>
      <x:c r="G1710" s="48" t="str">
        <x:v>Right</x:v>
      </x:c>
      <x:c r="H1710" s="48" t="str">
        <x:v>Contractor</x:v>
      </x:c>
      <x:c r="I1710" s="48" t="n">
        <x:v>0.78</x:v>
      </x:c>
      <x:c r="J1710" s="48" t="n">
        <x:v>0.92</x:v>
      </x:c>
      <x:c r="K1710" s="48" t="str">
        <x:v>No</x:v>
      </x:c>
      <x:c r="L1710" s="48" t="str">
        <x:v>PDF text</x:v>
      </x:c>
    </x:row>
    <x:row r="1711">
      <x:c r="A1711" s="48" t="str">
        <x:v>UNI-1710</x:v>
      </x:c>
      <x:c r="B1711" s="48" t="str">
        <x:v>YELLOW</x:v>
      </x:c>
      <x:c r="C1711" s="48" t="str">
        <x:v>English</x:v>
      </x:c>
      <x:c r="D1711" s="48" t="n">
        <x:v>47</x:v>
      </x:c>
      <x:c r="E1711" s="48" t="str"/>
      <x:c r="F1711" s="48" t="str">
        <x:v>The Contractor shall carry out the Tests on Completion in accordance with this Clause and Sub-Clause 7.4 [Testing], after providing the documents in accordance with SubClause 5.6 [As-Built Documents] and Sub-Clause 5.7 [Operation and Maintenance Manuals].</x:v>
      </x:c>
      <x:c r="G1711" s="48" t="str">
        <x:v>Obligation</x:v>
      </x:c>
      <x:c r="H1711" s="48" t="str">
        <x:v>Contractor</x:v>
      </x:c>
      <x:c r="I1711" s="48" t="n">
        <x:v>0.88</x:v>
      </x:c>
      <x:c r="J1711" s="48" t="n">
        <x:v>0.92</x:v>
      </x:c>
      <x:c r="K1711" s="48" t="str">
        <x:v>No</x:v>
      </x:c>
      <x:c r="L1711" s="48" t="str">
        <x:v>PDF text</x:v>
      </x:c>
    </x:row>
    <x:row r="1712">
      <x:c r="A1712" s="48" t="str">
        <x:v>UNI-1711</x:v>
      </x:c>
      <x:c r="B1712" s="48" t="str">
        <x:v>YELLOW</x:v>
      </x:c>
      <x:c r="C1712" s="48" t="str">
        <x:v>English</x:v>
      </x:c>
      <x:c r="D1712" s="48" t="n">
        <x:v>47</x:v>
      </x:c>
      <x:c r="E1712" s="48" t="str"/>
      <x:c r="F1712" s="48" t="str">
        <x:v>Unless otherwise stated in the Particular Conditions, the Tests on Completion shall be carried out in the following sequence: (a) pre-commissioning tests, which shall include the appropriate inspections and ("dry" or "cold") functional tests to demonstrate that each item of Plant can safely undertake the next stage, (b); (b) commissioning tests, which shall include the specified operational tests to demonstrate that the Works or Section can be operated safely and as specified, under all available operating conditions; and (c) trial operation, which shall demonstrate that the Works or Section perform reliably and in accordance with the Contract.</x:v>
      </x:c>
      <x:c r="G1712" s="48" t="str">
        <x:v>Obligation</x:v>
      </x:c>
      <x:c r="H1712" s="48" t="str">
        <x:v>Shared</x:v>
      </x:c>
      <x:c r="I1712" s="48" t="n">
        <x:v>0.88</x:v>
      </x:c>
      <x:c r="J1712" s="48" t="n">
        <x:v>0.4</x:v>
      </x:c>
      <x:c r="K1712" s="48" t="str">
        <x:v>Yes</x:v>
      </x:c>
      <x:c r="L1712" s="48" t="str">
        <x:v>PDF text</x:v>
      </x:c>
    </x:row>
    <x:row r="1713">
      <x:c r="A1713" s="48" t="str">
        <x:v>UNI-1712</x:v>
      </x:c>
      <x:c r="B1713" s="48" t="str">
        <x:v>YELLOW</x:v>
      </x:c>
      <x:c r="C1713" s="48" t="str">
        <x:v>English</x:v>
      </x:c>
      <x:c r="D1713" s="48" t="n">
        <x:v>47</x:v>
      </x:c>
      <x:c r="E1713" s="48" t="str"/>
      <x:c r="F1713" s="48" t="str">
        <x:v>During trial operation, when the Works are operating under stable conditions, the</x:v>
      </x:c>
      <x:c r="G1713" s="48" t="str">
        <x:v>Obligation</x:v>
      </x:c>
      <x:c r="H1713" s="48" t="str">
        <x:v>Shared</x:v>
      </x:c>
      <x:c r="I1713" s="48" t="n">
        <x:v>0.45</x:v>
      </x:c>
      <x:c r="J1713" s="48" t="n">
        <x:v>0.4</x:v>
      </x:c>
      <x:c r="K1713" s="48" t="str">
        <x:v>Yes</x:v>
      </x:c>
      <x:c r="L1713" s="48" t="str">
        <x:v>PDF text</x:v>
      </x:c>
    </x:row>
    <x:row r="1714">
      <x:c r="A1714" s="48" t="str">
        <x:v>UNI-1713</x:v>
      </x:c>
      <x:c r="B1714" s="48" t="str">
        <x:v>YELLOW</x:v>
      </x:c>
      <x:c r="C1714" s="48" t="str">
        <x:v>English</x:v>
      </x:c>
      <x:c r="D1714" s="48" t="n">
        <x:v>47</x:v>
      </x:c>
      <x:c r="E1714" s="48" t="str"/>
      <x:c r="F1714" s="48" t="str">
        <x:v>Contractor shall give notice to the Engineer that the Works are ready for any other</x:v>
      </x:c>
      <x:c r="G1714" s="48" t="str">
        <x:v>Obligation</x:v>
      </x:c>
      <x:c r="H1714" s="48" t="str">
        <x:v>Contractor</x:v>
      </x:c>
      <x:c r="I1714" s="48" t="n">
        <x:v>0.88</x:v>
      </x:c>
      <x:c r="J1714" s="48" t="n">
        <x:v>0.68</x:v>
      </x:c>
      <x:c r="K1714" s="48" t="str">
        <x:v>Yes</x:v>
      </x:c>
      <x:c r="L1714" s="48" t="str">
        <x:v>PDF text</x:v>
      </x:c>
    </x:row>
    <x:row r="1715">
      <x:c r="A1715" s="48" t="str">
        <x:v>UNI-1714</x:v>
      </x:c>
      <x:c r="B1715" s="48" t="str">
        <x:v>YELLOW</x:v>
      </x:c>
      <x:c r="C1715" s="48" t="str">
        <x:v>English</x:v>
      </x:c>
      <x:c r="D1715" s="48" t="n">
        <x:v>47</x:v>
      </x:c>
      <x:c r="E1715" s="48" t="str"/>
      <x:c r="F1715" s="48" t="str">
        <x:v>Tests on Completion, including performance tests to demonstrate whether the Works</x:v>
      </x:c>
      <x:c r="G1715" s="48" t="str">
        <x:v>Obligation</x:v>
      </x:c>
      <x:c r="H1715" s="48" t="str">
        <x:v>Shared</x:v>
      </x:c>
      <x:c r="I1715" s="48" t="n">
        <x:v>0.45</x:v>
      </x:c>
      <x:c r="J1715" s="48" t="n">
        <x:v>0.4</x:v>
      </x:c>
      <x:c r="K1715" s="48" t="str">
        <x:v>Yes</x:v>
      </x:c>
      <x:c r="L1715" s="48" t="str">
        <x:v>PDF text</x:v>
      </x:c>
    </x:row>
    <x:row r="1716">
      <x:c r="A1716" s="48" t="str">
        <x:v>UNI-1715</x:v>
      </x:c>
      <x:c r="B1716" s="48" t="str">
        <x:v>YELLOW</x:v>
      </x:c>
      <x:c r="C1716" s="48" t="str">
        <x:v>English</x:v>
      </x:c>
      <x:c r="D1716" s="48" t="n">
        <x:v>47</x:v>
      </x:c>
      <x:c r="E1716" s="48" t="str"/>
      <x:c r="F1716" s="48" t="str">
        <x:v>conform with criteria specified in the Employer's Requirements and with the Schedule of Guarantees.</x:v>
      </x:c>
      <x:c r="G1716" s="48" t="str">
        <x:v>Obligation</x:v>
      </x:c>
      <x:c r="H1716" s="48" t="str">
        <x:v>Employer</x:v>
      </x:c>
      <x:c r="I1716" s="48" t="n">
        <x:v>0.45</x:v>
      </x:c>
      <x:c r="J1716" s="48" t="n">
        <x:v>0.68</x:v>
      </x:c>
      <x:c r="K1716" s="48" t="str">
        <x:v>Yes</x:v>
      </x:c>
      <x:c r="L1716" s="48" t="str">
        <x:v>PDF text</x:v>
      </x:c>
    </x:row>
    <x:row r="1717">
      <x:c r="A1717" s="48" t="str">
        <x:v>UNI-1716</x:v>
      </x:c>
      <x:c r="B1717" s="48" t="str">
        <x:v>YELLOW</x:v>
      </x:c>
      <x:c r="C1717" s="48" t="str">
        <x:v>English</x:v>
      </x:c>
      <x:c r="D1717" s="48" t="n">
        <x:v>47</x:v>
      </x:c>
      <x:c r="E1717" s="48" t="str"/>
      <x:c r="F1717" s="48" t="str">
        <x:v>Trial operation shall not constitute a taking-over under Clause 10 [Employer's Taking Over].</x:v>
      </x:c>
      <x:c r="G1717" s="48" t="str">
        <x:v>Obligation</x:v>
      </x:c>
      <x:c r="H1717" s="48" t="str">
        <x:v>Employer</x:v>
      </x:c>
      <x:c r="I1717" s="48" t="n">
        <x:v>0.88</x:v>
      </x:c>
      <x:c r="J1717" s="48" t="n">
        <x:v>0.68</x:v>
      </x:c>
      <x:c r="K1717" s="48" t="str">
        <x:v>Yes</x:v>
      </x:c>
      <x:c r="L1717" s="48" t="str">
        <x:v>PDF text</x:v>
      </x:c>
    </x:row>
    <x:row r="1718">
      <x:c r="A1718" s="48" t="str">
        <x:v>UNI-1717</x:v>
      </x:c>
      <x:c r="B1718" s="48" t="str">
        <x:v>YELLOW</x:v>
      </x:c>
      <x:c r="C1718" s="48" t="str">
        <x:v>English</x:v>
      </x:c>
      <x:c r="D1718" s="48" t="n">
        <x:v>47</x:v>
      </x:c>
      <x:c r="E1718" s="48" t="str"/>
      <x:c r="F1718" s="48" t="str">
        <x:v>Unless otherwise stated in the Particular Conditions, any product produced by the Works during trial operation shall be the property of the Employer.</x:v>
      </x:c>
      <x:c r="G1718" s="48" t="str">
        <x:v>Obligation</x:v>
      </x:c>
      <x:c r="H1718" s="48" t="str">
        <x:v>Employer</x:v>
      </x:c>
      <x:c r="I1718" s="48" t="n">
        <x:v>0.88</x:v>
      </x:c>
      <x:c r="J1718" s="48" t="n">
        <x:v>0.68</x:v>
      </x:c>
      <x:c r="K1718" s="48" t="str">
        <x:v>Yes</x:v>
      </x:c>
      <x:c r="L1718" s="48" t="str">
        <x:v>PDF text</x:v>
      </x:c>
    </x:row>
    <x:row r="1719">
      <x:c r="A1719" s="48" t="str">
        <x:v>UNI-1718</x:v>
      </x:c>
      <x:c r="B1719" s="48" t="str">
        <x:v>YELLOW</x:v>
      </x:c>
      <x:c r="C1719" s="48" t="str">
        <x:v>English</x:v>
      </x:c>
      <x:c r="D1719" s="48" t="n">
        <x:v>47</x:v>
      </x:c>
      <x:c r="E1719" s="48" t="str"/>
      <x:c r="F1719" s="48" t="str">
        <x:v>As soon as the Works, or a Section, have passed each of the Tests on Completion described in sub-paragraph (a), (b) or (c), the Contractor shall submit a certified report of the results of these Tests to the Engineer.</x:v>
      </x:c>
      <x:c r="G1719" s="48" t="str">
        <x:v>Obligation</x:v>
      </x:c>
      <x:c r="H1719" s="48" t="str">
        <x:v>Contractor</x:v>
      </x:c>
      <x:c r="I1719" s="48" t="n">
        <x:v>0.88</x:v>
      </x:c>
      <x:c r="J1719" s="48" t="n">
        <x:v>0.92</x:v>
      </x:c>
      <x:c r="K1719" s="48" t="str">
        <x:v>No</x:v>
      </x:c>
      <x:c r="L1719" s="48" t="str">
        <x:v>PDF text</x:v>
      </x:c>
    </x:row>
    <x:row r="1720">
      <x:c r="A1720" s="48" t="str">
        <x:v>UNI-1719</x:v>
      </x:c>
      <x:c r="B1720" s="48" t="str">
        <x:v>YELLOW</x:v>
      </x:c>
      <x:c r="C1720" s="48" t="str">
        <x:v>English</x:v>
      </x:c>
      <x:c r="D1720" s="48" t="n">
        <x:v>47</x:v>
      </x:c>
      <x:c r="E1720" s="48" t="str"/>
      <x:c r="F1720" s="48" t="str">
        <x:v>The Contractor shall carry out the Tests on such day or days 8.12</x:v>
      </x:c>
      <x:c r="G1720" s="48" t="str">
        <x:v>Obligation</x:v>
      </x:c>
      <x:c r="H1720" s="48" t="str">
        <x:v>Contractor</x:v>
      </x:c>
      <x:c r="I1720" s="48" t="n">
        <x:v>0.88</x:v>
      </x:c>
      <x:c r="J1720" s="48" t="n">
        <x:v>0.92</x:v>
      </x:c>
      <x:c r="K1720" s="48" t="str">
        <x:v>No</x:v>
      </x:c>
      <x:c r="L1720" s="48" t="str">
        <x:v>PDF text</x:v>
      </x:c>
    </x:row>
    <x:row r="1721">
      <x:c r="A1721" s="48" t="str">
        <x:v>UNI-1720</x:v>
      </x:c>
      <x:c r="B1721" s="48" t="str">
        <x:v>YELLOW</x:v>
      </x:c>
      <x:c r="C1721" s="48" t="str">
        <x:v>English</x:v>
      </x:c>
      <x:c r="D1721" s="48" t="n">
        <x:v>47</x:v>
      </x:c>
      <x:c r="E1721" s="48" t="str"/>
      <x:c r="F1721" s="48" t="str">
        <x:v>Contractor's Obligations</x:v>
      </x:c>
      <x:c r="G1721" s="48" t="str">
        <x:v>Obligation</x:v>
      </x:c>
      <x:c r="H1721" s="48" t="str">
        <x:v>Contractor</x:v>
      </x:c>
      <x:c r="I1721" s="48" t="n">
        <x:v>0.45</x:v>
      </x:c>
      <x:c r="J1721" s="48" t="n">
        <x:v>0.68</x:v>
      </x:c>
      <x:c r="K1721" s="48" t="str">
        <x:v>Yes</x:v>
      </x:c>
      <x:c r="L1721" s="48" t="str">
        <x:v>PDF text</x:v>
      </x:c>
    </x:row>
    <x:row r="1722">
      <x:c r="A1722" s="48" t="str">
        <x:v>UNI-1721</x:v>
      </x:c>
      <x:c r="B1722" s="48" t="str">
        <x:v>YELLOW</x:v>
      </x:c>
      <x:c r="C1722" s="48" t="str">
        <x:v>English</x:v>
      </x:c>
      <x:c r="D1722" s="48" t="n">
        <x:v>48</x:v>
      </x:c>
      <x:c r="E1722" s="48" t="str"/>
      <x:c r="F1722" s="48" t="str">
        <x:v>within that period as the Contractor may fix and of which he shall give notice to the Engineer.</x:v>
      </x:c>
      <x:c r="G1722" s="48" t="str">
        <x:v>Obligation</x:v>
      </x:c>
      <x:c r="H1722" s="48" t="str">
        <x:v>Contractor</x:v>
      </x:c>
      <x:c r="I1722" s="48" t="n">
        <x:v>0.88</x:v>
      </x:c>
      <x:c r="J1722" s="48" t="n">
        <x:v>0.68</x:v>
      </x:c>
      <x:c r="K1722" s="48" t="str">
        <x:v>Yes</x:v>
      </x:c>
      <x:c r="L1722" s="48" t="str">
        <x:v>PDF text</x:v>
      </x:c>
    </x:row>
    <x:row r="1723">
      <x:c r="A1723" s="48" t="str">
        <x:v>UNI-1722</x:v>
      </x:c>
      <x:c r="B1723" s="48" t="str">
        <x:v>YELLOW</x:v>
      </x:c>
      <x:c r="C1723" s="48" t="str">
        <x:v>English</x:v>
      </x:c>
      <x:c r="D1723" s="48" t="n">
        <x:v>48</x:v>
      </x:c>
      <x:c r="E1723" s="48" t="str"/>
      <x:c r="F1723" s="48" t="str">
        <x:v>If the Contractor fails to carry out the Tests on Completion within the period of 21 days, the Employer's Personnel may proceed with the Tests at the risk and cost of the Contractor.</x:v>
      </x:c>
      <x:c r="G1723" s="48" t="str">
        <x:v>Risk</x:v>
      </x:c>
      <x:c r="H1723" s="48" t="str">
        <x:v>Shared</x:v>
      </x:c>
      <x:c r="I1723" s="48" t="n">
        <x:v>0.78</x:v>
      </x:c>
      <x:c r="J1723" s="48" t="n">
        <x:v>0.6</x:v>
      </x:c>
      <x:c r="K1723" s="48" t="str">
        <x:v>Yes</x:v>
      </x:c>
      <x:c r="L1723" s="48" t="str">
        <x:v>PDF text</x:v>
      </x:c>
    </x:row>
    <x:row r="1724">
      <x:c r="A1724" s="48" t="str">
        <x:v>UNI-1723</x:v>
      </x:c>
      <x:c r="B1724" s="48" t="str">
        <x:v>YELLOW</x:v>
      </x:c>
      <x:c r="C1724" s="48" t="str">
        <x:v>English</x:v>
      </x:c>
      <x:c r="D1724" s="48" t="n">
        <x:v>48</x:v>
      </x:c>
      <x:c r="E1724" s="48" t="str"/>
      <x:c r="F1724" s="48" t="str">
        <x:v>In the event of sub-paragraph (c), the Contractor shall then proceed in accordance with all other obligations under the Contract, and the Contract Price shall be reduced by such amount as shall be appropriate to cover the reduced value to the Employer as a result of this failure.</x:v>
      </x:c>
      <x:c r="G1724" s="48" t="str">
        <x:v>Risk</x:v>
      </x:c>
      <x:c r="H1724" s="48" t="str">
        <x:v>Contractor</x:v>
      </x:c>
      <x:c r="I1724" s="48" t="n">
        <x:v>0.78</x:v>
      </x:c>
      <x:c r="J1724" s="48" t="n">
        <x:v>0.92</x:v>
      </x:c>
      <x:c r="K1724" s="48" t="str">
        <x:v>No</x:v>
      </x:c>
      <x:c r="L1724" s="48" t="str">
        <x:v>PDF text</x:v>
      </x:c>
    </x:row>
    <x:row r="1725">
      <x:c r="A1725" s="48" t="str">
        <x:v>UNI-1724</x:v>
      </x:c>
      <x:c r="B1725" s="48" t="str">
        <x:v>YELLOW</x:v>
      </x:c>
      <x:c r="C1725" s="48" t="str">
        <x:v>English</x:v>
      </x:c>
      <x:c r="D1725" s="48" t="n">
        <x:v>48</x:v>
      </x:c>
      <x:c r="E1725" s="48" t="str"/>
      <x:c r="F1725" s="48" t="str">
        <x:v>Unless the relevant reduction for this failure is stated (or its method of calculation is defined) in the Contract, the Employer may require the reduction to be (i) agreed by both Parties (in full satisfaction of this failure only) and paid before this Taking-Over Certificate is issued, or (ii) determined and paid under Sub-Clause 2.5 [Employer's Claims] and Sub-Clause 3.5 [Determinations].</x:v>
      </x:c>
      <x:c r="G1725" s="48" t="str">
        <x:v>Right</x:v>
      </x:c>
      <x:c r="H1725" s="48" t="str">
        <x:v>Shared</x:v>
      </x:c>
      <x:c r="I1725" s="48" t="n">
        <x:v>0.78</x:v>
      </x:c>
      <x:c r="J1725" s="48" t="n">
        <x:v>0.93</x:v>
      </x:c>
      <x:c r="K1725" s="48" t="str">
        <x:v>No</x:v>
      </x:c>
      <x:c r="L1725" s="48" t="str">
        <x:v>PDF text</x:v>
      </x:c>
    </x:row>
    <x:row r="1726">
      <x:c r="A1726" s="48" t="str">
        <x:v>UNI-1725</x:v>
      </x:c>
      <x:c r="B1726" s="48" t="str">
        <x:v>YELLOW</x:v>
      </x:c>
      <x:c r="C1726" s="48" t="str">
        <x:v>English</x:v>
      </x:c>
      <x:c r="D1726" s="48" t="n">
        <x:v>48</x:v>
      </x:c>
      <x:c r="E1726" s="48" t="str"/>
      <x:c r="F1726" s="48" t="str">
        <x:v>The Contractor may apply by notice to the Engineer for a Taking-Over Certificate not earlier than 14 days before the Works will, in the Contractor's opinion, be complete and ready for taking over.</x:v>
      </x:c>
      <x:c r="G1726" s="48" t="str">
        <x:v>Right</x:v>
      </x:c>
      <x:c r="H1726" s="48" t="str">
        <x:v>Contractor</x:v>
      </x:c>
      <x:c r="I1726" s="48" t="n">
        <x:v>0.78</x:v>
      </x:c>
      <x:c r="J1726" s="48" t="n">
        <x:v>0.92</x:v>
      </x:c>
      <x:c r="K1726" s="48" t="str">
        <x:v>No</x:v>
      </x:c>
      <x:c r="L1726" s="48" t="str">
        <x:v>PDF text</x:v>
      </x:c>
    </x:row>
    <x:row r="1727">
      <x:c r="A1727" s="48" t="str">
        <x:v>UNI-1726</x:v>
      </x:c>
      <x:c r="B1727" s="48" t="str">
        <x:v>YELLOW</x:v>
      </x:c>
      <x:c r="C1727" s="48" t="str">
        <x:v>English</x:v>
      </x:c>
      <x:c r="D1727" s="48" t="n">
        <x:v>48</x:v>
      </x:c>
      <x:c r="E1727" s="48" t="str"/>
      <x:c r="F1727" s="48" t="str">
        <x:v>The Engineer shall, within 28 days after receiving the Contractor's application: (a) issue the Taking-Over Certificate to the Contractor, stating the date on which the Works or Section were completed in accordance with the Contract, except 9.3</x:v>
      </x:c>
      <x:c r="G1727" s="48" t="str">
        <x:v>Obligation</x:v>
      </x:c>
      <x:c r="H1727" s="48" t="str">
        <x:v>Contractor</x:v>
      </x:c>
      <x:c r="I1727" s="48" t="n">
        <x:v>0.88</x:v>
      </x:c>
      <x:c r="J1727" s="48" t="n">
        <x:v>0.68</x:v>
      </x:c>
      <x:c r="K1727" s="48" t="str">
        <x:v>Yes</x:v>
      </x:c>
      <x:c r="L1727" s="48" t="str">
        <x:v>PDF text</x:v>
      </x:c>
    </x:row>
    <x:row r="1728">
      <x:c r="A1728" s="48" t="str">
        <x:v>UNI-1727</x:v>
      </x:c>
      <x:c r="B1728" s="48" t="str">
        <x:v>YELLOW</x:v>
      </x:c>
      <x:c r="C1728" s="48" t="str">
        <x:v>English</x:v>
      </x:c>
      <x:c r="D1728" s="48" t="n">
        <x:v>49</x:v>
      </x:c>
      <x:c r="E1728" s="48" t="str"/>
      <x:c r="F1728" s="48" t="str">
        <x:v>for any minor outstanding work and defects which will not substantially affect the use of the Works or Section for their intended purpose (either until or whilst this work is completed and these defects are remedied); or (b) reject the application, giving reasons and specifying the work required to be done by the Contractor to enable the Taking-Over Certificate to be issued.</x:v>
      </x:c>
      <x:c r="G1728" s="48" t="str">
        <x:v>Obligation</x:v>
      </x:c>
      <x:c r="H1728" s="48" t="str">
        <x:v>Contractor</x:v>
      </x:c>
      <x:c r="I1728" s="48" t="n">
        <x:v>0.55</x:v>
      </x:c>
      <x:c r="J1728" s="48" t="n">
        <x:v>0.68</x:v>
      </x:c>
      <x:c r="K1728" s="48" t="str">
        <x:v>Yes</x:v>
      </x:c>
      <x:c r="L1728" s="48" t="str">
        <x:v>PDF text</x:v>
      </x:c>
    </x:row>
    <x:row r="1729">
      <x:c r="A1729" s="48" t="str">
        <x:v>UNI-1728</x:v>
      </x:c>
      <x:c r="B1729" s="48" t="str">
        <x:v>YELLOW</x:v>
      </x:c>
      <x:c r="C1729" s="48" t="str">
        <x:v>English</x:v>
      </x:c>
      <x:c r="D1729" s="48" t="n">
        <x:v>49</x:v>
      </x:c>
      <x:c r="E1729" s="48" t="str"/>
      <x:c r="F1729" s="48" t="str">
        <x:v>If the Engineer fails either to issue the Taking-Over Certificate or to reject the Contractor’s application with the period of 28 days, and if the Works or Section (as the case may be) are substantially in accordance with the Contract, the TakingOver Certificate shall be deemed to have been issued on the last day of that period.</x:v>
      </x:c>
      <x:c r="G1729" s="48" t="str">
        <x:v>Obligation</x:v>
      </x:c>
      <x:c r="H1729" s="48" t="str">
        <x:v>Contractor</x:v>
      </x:c>
      <x:c r="I1729" s="48" t="n">
        <x:v>0.88</x:v>
      </x:c>
      <x:c r="J1729" s="48" t="n">
        <x:v>0.68</x:v>
      </x:c>
      <x:c r="K1729" s="48" t="str">
        <x:v>Yes</x:v>
      </x:c>
      <x:c r="L1729" s="48" t="str">
        <x:v>PDF text</x:v>
      </x:c>
    </x:row>
    <x:row r="1730">
      <x:c r="A1730" s="48" t="str">
        <x:v>UNI-1729</x:v>
      </x:c>
      <x:c r="B1730" s="48" t="str">
        <x:v>YELLOW</x:v>
      </x:c>
      <x:c r="C1730" s="48" t="str">
        <x:v>English</x:v>
      </x:c>
      <x:c r="D1730" s="48" t="n">
        <x:v>49</x:v>
      </x:c>
      <x:c r="E1730" s="48" t="str"/>
      <x:c r="F1730" s="48" t="str">
        <x:v>The Employer shall not use any part of the Works (other than as a temporary</x:v>
      </x:c>
      <x:c r="G1730" s="48" t="str">
        <x:v>Obligation</x:v>
      </x:c>
      <x:c r="H1730" s="48" t="str">
        <x:v>Employer</x:v>
      </x:c>
      <x:c r="I1730" s="48" t="n">
        <x:v>0.88</x:v>
      </x:c>
      <x:c r="J1730" s="48" t="n">
        <x:v>0.92</x:v>
      </x:c>
      <x:c r="K1730" s="48" t="str">
        <x:v>No</x:v>
      </x:c>
      <x:c r="L1730" s="48" t="str">
        <x:v>PDF text</x:v>
      </x:c>
    </x:row>
    <x:row r="1731">
      <x:c r="A1731" s="48" t="str">
        <x:v>UNI-1730</x:v>
      </x:c>
      <x:c r="B1731" s="48" t="str">
        <x:v>YELLOW</x:v>
      </x:c>
      <x:c r="C1731" s="48" t="str">
        <x:v>English</x:v>
      </x:c>
      <x:c r="D1731" s="48" t="n">
        <x:v>49</x:v>
      </x:c>
      <x:c r="E1731" s="48" t="str"/>
      <x:c r="F1731" s="48" t="str">
        <x:v>measure which is either specified in the Contract or agreed by both Parties) unless and until the Engineer has issued a Taking-Over Certificate for this part.</x:v>
      </x:c>
      <x:c r="G1731" s="48" t="str">
        <x:v>Obligation</x:v>
      </x:c>
      <x:c r="H1731" s="48" t="str">
        <x:v>Shared</x:v>
      </x:c>
      <x:c r="I1731" s="48" t="n">
        <x:v>0.55</x:v>
      </x:c>
      <x:c r="J1731" s="48" t="n">
        <x:v>0.93</x:v>
      </x:c>
      <x:c r="K1731" s="48" t="str">
        <x:v>Yes</x:v>
      </x:c>
      <x:c r="L1731" s="48" t="str">
        <x:v>PDF text</x:v>
      </x:c>
    </x:row>
    <x:row r="1732">
      <x:c r="A1732" s="48" t="str">
        <x:v>UNI-1731</x:v>
      </x:c>
      <x:c r="B1732" s="48" t="str">
        <x:v>YELLOW</x:v>
      </x:c>
      <x:c r="C1732" s="48" t="str">
        <x:v>English</x:v>
      </x:c>
      <x:c r="D1732" s="48" t="n">
        <x:v>49</x:v>
      </x:c>
      <x:c r="E1732" s="48" t="str"/>
      <x:c r="F1732" s="48" t="str">
        <x:v>If the Contractor incurs Cost as a result of the Employer taking over and/or using a part of the Works, other than such use as is specified in the Contract or agreed by the Contractor, the Contractor shall (i) give notice to the Engineer and (ii) be entitled subject to Sub-Clause 20.1 [Contractor's Claims] to payment of any such Cost plus reasonable profit, which shall be included in the Contract Price.</x:v>
      </x:c>
      <x:c r="G1732" s="48" t="str">
        <x:v>Risk</x:v>
      </x:c>
      <x:c r="H1732" s="48" t="str">
        <x:v>Contractor</x:v>
      </x:c>
      <x:c r="I1732" s="48" t="n">
        <x:v>0.78</x:v>
      </x:c>
      <x:c r="J1732" s="48" t="n">
        <x:v>0.92</x:v>
      </x:c>
      <x:c r="K1732" s="48" t="str">
        <x:v>No</x:v>
      </x:c>
      <x:c r="L1732" s="48" t="str">
        <x:v>PDF text</x:v>
      </x:c>
    </x:row>
    <x:row r="1733">
      <x:c r="A1733" s="48" t="str">
        <x:v>UNI-1732</x:v>
      </x:c>
      <x:c r="B1733" s="48" t="str">
        <x:v>YELLOW</x:v>
      </x:c>
      <x:c r="C1733" s="48" t="str">
        <x:v>English</x:v>
      </x:c>
      <x:c r="D1733" s="48" t="n">
        <x:v>49</x:v>
      </x:c>
      <x:c r="E1733" s="48" t="str"/>
      <x:c r="F1733" s="48" t="str">
        <x:v>For any period of delay after the date stated in this Taking-Over Certificate, the proportional reduction in these delay damages shall be calculated as the proportion which the value of the part so certified bears to the value of the Works or Section (as the case may be) as a whole.</x:v>
      </x:c>
      <x:c r="G1733" s="48" t="str">
        <x:v>Obligation</x:v>
      </x:c>
      <x:c r="H1733" s="48" t="str">
        <x:v>Shared</x:v>
      </x:c>
      <x:c r="I1733" s="48" t="n">
        <x:v>0.88</x:v>
      </x:c>
      <x:c r="J1733" s="48" t="n">
        <x:v>0.4</x:v>
      </x:c>
      <x:c r="K1733" s="48" t="str">
        <x:v>Yes</x:v>
      </x:c>
      <x:c r="L1733" s="48" t="str">
        <x:v>PDF text</x:v>
      </x:c>
    </x:row>
    <x:row r="1734">
      <x:c r="A1734" s="48" t="str">
        <x:v>UNI-1733</x:v>
      </x:c>
      <x:c r="B1734" s="48" t="str">
        <x:v>YELLOW</x:v>
      </x:c>
      <x:c r="C1734" s="48" t="str">
        <x:v>English</x:v>
      </x:c>
      <x:c r="D1734" s="48" t="n">
        <x:v>50</x:v>
      </x:c>
      <x:c r="E1734" s="48" t="str"/>
      <x:c r="F1734" s="48" t="str">
        <x:v>If the Contractor suffers delay and/or incurs Cost as a result of this delay in carrying out the Tests on Completion, the Contractor shall give notice to the Engineer and shall be entitled subject to Sub-Clause 20.1 [Contractor's Claims] to: (a) an extension of time for any such delay, if completion is or will be delayed, under Sub-Clause 8.4 [Extension of Time for Completion], and (b) payment of any such Cost plus reasonable profit, which shall be included in the Contract Price.</x:v>
      </x:c>
      <x:c r="G1734" s="48" t="str">
        <x:v>Risk</x:v>
      </x:c>
      <x:c r="H1734" s="48" t="str">
        <x:v>Contractor</x:v>
      </x:c>
      <x:c r="I1734" s="48" t="n">
        <x:v>0.78</x:v>
      </x:c>
      <x:c r="J1734" s="48" t="n">
        <x:v>0.92</x:v>
      </x:c>
      <x:c r="K1734" s="48" t="str">
        <x:v>No</x:v>
      </x:c>
      <x:c r="L1734" s="48" t="str">
        <x:v>PDF text</x:v>
      </x:c>
    </x:row>
    <x:row r="1735">
      <x:c r="A1735" s="48" t="str">
        <x:v>UNI-1734</x:v>
      </x:c>
      <x:c r="B1735" s="48" t="str">
        <x:v>YELLOW</x:v>
      </x:c>
      <x:c r="C1735" s="48" t="str">
        <x:v>English</x:v>
      </x:c>
      <x:c r="D1735" s="48" t="n">
        <x:v>50</x:v>
      </x:c>
      <x:c r="E1735" s="48" t="str"/>
      <x:c r="F1735" s="48" t="str">
        <x:v>In order that the Works and Contractor's Documents, and each Section, shall be in</x:v>
      </x:c>
      <x:c r="G1735" s="48" t="str">
        <x:v>Obligation</x:v>
      </x:c>
      <x:c r="H1735" s="48" t="str">
        <x:v>Contractor</x:v>
      </x:c>
      <x:c r="I1735" s="48" t="n">
        <x:v>0.88</x:v>
      </x:c>
      <x:c r="J1735" s="48" t="n">
        <x:v>0.68</x:v>
      </x:c>
      <x:c r="K1735" s="48" t="str">
        <x:v>Yes</x:v>
      </x:c>
      <x:c r="L1735" s="48" t="str">
        <x:v>PDF text</x:v>
      </x:c>
    </x:row>
    <x:row r="1736">
      <x:c r="A1736" s="48" t="str">
        <x:v>UNI-1735</x:v>
      </x:c>
      <x:c r="B1736" s="48" t="str">
        <x:v>YELLOW</x:v>
      </x:c>
      <x:c r="C1736" s="48" t="str">
        <x:v>English</x:v>
      </x:c>
      <x:c r="D1736" s="48" t="n">
        <x:v>50</x:v>
      </x:c>
      <x:c r="E1736" s="48" t="str"/>
      <x:c r="F1736" s="48" t="str">
        <x:v>Certificate, within such reasonable time as is instructed by the Engineer,</x:v>
      </x:c>
      <x:c r="G1736" s="48" t="str">
        <x:v>Obligation</x:v>
      </x:c>
      <x:c r="H1736" s="48" t="str">
        <x:v>Shared</x:v>
      </x:c>
      <x:c r="I1736" s="48" t="n">
        <x:v>0.55</x:v>
      </x:c>
      <x:c r="J1736" s="48" t="n">
        <x:v>0.4</x:v>
      </x:c>
      <x:c r="K1736" s="48" t="str">
        <x:v>Yes</x:v>
      </x:c>
      <x:c r="L1736" s="48" t="str">
        <x:v>PDF text</x:v>
      </x:c>
    </x:row>
    <x:row r="1737">
      <x:c r="A1737" s="48" t="str">
        <x:v>UNI-1736</x:v>
      </x:c>
      <x:c r="B1737" s="48" t="str">
        <x:v>YELLOW</x:v>
      </x:c>
      <x:c r="C1737" s="48" t="str">
        <x:v>English</x:v>
      </x:c>
      <x:c r="D1737" s="48" t="n">
        <x:v>50</x:v>
      </x:c>
      <x:c r="E1737" s="48" t="str"/>
      <x:c r="F1737" s="48" t="str">
        <x:v>and (b) execute all work required to remedy defects or damage, as may be notified by (or on behalf of) the Employer on or before the expiry date of the Defects Notification Period for the Works or Section (as the case may be).</x:v>
      </x:c>
      <x:c r="G1737" s="48" t="str">
        <x:v>Right</x:v>
      </x:c>
      <x:c r="H1737" s="48" t="str">
        <x:v>Employer</x:v>
      </x:c>
      <x:c r="I1737" s="48" t="n">
        <x:v>0.78</x:v>
      </x:c>
      <x:c r="J1737" s="48" t="n">
        <x:v>0.68</x:v>
      </x:c>
      <x:c r="K1737" s="48" t="str">
        <x:v>Yes</x:v>
      </x:c>
      <x:c r="L1737" s="48" t="str">
        <x:v>PDF text</x:v>
      </x:c>
    </x:row>
    <x:row r="1738">
      <x:c r="A1738" s="48" t="str">
        <x:v>UNI-1737</x:v>
      </x:c>
      <x:c r="B1738" s="48" t="str">
        <x:v>YELLOW</x:v>
      </x:c>
      <x:c r="C1738" s="48" t="str">
        <x:v>English</x:v>
      </x:c>
      <x:c r="D1738" s="48" t="n">
        <x:v>50</x:v>
      </x:c>
      <x:c r="E1738" s="48" t="str"/>
      <x:c r="F1738" s="48" t="str">
        <x:v>All work referred to in sub-paragraph (b) of Sub-Clause 11.1 [Completion of Outstanding Work and Remedying Defects] shall be executed at the risk and cost of the Contractor, if and to the extent that the work is attributable to: (a) the design of the Works, other than a part of the design for which the Employer is responsible (if any), (b)</x:v>
      </x:c>
      <x:c r="G1738" s="48" t="str">
        <x:v>Risk</x:v>
      </x:c>
      <x:c r="H1738" s="48" t="str">
        <x:v>Shared</x:v>
      </x:c>
      <x:c r="I1738" s="48" t="n">
        <x:v>0.78</x:v>
      </x:c>
      <x:c r="J1738" s="48" t="n">
        <x:v>0.6</x:v>
      </x:c>
      <x:c r="K1738" s="48" t="str">
        <x:v>Yes</x:v>
      </x:c>
      <x:c r="L1738" s="48" t="str">
        <x:v>PDF text</x:v>
      </x:c>
    </x:row>
    <x:row r="1739">
      <x:c r="A1739" s="48" t="str">
        <x:v>UNI-1738</x:v>
      </x:c>
      <x:c r="B1739" s="48" t="str">
        <x:v>YELLOW</x:v>
      </x:c>
      <x:c r="C1739" s="48" t="str">
        <x:v>English</x:v>
      </x:c>
      <x:c r="D1739" s="48" t="n">
        <x:v>50</x:v>
      </x:c>
      <x:c r="E1739" s="48" t="str"/>
      <x:c r="F1739" s="48" t="str">
        <x:v>Plant, Materials or workmanship not being in accordance with the Contract,</x:v>
      </x:c>
      <x:c r="G1739" s="48" t="str">
        <x:v>Obligation</x:v>
      </x:c>
      <x:c r="H1739" s="48" t="str">
        <x:v>Shared</x:v>
      </x:c>
      <x:c r="I1739" s="48" t="n">
        <x:v>0.45</x:v>
      </x:c>
      <x:c r="J1739" s="48" t="n">
        <x:v>0.4</x:v>
      </x:c>
      <x:c r="K1739" s="48" t="str">
        <x:v>Yes</x:v>
      </x:c>
      <x:c r="L1739" s="48" t="str">
        <x:v>PDF text</x:v>
      </x:c>
    </x:row>
    <x:row r="1740">
      <x:c r="A1740" s="48" t="str">
        <x:v>UNI-1739</x:v>
      </x:c>
      <x:c r="B1740" s="48" t="str">
        <x:v>YELLOW</x:v>
      </x:c>
      <x:c r="C1740" s="48" t="str">
        <x:v>English</x:v>
      </x:c>
      <x:c r="D1740" s="48" t="n">
        <x:v>50</x:v>
      </x:c>
      <x:c r="E1740" s="48" t="str"/>
      <x:c r="F1740" s="48" t="str">
        <x:v>Interference with Tests</x:v>
      </x:c>
      <x:c r="G1740" s="48" t="str">
        <x:v>Obligation</x:v>
      </x:c>
      <x:c r="H1740" s="48" t="str">
        <x:v>Shared</x:v>
      </x:c>
      <x:c r="I1740" s="48" t="n">
        <x:v>0.45</x:v>
      </x:c>
      <x:c r="J1740" s="48" t="n">
        <x:v>0.4</x:v>
      </x:c>
      <x:c r="K1740" s="48" t="str">
        <x:v>Yes</x:v>
      </x:c>
      <x:c r="L1740" s="48" t="str">
        <x:v>PDF text</x:v>
      </x:c>
    </x:row>
    <x:row r="1741">
      <x:c r="A1741" s="48" t="str">
        <x:v>UNI-1740</x:v>
      </x:c>
      <x:c r="B1741" s="48" t="str">
        <x:v>YELLOW</x:v>
      </x:c>
      <x:c r="C1741" s="48" t="str">
        <x:v>English</x:v>
      </x:c>
      <x:c r="D1741" s="48" t="n">
        <x:v>50</x:v>
      </x:c>
      <x:c r="E1741" s="48" t="str"/>
      <x:c r="F1741" s="48" t="str">
        <x:v>on Completion 10.4</x:v>
      </x:c>
      <x:c r="G1741" s="48" t="str">
        <x:v>Obligation</x:v>
      </x:c>
      <x:c r="H1741" s="48" t="str">
        <x:v>Shared</x:v>
      </x:c>
      <x:c r="I1741" s="48" t="n">
        <x:v>0.45</x:v>
      </x:c>
      <x:c r="J1741" s="48" t="n">
        <x:v>0.4</x:v>
      </x:c>
      <x:c r="K1741" s="48" t="str">
        <x:v>Yes</x:v>
      </x:c>
      <x:c r="L1741" s="48" t="str">
        <x:v>PDF text</x:v>
      </x:c>
    </x:row>
    <x:row r="1742">
      <x:c r="A1742" s="48" t="str">
        <x:v>UNI-1741</x:v>
      </x:c>
      <x:c r="B1742" s="48" t="str">
        <x:v>YELLOW</x:v>
      </x:c>
      <x:c r="C1742" s="48" t="str">
        <x:v>English</x:v>
      </x:c>
      <x:c r="D1742" s="48" t="n">
        <x:v>51</x:v>
      </x:c>
      <x:c r="E1742" s="48" t="str"/>
      <x:c r="F1742" s="48" t="str">
        <x:v>(c) improper operation or maintenance which was attributable to matters for which the Contractor is responsible (under Sub-Clauses 5.5 to 5.7 or otherwise), or (d) failure by the Contractor to comply with any other obligation.</x:v>
      </x:c>
      <x:c r="G1742" s="48" t="str">
        <x:v>Obligation</x:v>
      </x:c>
      <x:c r="H1742" s="48" t="str">
        <x:v>Contractor</x:v>
      </x:c>
      <x:c r="I1742" s="48" t="n">
        <x:v>0.45</x:v>
      </x:c>
      <x:c r="J1742" s="48" t="n">
        <x:v>0.68</x:v>
      </x:c>
      <x:c r="K1742" s="48" t="str">
        <x:v>Yes</x:v>
      </x:c>
      <x:c r="L1742" s="48" t="str">
        <x:v>PDF text</x:v>
      </x:c>
    </x:row>
    <x:row r="1743">
      <x:c r="A1743" s="48" t="str">
        <x:v>UNI-1742</x:v>
      </x:c>
      <x:c r="B1743" s="48" t="str">
        <x:v>YELLOW</x:v>
      </x:c>
      <x:c r="C1743" s="48" t="str">
        <x:v>English</x:v>
      </x:c>
      <x:c r="D1743" s="48" t="n">
        <x:v>51</x:v>
      </x:c>
      <x:c r="E1743" s="48" t="str"/>
      <x:c r="F1743" s="48" t="str">
        <x:v>The Employer shall be entitled subject to Sub-Clause 2.5 [Employer's Claims] to an extension of the Defects Notification Period for the Works or a Section if and to the extent that the Works, Section or a major item of Plant (as the case may be, and after taking over) cannot be used for the purposes for which they are intended by reason of a defect or damage.</x:v>
      </x:c>
      <x:c r="G1743" s="48" t="str">
        <x:v>Risk</x:v>
      </x:c>
      <x:c r="H1743" s="48" t="str">
        <x:v>Employer</x:v>
      </x:c>
      <x:c r="I1743" s="48" t="n">
        <x:v>0.78</x:v>
      </x:c>
      <x:c r="J1743" s="48" t="n">
        <x:v>0.92</x:v>
      </x:c>
      <x:c r="K1743" s="48" t="str">
        <x:v>No</x:v>
      </x:c>
      <x:c r="L1743" s="48" t="str">
        <x:v>PDF text</x:v>
      </x:c>
    </x:row>
    <x:row r="1744">
      <x:c r="A1744" s="48" t="str">
        <x:v>UNI-1743</x:v>
      </x:c>
      <x:c r="B1744" s="48" t="str">
        <x:v>YELLOW</x:v>
      </x:c>
      <x:c r="C1744" s="48" t="str">
        <x:v>English</x:v>
      </x:c>
      <x:c r="D1744" s="48" t="n">
        <x:v>51</x:v>
      </x:c>
      <x:c r="E1744" s="48" t="str">
        <x:v>8.8</x:v>
      </x:c>
      <x:c r="F1744" s="48" t="str">
        <x:v>8.8 [Suspension of Work] or Sub-Clause 16.1 [Contractor's Entitlement to Suspend</x:v>
      </x:c>
      <x:c r="G1744" s="48" t="str">
        <x:v>Obligation</x:v>
      </x:c>
      <x:c r="H1744" s="48" t="str">
        <x:v>Contractor</x:v>
      </x:c>
      <x:c r="I1744" s="48" t="n">
        <x:v>0.45</x:v>
      </x:c>
      <x:c r="J1744" s="48" t="n">
        <x:v>0.68</x:v>
      </x:c>
      <x:c r="K1744" s="48" t="str">
        <x:v>Yes</x:v>
      </x:c>
      <x:c r="L1744" s="48" t="str">
        <x:v>PDF text</x:v>
      </x:c>
    </x:row>
    <x:row r="1745">
      <x:c r="A1745" s="48" t="str">
        <x:v>UNI-1744</x:v>
      </x:c>
      <x:c r="B1745" s="48" t="str">
        <x:v>YELLOW</x:v>
      </x:c>
      <x:c r="C1745" s="48" t="str">
        <x:v>English</x:v>
      </x:c>
      <x:c r="D1745" s="48" t="n">
        <x:v>51</x:v>
      </x:c>
      <x:c r="E1745" s="48" t="str"/>
      <x:c r="F1745" s="48" t="str">
        <x:v>Work], the Contractor's obligations under this Clause shall not apply to any defects or damage occurring more than two years after the Defects Notification Period for the Plant and/or Materials would otherwise have expired.</x:v>
      </x:c>
      <x:c r="G1745" s="48" t="str">
        <x:v>Obligation</x:v>
      </x:c>
      <x:c r="H1745" s="48" t="str">
        <x:v>Contractor</x:v>
      </x:c>
      <x:c r="I1745" s="48" t="n">
        <x:v>0.88</x:v>
      </x:c>
      <x:c r="J1745" s="48" t="n">
        <x:v>0.68</x:v>
      </x:c>
      <x:c r="K1745" s="48" t="str">
        <x:v>Yes</x:v>
      </x:c>
      <x:c r="L1745" s="48" t="str">
        <x:v>PDF text</x:v>
      </x:c>
    </x:row>
    <x:row r="1746">
      <x:c r="A1746" s="48" t="str">
        <x:v>UNI-1745</x:v>
      </x:c>
      <x:c r="B1746" s="48" t="str">
        <x:v>YELLOW</x:v>
      </x:c>
      <x:c r="C1746" s="48" t="str">
        <x:v>English</x:v>
      </x:c>
      <x:c r="D1746" s="48" t="n">
        <x:v>51</x:v>
      </x:c>
      <x:c r="E1746" s="48" t="str"/>
      <x:c r="F1746" s="48" t="str">
        <x:v>(a) carry out the work himself or by others, in a reasonable manner and at the Contractor's cost, but the Contractor shall have no responsibility for this work; and the Contractor shall subject to Sub-Clause 2.5 [Employer's Claims] pay to the Employer the costs reasonably incurred by the Employer in remedying the defect or damage; (b) require the Engineer to agree or determine a reasonable reduction in the Contract Price in accordance with Sub-Clause 3.5 [Determinations]; or (c) if the defect or damage deprives the Employer of substantially the whole benefit of the Works or any major part of the Works, terminate the Contract as a whole, or in respect of such major part which cannot be put to the intended use.</x:v>
      </x:c>
      <x:c r="G1746" s="48" t="str">
        <x:v>Risk</x:v>
      </x:c>
      <x:c r="H1746" s="48" t="str">
        <x:v>Contractor</x:v>
      </x:c>
      <x:c r="I1746" s="48" t="n">
        <x:v>0.78</x:v>
      </x:c>
      <x:c r="J1746" s="48" t="n">
        <x:v>0.92</x:v>
      </x:c>
      <x:c r="K1746" s="48" t="str">
        <x:v>No</x:v>
      </x:c>
      <x:c r="L1746" s="48" t="str">
        <x:v>PDF text</x:v>
      </x:c>
    </x:row>
    <x:row r="1747">
      <x:c r="A1747" s="48" t="str">
        <x:v>UNI-1746</x:v>
      </x:c>
      <x:c r="B1747" s="48" t="str">
        <x:v>YELLOW</x:v>
      </x:c>
      <x:c r="C1747" s="48" t="str">
        <x:v>English</x:v>
      </x:c>
      <x:c r="D1747" s="48" t="n">
        <x:v>51</x:v>
      </x:c>
      <x:c r="E1747" s="48" t="str"/>
      <x:c r="F1747" s="48" t="str">
        <x:v>Without prejudice to any other rights, under the Contract or otherwise, the</x:v>
      </x:c>
      <x:c r="G1747" s="48" t="str">
        <x:v>Obligation</x:v>
      </x:c>
      <x:c r="H1747" s="48" t="str">
        <x:v>Shared</x:v>
      </x:c>
      <x:c r="I1747" s="48" t="n">
        <x:v>0.45</x:v>
      </x:c>
      <x:c r="J1747" s="48" t="n">
        <x:v>0.4</x:v>
      </x:c>
      <x:c r="K1747" s="48" t="str">
        <x:v>Yes</x:v>
      </x:c>
      <x:c r="L1747" s="48" t="str">
        <x:v>PDF text</x:v>
      </x:c>
    </x:row>
    <x:row r="1748">
      <x:c r="A1748" s="48" t="str">
        <x:v>UNI-1747</x:v>
      </x:c>
      <x:c r="B1748" s="48" t="str">
        <x:v>YELLOW</x:v>
      </x:c>
      <x:c r="C1748" s="48" t="str">
        <x:v>English</x:v>
      </x:c>
      <x:c r="D1748" s="48" t="n">
        <x:v>51</x:v>
      </x:c>
      <x:c r="E1748" s="48" t="str"/>
      <x:c r="F1748" s="48" t="str">
        <x:v>Employer shall then be entitled to recover all sums paid for the Works or for</x:v>
      </x:c>
      <x:c r="G1748" s="48" t="str">
        <x:v>Obligation</x:v>
      </x:c>
      <x:c r="H1748" s="48" t="str">
        <x:v>Employer</x:v>
      </x:c>
      <x:c r="I1748" s="48" t="n">
        <x:v>0.88</x:v>
      </x:c>
      <x:c r="J1748" s="48" t="n">
        <x:v>0.68</x:v>
      </x:c>
      <x:c r="K1748" s="48" t="str">
        <x:v>Yes</x:v>
      </x:c>
      <x:c r="L1748" s="48" t="str">
        <x:v>PDF text</x:v>
      </x:c>
    </x:row>
    <x:row r="1749">
      <x:c r="A1749" s="48" t="str">
        <x:v>UNI-1748</x:v>
      </x:c>
      <x:c r="B1749" s="48" t="str">
        <x:v>YELLOW</x:v>
      </x:c>
      <x:c r="C1749" s="48" t="str">
        <x:v>English</x:v>
      </x:c>
      <x:c r="D1749" s="48" t="n">
        <x:v>51</x:v>
      </x:c>
      <x:c r="E1749" s="48" t="str"/>
      <x:c r="F1749" s="48" t="str">
        <x:v>such part (as the case may be), plus financing costs and the cost of dismantling the same, clearing the Site and returning Plant and Materials to the Contractor.</x:v>
      </x:c>
      <x:c r="G1749" s="48" t="str">
        <x:v>Right</x:v>
      </x:c>
      <x:c r="H1749" s="48" t="str">
        <x:v>Contractor</x:v>
      </x:c>
      <x:c r="I1749" s="48" t="n">
        <x:v>0.78</x:v>
      </x:c>
      <x:c r="J1749" s="48" t="n">
        <x:v>0.68</x:v>
      </x:c>
      <x:c r="K1749" s="48" t="str">
        <x:v>Yes</x:v>
      </x:c>
      <x:c r="L1749" s="48" t="str">
        <x:v>PDF text</x:v>
      </x:c>
    </x:row>
    <x:row r="1750">
      <x:c r="A1750" s="48" t="str">
        <x:v>UNI-1749</x:v>
      </x:c>
      <x:c r="B1750" s="48" t="str">
        <x:v>YELLOW</x:v>
      </x:c>
      <x:c r="C1750" s="48" t="str">
        <x:v>English</x:v>
      </x:c>
      <x:c r="D1750" s="48" t="n">
        <x:v>51</x:v>
      </x:c>
      <x:c r="E1750" s="48" t="str"/>
      <x:c r="F1750" s="48" t="str">
        <x:v>If the work of remedying of any defect or damage may affect the performance of the Works, the Engineer may require the repetition of any of the tests described in the 11.3</x:v>
      </x:c>
      <x:c r="G1750" s="48" t="str">
        <x:v>Risk</x:v>
      </x:c>
      <x:c r="H1750" s="48" t="str">
        <x:v>Shared</x:v>
      </x:c>
      <x:c r="I1750" s="48" t="n">
        <x:v>0.78</x:v>
      </x:c>
      <x:c r="J1750" s="48" t="n">
        <x:v>0.4</x:v>
      </x:c>
      <x:c r="K1750" s="48" t="str">
        <x:v>Yes</x:v>
      </x:c>
      <x:c r="L1750" s="48" t="str">
        <x:v>PDF text</x:v>
      </x:c>
    </x:row>
    <x:row r="1751">
      <x:c r="A1751" s="48" t="str">
        <x:v>UNI-1750</x:v>
      </x:c>
      <x:c r="B1751" s="48" t="str">
        <x:v>YELLOW</x:v>
      </x:c>
      <x:c r="C1751" s="48" t="str">
        <x:v>English</x:v>
      </x:c>
      <x:c r="D1751" s="48" t="n">
        <x:v>52</x:v>
      </x:c>
      <x:c r="E1751" s="48" t="str"/>
      <x:c r="F1751" s="48" t="str">
        <x:v>Contract, including Tests on Completion and/or Tests after Completion.</x:v>
      </x:c>
      <x:c r="G1751" s="48" t="str">
        <x:v>Obligation</x:v>
      </x:c>
      <x:c r="H1751" s="48" t="str">
        <x:v>Shared</x:v>
      </x:c>
      <x:c r="I1751" s="48" t="n">
        <x:v>0.45</x:v>
      </x:c>
      <x:c r="J1751" s="48" t="n">
        <x:v>0.4</x:v>
      </x:c>
      <x:c r="K1751" s="48" t="str">
        <x:v>Yes</x:v>
      </x:c>
      <x:c r="L1751" s="48" t="str">
        <x:v>PDF text</x:v>
      </x:c>
    </x:row>
    <x:row r="1752">
      <x:c r="A1752" s="48" t="str">
        <x:v>UNI-1751</x:v>
      </x:c>
      <x:c r="B1752" s="48" t="str">
        <x:v>YELLOW</x:v>
      </x:c>
      <x:c r="C1752" s="48" t="str">
        <x:v>English</x:v>
      </x:c>
      <x:c r="D1752" s="48" t="n">
        <x:v>52</x:v>
      </x:c>
      <x:c r="E1752" s="48" t="str"/>
      <x:c r="F1752" s="48" t="str">
        <x:v>Until the Performance Certificate has been issued, the Contractor shall have the right of access to all parts of the Works and to records of the operation and performance of the Works, except as may be inconsistent with the Employer's reasonable security restrictions.</x:v>
      </x:c>
      <x:c r="G1752" s="48" t="str">
        <x:v>Obligation</x:v>
      </x:c>
      <x:c r="H1752" s="48" t="str">
        <x:v>Contractor</x:v>
      </x:c>
      <x:c r="I1752" s="48" t="n">
        <x:v>0.88</x:v>
      </x:c>
      <x:c r="J1752" s="48" t="n">
        <x:v>0.92</x:v>
      </x:c>
      <x:c r="K1752" s="48" t="str">
        <x:v>No</x:v>
      </x:c>
      <x:c r="L1752" s="48" t="str">
        <x:v>PDF text</x:v>
      </x:c>
    </x:row>
    <x:row r="1753">
      <x:c r="A1753" s="48" t="str">
        <x:v>UNI-1752</x:v>
      </x:c>
      <x:c r="B1753" s="48" t="str">
        <x:v>YELLOW</x:v>
      </x:c>
      <x:c r="C1753" s="48" t="str">
        <x:v>English</x:v>
      </x:c>
      <x:c r="D1753" s="48" t="n">
        <x:v>52</x:v>
      </x:c>
      <x:c r="E1753" s="48" t="str"/>
      <x:c r="F1753" s="48" t="str">
        <x:v>Unless the defect is to be remedied at the cost of the Contractor under Sub-Clause 11.2 [Cost of Remedying Defects], the Cost of the search plus reasonable profit shall be agreed or determined by the Engineer in accordance with Sub-Clause 3.5 [Determinations] and shall be included in the Contract Price.</x:v>
      </x:c>
      <x:c r="G1753" s="48" t="str">
        <x:v>Obligation</x:v>
      </x:c>
      <x:c r="H1753" s="48" t="str">
        <x:v>Contractor</x:v>
      </x:c>
      <x:c r="I1753" s="48" t="n">
        <x:v>0.88</x:v>
      </x:c>
      <x:c r="J1753" s="48" t="n">
        <x:v>0.68</x:v>
      </x:c>
      <x:c r="K1753" s="48" t="str">
        <x:v>Yes</x:v>
      </x:c>
      <x:c r="L1753" s="48" t="str">
        <x:v>PDF text</x:v>
      </x:c>
    </x:row>
    <x:row r="1754">
      <x:c r="A1754" s="48" t="str">
        <x:v>UNI-1753</x:v>
      </x:c>
      <x:c r="B1754" s="48" t="str">
        <x:v>YELLOW</x:v>
      </x:c>
      <x:c r="C1754" s="48" t="str">
        <x:v>English</x:v>
      </x:c>
      <x:c r="D1754" s="48" t="n">
        <x:v>52</x:v>
      </x:c>
      <x:c r="E1754" s="48" t="str"/>
      <x:c r="F1754" s="48" t="str">
        <x:v>Performance of the Contractor's obligations shall not be considered to have been</x:v>
      </x:c>
      <x:c r="G1754" s="48" t="str">
        <x:v>Obligation</x:v>
      </x:c>
      <x:c r="H1754" s="48" t="str">
        <x:v>Contractor</x:v>
      </x:c>
      <x:c r="I1754" s="48" t="n">
        <x:v>0.88</x:v>
      </x:c>
      <x:c r="J1754" s="48" t="n">
        <x:v>0.68</x:v>
      </x:c>
      <x:c r="K1754" s="48" t="str">
        <x:v>Yes</x:v>
      </x:c>
      <x:c r="L1754" s="48" t="str">
        <x:v>PDF text</x:v>
      </x:c>
    </x:row>
    <x:row r="1755">
      <x:c r="A1755" s="48" t="str">
        <x:v>UNI-1754</x:v>
      </x:c>
      <x:c r="B1755" s="48" t="str">
        <x:v>YELLOW</x:v>
      </x:c>
      <x:c r="C1755" s="48" t="str">
        <x:v>English</x:v>
      </x:c>
      <x:c r="D1755" s="48" t="n">
        <x:v>52</x:v>
      </x:c>
      <x:c r="E1755" s="48" t="str"/>
      <x:c r="F1755" s="48" t="str">
        <x:v>The Engineer shall issue the Performance Certificate within 28 days after the latest of the expiry dates of the Defects Notification Periods, or as soon thereafter as the Contractor has supplied all the Contractor's Documents and completed and tested all the Works, including remedying any defects.</x:v>
      </x:c>
      <x:c r="G1755" s="48" t="str">
        <x:v>Obligation</x:v>
      </x:c>
      <x:c r="H1755" s="48" t="str">
        <x:v>Contractor</x:v>
      </x:c>
      <x:c r="I1755" s="48" t="n">
        <x:v>0.88</x:v>
      </x:c>
      <x:c r="J1755" s="48" t="n">
        <x:v>0.68</x:v>
      </x:c>
      <x:c r="K1755" s="48" t="str">
        <x:v>Yes</x:v>
      </x:c>
      <x:c r="L1755" s="48" t="str">
        <x:v>PDF text</x:v>
      </x:c>
    </x:row>
    <x:row r="1756">
      <x:c r="A1756" s="48" t="str">
        <x:v>UNI-1755</x:v>
      </x:c>
      <x:c r="B1756" s="48" t="str">
        <x:v>YELLOW</x:v>
      </x:c>
      <x:c r="C1756" s="48" t="str">
        <x:v>English</x:v>
      </x:c>
      <x:c r="D1756" s="48" t="n">
        <x:v>52</x:v>
      </x:c>
      <x:c r="E1756" s="48" t="str"/>
      <x:c r="F1756" s="48" t="str">
        <x:v>remaining Contractor's Equipment, surplus material, wreckage, rubbish and Temporary Works from the Site.</x:v>
      </x:c>
      <x:c r="G1756" s="48" t="str">
        <x:v>Obligation</x:v>
      </x:c>
      <x:c r="H1756" s="48" t="str">
        <x:v>Contractor</x:v>
      </x:c>
      <x:c r="I1756" s="48" t="n">
        <x:v>0.45</x:v>
      </x:c>
      <x:c r="J1756" s="48" t="n">
        <x:v>0.68</x:v>
      </x:c>
      <x:c r="K1756" s="48" t="str">
        <x:v>Yes</x:v>
      </x:c>
      <x:c r="L1756" s="48" t="str">
        <x:v>PDF text</x:v>
      </x:c>
    </x:row>
    <x:row r="1757">
      <x:c r="A1757" s="48" t="str">
        <x:v>UNI-1756</x:v>
      </x:c>
      <x:c r="B1757" s="48" t="str">
        <x:v>YELLOW</x:v>
      </x:c>
      <x:c r="C1757" s="48" t="str">
        <x:v>English</x:v>
      </x:c>
      <x:c r="D1757" s="48" t="n">
        <x:v>52</x:v>
      </x:c>
      <x:c r="E1757" s="48" t="str"/>
      <x:c r="F1757" s="48" t="str">
        <x:v>If these moneys are less than the Employer's costs, the Contractor shall pay the outstanding balance to the Employer.</x:v>
      </x:c>
      <x:c r="G1757" s="48" t="str">
        <x:v>Obligation</x:v>
      </x:c>
      <x:c r="H1757" s="48" t="str">
        <x:v>Contractor</x:v>
      </x:c>
      <x:c r="I1757" s="48" t="n">
        <x:v>0.88</x:v>
      </x:c>
      <x:c r="J1757" s="48" t="n">
        <x:v>0.92</x:v>
      </x:c>
      <x:c r="K1757" s="48" t="str">
        <x:v>No</x:v>
      </x:c>
      <x:c r="L1757" s="48" t="str">
        <x:v>PDF text</x:v>
      </x:c>
    </x:row>
    <x:row r="1758">
      <x:c r="A1758" s="48" t="str">
        <x:v>UNI-1757</x:v>
      </x:c>
      <x:c r="B1758" s="48" t="str">
        <x:v>YELLOW</x:v>
      </x:c>
      <x:c r="C1758" s="48" t="str">
        <x:v>English</x:v>
      </x:c>
      <x:c r="D1758" s="48" t="n">
        <x:v>53</x:v>
      </x:c>
      <x:c r="E1758" s="48" t="str"/>
      <x:c r="F1758" s="48" t="str">
        <x:v>Procedure for Tests</x:v>
      </x:c>
      <x:c r="G1758" s="48" t="str">
        <x:v>Obligation</x:v>
      </x:c>
      <x:c r="H1758" s="48" t="str">
        <x:v>Shared</x:v>
      </x:c>
      <x:c r="I1758" s="48" t="n">
        <x:v>0.45</x:v>
      </x:c>
      <x:c r="J1758" s="48" t="n">
        <x:v>0.4</x:v>
      </x:c>
      <x:c r="K1758" s="48" t="str">
        <x:v>Yes</x:v>
      </x:c>
      <x:c r="L1758" s="48" t="str">
        <x:v>PDF text</x:v>
      </x:c>
    </x:row>
    <x:row r="1759">
      <x:c r="A1759" s="48" t="str">
        <x:v>UNI-1758</x:v>
      </x:c>
      <x:c r="B1759" s="48" t="str">
        <x:v>YELLOW</x:v>
      </x:c>
      <x:c r="C1759" s="48" t="str">
        <x:v>English</x:v>
      </x:c>
      <x:c r="D1759" s="48" t="n">
        <x:v>53</x:v>
      </x:c>
      <x:c r="E1759" s="48" t="str"/>
      <x:c r="F1759" s="48" t="str">
        <x:v>after Completion 12.2</x:v>
      </x:c>
      <x:c r="G1759" s="48" t="str">
        <x:v>Obligation</x:v>
      </x:c>
      <x:c r="H1759" s="48" t="str">
        <x:v>Shared</x:v>
      </x:c>
      <x:c r="I1759" s="48" t="n">
        <x:v>0.45</x:v>
      </x:c>
      <x:c r="J1759" s="48" t="n">
        <x:v>0.4</x:v>
      </x:c>
      <x:c r="K1759" s="48" t="str">
        <x:v>Yes</x:v>
      </x:c>
      <x:c r="L1759" s="48" t="str">
        <x:v>PDF text</x:v>
      </x:c>
    </x:row>
    <x:row r="1760">
      <x:c r="A1760" s="48" t="str">
        <x:v>UNI-1759</x:v>
      </x:c>
      <x:c r="B1760" s="48" t="str">
        <x:v>YELLOW</x:v>
      </x:c>
      <x:c r="C1760" s="48" t="str">
        <x:v>English</x:v>
      </x:c>
      <x:c r="D1760" s="48" t="n">
        <x:v>53</x:v>
      </x:c>
      <x:c r="E1760" s="48" t="str"/>
      <x:c r="F1760" s="48" t="str">
        <x:v>If Tests after Completion are specified in the Contract, this Clause shall apply.</x:v>
      </x:c>
      <x:c r="G1760" s="48" t="str">
        <x:v>Obligation</x:v>
      </x:c>
      <x:c r="H1760" s="48" t="str">
        <x:v>Shared</x:v>
      </x:c>
      <x:c r="I1760" s="48" t="n">
        <x:v>0.88</x:v>
      </x:c>
      <x:c r="J1760" s="48" t="n">
        <x:v>0.4</x:v>
      </x:c>
      <x:c r="K1760" s="48" t="str">
        <x:v>Yes</x:v>
      </x:c>
      <x:c r="L1760" s="48" t="str">
        <x:v>PDF text</x:v>
      </x:c>
    </x:row>
    <x:row r="1761">
      <x:c r="A1761" s="48" t="str">
        <x:v>UNI-1760</x:v>
      </x:c>
      <x:c r="B1761" s="48" t="str">
        <x:v>YELLOW</x:v>
      </x:c>
      <x:c r="C1761" s="48" t="str">
        <x:v>English</x:v>
      </x:c>
      <x:c r="D1761" s="48" t="n">
        <x:v>53</x:v>
      </x:c>
      <x:c r="E1761" s="48" t="str"/>
      <x:c r="F1761" s="48" t="str">
        <x:v>Unless otherwise stated in the Particular Conditions, the Employer shall: (a) provide all electricity, equipment, fuel, instruments, labour, materials, and suitably qualified and experienced staff, as are necessary to carry out the Tests after Completion efficiently, and (b) carry out the Tests after Completion in accordance with the manuals supplied by the Contractor under Sub-Clause 5.7 [Operation and Maintenance Manuals] and such guidance as the Contractor may be required to give during the course of these Tests; and in the presence of such Contractor's Personnel as either Party may reasonably request.</x:v>
      </x:c>
      <x:c r="G1761" s="48" t="str">
        <x:v>Obligation</x:v>
      </x:c>
      <x:c r="H1761" s="48" t="str">
        <x:v>Shared</x:v>
      </x:c>
      <x:c r="I1761" s="48" t="n">
        <x:v>0.88</x:v>
      </x:c>
      <x:c r="J1761" s="48" t="n">
        <x:v>0.93</x:v>
      </x:c>
      <x:c r="K1761" s="48" t="str">
        <x:v>No</x:v>
      </x:c>
      <x:c r="L1761" s="48" t="str">
        <x:v>PDF text</x:v>
      </x:c>
    </x:row>
    <x:row r="1762">
      <x:c r="A1762" s="48" t="str">
        <x:v>UNI-1761</x:v>
      </x:c>
      <x:c r="B1762" s="48" t="str">
        <x:v>YELLOW</x:v>
      </x:c>
      <x:c r="C1762" s="48" t="str">
        <x:v>English</x:v>
      </x:c>
      <x:c r="D1762" s="48" t="n">
        <x:v>53</x:v>
      </x:c>
      <x:c r="E1762" s="48" t="str"/>
      <x:c r="F1762" s="48" t="str">
        <x:v>The Tests after Completion shall be carried out as soon as is reasonably practicable after the Works or Section have been taken over by the Employer.</x:v>
      </x:c>
      <x:c r="G1762" s="48" t="str">
        <x:v>Obligation</x:v>
      </x:c>
      <x:c r="H1762" s="48" t="str">
        <x:v>Employer</x:v>
      </x:c>
      <x:c r="I1762" s="48" t="n">
        <x:v>0.88</x:v>
      </x:c>
      <x:c r="J1762" s="48" t="n">
        <x:v>0.68</x:v>
      </x:c>
      <x:c r="K1762" s="48" t="str">
        <x:v>Yes</x:v>
      </x:c>
      <x:c r="L1762" s="48" t="str">
        <x:v>PDF text</x:v>
      </x:c>
    </x:row>
    <x:row r="1763">
      <x:c r="A1763" s="48" t="str">
        <x:v>UNI-1762</x:v>
      </x:c>
      <x:c r="B1763" s="48" t="str">
        <x:v>YELLOW</x:v>
      </x:c>
      <x:c r="C1763" s="48" t="str">
        <x:v>English</x:v>
      </x:c>
      <x:c r="D1763" s="48" t="n">
        <x:v>53</x:v>
      </x:c>
      <x:c r="E1763" s="48" t="str"/>
      <x:c r="F1763" s="48" t="str">
        <x:v>The Employer shall give to the Contractor 21 days' notice of the date after which the Tests after Completion will be carried out.</x:v>
      </x:c>
      <x:c r="G1763" s="48" t="str">
        <x:v>Obligation</x:v>
      </x:c>
      <x:c r="H1763" s="48" t="str">
        <x:v>Employer</x:v>
      </x:c>
      <x:c r="I1763" s="48" t="n">
        <x:v>0.88</x:v>
      </x:c>
      <x:c r="J1763" s="48" t="n">
        <x:v>0.92</x:v>
      </x:c>
      <x:c r="K1763" s="48" t="str">
        <x:v>No</x:v>
      </x:c>
      <x:c r="L1763" s="48" t="str">
        <x:v>PDF text</x:v>
      </x:c>
    </x:row>
    <x:row r="1764">
      <x:c r="A1764" s="48" t="str">
        <x:v>UNI-1763</x:v>
      </x:c>
      <x:c r="B1764" s="48" t="str">
        <x:v>YELLOW</x:v>
      </x:c>
      <x:c r="C1764" s="48" t="str">
        <x:v>English</x:v>
      </x:c>
      <x:c r="D1764" s="48" t="n">
        <x:v>53</x:v>
      </x:c>
      <x:c r="E1764" s="48" t="str"/>
      <x:c r="F1764" s="48" t="str">
        <x:v>Unless otherwise agreed, these Tests shall be carried out within 14 days after this date, on the day or days determined by the Employer.</x:v>
      </x:c>
      <x:c r="G1764" s="48" t="str">
        <x:v>Obligation</x:v>
      </x:c>
      <x:c r="H1764" s="48" t="str">
        <x:v>Employer</x:v>
      </x:c>
      <x:c r="I1764" s="48" t="n">
        <x:v>0.88</x:v>
      </x:c>
      <x:c r="J1764" s="48" t="n">
        <x:v>0.68</x:v>
      </x:c>
      <x:c r="K1764" s="48" t="str">
        <x:v>Yes</x:v>
      </x:c>
      <x:c r="L1764" s="48" t="str">
        <x:v>PDF text</x:v>
      </x:c>
    </x:row>
    <x:row r="1765">
      <x:c r="A1765" s="48" t="str">
        <x:v>UNI-1764</x:v>
      </x:c>
      <x:c r="B1765" s="48" t="str">
        <x:v>YELLOW</x:v>
      </x:c>
      <x:c r="C1765" s="48" t="str">
        <x:v>English</x:v>
      </x:c>
      <x:c r="D1765" s="48" t="n">
        <x:v>53</x:v>
      </x:c>
      <x:c r="E1765" s="48" t="str"/>
      <x:c r="F1765" s="48" t="str">
        <x:v>If the Contractor does not attend at the time and place agreed, the Employer may</x:v>
      </x:c>
      <x:c r="G1765" s="48" t="str">
        <x:v>Obligation</x:v>
      </x:c>
      <x:c r="H1765" s="48" t="str">
        <x:v>Shared</x:v>
      </x:c>
      <x:c r="I1765" s="48" t="n">
        <x:v>0.45</x:v>
      </x:c>
      <x:c r="J1765" s="48" t="n">
        <x:v>0.6</x:v>
      </x:c>
      <x:c r="K1765" s="48" t="str">
        <x:v>Yes</x:v>
      </x:c>
      <x:c r="L1765" s="48" t="str">
        <x:v>PDF text</x:v>
      </x:c>
    </x:row>
    <x:row r="1766">
      <x:c r="A1766" s="48" t="str">
        <x:v>UNI-1765</x:v>
      </x:c>
      <x:c r="B1766" s="48" t="str">
        <x:v>YELLOW</x:v>
      </x:c>
      <x:c r="C1766" s="48" t="str">
        <x:v>English</x:v>
      </x:c>
      <x:c r="D1766" s="48" t="n">
        <x:v>53</x:v>
      </x:c>
      <x:c r="E1766" s="48" t="str"/>
      <x:c r="F1766" s="48" t="str">
        <x:v>proceed with the Tests after Completion, which shall be deemed to have been made in the Contractor's presence, and the Contractor shall accept the readings as accurate.</x:v>
      </x:c>
      <x:c r="G1766" s="48" t="str">
        <x:v>Obligation</x:v>
      </x:c>
      <x:c r="H1766" s="48" t="str">
        <x:v>Contractor</x:v>
      </x:c>
      <x:c r="I1766" s="48" t="n">
        <x:v>0.88</x:v>
      </x:c>
      <x:c r="J1766" s="48" t="n">
        <x:v>0.92</x:v>
      </x:c>
      <x:c r="K1766" s="48" t="str">
        <x:v>No</x:v>
      </x:c>
      <x:c r="L1766" s="48" t="str">
        <x:v>PDF text</x:v>
      </x:c>
    </x:row>
    <x:row r="1767">
      <x:c r="A1767" s="48" t="str">
        <x:v>UNI-1766</x:v>
      </x:c>
      <x:c r="B1767" s="48" t="str">
        <x:v>YELLOW</x:v>
      </x:c>
      <x:c r="C1767" s="48" t="str">
        <x:v>English</x:v>
      </x:c>
      <x:c r="D1767" s="48" t="n">
        <x:v>53</x:v>
      </x:c>
      <x:c r="E1767" s="48" t="str"/>
      <x:c r="F1767" s="48" t="str">
        <x:v>The results of the Tests after Completion shall be compiled and evaluated by both</x:v>
      </x:c>
      <x:c r="G1767" s="48" t="str">
        <x:v>Obligation</x:v>
      </x:c>
      <x:c r="H1767" s="48" t="str">
        <x:v>Shared</x:v>
      </x:c>
      <x:c r="I1767" s="48" t="n">
        <x:v>0.88</x:v>
      </x:c>
      <x:c r="J1767" s="48" t="n">
        <x:v>0.4</x:v>
      </x:c>
      <x:c r="K1767" s="48" t="str">
        <x:v>Yes</x:v>
      </x:c>
      <x:c r="L1767" s="48" t="str">
        <x:v>PDF text</x:v>
      </x:c>
    </x:row>
    <x:row r="1768">
      <x:c r="A1768" s="48" t="str">
        <x:v>UNI-1767</x:v>
      </x:c>
      <x:c r="B1768" s="48" t="str">
        <x:v>YELLOW</x:v>
      </x:c>
      <x:c r="C1768" s="48" t="str">
        <x:v>English</x:v>
      </x:c>
      <x:c r="D1768" s="48" t="n">
        <x:v>53</x:v>
      </x:c>
      <x:c r="E1768" s="48" t="str"/>
      <x:c r="F1768" s="48" t="str">
        <x:v>Parties.</x:v>
      </x:c>
      <x:c r="G1768" s="48" t="str">
        <x:v>Obligation</x:v>
      </x:c>
      <x:c r="H1768" s="48" t="str">
        <x:v>Shared</x:v>
      </x:c>
      <x:c r="I1768" s="48" t="n">
        <x:v>0.45</x:v>
      </x:c>
      <x:c r="J1768" s="48" t="n">
        <x:v>0.4</x:v>
      </x:c>
      <x:c r="K1768" s="48" t="str">
        <x:v>Yes</x:v>
      </x:c>
      <x:c r="L1768" s="48" t="str">
        <x:v>PDF text</x:v>
      </x:c>
    </x:row>
    <x:row r="1769">
      <x:c r="A1769" s="48" t="str">
        <x:v>UNI-1768</x:v>
      </x:c>
      <x:c r="B1769" s="48" t="str">
        <x:v>YELLOW</x:v>
      </x:c>
      <x:c r="C1769" s="48" t="str">
        <x:v>English</x:v>
      </x:c>
      <x:c r="D1769" s="48" t="n">
        <x:v>53</x:v>
      </x:c>
      <x:c r="E1769" s="48" t="str"/>
      <x:c r="F1769" s="48" t="str">
        <x:v>Appropriate account shall be taken of the effect of the Employer's prior use of the Works.</x:v>
      </x:c>
      <x:c r="G1769" s="48" t="str">
        <x:v>Obligation</x:v>
      </x:c>
      <x:c r="H1769" s="48" t="str">
        <x:v>Employer</x:v>
      </x:c>
      <x:c r="I1769" s="48" t="n">
        <x:v>0.88</x:v>
      </x:c>
      <x:c r="J1769" s="48" t="n">
        <x:v>0.68</x:v>
      </x:c>
      <x:c r="K1769" s="48" t="str">
        <x:v>Yes</x:v>
      </x:c>
      <x:c r="L1769" s="48" t="str">
        <x:v>PDF text</x:v>
      </x:c>
    </x:row>
    <x:row r="1770">
      <x:c r="A1770" s="48" t="str">
        <x:v>UNI-1769</x:v>
      </x:c>
      <x:c r="B1770" s="48" t="str">
        <x:v>YELLOW</x:v>
      </x:c>
      <x:c r="C1770" s="48" t="str">
        <x:v>English</x:v>
      </x:c>
      <x:c r="D1770" s="48" t="n">
        <x:v>53</x:v>
      </x:c>
      <x:c r="E1770" s="48" t="str"/>
      <x:c r="F1770" s="48" t="str">
        <x:v>If the Contractor incurs Cost as a result of any unreasonable delay by the Employer to the Tests after Completion, the Contractor shall (i) give notice to the Engineer and (ii) be entitled subject to Sub-Clause 20.1 [Contractor's Claims] to payment of any such Cost plus reasonable profit, which shall be included in the Contract Price.</x:v>
      </x:c>
      <x:c r="G1770" s="48" t="str">
        <x:v>Risk</x:v>
      </x:c>
      <x:c r="H1770" s="48" t="str">
        <x:v>Contractor</x:v>
      </x:c>
      <x:c r="I1770" s="48" t="n">
        <x:v>0.78</x:v>
      </x:c>
      <x:c r="J1770" s="48" t="n">
        <x:v>0.92</x:v>
      </x:c>
      <x:c r="K1770" s="48" t="str">
        <x:v>No</x:v>
      </x:c>
      <x:c r="L1770" s="48" t="str">
        <x:v>PDF text</x:v>
      </x:c>
    </x:row>
    <x:row r="1771">
      <x:c r="A1771" s="48" t="str">
        <x:v>UNI-1770</x:v>
      </x:c>
      <x:c r="B1771" s="48" t="str">
        <x:v>YELLOW</x:v>
      </x:c>
      <x:c r="C1771" s="48" t="str">
        <x:v>English</x:v>
      </x:c>
      <x:c r="D1771" s="48" t="n">
        <x:v>53</x:v>
      </x:c>
      <x:c r="E1771" s="48" t="str">
        <x:v>3.5</x:v>
      </x:c>
      <x:c r="F1771" s="48" t="str">
        <x:v>3.5 [Determinations] to agree or determine this Cost and profit.</x:v>
      </x:c>
      <x:c r="G1771" s="48" t="str">
        <x:v>Obligation</x:v>
      </x:c>
      <x:c r="H1771" s="48" t="str">
        <x:v>Shared</x:v>
      </x:c>
      <x:c r="I1771" s="48" t="n">
        <x:v>0.45</x:v>
      </x:c>
      <x:c r="J1771" s="48" t="n">
        <x:v>0.4</x:v>
      </x:c>
      <x:c r="K1771" s="48" t="str">
        <x:v>Yes</x:v>
      </x:c>
      <x:c r="L1771" s="48" t="str">
        <x:v>PDF text</x:v>
      </x:c>
    </x:row>
    <x:row r="1772">
      <x:c r="A1772" s="48" t="str">
        <x:v>UNI-1771</x:v>
      </x:c>
      <x:c r="B1772" s="48" t="str">
        <x:v>YELLOW</x:v>
      </x:c>
      <x:c r="C1772" s="48" t="str">
        <x:v>English</x:v>
      </x:c>
      <x:c r="D1772" s="48" t="n">
        <x:v>53</x:v>
      </x:c>
      <x:c r="E1772" s="48" t="str"/>
      <x:c r="F1772" s="48" t="str">
        <x:v>If, for reasons not attributable to the Contractor, a Test after Completion on the Works or any Section cannot be completed during the Defects Notification Period (or any other period agreed upon by both Parties), then the Works or Section shall be deemed to have passed this Test after Completion.</x:v>
      </x:c>
      <x:c r="G1772" s="48" t="str">
        <x:v>Obligation</x:v>
      </x:c>
      <x:c r="H1772" s="48" t="str">
        <x:v>Shared</x:v>
      </x:c>
      <x:c r="I1772" s="48" t="n">
        <x:v>0.88</x:v>
      </x:c>
      <x:c r="J1772" s="48" t="n">
        <x:v>0.93</x:v>
      </x:c>
      <x:c r="K1772" s="48" t="str">
        <x:v>No</x:v>
      </x:c>
      <x:c r="L1772" s="48" t="str">
        <x:v>PDF text</x:v>
      </x:c>
    </x:row>
    <x:row r="1773">
      <x:c r="A1773" s="48" t="str">
        <x:v>UNI-1772</x:v>
      </x:c>
      <x:c r="B1773" s="48" t="str">
        <x:v>YELLOW</x:v>
      </x:c>
      <x:c r="C1773" s="48" t="str">
        <x:v>English</x:v>
      </x:c>
      <x:c r="D1773" s="48" t="n">
        <x:v>53</x:v>
      </x:c>
      <x:c r="E1773" s="48" t="str"/>
      <x:c r="F1773" s="48" t="str">
        <x:v>If the Works, or a Section, fail to pass the Tests after Completion: (a) sub-paragraph (b) of Sub-Clause 11.1 [Completion of Outstanding Work and Remedying Defects] shall apply, and (b) either Party may then require the failed Tests, and the Tests after Completion on any related work, to be repeated under the same terms and conditions.</x:v>
      </x:c>
      <x:c r="G1773" s="48" t="str">
        <x:v>Obligation</x:v>
      </x:c>
      <x:c r="H1773" s="48" t="str">
        <x:v>Shared</x:v>
      </x:c>
      <x:c r="I1773" s="48" t="n">
        <x:v>0.88</x:v>
      </x:c>
      <x:c r="J1773" s="48" t="n">
        <x:v>0.93</x:v>
      </x:c>
      <x:c r="K1773" s="48" t="str">
        <x:v>No</x:v>
      </x:c>
      <x:c r="L1773" s="48" t="str">
        <x:v>PDF text</x:v>
      </x:c>
    </x:row>
    <x:row r="1774">
      <x:c r="A1774" s="48" t="str">
        <x:v>UNI-1773</x:v>
      </x:c>
      <x:c r="B1774" s="48" t="str">
        <x:v>YELLOW</x:v>
      </x:c>
      <x:c r="C1774" s="48" t="str">
        <x:v>English</x:v>
      </x:c>
      <x:c r="D1774" s="48" t="n">
        <x:v>53</x:v>
      </x:c>
      <x:c r="E1774" s="48" t="str"/>
      <x:c r="F1774" s="48" t="str">
        <x:v>If and to the extent that this failure and retesting are attributable to any of the matters listed in sub-paragraphs (a) to (d) of Sub-Clause 11.2 [Cost of Remedying Defects]</x:v>
      </x:c>
      <x:c r="G1774" s="48" t="str">
        <x:v>Risk</x:v>
      </x:c>
      <x:c r="H1774" s="48" t="str">
        <x:v>Shared</x:v>
      </x:c>
      <x:c r="I1774" s="48" t="n">
        <x:v>0.78</x:v>
      </x:c>
      <x:c r="J1774" s="48" t="n">
        <x:v>0.4</x:v>
      </x:c>
      <x:c r="K1774" s="48" t="str">
        <x:v>Yes</x:v>
      </x:c>
      <x:c r="L1774" s="48" t="str">
        <x:v>PDF text</x:v>
      </x:c>
    </x:row>
    <x:row r="1775">
      <x:c r="A1775" s="48" t="str">
        <x:v>UNI-1774</x:v>
      </x:c>
      <x:c r="B1775" s="48" t="str">
        <x:v>YELLOW</x:v>
      </x:c>
      <x:c r="C1775" s="48" t="str">
        <x:v>English</x:v>
      </x:c>
      <x:c r="D1775" s="48" t="n">
        <x:v>53</x:v>
      </x:c>
      <x:c r="E1775" s="48" t="str"/>
      <x:c r="F1775" s="48" t="str">
        <x:v>Test after Completion</x:v>
      </x:c>
      <x:c r="G1775" s="48" t="str">
        <x:v>Obligation</x:v>
      </x:c>
      <x:c r="H1775" s="48" t="str">
        <x:v>Shared</x:v>
      </x:c>
      <x:c r="I1775" s="48" t="n">
        <x:v>0.45</x:v>
      </x:c>
      <x:c r="J1775" s="48" t="n">
        <x:v>0.4</x:v>
      </x:c>
      <x:c r="K1775" s="48" t="str">
        <x:v>Yes</x:v>
      </x:c>
      <x:c r="L1775" s="48" t="str">
        <x:v>PDF text</x:v>
      </x:c>
    </x:row>
    <x:row r="1776">
      <x:c r="A1776" s="48" t="str">
        <x:v>UNI-1775</x:v>
      </x:c>
      <x:c r="B1776" s="48" t="str">
        <x:v>YELLOW</x:v>
      </x:c>
      <x:c r="C1776" s="48" t="str">
        <x:v>English</x:v>
      </x:c>
      <x:c r="D1776" s="48" t="n">
        <x:v>54</x:v>
      </x:c>
      <x:c r="E1776" s="48" t="str"/>
      <x:c r="F1776" s="48" t="str">
        <x:v>Failure to Pass Tests</x:v>
      </x:c>
      <x:c r="G1776" s="48" t="str">
        <x:v>Obligation</x:v>
      </x:c>
      <x:c r="H1776" s="48" t="str">
        <x:v>Shared</x:v>
      </x:c>
      <x:c r="I1776" s="48" t="n">
        <x:v>0.45</x:v>
      </x:c>
      <x:c r="J1776" s="48" t="n">
        <x:v>0.4</x:v>
      </x:c>
      <x:c r="K1776" s="48" t="str">
        <x:v>Yes</x:v>
      </x:c>
      <x:c r="L1776" s="48" t="str">
        <x:v>PDF text</x:v>
      </x:c>
    </x:row>
    <x:row r="1777">
      <x:c r="A1777" s="48" t="str">
        <x:v>UNI-1776</x:v>
      </x:c>
      <x:c r="B1777" s="48" t="str">
        <x:v>YELLOW</x:v>
      </x:c>
      <x:c r="C1777" s="48" t="str">
        <x:v>English</x:v>
      </x:c>
      <x:c r="D1777" s="48" t="n">
        <x:v>54</x:v>
      </x:c>
      <x:c r="E1777" s="48" t="str"/>
      <x:c r="F1777" s="48" t="str">
        <x:v>and cause the Employer to incur additional costs, the Contractor shall subject to SubClause 2.5 [Employer's Claims] pay these costs to the Employer.</x:v>
      </x:c>
      <x:c r="G1777" s="48" t="str">
        <x:v>Obligation</x:v>
      </x:c>
      <x:c r="H1777" s="48" t="str">
        <x:v>Contractor</x:v>
      </x:c>
      <x:c r="I1777" s="48" t="n">
        <x:v>0.88</x:v>
      </x:c>
      <x:c r="J1777" s="48" t="n">
        <x:v>0.92</x:v>
      </x:c>
      <x:c r="K1777" s="48" t="str">
        <x:v>No</x:v>
      </x:c>
      <x:c r="L1777" s="48" t="str">
        <x:v>PDF text</x:v>
      </x:c>
    </x:row>
    <x:row r="1778">
      <x:c r="A1778" s="48" t="str">
        <x:v>UNI-1777</x:v>
      </x:c>
      <x:c r="B1778" s="48" t="str">
        <x:v>YELLOW</x:v>
      </x:c>
      <x:c r="C1778" s="48" t="str">
        <x:v>English</x:v>
      </x:c>
      <x:c r="D1778" s="48" t="n">
        <x:v>54</x:v>
      </x:c>
      <x:c r="E1778" s="48" t="str"/>
      <x:c r="F1778" s="48" t="str">
        <x:v>If the following conditions apply, namely: (a) the Works, or a Section, fail to pass any or all of the Tests after Completion, (b) the relevant sum payable as non-performance damages for this failure is stated (or its method of calculation is defined) in the Contract, and (c) the Contractor pays this relevant sum to the Employer during the Defects</x:v>
      </x:c>
      <x:c r="G1778" s="48" t="str">
        <x:v>Risk</x:v>
      </x:c>
      <x:c r="H1778" s="48" t="str">
        <x:v>Shared</x:v>
      </x:c>
      <x:c r="I1778" s="48" t="n">
        <x:v>0.78</x:v>
      </x:c>
      <x:c r="J1778" s="48" t="n">
        <x:v>0.6</x:v>
      </x:c>
      <x:c r="K1778" s="48" t="str">
        <x:v>Yes</x:v>
      </x:c>
      <x:c r="L1778" s="48" t="str">
        <x:v>PDF text</x:v>
      </x:c>
    </x:row>
    <x:row r="1779">
      <x:c r="A1779" s="48" t="str">
        <x:v>UNI-1778</x:v>
      </x:c>
      <x:c r="B1779" s="48" t="str">
        <x:v>YELLOW</x:v>
      </x:c>
      <x:c r="C1779" s="48" t="str">
        <x:v>English</x:v>
      </x:c>
      <x:c r="D1779" s="48" t="n">
        <x:v>54</x:v>
      </x:c>
      <x:c r="E1779" s="48" t="str"/>
      <x:c r="F1779" s="48" t="str">
        <x:v>then the Works or Section shall be deemed to have passed these Tests after Completion.</x:v>
      </x:c>
      <x:c r="G1779" s="48" t="str">
        <x:v>Obligation</x:v>
      </x:c>
      <x:c r="H1779" s="48" t="str">
        <x:v>Shared</x:v>
      </x:c>
      <x:c r="I1779" s="48" t="n">
        <x:v>0.88</x:v>
      </x:c>
      <x:c r="J1779" s="48" t="n">
        <x:v>0.4</x:v>
      </x:c>
      <x:c r="K1779" s="48" t="str">
        <x:v>Yes</x:v>
      </x:c>
      <x:c r="L1779" s="48" t="str">
        <x:v>PDF text</x:v>
      </x:c>
    </x:row>
    <x:row r="1780">
      <x:c r="A1780" s="48" t="str">
        <x:v>UNI-1779</x:v>
      </x:c>
      <x:c r="B1780" s="48" t="str">
        <x:v>YELLOW</x:v>
      </x:c>
      <x:c r="C1780" s="48" t="str">
        <x:v>English</x:v>
      </x:c>
      <x:c r="D1780" s="48" t="n">
        <x:v>54</x:v>
      </x:c>
      <x:c r="E1780" s="48" t="str"/>
      <x:c r="F1780" s="48" t="str">
        <x:v>If the Works, or a Section, fail to pass a Test after Completion and the Contractor proposes to make adjustments or modifications to the Works or such Section, the Contractor may be instructed by (or on behalf of) the Employer that right of access to the Works or Section cannot be given until a time that is convenient to the Employer.</x:v>
      </x:c>
      <x:c r="G1780" s="48" t="str">
        <x:v>Right</x:v>
      </x:c>
      <x:c r="H1780" s="48" t="str">
        <x:v>Contractor</x:v>
      </x:c>
      <x:c r="I1780" s="48" t="n">
        <x:v>0.78</x:v>
      </x:c>
      <x:c r="J1780" s="48" t="n">
        <x:v>0.92</x:v>
      </x:c>
      <x:c r="K1780" s="48" t="str">
        <x:v>No</x:v>
      </x:c>
      <x:c r="L1780" s="48" t="str">
        <x:v>PDF text</x:v>
      </x:c>
    </x:row>
    <x:row r="1781">
      <x:c r="A1781" s="48" t="str">
        <x:v>UNI-1780</x:v>
      </x:c>
      <x:c r="B1781" s="48" t="str">
        <x:v>YELLOW</x:v>
      </x:c>
      <x:c r="C1781" s="48" t="str">
        <x:v>English</x:v>
      </x:c>
      <x:c r="D1781" s="48" t="n">
        <x:v>54</x:v>
      </x:c>
      <x:c r="E1781" s="48" t="str"/>
      <x:c r="F1781" s="48" t="str">
        <x:v>The Contractor shall then remain liable to carry out the adjustments or modifications and to satisfy this Test, within a reasonable period of receiving notice by (or on behalf of) the Employer of the time that is convenient to the Employer.</x:v>
      </x:c>
      <x:c r="G1781" s="48" t="str">
        <x:v>Risk</x:v>
      </x:c>
      <x:c r="H1781" s="48" t="str">
        <x:v>Contractor</x:v>
      </x:c>
      <x:c r="I1781" s="48" t="n">
        <x:v>0.78</x:v>
      </x:c>
      <x:c r="J1781" s="48" t="n">
        <x:v>0.92</x:v>
      </x:c>
      <x:c r="K1781" s="48" t="str">
        <x:v>No</x:v>
      </x:c>
      <x:c r="L1781" s="48" t="str">
        <x:v>PDF text</x:v>
      </x:c>
    </x:row>
    <x:row r="1782">
      <x:c r="A1782" s="48" t="str">
        <x:v>UNI-1781</x:v>
      </x:c>
      <x:c r="B1782" s="48" t="str">
        <x:v>YELLOW</x:v>
      </x:c>
      <x:c r="C1782" s="48" t="str">
        <x:v>English</x:v>
      </x:c>
      <x:c r="D1782" s="48" t="n">
        <x:v>54</x:v>
      </x:c>
      <x:c r="E1782" s="48" t="str"/>
      <x:c r="F1782" s="48" t="str">
        <x:v>However, if the Contractor does not receive this notice during the relevant Defects Notification Period, the Contractor shall be relieved of this obligation and the Works or Section (as the case may be) shall be deemed to have passed this Test after Completion.</x:v>
      </x:c>
      <x:c r="G1782" s="48" t="str">
        <x:v>Obligation</x:v>
      </x:c>
      <x:c r="H1782" s="48" t="str">
        <x:v>Contractor</x:v>
      </x:c>
      <x:c r="I1782" s="48" t="n">
        <x:v>0.88</x:v>
      </x:c>
      <x:c r="J1782" s="48" t="n">
        <x:v>0.92</x:v>
      </x:c>
      <x:c r="K1782" s="48" t="str">
        <x:v>No</x:v>
      </x:c>
      <x:c r="L1782" s="48" t="str">
        <x:v>PDF text</x:v>
      </x:c>
    </x:row>
    <x:row r="1783">
      <x:c r="A1783" s="48" t="str">
        <x:v>UNI-1782</x:v>
      </x:c>
      <x:c r="B1783" s="48" t="str">
        <x:v>YELLOW</x:v>
      </x:c>
      <x:c r="C1783" s="48" t="str">
        <x:v>English</x:v>
      </x:c>
      <x:c r="D1783" s="48" t="n">
        <x:v>54</x:v>
      </x:c>
      <x:c r="E1783" s="48" t="str"/>
      <x:c r="F1783" s="48" t="str">
        <x:v>If the Contractor incurs additional Cost as a result of any unreasonable delay by the</x:v>
      </x:c>
      <x:c r="G1783" s="48" t="str">
        <x:v>Risk</x:v>
      </x:c>
      <x:c r="H1783" s="48" t="str">
        <x:v>Contractor</x:v>
      </x:c>
      <x:c r="I1783" s="48" t="n">
        <x:v>0.78</x:v>
      </x:c>
      <x:c r="J1783" s="48" t="n">
        <x:v>0.68</x:v>
      </x:c>
      <x:c r="K1783" s="48" t="str">
        <x:v>Yes</x:v>
      </x:c>
      <x:c r="L1783" s="48" t="str">
        <x:v>PDF text</x:v>
      </x:c>
    </x:row>
    <x:row r="1784">
      <x:c r="A1784" s="48" t="str">
        <x:v>UNI-1783</x:v>
      </x:c>
      <x:c r="B1784" s="48" t="str">
        <x:v>YELLOW</x:v>
      </x:c>
      <x:c r="C1784" s="48" t="str">
        <x:v>English</x:v>
      </x:c>
      <x:c r="D1784" s="48" t="n">
        <x:v>54</x:v>
      </x:c>
      <x:c r="E1784" s="48" t="str"/>
      <x:c r="F1784" s="48" t="str">
        <x:v>Employer in permitting access to the Works or Plant by the Contractor, either to</x:v>
      </x:c>
      <x:c r="G1784" s="48" t="str">
        <x:v>Obligation</x:v>
      </x:c>
      <x:c r="H1784" s="48" t="str">
        <x:v>Shared</x:v>
      </x:c>
      <x:c r="I1784" s="48" t="n">
        <x:v>0.45</x:v>
      </x:c>
      <x:c r="J1784" s="48" t="n">
        <x:v>0.6</x:v>
      </x:c>
      <x:c r="K1784" s="48" t="str">
        <x:v>Yes</x:v>
      </x:c>
      <x:c r="L1784" s="48" t="str">
        <x:v>PDF text</x:v>
      </x:c>
    </x:row>
    <x:row r="1785">
      <x:c r="A1785" s="48" t="str">
        <x:v>UNI-1784</x:v>
      </x:c>
      <x:c r="B1785" s="48" t="str">
        <x:v>YELLOW</x:v>
      </x:c>
      <x:c r="C1785" s="48" t="str">
        <x:v>English</x:v>
      </x:c>
      <x:c r="D1785" s="48" t="n">
        <x:v>54</x:v>
      </x:c>
      <x:c r="E1785" s="48" t="str"/>
      <x:c r="F1785" s="48" t="str">
        <x:v>investigate the causes of a failure to pass a Test after Completion or to carry out any adjustments or modifications, the Contractor shall (i) give notice to the Engineer and (ii) be entitled subject to Sub-Clause 20.1 [Contractor's Claims] to payment of any such Cost plus reasonable profit, which shall be included in the Contract Price.</x:v>
      </x:c>
      <x:c r="G1785" s="48" t="str">
        <x:v>Obligation</x:v>
      </x:c>
      <x:c r="H1785" s="48" t="str">
        <x:v>Contractor</x:v>
      </x:c>
      <x:c r="I1785" s="48" t="n">
        <x:v>0.88</x:v>
      </x:c>
      <x:c r="J1785" s="48" t="n">
        <x:v>0.92</x:v>
      </x:c>
      <x:c r="K1785" s="48" t="str">
        <x:v>No</x:v>
      </x:c>
      <x:c r="L1785" s="48" t="str">
        <x:v>PDF text</x:v>
      </x:c>
    </x:row>
    <x:row r="1786">
      <x:c r="A1786" s="48" t="str">
        <x:v>UNI-1785</x:v>
      </x:c>
      <x:c r="B1786" s="48" t="str">
        <x:v>YELLOW</x:v>
      </x:c>
      <x:c r="C1786" s="48" t="str">
        <x:v>English</x:v>
      </x:c>
      <x:c r="D1786" s="48" t="n">
        <x:v>54</x:v>
      </x:c>
      <x:c r="E1786" s="48" t="str"/>
      <x:c r="F1786" s="48" t="str">
        <x:v>A Variation shall not comprise the omission of any work which is to be carried out by others.</x:v>
      </x:c>
      <x:c r="G1786" s="48" t="str">
        <x:v>Obligation</x:v>
      </x:c>
      <x:c r="H1786" s="48" t="str">
        <x:v>Shared</x:v>
      </x:c>
      <x:c r="I1786" s="48" t="n">
        <x:v>0.88</x:v>
      </x:c>
      <x:c r="J1786" s="48" t="n">
        <x:v>0.4</x:v>
      </x:c>
      <x:c r="K1786" s="48" t="str">
        <x:v>Yes</x:v>
      </x:c>
      <x:c r="L1786" s="48" t="str">
        <x:v>PDF text</x:v>
      </x:c>
    </x:row>
    <x:row r="1787">
      <x:c r="A1787" s="48" t="str">
        <x:v>UNI-1786</x:v>
      </x:c>
      <x:c r="B1787" s="48" t="str">
        <x:v>YELLOW</x:v>
      </x:c>
      <x:c r="C1787" s="48" t="str">
        <x:v>English</x:v>
      </x:c>
      <x:c r="D1787" s="48" t="n">
        <x:v>54</x:v>
      </x:c>
      <x:c r="E1787" s="48" t="str"/>
      <x:c r="F1787" s="48" t="str">
        <x:v>The Contractor shall execute and be bound by each Variation, unless the Contractor promptly gives notice to the Engineer stating (with supporting particulars) that (i) the Contractor cannot readily obtain the Goods required for the Variation, (ii) it will reduce the safety or suitability of the Works, or (iii) it will have an adverse impact on the achievement of the Schedule of Guarantees.</x:v>
      </x:c>
      <x:c r="G1787" s="48" t="str">
        <x:v>Obligation</x:v>
      </x:c>
      <x:c r="H1787" s="48" t="str">
        <x:v>Contractor</x:v>
      </x:c>
      <x:c r="I1787" s="48" t="n">
        <x:v>0.88</x:v>
      </x:c>
      <x:c r="J1787" s="48" t="n">
        <x:v>0.92</x:v>
      </x:c>
      <x:c r="K1787" s="48" t="str">
        <x:v>No</x:v>
      </x:c>
      <x:c r="L1787" s="48" t="str">
        <x:v>PDF text</x:v>
      </x:c>
    </x:row>
    <x:row r="1788">
      <x:c r="A1788" s="48" t="str">
        <x:v>UNI-1787</x:v>
      </x:c>
      <x:c r="B1788" s="48" t="str">
        <x:v>YELLOW</x:v>
      </x:c>
      <x:c r="C1788" s="48" t="str">
        <x:v>English</x:v>
      </x:c>
      <x:c r="D1788" s="48" t="n">
        <x:v>54</x:v>
      </x:c>
      <x:c r="E1788" s="48" t="str"/>
      <x:c r="F1788" s="48" t="str">
        <x:v>The Contractor may, at any time, submit to the Engineer a written proposal which (in the Contractor's opinion) will, if adopted, (i) accelerate completion, (ii) reduce the cost</x:v>
      </x:c>
      <x:c r="G1788" s="48" t="str">
        <x:v>Obligation</x:v>
      </x:c>
      <x:c r="H1788" s="48" t="str">
        <x:v>Contractor</x:v>
      </x:c>
      <x:c r="I1788" s="48" t="n">
        <x:v>0.45</x:v>
      </x:c>
      <x:c r="J1788" s="48" t="n">
        <x:v>0.68</x:v>
      </x:c>
      <x:c r="K1788" s="48" t="str">
        <x:v>Yes</x:v>
      </x:c>
      <x:c r="L1788" s="48" t="str">
        <x:v>PDF text</x:v>
      </x:c>
    </x:row>
    <x:row r="1789">
      <x:c r="A1789" s="48" t="str">
        <x:v>UNI-1788</x:v>
      </x:c>
      <x:c r="B1789" s="48" t="str">
        <x:v>YELLOW</x:v>
      </x:c>
      <x:c r="C1789" s="48" t="str">
        <x:v>English</x:v>
      </x:c>
      <x:c r="D1789" s="48" t="n">
        <x:v>55</x:v>
      </x:c>
      <x:c r="E1789" s="48" t="str"/>
      <x:c r="F1789" s="48" t="str">
        <x:v>to the Employer of executing, maintaining or operating the Works, (iii) improve the efficiency or value to the Employer of the completed Works, or (iv) otherwise be of benefit to the Employer.</x:v>
      </x:c>
      <x:c r="G1789" s="48" t="str">
        <x:v>Obligation</x:v>
      </x:c>
      <x:c r="H1789" s="48" t="str">
        <x:v>Employer</x:v>
      </x:c>
      <x:c r="I1789" s="48" t="n">
        <x:v>0.45</x:v>
      </x:c>
      <x:c r="J1789" s="48" t="n">
        <x:v>0.68</x:v>
      </x:c>
      <x:c r="K1789" s="48" t="str">
        <x:v>Yes</x:v>
      </x:c>
      <x:c r="L1789" s="48" t="str">
        <x:v>PDF text</x:v>
      </x:c>
    </x:row>
    <x:row r="1790">
      <x:c r="A1790" s="48" t="str">
        <x:v>UNI-1789</x:v>
      </x:c>
      <x:c r="B1790" s="48" t="str">
        <x:v>YELLOW</x:v>
      </x:c>
      <x:c r="C1790" s="48" t="str">
        <x:v>English</x:v>
      </x:c>
      <x:c r="D1790" s="48" t="n">
        <x:v>55</x:v>
      </x:c>
      <x:c r="E1790" s="48" t="str"/>
      <x:c r="F1790" s="48" t="str">
        <x:v>If the Engineer requests a proposal, prior to instructing a Variation, the Contractor shall respond in writing as soon as practicable, either by giving reasons why he cannot comply (if this is the case) or by submitting: (a) a description of the proposed design and/or work to be performed and a programme for its execution, (b) the Contractor's proposal for any necessary modifications to the programme according to Sub-Clause 8.3 [Programme] and to the Time for Completion, and (c) the Contractor's proposal for adjustment to the Contract Price.</x:v>
      </x:c>
      <x:c r="G1790" s="48" t="str">
        <x:v>Obligation</x:v>
      </x:c>
      <x:c r="H1790" s="48" t="str">
        <x:v>Contractor</x:v>
      </x:c>
      <x:c r="I1790" s="48" t="n">
        <x:v>0.88</x:v>
      </x:c>
      <x:c r="J1790" s="48" t="n">
        <x:v>0.92</x:v>
      </x:c>
      <x:c r="K1790" s="48" t="str">
        <x:v>No</x:v>
      </x:c>
      <x:c r="L1790" s="48" t="str">
        <x:v>PDF text</x:v>
      </x:c>
    </x:row>
    <x:row r="1791">
      <x:c r="A1791" s="48" t="str">
        <x:v>UNI-1790</x:v>
      </x:c>
      <x:c r="B1791" s="48" t="str">
        <x:v>YELLOW</x:v>
      </x:c>
      <x:c r="C1791" s="48" t="str">
        <x:v>English</x:v>
      </x:c>
      <x:c r="D1791" s="48" t="n">
        <x:v>55</x:v>
      </x:c>
      <x:c r="E1791" s="48" t="str"/>
      <x:c r="F1791" s="48" t="str">
        <x:v>The Engineer shall, as soon as practicable after receiving such proposal (under SubClause 13.2 [Value Engineering] or otherwise), respond with approval, disapproval or comments.</x:v>
      </x:c>
      <x:c r="G1791" s="48" t="str">
        <x:v>Obligation</x:v>
      </x:c>
      <x:c r="H1791" s="48" t="str">
        <x:v>Shared</x:v>
      </x:c>
      <x:c r="I1791" s="48" t="n">
        <x:v>0.88</x:v>
      </x:c>
      <x:c r="J1791" s="48" t="n">
        <x:v>0.4</x:v>
      </x:c>
      <x:c r="K1791" s="48" t="str">
        <x:v>Yes</x:v>
      </x:c>
      <x:c r="L1791" s="48" t="str">
        <x:v>PDF text</x:v>
      </x:c>
    </x:row>
    <x:row r="1792">
      <x:c r="A1792" s="48" t="str">
        <x:v>UNI-1791</x:v>
      </x:c>
      <x:c r="B1792" s="48" t="str">
        <x:v>YELLOW</x:v>
      </x:c>
      <x:c r="C1792" s="48" t="str">
        <x:v>English</x:v>
      </x:c>
      <x:c r="D1792" s="48" t="n">
        <x:v>55</x:v>
      </x:c>
      <x:c r="E1792" s="48" t="str"/>
      <x:c r="F1792" s="48" t="str">
        <x:v>Upon instructing or approving a Variation, the Engineer shall proceed in accordance with Sub-Clause 3.5 [Determinations] to agree or determine adjustments to the Contract Price and the Schedule of Payments.</x:v>
      </x:c>
      <x:c r="G1792" s="48" t="str">
        <x:v>Obligation</x:v>
      </x:c>
      <x:c r="H1792" s="48" t="str">
        <x:v>Shared</x:v>
      </x:c>
      <x:c r="I1792" s="48" t="n">
        <x:v>0.88</x:v>
      </x:c>
      <x:c r="J1792" s="48" t="n">
        <x:v>0.4</x:v>
      </x:c>
      <x:c r="K1792" s="48" t="str">
        <x:v>Yes</x:v>
      </x:c>
      <x:c r="L1792" s="48" t="str">
        <x:v>PDF text</x:v>
      </x:c>
    </x:row>
    <x:row r="1793">
      <x:c r="A1793" s="48" t="str">
        <x:v>UNI-1792</x:v>
      </x:c>
      <x:c r="B1793" s="48" t="str">
        <x:v>YELLOW</x:v>
      </x:c>
      <x:c r="C1793" s="48" t="str">
        <x:v>English</x:v>
      </x:c>
      <x:c r="D1793" s="48" t="n">
        <x:v>55</x:v>
      </x:c>
      <x:c r="E1793" s="48" t="str"/>
      <x:c r="F1793" s="48" t="str">
        <x:v>These adjustments shall include reasonable profit, and shall take account of the Contractor's submissions under SubClause 13.2 [Value Engineering] if applicable.</x:v>
      </x:c>
      <x:c r="G1793" s="48" t="str">
        <x:v>Obligation</x:v>
      </x:c>
      <x:c r="H1793" s="48" t="str">
        <x:v>Contractor</x:v>
      </x:c>
      <x:c r="I1793" s="48" t="n">
        <x:v>0.88</x:v>
      </x:c>
      <x:c r="J1793" s="48" t="n">
        <x:v>0.68</x:v>
      </x:c>
      <x:c r="K1793" s="48" t="str">
        <x:v>Yes</x:v>
      </x:c>
      <x:c r="L1793" s="48" t="str">
        <x:v>PDF text</x:v>
      </x:c>
    </x:row>
    <x:row r="1794">
      <x:c r="A1794" s="48" t="str">
        <x:v>UNI-1793</x:v>
      </x:c>
      <x:c r="B1794" s="48" t="str">
        <x:v>YELLOW</x:v>
      </x:c>
      <x:c r="C1794" s="48" t="str">
        <x:v>English</x:v>
      </x:c>
      <x:c r="D1794" s="48" t="n">
        <x:v>55</x:v>
      </x:c>
      <x:c r="E1794" s="48" t="str"/>
      <x:c r="F1794" s="48" t="str">
        <x:v>Each Provisional Sum shall only be used, in whole or in part, in accordance with the Engineer's instructions, and the Contract Price shall be adjusted accordingly.</x:v>
      </x:c>
      <x:c r="G1794" s="48" t="str">
        <x:v>Obligation</x:v>
      </x:c>
      <x:c r="H1794" s="48" t="str">
        <x:v>Shared</x:v>
      </x:c>
      <x:c r="I1794" s="48" t="n">
        <x:v>0.88</x:v>
      </x:c>
      <x:c r="J1794" s="48" t="n">
        <x:v>0.4</x:v>
      </x:c>
      <x:c r="K1794" s="48" t="str">
        <x:v>Yes</x:v>
      </x:c>
      <x:c r="L1794" s="48" t="str">
        <x:v>PDF text</x:v>
      </x:c>
    </x:row>
    <x:row r="1795">
      <x:c r="A1795" s="48" t="str">
        <x:v>UNI-1794</x:v>
      </x:c>
      <x:c r="B1795" s="48" t="str">
        <x:v>YELLOW</x:v>
      </x:c>
      <x:c r="C1795" s="48" t="str">
        <x:v>English</x:v>
      </x:c>
      <x:c r="D1795" s="48" t="n">
        <x:v>55</x:v>
      </x:c>
      <x:c r="E1795" s="48" t="str"/>
      <x:c r="F1795" s="48" t="str">
        <x:v>Plant, Materials or services to be purchased by the Contractor, for which there</x:v>
      </x:c>
      <x:c r="G1795" s="48" t="str">
        <x:v>Obligation</x:v>
      </x:c>
      <x:c r="H1795" s="48" t="str">
        <x:v>Contractor</x:v>
      </x:c>
      <x:c r="I1795" s="48" t="n">
        <x:v>0.45</x:v>
      </x:c>
      <x:c r="J1795" s="48" t="n">
        <x:v>0.68</x:v>
      </x:c>
      <x:c r="K1795" s="48" t="str">
        <x:v>Yes</x:v>
      </x:c>
      <x:c r="L1795" s="48" t="str">
        <x:v>PDF text</x:v>
      </x:c>
    </x:row>
    <x:row r="1796">
      <x:c r="A1796" s="48" t="str">
        <x:v>UNI-1795</x:v>
      </x:c>
      <x:c r="B1796" s="48" t="str">
        <x:v>YELLOW</x:v>
      </x:c>
      <x:c r="C1796" s="48" t="str">
        <x:v>English</x:v>
      </x:c>
      <x:c r="D1796" s="48" t="n">
        <x:v>55</x:v>
      </x:c>
      <x:c r="E1796" s="48" t="str"/>
      <x:c r="F1796" s="48" t="str">
        <x:v>shall be included in the Contract Price: (i) the actual amounts paid (or due to be paid) by the Contractor, and (ii) a sum for overhead charges and profit, calculated as a percentage of these actual amounts by applying the relevant percentage rate (if any) stated in the appropriate Schedule.</x:v>
      </x:c>
      <x:c r="G1796" s="48" t="str">
        <x:v>Obligation</x:v>
      </x:c>
      <x:c r="H1796" s="48" t="str">
        <x:v>Contractor</x:v>
      </x:c>
      <x:c r="I1796" s="48" t="n">
        <x:v>0.88</x:v>
      </x:c>
      <x:c r="J1796" s="48" t="n">
        <x:v>0.68</x:v>
      </x:c>
      <x:c r="K1796" s="48" t="str">
        <x:v>Yes</x:v>
      </x:c>
      <x:c r="L1796" s="48" t="str">
        <x:v>PDF text</x:v>
      </x:c>
    </x:row>
    <x:row r="1797">
      <x:c r="A1797" s="48" t="str">
        <x:v>UNI-1796</x:v>
      </x:c>
      <x:c r="B1797" s="48" t="str">
        <x:v>YELLOW</x:v>
      </x:c>
      <x:c r="C1797" s="48" t="str">
        <x:v>English</x:v>
      </x:c>
      <x:c r="D1797" s="48" t="n">
        <x:v>55</x:v>
      </x:c>
      <x:c r="E1797" s="48" t="str"/>
      <x:c r="F1797" s="48" t="str">
        <x:v>If there is no such rate, the percentage rate stated in the Appendix to Tender shall be applied.</x:v>
      </x:c>
      <x:c r="G1797" s="48" t="str">
        <x:v>Obligation</x:v>
      </x:c>
      <x:c r="H1797" s="48" t="str">
        <x:v>Shared</x:v>
      </x:c>
      <x:c r="I1797" s="48" t="n">
        <x:v>0.88</x:v>
      </x:c>
      <x:c r="J1797" s="48" t="n">
        <x:v>0.4</x:v>
      </x:c>
      <x:c r="K1797" s="48" t="str">
        <x:v>Yes</x:v>
      </x:c>
      <x:c r="L1797" s="48" t="str">
        <x:v>PDF text</x:v>
      </x:c>
    </x:row>
    <x:row r="1798">
      <x:c r="A1798" s="48" t="str">
        <x:v>UNI-1797</x:v>
      </x:c>
      <x:c r="B1798" s="48" t="str">
        <x:v>YELLOW</x:v>
      </x:c>
      <x:c r="C1798" s="48" t="str">
        <x:v>English</x:v>
      </x:c>
      <x:c r="D1798" s="48" t="n">
        <x:v>56</x:v>
      </x:c>
      <x:c r="E1798" s="48" t="str"/>
      <x:c r="F1798" s="48" t="str">
        <x:v>due, the Contractor shall deliver each day to the Engineer accurate statements in duplicate which shall include the following details of the resources used in executing the previous day's work: (a) the names, occupations and time of Contractor's Personnel, (b) the identification, type and time of Contractor's Equipment and Temporary</x:v>
      </x:c>
      <x:c r="G1798" s="48" t="str">
        <x:v>Obligation</x:v>
      </x:c>
      <x:c r="H1798" s="48" t="str">
        <x:v>Contractor</x:v>
      </x:c>
      <x:c r="I1798" s="48" t="n">
        <x:v>0.88</x:v>
      </x:c>
      <x:c r="J1798" s="48" t="n">
        <x:v>0.92</x:v>
      </x:c>
      <x:c r="K1798" s="48" t="str">
        <x:v>No</x:v>
      </x:c>
      <x:c r="L1798" s="48" t="str">
        <x:v>PDF text</x:v>
      </x:c>
    </x:row>
    <x:row r="1799">
      <x:c r="A1799" s="48" t="str">
        <x:v>UNI-1798</x:v>
      </x:c>
      <x:c r="B1799" s="48" t="str">
        <x:v>YELLOW</x:v>
      </x:c>
      <x:c r="C1799" s="48" t="str">
        <x:v>English</x:v>
      </x:c>
      <x:c r="D1799" s="48" t="n">
        <x:v>56</x:v>
      </x:c>
      <x:c r="E1799" s="48" t="str"/>
      <x:c r="F1799" s="48" t="str">
        <x:v>subject to Sub-Clause 20.1 [Contractor's Claims] to: (a) an extension of time for any such delay, if completion is or will be delayed, under Sub-Clause 8.4 [Extension of Time for Completion], and (b) payment of any such Cost, which shall be included in the Contract Price.</x:v>
      </x:c>
      <x:c r="G1799" s="48" t="str">
        <x:v>Risk</x:v>
      </x:c>
      <x:c r="H1799" s="48" t="str">
        <x:v>Contractor</x:v>
      </x:c>
      <x:c r="I1799" s="48" t="n">
        <x:v>0.78</x:v>
      </x:c>
      <x:c r="J1799" s="48" t="n">
        <x:v>0.68</x:v>
      </x:c>
      <x:c r="K1799" s="48" t="str">
        <x:v>Yes</x:v>
      </x:c>
      <x:c r="L1799" s="48" t="str">
        <x:v>PDF text</x:v>
      </x:c>
    </x:row>
    <x:row r="1800">
      <x:c r="A1800" s="48" t="str">
        <x:v>UNI-1799</x:v>
      </x:c>
      <x:c r="B1800" s="48" t="str">
        <x:v>YELLOW</x:v>
      </x:c>
      <x:c r="C1800" s="48" t="str">
        <x:v>English</x:v>
      </x:c>
      <x:c r="D1800" s="48" t="n">
        <x:v>56</x:v>
      </x:c>
      <x:c r="E1800" s="48" t="str"/>
      <x:c r="F1800" s="48" t="str">
        <x:v>In this Sub-Clause, "table of adjustment data" means the completed table of adjustment data included in the Appendix to Tender.</x:v>
      </x:c>
      <x:c r="G1800" s="48" t="str">
        <x:v>Definition</x:v>
      </x:c>
      <x:c r="H1800" s="48" t="str"/>
      <x:c r="I1800" s="48" t="n">
        <x:v>0.97</x:v>
      </x:c>
      <x:c r="J1800" s="48" t="n">
        <x:v>0.99</x:v>
      </x:c>
      <x:c r="K1800" s="48" t="str">
        <x:v>No</x:v>
      </x:c>
      <x:c r="L1800" s="48" t="str">
        <x:v>PDF text</x:v>
      </x:c>
    </x:row>
    <x:row r="1801">
      <x:c r="A1801" s="48" t="str">
        <x:v>UNI-1800</x:v>
      </x:c>
      <x:c r="B1801" s="48" t="str">
        <x:v>YELLOW</x:v>
      </x:c>
      <x:c r="C1801" s="48" t="str">
        <x:v>English</x:v>
      </x:c>
      <x:c r="D1801" s="48" t="n">
        <x:v>56</x:v>
      </x:c>
      <x:c r="E1801" s="48" t="str"/>
      <x:c r="F1801" s="48" t="str">
        <x:v>To the extent that full compensation for any rise or fall in Costs is not</x:v>
      </x:c>
      <x:c r="G1801" s="48" t="str">
        <x:v>Obligation</x:v>
      </x:c>
      <x:c r="H1801" s="48" t="str">
        <x:v>Shared</x:v>
      </x:c>
      <x:c r="I1801" s="48" t="n">
        <x:v>0.45</x:v>
      </x:c>
      <x:c r="J1801" s="48" t="n">
        <x:v>0.4</x:v>
      </x:c>
      <x:c r="K1801" s="48" t="str">
        <x:v>Yes</x:v>
      </x:c>
      <x:c r="L1801" s="48" t="str">
        <x:v>PDF text</x:v>
      </x:c>
    </x:row>
    <x:row r="1802">
      <x:c r="A1802" s="48" t="str">
        <x:v>UNI-1801</x:v>
      </x:c>
      <x:c r="B1802" s="48" t="str">
        <x:v>YELLOW</x:v>
      </x:c>
      <x:c r="C1802" s="48" t="str">
        <x:v>English</x:v>
      </x:c>
      <x:c r="D1802" s="48" t="n">
        <x:v>57</x:v>
      </x:c>
      <x:c r="E1802" s="48" t="str"/>
      <x:c r="F1802" s="48" t="str">
        <x:v>covered by the provisions of this or other Clauses, the Accepted Contract Amount shall be deemed to have included amounts to cover the contingency of other rises and falls in costs.</x:v>
      </x:c>
      <x:c r="G1802" s="48" t="str">
        <x:v>Obligation</x:v>
      </x:c>
      <x:c r="H1802" s="48" t="str">
        <x:v>Shared</x:v>
      </x:c>
      <x:c r="I1802" s="48" t="n">
        <x:v>0.88</x:v>
      </x:c>
      <x:c r="J1802" s="48" t="n">
        <x:v>0.4</x:v>
      </x:c>
      <x:c r="K1802" s="48" t="str">
        <x:v>Yes</x:v>
      </x:c>
      <x:c r="L1802" s="48" t="str">
        <x:v>PDF text</x:v>
      </x:c>
    </x:row>
    <x:row r="1803">
      <x:c r="A1803" s="48" t="str">
        <x:v>UNI-1802</x:v>
      </x:c>
      <x:c r="B1803" s="48" t="str">
        <x:v>YELLOW</x:v>
      </x:c>
      <x:c r="C1803" s="48" t="str">
        <x:v>English</x:v>
      </x:c>
      <x:c r="D1803" s="48" t="n">
        <x:v>57</x:v>
      </x:c>
      <x:c r="E1803" s="48" t="str"/>
      <x:c r="F1803" s="48" t="str">
        <x:v>Lo Eo Mo where: "Pn" is the adjustment multiplier to be applied to the estimated contract value in the relevant currency of the work carried out in period "n", this period being a month unless otherwise stated in the Appendix to Tender; "a" is a fixed coefficient, stated in the relevant table of adjustment data, representing the non-adjustable portion in contractual payments; "b", "c", "d", … are coefficients representing the estimated proportion of each cost element related to the execution of the Works, as stated in the relevant table of adjustment data; such tabulated cost elements may be indicative of resources such as labour, equipment and materials; "Ln", "En", "Mn", … are the current cost indices or reference prices for period "n", expressed in the relevant currency of payment, each of which is applicable to the relevant tabulated cost element on the date 49 days prior to the last day of the period (to which the particular Payment Certificate relates); and "Lo", "Eo", "Mo", … are the base cost indices or reference prices, expressed in the relevant currency of payment, each of which is applicable to the relevant tabulated cost element on the Base Date.</x:v>
      </x:c>
      <x:c r="G1803" s="48" t="str">
        <x:v>Right</x:v>
      </x:c>
      <x:c r="H1803" s="48" t="str">
        <x:v>Shared</x:v>
      </x:c>
      <x:c r="I1803" s="48" t="n">
        <x:v>0.78</x:v>
      </x:c>
      <x:c r="J1803" s="48" t="n">
        <x:v>0.4</x:v>
      </x:c>
      <x:c r="K1803" s="48" t="str">
        <x:v>Yes</x:v>
      </x:c>
      <x:c r="L1803" s="48" t="str">
        <x:v>PDF text</x:v>
      </x:c>
    </x:row>
    <x:row r="1804">
      <x:c r="A1804" s="48" t="str">
        <x:v>UNI-1803</x:v>
      </x:c>
      <x:c r="B1804" s="48" t="str">
        <x:v>YELLOW</x:v>
      </x:c>
      <x:c r="C1804" s="48" t="str">
        <x:v>English</x:v>
      </x:c>
      <x:c r="D1804" s="48" t="n">
        <x:v>57</x:v>
      </x:c>
      <x:c r="E1804" s="48" t="str"/>
      <x:c r="F1804" s="48" t="str">
        <x:v>For this purpose, reference shall be made to the values of the indices at stated dates (quoted in the fourth and fifth columns respectively of the table) for the purposes of clarification of the source; although these dates (and thus these values) may not correspond to the base cost indices.</x:v>
      </x:c>
      <x:c r="G1804" s="48" t="str">
        <x:v>Obligation</x:v>
      </x:c>
      <x:c r="H1804" s="48" t="str">
        <x:v>Shared</x:v>
      </x:c>
      <x:c r="I1804" s="48" t="n">
        <x:v>0.88</x:v>
      </x:c>
      <x:c r="J1804" s="48" t="n">
        <x:v>0.4</x:v>
      </x:c>
      <x:c r="K1804" s="48" t="str">
        <x:v>Yes</x:v>
      </x:c>
      <x:c r="L1804" s="48" t="str">
        <x:v>PDF text</x:v>
      </x:c>
    </x:row>
    <x:row r="1805">
      <x:c r="A1805" s="48" t="str">
        <x:v>UNI-1804</x:v>
      </x:c>
      <x:c r="B1805" s="48" t="str">
        <x:v>YELLOW</x:v>
      </x:c>
      <x:c r="C1805" s="48" t="str">
        <x:v>English</x:v>
      </x:c>
      <x:c r="D1805" s="48" t="n">
        <x:v>57</x:v>
      </x:c>
      <x:c r="E1805" s="48" t="str"/>
      <x:c r="F1805" s="48" t="str">
        <x:v>In cases where the "currency of index" (stated in the table) is not the relevant currency of payment, each index shall be converted into the relevant currency of payment at the selling rate, established by the central bank of the Country, of this relevant currency on the above date for which the index is required to be applicable.</x:v>
      </x:c>
      <x:c r="G1805" s="48" t="str">
        <x:v>Obligation</x:v>
      </x:c>
      <x:c r="H1805" s="48" t="str">
        <x:v>Shared</x:v>
      </x:c>
      <x:c r="I1805" s="48" t="n">
        <x:v>0.88</x:v>
      </x:c>
      <x:c r="J1805" s="48" t="n">
        <x:v>0.4</x:v>
      </x:c>
      <x:c r="K1805" s="48" t="str">
        <x:v>Yes</x:v>
      </x:c>
      <x:c r="L1805" s="48" t="str">
        <x:v>PDF text</x:v>
      </x:c>
    </x:row>
    <x:row r="1806">
      <x:c r="A1806" s="48" t="str">
        <x:v>UNI-1805</x:v>
      </x:c>
      <x:c r="B1806" s="48" t="str">
        <x:v>YELLOW</x:v>
      </x:c>
      <x:c r="C1806" s="48" t="str">
        <x:v>English</x:v>
      </x:c>
      <x:c r="D1806" s="48" t="n">
        <x:v>58</x:v>
      </x:c>
      <x:c r="E1806" s="48" t="str"/>
      <x:c r="F1806" s="48" t="str">
        <x:v>Unless otherwise stated in the Particular Conditions: (a) the Contract Price shall be the lump sum Accepted Contract Amount and be subject to adjustments in accordance with the Contract; (b) the Contractor shall pay all taxes, duties and fees required to be paid by him under the Contract, and the Contract Price shall not be adjusted for any of these costs, except as stated in Sub-Clause 13.7 [Adjustments for Changes in Legislation]; (c) any quantities which may be set out in a Schedule are estimated quantities and are not to be taken as the actual and correct quantities of the Works which the Contractor is required to execute; and (d) any quantities or price data which may be set out in a Schedule shall be used for the purposes stated in the Schedule and may be inapplicable for other purposes.</x:v>
      </x:c>
      <x:c r="G1806" s="48" t="str">
        <x:v>Obligation</x:v>
      </x:c>
      <x:c r="H1806" s="48" t="str">
        <x:v>Contractor</x:v>
      </x:c>
      <x:c r="I1806" s="48" t="n">
        <x:v>0.88</x:v>
      </x:c>
      <x:c r="J1806" s="48" t="n">
        <x:v>0.92</x:v>
      </x:c>
      <x:c r="K1806" s="48" t="str">
        <x:v>No</x:v>
      </x:c>
      <x:c r="L1806" s="48" t="str">
        <x:v>PDF text</x:v>
      </x:c>
    </x:row>
    <x:row r="1807">
      <x:c r="A1807" s="48" t="str">
        <x:v>UNI-1806</x:v>
      </x:c>
      <x:c r="B1807" s="48" t="str">
        <x:v>YELLOW</x:v>
      </x:c>
      <x:c r="C1807" s="48" t="str">
        <x:v>English</x:v>
      </x:c>
      <x:c r="D1807" s="48" t="n">
        <x:v>58</x:v>
      </x:c>
      <x:c r="E1807" s="48" t="str"/>
      <x:c r="F1807" s="48" t="str">
        <x:v>However, if any part of the Works is to be paid according to quantity supplied or work done, the provisions for measurement and evaluation shall be as stated in the Particular Conditions.</x:v>
      </x:c>
      <x:c r="G1807" s="48" t="str">
        <x:v>Obligation</x:v>
      </x:c>
      <x:c r="H1807" s="48" t="str">
        <x:v>Shared</x:v>
      </x:c>
      <x:c r="I1807" s="48" t="n">
        <x:v>0.88</x:v>
      </x:c>
      <x:c r="J1807" s="48" t="n">
        <x:v>0.4</x:v>
      </x:c>
      <x:c r="K1807" s="48" t="str">
        <x:v>Yes</x:v>
      </x:c>
      <x:c r="L1807" s="48" t="str">
        <x:v>PDF text</x:v>
      </x:c>
    </x:row>
    <x:row r="1808">
      <x:c r="A1808" s="48" t="str">
        <x:v>UNI-1807</x:v>
      </x:c>
      <x:c r="B1808" s="48" t="str">
        <x:v>YELLOW</x:v>
      </x:c>
      <x:c r="C1808" s="48" t="str">
        <x:v>English</x:v>
      </x:c>
      <x:c r="D1808" s="48" t="n">
        <x:v>58</x:v>
      </x:c>
      <x:c r="E1808" s="48" t="str"/>
      <x:c r="F1808" s="48" t="str">
        <x:v>The Contract Price shall be determined accordingly, subject to adjustments in accordance with the Contract.</x:v>
      </x:c>
      <x:c r="G1808" s="48" t="str">
        <x:v>Obligation</x:v>
      </x:c>
      <x:c r="H1808" s="48" t="str">
        <x:v>Shared</x:v>
      </x:c>
      <x:c r="I1808" s="48" t="n">
        <x:v>0.88</x:v>
      </x:c>
      <x:c r="J1808" s="48" t="n">
        <x:v>0.4</x:v>
      </x:c>
      <x:c r="K1808" s="48" t="str">
        <x:v>Yes</x:v>
      </x:c>
      <x:c r="L1808" s="48" t="str">
        <x:v>PDF text</x:v>
      </x:c>
    </x:row>
    <x:row r="1809">
      <x:c r="A1809" s="48" t="str">
        <x:v>UNI-1808</x:v>
      </x:c>
      <x:c r="B1809" s="48" t="str">
        <x:v>YELLOW</x:v>
      </x:c>
      <x:c r="C1809" s="48" t="str">
        <x:v>English</x:v>
      </x:c>
      <x:c r="D1809" s="48" t="n">
        <x:v>58</x:v>
      </x:c>
      <x:c r="E1809" s="48" t="str"/>
      <x:c r="F1809" s="48" t="str">
        <x:v>mobilisation and design, when the Contractor submits a guarantee in accordance with this Sub-Clause.</x:v>
      </x:c>
      <x:c r="G1809" s="48" t="str">
        <x:v>Obligation</x:v>
      </x:c>
      <x:c r="H1809" s="48" t="str">
        <x:v>Contractor</x:v>
      </x:c>
      <x:c r="I1809" s="48" t="n">
        <x:v>0.45</x:v>
      </x:c>
      <x:c r="J1809" s="48" t="n">
        <x:v>0.68</x:v>
      </x:c>
      <x:c r="K1809" s="48" t="str">
        <x:v>Yes</x:v>
      </x:c>
      <x:c r="L1809" s="48" t="str">
        <x:v>PDF text</x:v>
      </x:c>
    </x:row>
    <x:row r="1810">
      <x:c r="A1810" s="48" t="str">
        <x:v>UNI-1809</x:v>
      </x:c>
      <x:c r="B1810" s="48" t="str">
        <x:v>YELLOW</x:v>
      </x:c>
      <x:c r="C1810" s="48" t="str">
        <x:v>English</x:v>
      </x:c>
      <x:c r="D1810" s="48" t="n">
        <x:v>58</x:v>
      </x:c>
      <x:c r="E1810" s="48" t="str"/>
      <x:c r="F1810" s="48" t="str">
        <x:v>The total advance payment, the number and timing of instalments (if more than one), and the applicable currencies and proportions, shall be as stated in the Appendix to Tender.</x:v>
      </x:c>
      <x:c r="G1810" s="48" t="str">
        <x:v>Obligation</x:v>
      </x:c>
      <x:c r="H1810" s="48" t="str">
        <x:v>Shared</x:v>
      </x:c>
      <x:c r="I1810" s="48" t="n">
        <x:v>0.88</x:v>
      </x:c>
      <x:c r="J1810" s="48" t="n">
        <x:v>0.4</x:v>
      </x:c>
      <x:c r="K1810" s="48" t="str">
        <x:v>Yes</x:v>
      </x:c>
      <x:c r="L1810" s="48" t="str">
        <x:v>PDF text</x:v>
      </x:c>
    </x:row>
    <x:row r="1811">
      <x:c r="A1811" s="48" t="str">
        <x:v>UNI-1810</x:v>
      </x:c>
      <x:c r="B1811" s="48" t="str">
        <x:v>YELLOW</x:v>
      </x:c>
      <x:c r="C1811" s="48" t="str">
        <x:v>English</x:v>
      </x:c>
      <x:c r="D1811" s="48" t="n">
        <x:v>58</x:v>
      </x:c>
      <x:c r="E1811" s="48" t="str"/>
      <x:c r="F1811" s="48" t="str">
        <x:v>Unless and until the Employer receives this guarantee, or if the total advance payment is not stated in the Appendix to Tender, this Sub-Clause shall not apply.</x:v>
      </x:c>
      <x:c r="G1811" s="48" t="str">
        <x:v>Obligation</x:v>
      </x:c>
      <x:c r="H1811" s="48" t="str">
        <x:v>Employer</x:v>
      </x:c>
      <x:c r="I1811" s="48" t="n">
        <x:v>0.88</x:v>
      </x:c>
      <x:c r="J1811" s="48" t="n">
        <x:v>0.68</x:v>
      </x:c>
      <x:c r="K1811" s="48" t="str">
        <x:v>Yes</x:v>
      </x:c>
      <x:c r="L1811" s="48" t="str">
        <x:v>PDF text</x:v>
      </x:c>
    </x:row>
    <x:row r="1812">
      <x:c r="A1812" s="48" t="str">
        <x:v>UNI-1811</x:v>
      </x:c>
      <x:c r="B1812" s="48" t="str">
        <x:v>YELLOW</x:v>
      </x:c>
      <x:c r="C1812" s="48" t="str">
        <x:v>English</x:v>
      </x:c>
      <x:c r="D1812" s="48" t="n">
        <x:v>58</x:v>
      </x:c>
      <x:c r="E1812" s="48" t="str"/>
      <x:c r="F1812" s="48" t="str">
        <x:v>The advance payment shall be repaid through percentage deductions in Payment</x:v>
      </x:c>
      <x:c r="G1812" s="48" t="str">
        <x:v>Obligation</x:v>
      </x:c>
      <x:c r="H1812" s="48" t="str">
        <x:v>Shared</x:v>
      </x:c>
      <x:c r="I1812" s="48" t="n">
        <x:v>0.88</x:v>
      </x:c>
      <x:c r="J1812" s="48" t="n">
        <x:v>0.4</x:v>
      </x:c>
      <x:c r="K1812" s="48" t="str">
        <x:v>Yes</x:v>
      </x:c>
      <x:c r="L1812" s="48" t="str">
        <x:v>PDF text</x:v>
      </x:c>
    </x:row>
    <x:row r="1813">
      <x:c r="A1813" s="48" t="str">
        <x:v>UNI-1812</x:v>
      </x:c>
      <x:c r="B1813" s="48" t="str">
        <x:v>YELLOW</x:v>
      </x:c>
      <x:c r="C1813" s="48" t="str">
        <x:v>English</x:v>
      </x:c>
      <x:c r="D1813" s="48" t="n">
        <x:v>58</x:v>
      </x:c>
      <x:c r="E1813" s="48" t="str"/>
      <x:c r="F1813" s="48" t="str">
        <x:v>Unless other percentages are stated in the Appendix to Tender: (a) deductions shall commence in the Payment Certificate in which the total of all certified interim payments (excluding the advance payment and deductions and</x:v>
      </x:c>
      <x:c r="G1813" s="48" t="str">
        <x:v>Obligation</x:v>
      </x:c>
      <x:c r="H1813" s="48" t="str">
        <x:v>Shared</x:v>
      </x:c>
      <x:c r="I1813" s="48" t="n">
        <x:v>0.88</x:v>
      </x:c>
      <x:c r="J1813" s="48" t="n">
        <x:v>0.4</x:v>
      </x:c>
      <x:c r="K1813" s="48" t="str">
        <x:v>Yes</x:v>
      </x:c>
      <x:c r="L1813" s="48" t="str">
        <x:v>PDF text</x:v>
      </x:c>
    </x:row>
    <x:row r="1814">
      <x:c r="A1814" s="48" t="str">
        <x:v>UNI-1813</x:v>
      </x:c>
      <x:c r="B1814" s="48" t="str">
        <x:v>YELLOW</x:v>
      </x:c>
      <x:c r="C1814" s="48" t="str">
        <x:v>English</x:v>
      </x:c>
      <x:c r="D1814" s="48" t="n">
        <x:v>59</x:v>
      </x:c>
      <x:c r="E1814" s="48" t="str"/>
      <x:c r="F1814" s="48" t="str">
        <x:v>repayments of retention) exceeds ten per cent (10%) of the Accepted Contract Amount less Provisional Sums; and (b) deductions shall be made at the amortisation rate of one quarter (25%) of the amount of each Payment Certificate (excluding the advance payment and deductions and repayments of retention) in the currencies and proportions of the advance payment, until such time as the advance payment has been repaid.</x:v>
      </x:c>
      <x:c r="G1814" s="48" t="str">
        <x:v>Obligation</x:v>
      </x:c>
      <x:c r="H1814" s="48" t="str">
        <x:v>Shared</x:v>
      </x:c>
      <x:c r="I1814" s="48" t="n">
        <x:v>0.88</x:v>
      </x:c>
      <x:c r="J1814" s="48" t="n">
        <x:v>0.4</x:v>
      </x:c>
      <x:c r="K1814" s="48" t="str">
        <x:v>Yes</x:v>
      </x:c>
      <x:c r="L1814" s="48" t="str">
        <x:v>PDF text</x:v>
      </x:c>
    </x:row>
    <x:row r="1815">
      <x:c r="A1815" s="48" t="str">
        <x:v>UNI-1814</x:v>
      </x:c>
      <x:c r="B1815" s="48" t="str">
        <x:v>YELLOW</x:v>
      </x:c>
      <x:c r="C1815" s="48" t="str">
        <x:v>English</x:v>
      </x:c>
      <x:c r="D1815" s="48" t="n">
        <x:v>59</x:v>
      </x:c>
      <x:c r="E1815" s="48" t="str"/>
      <x:c r="F1815" s="48" t="str">
        <x:v>The Contractor shall submit a Statement in six copies to the Engineer after the end of the period of payment stated in the Contract (if not stated, after the end of each month), in a form approved by the Engineer, showing in detail the amounts to which the Contractor considers himself to be entitled, together with supporting documents which shall include the relevant report on progress in accordance with Sub-Clause</x:v>
      </x:c>
      <x:c r="G1815" s="48" t="str">
        <x:v>Obligation</x:v>
      </x:c>
      <x:c r="H1815" s="48" t="str">
        <x:v>Contractor</x:v>
      </x:c>
      <x:c r="I1815" s="48" t="n">
        <x:v>0.88</x:v>
      </x:c>
      <x:c r="J1815" s="48" t="n">
        <x:v>0.92</x:v>
      </x:c>
      <x:c r="K1815" s="48" t="str">
        <x:v>No</x:v>
      </x:c>
      <x:c r="L1815" s="48" t="str">
        <x:v>PDF text</x:v>
      </x:c>
    </x:row>
    <x:row r="1816">
      <x:c r="A1816" s="48" t="str">
        <x:v>UNI-1815</x:v>
      </x:c>
      <x:c r="B1816" s="48" t="str">
        <x:v>YELLOW</x:v>
      </x:c>
      <x:c r="C1816" s="48" t="str">
        <x:v>English</x:v>
      </x:c>
      <x:c r="D1816" s="48" t="n">
        <x:v>59</x:v>
      </x:c>
      <x:c r="E1816" s="48" t="str"/>
      <x:c r="F1816" s="48" t="str">
        <x:v>expressed in the various currencies in which the Contract Price is payable, in the sequence listed: (a) the estimated contract value of the Works executed and the Contractor's</x:v>
      </x:c>
      <x:c r="G1816" s="48" t="str">
        <x:v>Obligation</x:v>
      </x:c>
      <x:c r="H1816" s="48" t="str">
        <x:v>Contractor</x:v>
      </x:c>
      <x:c r="I1816" s="48" t="n">
        <x:v>0.45</x:v>
      </x:c>
      <x:c r="J1816" s="48" t="n">
        <x:v>0.68</x:v>
      </x:c>
      <x:c r="K1816" s="48" t="str">
        <x:v>Yes</x:v>
      </x:c>
      <x:c r="L1816" s="48" t="str">
        <x:v>PDF text</x:v>
      </x:c>
    </x:row>
    <x:row r="1817">
      <x:c r="A1817" s="48" t="str">
        <x:v>UNI-1816</x:v>
      </x:c>
      <x:c r="B1817" s="48" t="str">
        <x:v>YELLOW</x:v>
      </x:c>
      <x:c r="C1817" s="48" t="str">
        <x:v>English</x:v>
      </x:c>
      <x:c r="D1817" s="48" t="n">
        <x:v>59</x:v>
      </x:c>
      <x:c r="E1817" s="48" t="str"/>
      <x:c r="F1817" s="48" t="str">
        <x:v>excluding items described in sub-paragraphs (b) to (g) below); (b) any amounts to be added and deducted for changes in legislation and changes in cost, in accordance with Sub-Clause 13.7 [Adjustments for Changes in Legislation] and Sub-Clause 13.8 [Adjustments for Changes in Cost]; (c) any amount to be deducted for retention, calculated by applying the percentage of retention stated in the Appendix to Tender to the total of the above amounts, until the amount so retained by the Employer reaches the limit of Retention Money (if any) stated in the Appendix to Tender; (d) any amounts to be added and deducted for the advance payment and repayments in accordance with Sub-Clause 14.2 [Advance Payment]; (e) any amounts to be added and deducted for Plant and Materials in accordance with Sub-Clause 14.5 [Plant and Materials intended for the Works]; (f) any other additions or deductions which may have become due under the Contract or otherwise, including those under Clause 20 [Claims, Disputes and Arbitration]; and (g) the deduction of amounts certified in all previous Payment Certificates.</x:v>
      </x:c>
      <x:c r="G1817" s="48" t="str">
        <x:v>Right</x:v>
      </x:c>
      <x:c r="H1817" s="48" t="str">
        <x:v>Employer</x:v>
      </x:c>
      <x:c r="I1817" s="48" t="n">
        <x:v>0.78</x:v>
      </x:c>
      <x:c r="J1817" s="48" t="n">
        <x:v>0.68</x:v>
      </x:c>
      <x:c r="K1817" s="48" t="str">
        <x:v>Yes</x:v>
      </x:c>
      <x:c r="L1817" s="48" t="str">
        <x:v>PDF text</x:v>
      </x:c>
    </x:row>
    <x:row r="1818">
      <x:c r="A1818" s="48" t="str">
        <x:v>UNI-1817</x:v>
      </x:c>
      <x:c r="B1818" s="48" t="str">
        <x:v>YELLOW</x:v>
      </x:c>
      <x:c r="C1818" s="48" t="str">
        <x:v>English</x:v>
      </x:c>
      <x:c r="D1818" s="48" t="n">
        <x:v>59</x:v>
      </x:c>
      <x:c r="E1818" s="48" t="str"/>
      <x:c r="F1818" s="48" t="str">
        <x:v>If the Contract includes a Schedule of Payments specifying the instalments in which the Contract Price will be paid, then, unless otherwise stated in this Schedule: (a) the instalments quoted in the Schedule of Payments shall be the estimated contract values for the purposes of sub-paragraph (a) of Sub-Clause 14.3 [Application for Interim Payment Certificates]; (b) Sub-Clause 14.5 [Plant and Materials intended for the Works] shall not apply; and (c) if these instalments are not defined by reference to the actual progress achieved in executing the Works, and if actual progress is found to be less than</x:v>
      </x:c>
      <x:c r="G1818" s="48" t="str">
        <x:v>Obligation</x:v>
      </x:c>
      <x:c r="H1818" s="48" t="str">
        <x:v>Shared</x:v>
      </x:c>
      <x:c r="I1818" s="48" t="n">
        <x:v>0.88</x:v>
      </x:c>
      <x:c r="J1818" s="48" t="n">
        <x:v>0.4</x:v>
      </x:c>
      <x:c r="K1818" s="48" t="str">
        <x:v>Yes</x:v>
      </x:c>
      <x:c r="L1818" s="48" t="str">
        <x:v>PDF text</x:v>
      </x:c>
    </x:row>
    <x:row r="1819">
      <x:c r="A1819" s="48" t="str">
        <x:v>UNI-1818</x:v>
      </x:c>
      <x:c r="B1819" s="48" t="str">
        <x:v>YELLOW</x:v>
      </x:c>
      <x:c r="C1819" s="48" t="str">
        <x:v>English</x:v>
      </x:c>
      <x:c r="D1819" s="48" t="n">
        <x:v>60</x:v>
      </x:c>
      <x:c r="E1819" s="48" t="str"/>
      <x:c r="F1819" s="48" t="str">
        <x:v>intended for the Works that on which the Schedule of Payments was based, then the Engineer may proceed in accordance with Sub-Clause 3.5 [Determinations] to agree or determine revised instalments, which shall take account of the extent to which progress is less than that on which the instalments were previously based.</x:v>
      </x:c>
      <x:c r="G1819" s="48" t="str">
        <x:v>Obligation</x:v>
      </x:c>
      <x:c r="H1819" s="48" t="str">
        <x:v>Shared</x:v>
      </x:c>
      <x:c r="I1819" s="48" t="n">
        <x:v>0.88</x:v>
      </x:c>
      <x:c r="J1819" s="48" t="n">
        <x:v>0.4</x:v>
      </x:c>
      <x:c r="K1819" s="48" t="str">
        <x:v>Yes</x:v>
      </x:c>
      <x:c r="L1819" s="48" t="str">
        <x:v>PDF text</x:v>
      </x:c>
    </x:row>
    <x:row r="1820">
      <x:c r="A1820" s="48" t="str">
        <x:v>UNI-1819</x:v>
      </x:c>
      <x:c r="B1820" s="48" t="str">
        <x:v>YELLOW</x:v>
      </x:c>
      <x:c r="C1820" s="48" t="str">
        <x:v>English</x:v>
      </x:c>
      <x:c r="D1820" s="48" t="n">
        <x:v>60</x:v>
      </x:c>
      <x:c r="E1820" s="48" t="str"/>
      <x:c r="F1820" s="48" t="str">
        <x:v>If the lists referred to in sub-paragraphs (b)(i) or (c)(i) below are not included in the Appendix to Tender, this Sub-Clause shall not apply.</x:v>
      </x:c>
      <x:c r="G1820" s="48" t="str">
        <x:v>Obligation</x:v>
      </x:c>
      <x:c r="H1820" s="48" t="str">
        <x:v>Shared</x:v>
      </x:c>
      <x:c r="I1820" s="48" t="n">
        <x:v>0.88</x:v>
      </x:c>
      <x:c r="J1820" s="48" t="n">
        <x:v>0.4</x:v>
      </x:c>
      <x:c r="K1820" s="48" t="str">
        <x:v>Yes</x:v>
      </x:c>
      <x:c r="L1820" s="48" t="str">
        <x:v>PDF text</x:v>
      </x:c>
    </x:row>
    <x:row r="1821">
      <x:c r="A1821" s="48" t="str">
        <x:v>UNI-1820</x:v>
      </x:c>
      <x:c r="B1821" s="48" t="str">
        <x:v>YELLOW</x:v>
      </x:c>
      <x:c r="C1821" s="48" t="str">
        <x:v>English</x:v>
      </x:c>
      <x:c r="D1821" s="48" t="n">
        <x:v>61</x:v>
      </x:c>
      <x:c r="E1821" s="48" t="str"/>
      <x:c r="F1821" s="48" t="str">
        <x:v>The additional amount to be certified shall be the equivalent of eighty percent of the Engineer's determination of the cost of the Plant and Materials (including delivery to</x:v>
      </x:c>
      <x:c r="G1821" s="48" t="str">
        <x:v>Obligation</x:v>
      </x:c>
      <x:c r="H1821" s="48" t="str">
        <x:v>Shared</x:v>
      </x:c>
      <x:c r="I1821" s="48" t="n">
        <x:v>0.88</x:v>
      </x:c>
      <x:c r="J1821" s="48" t="n">
        <x:v>0.4</x:v>
      </x:c>
      <x:c r="K1821" s="48" t="str">
        <x:v>Yes</x:v>
      </x:c>
      <x:c r="L1821" s="48" t="str">
        <x:v>PDF text</x:v>
      </x:c>
    </x:row>
    <x:row r="1822">
      <x:c r="A1822" s="48" t="str">
        <x:v>UNI-1821</x:v>
      </x:c>
      <x:c r="B1822" s="48" t="str">
        <x:v>YELLOW</x:v>
      </x:c>
      <x:c r="C1822" s="48" t="str">
        <x:v>English</x:v>
      </x:c>
      <x:c r="D1822" s="48" t="n">
        <x:v>61</x:v>
      </x:c>
      <x:c r="E1822" s="48" t="str"/>
      <x:c r="F1822" s="48" t="str">
        <x:v>However, prior to issuing the Taking-Over Certificate for the Works, the Engineer shall not be bound to issue an Interim Payment Certificate in an amount which would (after retention and other deductions) be less than the minimum amount of Interim Payment Certificates (if any) stated in the Appendix to Tender.</x:v>
      </x:c>
      <x:c r="G1822" s="48" t="str">
        <x:v>Obligation</x:v>
      </x:c>
      <x:c r="H1822" s="48" t="str">
        <x:v>Shared</x:v>
      </x:c>
      <x:c r="I1822" s="48" t="n">
        <x:v>0.88</x:v>
      </x:c>
      <x:c r="J1822" s="48" t="n">
        <x:v>0.4</x:v>
      </x:c>
      <x:c r="K1822" s="48" t="str">
        <x:v>Yes</x:v>
      </x:c>
      <x:c r="L1822" s="48" t="str">
        <x:v>PDF text</x:v>
      </x:c>
    </x:row>
    <x:row r="1823">
      <x:c r="A1823" s="48" t="str">
        <x:v>UNI-1822</x:v>
      </x:c>
      <x:c r="B1823" s="48" t="str">
        <x:v>YELLOW</x:v>
      </x:c>
      <x:c r="C1823" s="48" t="str">
        <x:v>English</x:v>
      </x:c>
      <x:c r="D1823" s="48" t="n">
        <x:v>61</x:v>
      </x:c>
      <x:c r="E1823" s="48" t="str"/>
      <x:c r="F1823" s="48" t="str">
        <x:v>An Interim Payment Certificate shall not be withheld for any other reason,</x:v>
      </x:c>
      <x:c r="G1823" s="48" t="str">
        <x:v>Obligation</x:v>
      </x:c>
      <x:c r="H1823" s="48" t="str">
        <x:v>Shared</x:v>
      </x:c>
      <x:c r="I1823" s="48" t="n">
        <x:v>0.88</x:v>
      </x:c>
      <x:c r="J1823" s="48" t="n">
        <x:v>0.4</x:v>
      </x:c>
      <x:c r="K1823" s="48" t="str">
        <x:v>Yes</x:v>
      </x:c>
      <x:c r="L1823" s="48" t="str">
        <x:v>PDF text</x:v>
      </x:c>
    </x:row>
    <x:row r="1824">
      <x:c r="A1824" s="48" t="str">
        <x:v>UNI-1823</x:v>
      </x:c>
      <x:c r="B1824" s="48" t="str">
        <x:v>YELLOW</x:v>
      </x:c>
      <x:c r="C1824" s="48" t="str">
        <x:v>English</x:v>
      </x:c>
      <x:c r="D1824" s="48" t="n">
        <x:v>61</x:v>
      </x:c>
      <x:c r="E1824" s="48" t="str"/>
      <x:c r="F1824" s="48" t="str">
        <x:v>although: (a) if any thing supplied or work done by the Contractor is not in accordance with the Contract, the cost of rectification or replacement may be withheld until rectification or replacement has been completed; and/or (b) if the Contractor was or is failing to perform any work or obligation in accordance with the Contract, and had been so notified by the Engineer, the value of this work or obligation may be withheld until the work or obligation has been performed.</x:v>
      </x:c>
      <x:c r="G1824" s="48" t="str">
        <x:v>Right</x:v>
      </x:c>
      <x:c r="H1824" s="48" t="str">
        <x:v>Contractor</x:v>
      </x:c>
      <x:c r="I1824" s="48" t="n">
        <x:v>0.78</x:v>
      </x:c>
      <x:c r="J1824" s="48" t="n">
        <x:v>0.68</x:v>
      </x:c>
      <x:c r="K1824" s="48" t="str">
        <x:v>Yes</x:v>
      </x:c>
      <x:c r="L1824" s="48" t="str">
        <x:v>PDF text</x:v>
      </x:c>
    </x:row>
    <x:row r="1825">
      <x:c r="A1825" s="48" t="str">
        <x:v>UNI-1824</x:v>
      </x:c>
      <x:c r="B1825" s="48" t="str">
        <x:v>YELLOW</x:v>
      </x:c>
      <x:c r="C1825" s="48" t="str">
        <x:v>English</x:v>
      </x:c>
      <x:c r="D1825" s="48" t="n">
        <x:v>61</x:v>
      </x:c>
      <x:c r="E1825" s="48" t="str"/>
      <x:c r="F1825" s="48" t="str">
        <x:v>A Payment Certificate shall not be deemed to indicate the Engineer's acceptance, approval, consent or satisfaction.</x:v>
      </x:c>
      <x:c r="G1825" s="48" t="str">
        <x:v>Obligation</x:v>
      </x:c>
      <x:c r="H1825" s="48" t="str">
        <x:v>Shared</x:v>
      </x:c>
      <x:c r="I1825" s="48" t="n">
        <x:v>0.88</x:v>
      </x:c>
      <x:c r="J1825" s="48" t="n">
        <x:v>0.4</x:v>
      </x:c>
      <x:c r="K1825" s="48" t="str">
        <x:v>Yes</x:v>
      </x:c>
      <x:c r="L1825" s="48" t="str">
        <x:v>PDF text</x:v>
      </x:c>
    </x:row>
    <x:row r="1826">
      <x:c r="A1826" s="48" t="str">
        <x:v>UNI-1825</x:v>
      </x:c>
      <x:c r="B1826" s="48" t="str">
        <x:v>YELLOW</x:v>
      </x:c>
      <x:c r="C1826" s="48" t="str">
        <x:v>English</x:v>
      </x:c>
      <x:c r="D1826" s="48" t="n">
        <x:v>61</x:v>
      </x:c>
      <x:c r="E1826" s="48" t="str"/>
      <x:c r="F1826" s="48" t="str">
        <x:v>The Employer shall pay to the Contractor: (a) the first instalment of the advance payment within 42 days after issuing the Letter of Acceptance or within 21 days after receiving the documents in accordance with Sub-Clause 4.2 [Performance Security] and Sub-Clause 14.2 [Advance Payment], whichever is later; (b) the amount certified in each Interim Payment Certificate within 56 days after the Engineer receives the Statement and supporting documents; and (c) the amount certified in the Final Payment Certificate within 56 days after the Employer receives this Payment Certificate.</x:v>
      </x:c>
      <x:c r="G1826" s="48" t="str">
        <x:v>Obligation</x:v>
      </x:c>
      <x:c r="H1826" s="48" t="str">
        <x:v>Employer</x:v>
      </x:c>
      <x:c r="I1826" s="48" t="n">
        <x:v>0.88</x:v>
      </x:c>
      <x:c r="J1826" s="48" t="n">
        <x:v>0.92</x:v>
      </x:c>
      <x:c r="K1826" s="48" t="str">
        <x:v>No</x:v>
      </x:c>
      <x:c r="L1826" s="48" t="str">
        <x:v>PDF text</x:v>
      </x:c>
    </x:row>
    <x:row r="1827">
      <x:c r="A1827" s="48" t="str">
        <x:v>UNI-1826</x:v>
      </x:c>
      <x:c r="B1827" s="48" t="str">
        <x:v>YELLOW</x:v>
      </x:c>
      <x:c r="C1827" s="48" t="str">
        <x:v>English</x:v>
      </x:c>
      <x:c r="D1827" s="48" t="n">
        <x:v>62</x:v>
      </x:c>
      <x:c r="E1827" s="48" t="str"/>
      <x:c r="F1827" s="48" t="str">
        <x:v>When the Taking-Over Certificate has been issued for the Works, and the Works have passed all specified tests (including the Tests after Completion, if any), the first half of the Retention Money shall be certified by the Engineer for payment to the Contractor.</x:v>
      </x:c>
      <x:c r="G1827" s="48" t="str">
        <x:v>Obligation</x:v>
      </x:c>
      <x:c r="H1827" s="48" t="str">
        <x:v>Contractor</x:v>
      </x:c>
      <x:c r="I1827" s="48" t="n">
        <x:v>0.88</x:v>
      </x:c>
      <x:c r="J1827" s="48" t="n">
        <x:v>0.68</x:v>
      </x:c>
      <x:c r="K1827" s="48" t="str">
        <x:v>Yes</x:v>
      </x:c>
      <x:c r="L1827" s="48" t="str">
        <x:v>PDF text</x:v>
      </x:c>
    </x:row>
    <x:row r="1828">
      <x:c r="A1828" s="48" t="str">
        <x:v>UNI-1827</x:v>
      </x:c>
      <x:c r="B1828" s="48" t="str">
        <x:v>YELLOW</x:v>
      </x:c>
      <x:c r="C1828" s="48" t="str">
        <x:v>English</x:v>
      </x:c>
      <x:c r="D1828" s="48" t="n">
        <x:v>62</x:v>
      </x:c>
      <x:c r="E1828" s="48" t="str"/>
      <x:c r="F1828" s="48" t="str">
        <x:v>If a Taking-Over Certificate is issued for a Section, the relevant percentage of the first half of the Retention Money shall be certified and paid when the Section passes all tests.</x:v>
      </x:c>
      <x:c r="G1828" s="48" t="str">
        <x:v>Obligation</x:v>
      </x:c>
      <x:c r="H1828" s="48" t="str">
        <x:v>Shared</x:v>
      </x:c>
      <x:c r="I1828" s="48" t="n">
        <x:v>0.88</x:v>
      </x:c>
      <x:c r="J1828" s="48" t="n">
        <x:v>0.4</x:v>
      </x:c>
      <x:c r="K1828" s="48" t="str">
        <x:v>Yes</x:v>
      </x:c>
      <x:c r="L1828" s="48" t="str">
        <x:v>PDF text</x:v>
      </x:c>
    </x:row>
    <x:row r="1829">
      <x:c r="A1829" s="48" t="str">
        <x:v>UNI-1828</x:v>
      </x:c>
      <x:c r="B1829" s="48" t="str">
        <x:v>YELLOW</x:v>
      </x:c>
      <x:c r="C1829" s="48" t="str">
        <x:v>English</x:v>
      </x:c>
      <x:c r="D1829" s="48" t="n">
        <x:v>62</x:v>
      </x:c>
      <x:c r="E1829" s="48" t="str"/>
      <x:c r="F1829" s="48" t="str">
        <x:v>If a Taking-Over Certificate was issued for a Section, the relevant percentage of the second half of the Retention Money shall be certified and paid promptly after the expiry date of the Defects Notification Period for the Section.</x:v>
      </x:c>
      <x:c r="G1829" s="48" t="str">
        <x:v>Obligation</x:v>
      </x:c>
      <x:c r="H1829" s="48" t="str">
        <x:v>Shared</x:v>
      </x:c>
      <x:c r="I1829" s="48" t="n">
        <x:v>0.88</x:v>
      </x:c>
      <x:c r="J1829" s="48" t="n">
        <x:v>0.4</x:v>
      </x:c>
      <x:c r="K1829" s="48" t="str">
        <x:v>Yes</x:v>
      </x:c>
      <x:c r="L1829" s="48" t="str">
        <x:v>PDF text</x:v>
      </x:c>
    </x:row>
    <x:row r="1830">
      <x:c r="A1830" s="48" t="str">
        <x:v>UNI-1829</x:v>
      </x:c>
      <x:c r="B1830" s="48" t="str">
        <x:v>YELLOW</x:v>
      </x:c>
      <x:c r="C1830" s="48" t="str">
        <x:v>English</x:v>
      </x:c>
      <x:c r="D1830" s="48" t="n">
        <x:v>62</x:v>
      </x:c>
      <x:c r="E1830" s="48" t="str"/>
      <x:c r="F1830" s="48" t="str">
        <x:v>However, if any work remains to be executed under Clause 11 [Defects Liability] or Clause 12 [Tests after Completion], the Engineer shall be entitled to withhold certification of the estimated cost of this work until it has been executed.</x:v>
      </x:c>
      <x:c r="G1830" s="48" t="str">
        <x:v>Risk</x:v>
      </x:c>
      <x:c r="H1830" s="48" t="str">
        <x:v>Shared</x:v>
      </x:c>
      <x:c r="I1830" s="48" t="n">
        <x:v>0.78</x:v>
      </x:c>
      <x:c r="J1830" s="48" t="n">
        <x:v>0.4</x:v>
      </x:c>
      <x:c r="K1830" s="48" t="str">
        <x:v>Yes</x:v>
      </x:c>
      <x:c r="L1830" s="48" t="str">
        <x:v>PDF text</x:v>
      </x:c>
    </x:row>
    <x:row r="1831">
      <x:c r="A1831" s="48" t="str">
        <x:v>UNI-1830</x:v>
      </x:c>
      <x:c r="B1831" s="48" t="str">
        <x:v>YELLOW</x:v>
      </x:c>
      <x:c r="C1831" s="48" t="str">
        <x:v>English</x:v>
      </x:c>
      <x:c r="D1831" s="48" t="n">
        <x:v>62</x:v>
      </x:c>
      <x:c r="E1831" s="48" t="str"/>
      <x:c r="F1831" s="48" t="str">
        <x:v>The relevant percentage for each Section shall be the percentage value of the Section as stated in the Appendix to Tender.</x:v>
      </x:c>
      <x:c r="G1831" s="48" t="str">
        <x:v>Obligation</x:v>
      </x:c>
      <x:c r="H1831" s="48" t="str">
        <x:v>Shared</x:v>
      </x:c>
      <x:c r="I1831" s="48" t="n">
        <x:v>0.88</x:v>
      </x:c>
      <x:c r="J1831" s="48" t="n">
        <x:v>0.4</x:v>
      </x:c>
      <x:c r="K1831" s="48" t="str">
        <x:v>Yes</x:v>
      </x:c>
      <x:c r="L1831" s="48" t="str">
        <x:v>PDF text</x:v>
      </x:c>
    </x:row>
    <x:row r="1832">
      <x:c r="A1832" s="48" t="str">
        <x:v>UNI-1831</x:v>
      </x:c>
      <x:c r="B1832" s="48" t="str">
        <x:v>YELLOW</x:v>
      </x:c>
      <x:c r="C1832" s="48" t="str">
        <x:v>English</x:v>
      </x:c>
      <x:c r="D1832" s="48" t="n">
        <x:v>62</x:v>
      </x:c>
      <x:c r="E1832" s="48" t="str"/>
      <x:c r="F1832" s="48" t="str">
        <x:v>If the percentage value of a Section is not stated in the Appendix to Tender, no percentage of either half of the Retention Money shall be released under this Sub-Clause in respect of such Section.</x:v>
      </x:c>
      <x:c r="G1832" s="48" t="str">
        <x:v>Obligation</x:v>
      </x:c>
      <x:c r="H1832" s="48" t="str">
        <x:v>Shared</x:v>
      </x:c>
      <x:c r="I1832" s="48" t="n">
        <x:v>0.88</x:v>
      </x:c>
      <x:c r="J1832" s="48" t="n">
        <x:v>0.4</x:v>
      </x:c>
      <x:c r="K1832" s="48" t="str">
        <x:v>Yes</x:v>
      </x:c>
      <x:c r="L1832" s="48" t="str">
        <x:v>PDF text</x:v>
      </x:c>
    </x:row>
    <x:row r="1833">
      <x:c r="A1833" s="48" t="str">
        <x:v>UNI-1832</x:v>
      </x:c>
      <x:c r="B1833" s="48" t="str">
        <x:v>YELLOW</x:v>
      </x:c>
      <x:c r="C1833" s="48" t="str">
        <x:v>English</x:v>
      </x:c>
      <x:c r="D1833" s="48" t="n">
        <x:v>62</x:v>
      </x:c>
      <x:c r="E1833" s="48" t="str"/>
      <x:c r="F1833" s="48" t="str">
        <x:v>Within 56 days after receiving the Performance Certificate, the Contractor shall submit, to the Engineer, six copies of a draft final statement with supporting documents showing in detail in a form approved by the Engineer:</x:v>
      </x:c>
      <x:c r="G1833" s="48" t="str">
        <x:v>Obligation</x:v>
      </x:c>
      <x:c r="H1833" s="48" t="str">
        <x:v>Contractor</x:v>
      </x:c>
      <x:c r="I1833" s="48" t="n">
        <x:v>0.88</x:v>
      </x:c>
      <x:c r="J1833" s="48" t="n">
        <x:v>0.92</x:v>
      </x:c>
      <x:c r="K1833" s="48" t="str">
        <x:v>No</x:v>
      </x:c>
      <x:c r="L1833" s="48" t="str">
        <x:v>PDF text</x:v>
      </x:c>
    </x:row>
    <x:row r="1834">
      <x:c r="A1834" s="48" t="str">
        <x:v>UNI-1833</x:v>
      </x:c>
      <x:c r="B1834" s="48" t="str">
        <x:v>YELLOW</x:v>
      </x:c>
      <x:c r="C1834" s="48" t="str">
        <x:v>English</x:v>
      </x:c>
      <x:c r="D1834" s="48" t="n">
        <x:v>63</x:v>
      </x:c>
      <x:c r="E1834" s="48" t="str"/>
      <x:c r="F1834" s="48" t="str">
        <x:v>(a) the value of all work done in accordance with the Contract, and (b) any further sums which the Contractor considers to be due to him under the Contract or otherwise.</x:v>
      </x:c>
      <x:c r="G1834" s="48" t="str">
        <x:v>Obligation</x:v>
      </x:c>
      <x:c r="H1834" s="48" t="str">
        <x:v>Contractor</x:v>
      </x:c>
      <x:c r="I1834" s="48" t="n">
        <x:v>0.45</x:v>
      </x:c>
      <x:c r="J1834" s="48" t="n">
        <x:v>0.68</x:v>
      </x:c>
      <x:c r="K1834" s="48" t="str">
        <x:v>Yes</x:v>
      </x:c>
      <x:c r="L1834" s="48" t="str">
        <x:v>PDF text</x:v>
      </x:c>
    </x:row>
    <x:row r="1835">
      <x:c r="A1835" s="48" t="str">
        <x:v>UNI-1834</x:v>
      </x:c>
      <x:c r="B1835" s="48" t="str">
        <x:v>YELLOW</x:v>
      </x:c>
      <x:c r="C1835" s="48" t="str">
        <x:v>English</x:v>
      </x:c>
      <x:c r="D1835" s="48" t="n">
        <x:v>63</x:v>
      </x:c>
      <x:c r="E1835" s="48" t="str"/>
      <x:c r="F1835" s="48" t="str">
        <x:v>Thereafter, if the dispute is finally resolved under Sub-Clause 20.4 [Obtaining Dispute Adjudication Board's Decision] or Sub-Clause 20.5 [Amicable Settlement], the Contractor shall then prepare and submit to the Employer (with a copy to the Engineer) a Final Statement.</x:v>
      </x:c>
      <x:c r="G1835" s="48" t="str">
        <x:v>Obligation</x:v>
      </x:c>
      <x:c r="H1835" s="48" t="str">
        <x:v>Contractor</x:v>
      </x:c>
      <x:c r="I1835" s="48" t="n">
        <x:v>0.88</x:v>
      </x:c>
      <x:c r="J1835" s="48" t="n">
        <x:v>0.92</x:v>
      </x:c>
      <x:c r="K1835" s="48" t="str">
        <x:v>No</x:v>
      </x:c>
      <x:c r="L1835" s="48" t="str">
        <x:v>PDF text</x:v>
      </x:c>
    </x:row>
    <x:row r="1836">
      <x:c r="A1836" s="48" t="str">
        <x:v>UNI-1835</x:v>
      </x:c>
      <x:c r="B1836" s="48" t="str">
        <x:v>YELLOW</x:v>
      </x:c>
      <x:c r="C1836" s="48" t="str">
        <x:v>English</x:v>
      </x:c>
      <x:c r="D1836" s="48" t="n">
        <x:v>63</x:v>
      </x:c>
      <x:c r="E1836" s="48" t="str"/>
      <x:c r="F1836" s="48" t="str">
        <x:v>When submitting the Final Statement, the Contractor shall submit a written discharge which confirms that the total of the Final Statement represents full and final settlement of all moneys due to the Contractor under or in connection with the Contract.</x:v>
      </x:c>
      <x:c r="G1836" s="48" t="str">
        <x:v>Obligation</x:v>
      </x:c>
      <x:c r="H1836" s="48" t="str">
        <x:v>Contractor</x:v>
      </x:c>
      <x:c r="I1836" s="48" t="n">
        <x:v>0.88</x:v>
      </x:c>
      <x:c r="J1836" s="48" t="n">
        <x:v>0.92</x:v>
      </x:c>
      <x:c r="K1836" s="48" t="str">
        <x:v>No</x:v>
      </x:c>
      <x:c r="L1836" s="48" t="str">
        <x:v>PDF text</x:v>
      </x:c>
    </x:row>
    <x:row r="1837">
      <x:c r="A1837" s="48" t="str">
        <x:v>UNI-1836</x:v>
      </x:c>
      <x:c r="B1837" s="48" t="str">
        <x:v>YELLOW</x:v>
      </x:c>
      <x:c r="C1837" s="48" t="str">
        <x:v>English</x:v>
      </x:c>
      <x:c r="D1837" s="48" t="n">
        <x:v>63</x:v>
      </x:c>
      <x:c r="E1837" s="48" t="str"/>
      <x:c r="F1837" s="48" t="str">
        <x:v>This discharge may state that it becomes effective when the Contractor has received the Performance Security and the out-standing balance of this total in which event the discharge will be effective on such date.</x:v>
      </x:c>
      <x:c r="G1837" s="48" t="str">
        <x:v>Right</x:v>
      </x:c>
      <x:c r="H1837" s="48" t="str">
        <x:v>Contractor</x:v>
      </x:c>
      <x:c r="I1837" s="48" t="n">
        <x:v>0.78</x:v>
      </x:c>
      <x:c r="J1837" s="48" t="n">
        <x:v>0.68</x:v>
      </x:c>
      <x:c r="K1837" s="48" t="str">
        <x:v>Yes</x:v>
      </x:c>
      <x:c r="L1837" s="48" t="str">
        <x:v>PDF text</x:v>
      </x:c>
    </x:row>
    <x:row r="1838">
      <x:c r="A1838" s="48" t="str">
        <x:v>UNI-1837</x:v>
      </x:c>
      <x:c r="B1838" s="48" t="str">
        <x:v>YELLOW</x:v>
      </x:c>
      <x:c r="C1838" s="48" t="str">
        <x:v>English</x:v>
      </x:c>
      <x:c r="D1838" s="48" t="n">
        <x:v>63</x:v>
      </x:c>
      <x:c r="E1838" s="48" t="str"/>
      <x:c r="F1838" s="48" t="str">
        <x:v>Within 28 days after receiving the Final Statement and written discharge in accordance with Sub-Clause 14.11 [Application for Final Payment Certificate] and Sub-Clause 14.12 [Discharge], the Engineer shall issue, to the Employer, the Final Payment Certificate which shall state: (a) the amount which is finally due, and (b) after giving credit to the Employer for all amounts previously paid by the</x:v>
      </x:c>
      <x:c r="G1838" s="48" t="str">
        <x:v>Obligation</x:v>
      </x:c>
      <x:c r="H1838" s="48" t="str">
        <x:v>Employer</x:v>
      </x:c>
      <x:c r="I1838" s="48" t="n">
        <x:v>0.88</x:v>
      </x:c>
      <x:c r="J1838" s="48" t="n">
        <x:v>0.68</x:v>
      </x:c>
      <x:c r="K1838" s="48" t="str">
        <x:v>Yes</x:v>
      </x:c>
      <x:c r="L1838" s="48" t="str">
        <x:v>PDF text</x:v>
      </x:c>
    </x:row>
    <x:row r="1839">
      <x:c r="A1839" s="48" t="str">
        <x:v>UNI-1838</x:v>
      </x:c>
      <x:c r="B1839" s="48" t="str">
        <x:v>YELLOW</x:v>
      </x:c>
      <x:c r="C1839" s="48" t="str">
        <x:v>English</x:v>
      </x:c>
      <x:c r="D1839" s="48" t="n">
        <x:v>63</x:v>
      </x:c>
      <x:c r="E1839" s="48" t="str"/>
      <x:c r="F1839" s="48" t="str">
        <x:v>If the Contractor has not applied for a Final Payment Certificate in accordance with Sub-Clause 14.11 [Application for Final Payment Certificate] and Sub-Clause</x:v>
      </x:c>
      <x:c r="G1839" s="48" t="str">
        <x:v>Obligation</x:v>
      </x:c>
      <x:c r="H1839" s="48" t="str">
        <x:v>Contractor</x:v>
      </x:c>
      <x:c r="I1839" s="48" t="n">
        <x:v>0.55</x:v>
      </x:c>
      <x:c r="J1839" s="48" t="n">
        <x:v>0.68</x:v>
      </x:c>
      <x:c r="K1839" s="48" t="str">
        <x:v>Yes</x:v>
      </x:c>
      <x:c r="L1839" s="48" t="str">
        <x:v>PDF text</x:v>
      </x:c>
    </x:row>
    <x:row r="1840">
      <x:c r="A1840" s="48" t="str">
        <x:v>UNI-1839</x:v>
      </x:c>
      <x:c r="B1840" s="48" t="str">
        <x:v>YELLOW</x:v>
      </x:c>
      <x:c r="C1840" s="48" t="str">
        <x:v>English</x:v>
      </x:c>
      <x:c r="D1840" s="48" t="n">
        <x:v>63</x:v>
      </x:c>
      <x:c r="E1840" s="48" t="str">
        <x:v>14.12</x:v>
      </x:c>
      <x:c r="F1840" s="48" t="str">
        <x:v>14.12 [Discharge], the Engineer shall request the Contractor to do so. If the</x:v>
      </x:c>
      <x:c r="G1840" s="48" t="str">
        <x:v>Obligation</x:v>
      </x:c>
      <x:c r="H1840" s="48" t="str">
        <x:v>Contractor</x:v>
      </x:c>
      <x:c r="I1840" s="48" t="n">
        <x:v>0.88</x:v>
      </x:c>
      <x:c r="J1840" s="48" t="n">
        <x:v>0.68</x:v>
      </x:c>
      <x:c r="K1840" s="48" t="str">
        <x:v>Yes</x:v>
      </x:c>
      <x:c r="L1840" s="48" t="str">
        <x:v>PDF text</x:v>
      </x:c>
    </x:row>
    <x:row r="1841">
      <x:c r="A1841" s="48" t="str">
        <x:v>UNI-1840</x:v>
      </x:c>
      <x:c r="B1841" s="48" t="str">
        <x:v>YELLOW</x:v>
      </x:c>
      <x:c r="C1841" s="48" t="str">
        <x:v>English</x:v>
      </x:c>
      <x:c r="D1841" s="48" t="n">
        <x:v>63</x:v>
      </x:c>
      <x:c r="E1841" s="48" t="str"/>
      <x:c r="F1841" s="48" t="str">
        <x:v>Contractor fails to submit an application within a period of 28 days, the Engineer shall issue the Final Payment Certificate for such amount as he fairly determines to be due.</x:v>
      </x:c>
      <x:c r="G1841" s="48" t="str">
        <x:v>Obligation</x:v>
      </x:c>
      <x:c r="H1841" s="48" t="str">
        <x:v>Contractor</x:v>
      </x:c>
      <x:c r="I1841" s="48" t="n">
        <x:v>0.88</x:v>
      </x:c>
      <x:c r="J1841" s="48" t="n">
        <x:v>0.68</x:v>
      </x:c>
      <x:c r="K1841" s="48" t="str">
        <x:v>Yes</x:v>
      </x:c>
      <x:c r="L1841" s="48" t="str">
        <x:v>PDF text</x:v>
      </x:c>
    </x:row>
    <x:row r="1842">
      <x:c r="A1842" s="48" t="str">
        <x:v>UNI-1841</x:v>
      </x:c>
      <x:c r="B1842" s="48" t="str">
        <x:v>YELLOW</x:v>
      </x:c>
      <x:c r="C1842" s="48" t="str">
        <x:v>English</x:v>
      </x:c>
      <x:c r="D1842" s="48" t="n">
        <x:v>64</x:v>
      </x:c>
      <x:c r="E1842" s="48" t="str"/>
      <x:c r="F1842" s="48" t="str">
        <x:v>However, this Sub-Clause shall not limit the Employer's liability under his indemnification obligations, or the Employer's liability in any case of fraud, deliberate default or reckless misconduct by the Employer.</x:v>
      </x:c>
      <x:c r="G1842" s="48" t="str">
        <x:v>Risk</x:v>
      </x:c>
      <x:c r="H1842" s="48" t="str">
        <x:v>Employer</x:v>
      </x:c>
      <x:c r="I1842" s="48" t="n">
        <x:v>0.78</x:v>
      </x:c>
      <x:c r="J1842" s="48" t="n">
        <x:v>0.68</x:v>
      </x:c>
      <x:c r="K1842" s="48" t="str">
        <x:v>Yes</x:v>
      </x:c>
      <x:c r="L1842" s="48" t="str">
        <x:v>PDF text</x:v>
      </x:c>
    </x:row>
    <x:row r="1843">
      <x:c r="A1843" s="48" t="str">
        <x:v>UNI-1842</x:v>
      </x:c>
      <x:c r="B1843" s="48" t="str">
        <x:v>YELLOW</x:v>
      </x:c>
      <x:c r="C1843" s="48" t="str">
        <x:v>English</x:v>
      </x:c>
      <x:c r="D1843" s="48" t="n">
        <x:v>64</x:v>
      </x:c>
      <x:c r="E1843" s="48" t="str"/>
      <x:c r="F1843" s="48" t="str">
        <x:v>The Contract Price shall be paid in the currency or currencies named in the Appendix to Tender.</x:v>
      </x:c>
      <x:c r="G1843" s="48" t="str">
        <x:v>Obligation</x:v>
      </x:c>
      <x:c r="H1843" s="48" t="str">
        <x:v>Shared</x:v>
      </x:c>
      <x:c r="I1843" s="48" t="n">
        <x:v>0.88</x:v>
      </x:c>
      <x:c r="J1843" s="48" t="n">
        <x:v>0.4</x:v>
      </x:c>
      <x:c r="K1843" s="48" t="str">
        <x:v>Yes</x:v>
      </x:c>
      <x:c r="L1843" s="48" t="str">
        <x:v>PDF text</x:v>
      </x:c>
    </x:row>
    <x:row r="1844">
      <x:c r="A1844" s="48" t="str">
        <x:v>UNI-1843</x:v>
      </x:c>
      <x:c r="B1844" s="48" t="str">
        <x:v>YELLOW</x:v>
      </x:c>
      <x:c r="C1844" s="48" t="str">
        <x:v>English</x:v>
      </x:c>
      <x:c r="D1844" s="48" t="n">
        <x:v>64</x:v>
      </x:c>
      <x:c r="E1844" s="48" t="str"/>
      <x:c r="F1844" s="48" t="str">
        <x:v>The Employer shall be entitled to terminate the Contract if the Contractor: (a) fails to comply with Sub-Clause 4.2 [Performance Security] or with a notice under Sub-Clause 15.1 [Notice to Correct], (b) abandons the Works or otherwise plainly demonstrates the intention not to continue performance of his obligations under the Contract, (c) without reasonable excuse fails: (i) to proceed with the Works in accordance with Clause 8 [Commencement, Delays and Suspension], or (ii) to comply with a notice issued under Sub-Clause 7.5 [Rejection] or SubClause 7.6 [Remedial Work], within 28 days after receiving it,</x:v>
      </x:c>
      <x:c r="G1844" s="48" t="str">
        <x:v>Obligation</x:v>
      </x:c>
      <x:c r="H1844" s="48" t="str">
        <x:v>Employer</x:v>
      </x:c>
      <x:c r="I1844" s="48" t="n">
        <x:v>0.88</x:v>
      </x:c>
      <x:c r="J1844" s="48" t="n">
        <x:v>0.92</x:v>
      </x:c>
      <x:c r="K1844" s="48" t="str">
        <x:v>No</x:v>
      </x:c>
      <x:c r="L1844" s="48" t="str">
        <x:v>PDF text</x:v>
      </x:c>
    </x:row>
    <x:row r="1845">
      <x:c r="A1845" s="48" t="str">
        <x:v>UNI-1844</x:v>
      </x:c>
      <x:c r="B1845" s="48" t="str">
        <x:v>YELLOW</x:v>
      </x:c>
      <x:c r="C1845" s="48" t="str">
        <x:v>English</x:v>
      </x:c>
      <x:c r="D1845" s="48" t="n">
        <x:v>65</x:v>
      </x:c>
      <x:c r="E1845" s="48" t="str"/>
      <x:c r="F1845" s="48" t="str">
        <x:v>(d) subcontracts the whole of the Works or assigns the Contract without the required agreement, (e) becomes bankrupt or insolvent, goes into liquidation, has a receiving or administration order made against him, compounds with his creditors, or carries on business under a receiver, trustee or manager for the benefit of his creditors, or if any act is done or event occurs which (under applicable Laws) has a similar effect to any of these acts or events, or (f) gives or offers to give (directly or indirectly) to any person any bribe, gift, gratuity, commission or other thing of value, as an inducement or reward: (i) for doing or forbearing to do any action in relation to the Contract, or (ii) for showing or forbearing to show favour or disfavour to any person in relation to the Contract, or if any of the Contractor's Personnel, agents or Subcontractors gives or offers to give (directly or indirectly) to any person any such inducement or reward as is described in this sub-paragraph (f).</x:v>
      </x:c>
      <x:c r="G1845" s="48" t="str">
        <x:v>Obligation</x:v>
      </x:c>
      <x:c r="H1845" s="48" t="str">
        <x:v>Contractor</x:v>
      </x:c>
      <x:c r="I1845" s="48" t="n">
        <x:v>0.45</x:v>
      </x:c>
      <x:c r="J1845" s="48" t="n">
        <x:v>0.68</x:v>
      </x:c>
      <x:c r="K1845" s="48" t="str">
        <x:v>Yes</x:v>
      </x:c>
      <x:c r="L1845" s="48" t="str">
        <x:v>PDF text</x:v>
      </x:c>
    </x:row>
    <x:row r="1846">
      <x:c r="A1846" s="48" t="str">
        <x:v>UNI-1845</x:v>
      </x:c>
      <x:c r="B1846" s="48" t="str">
        <x:v>YELLOW</x:v>
      </x:c>
      <x:c r="C1846" s="48" t="str">
        <x:v>English</x:v>
      </x:c>
      <x:c r="D1846" s="48" t="n">
        <x:v>65</x:v>
      </x:c>
      <x:c r="E1846" s="48" t="str"/>
      <x:c r="F1846" s="48" t="str">
        <x:v>However, lawful inducements and rewards to Contractor's Personnel shall not entitle termination.</x:v>
      </x:c>
      <x:c r="G1846" s="48" t="str">
        <x:v>Obligation</x:v>
      </x:c>
      <x:c r="H1846" s="48" t="str">
        <x:v>Contractor</x:v>
      </x:c>
      <x:c r="I1846" s="48" t="n">
        <x:v>0.88</x:v>
      </x:c>
      <x:c r="J1846" s="48" t="n">
        <x:v>0.68</x:v>
      </x:c>
      <x:c r="K1846" s="48" t="str">
        <x:v>Yes</x:v>
      </x:c>
      <x:c r="L1846" s="48" t="str">
        <x:v>PDF text</x:v>
      </x:c>
    </x:row>
    <x:row r="1847">
      <x:c r="A1847" s="48" t="str">
        <x:v>UNI-1846</x:v>
      </x:c>
      <x:c r="B1847" s="48" t="str">
        <x:v>YELLOW</x:v>
      </x:c>
      <x:c r="C1847" s="48" t="str">
        <x:v>English</x:v>
      </x:c>
      <x:c r="D1847" s="48" t="n">
        <x:v>65</x:v>
      </x:c>
      <x:c r="E1847" s="48" t="str"/>
      <x:c r="F1847" s="48" t="str">
        <x:v>The Employer's election to terminate the Contract shall not prejudice any other rights of the Employer, under the Contract or otherwise.</x:v>
      </x:c>
      <x:c r="G1847" s="48" t="str">
        <x:v>Obligation</x:v>
      </x:c>
      <x:c r="H1847" s="48" t="str">
        <x:v>Employer</x:v>
      </x:c>
      <x:c r="I1847" s="48" t="n">
        <x:v>0.88</x:v>
      </x:c>
      <x:c r="J1847" s="48" t="n">
        <x:v>0.68</x:v>
      </x:c>
      <x:c r="K1847" s="48" t="str">
        <x:v>Yes</x:v>
      </x:c>
      <x:c r="L1847" s="48" t="str">
        <x:v>PDF text</x:v>
      </x:c>
    </x:row>
    <x:row r="1848">
      <x:c r="A1848" s="48" t="str">
        <x:v>UNI-1847</x:v>
      </x:c>
      <x:c r="B1848" s="48" t="str">
        <x:v>YELLOW</x:v>
      </x:c>
      <x:c r="C1848" s="48" t="str">
        <x:v>English</x:v>
      </x:c>
      <x:c r="D1848" s="48" t="n">
        <x:v>65</x:v>
      </x:c>
      <x:c r="E1848" s="48" t="str"/>
      <x:c r="F1848" s="48" t="str">
        <x:v>Contractor's Documents, and other design documents made by or for him, to the</x:v>
      </x:c>
      <x:c r="G1848" s="48" t="str">
        <x:v>Obligation</x:v>
      </x:c>
      <x:c r="H1848" s="48" t="str">
        <x:v>Contractor</x:v>
      </x:c>
      <x:c r="I1848" s="48" t="n">
        <x:v>0.45</x:v>
      </x:c>
      <x:c r="J1848" s="48" t="n">
        <x:v>0.68</x:v>
      </x:c>
      <x:c r="K1848" s="48" t="str">
        <x:v>Yes</x:v>
      </x:c>
      <x:c r="L1848" s="48" t="str">
        <x:v>PDF text</x:v>
      </x:c>
    </x:row>
    <x:row r="1849">
      <x:c r="A1849" s="48" t="str">
        <x:v>UNI-1848</x:v>
      </x:c>
      <x:c r="B1849" s="48" t="str">
        <x:v>YELLOW</x:v>
      </x:c>
      <x:c r="C1849" s="48" t="str">
        <x:v>English</x:v>
      </x:c>
      <x:c r="D1849" s="48" t="n">
        <x:v>65</x:v>
      </x:c>
      <x:c r="E1849" s="48" t="str"/>
      <x:c r="F1849" s="48" t="str">
        <x:v>Contractor's Documents and other design documents made by or on behalf of the</x:v>
      </x:c>
      <x:c r="G1849" s="48" t="str">
        <x:v>Obligation</x:v>
      </x:c>
      <x:c r="H1849" s="48" t="str">
        <x:v>Contractor</x:v>
      </x:c>
      <x:c r="I1849" s="48" t="n">
        <x:v>0.45</x:v>
      </x:c>
      <x:c r="J1849" s="48" t="n">
        <x:v>0.68</x:v>
      </x:c>
      <x:c r="K1849" s="48" t="str">
        <x:v>Yes</x:v>
      </x:c>
      <x:c r="L1849" s="48" t="str">
        <x:v>PDF text</x:v>
      </x:c>
    </x:row>
    <x:row r="1850">
      <x:c r="A1850" s="48" t="str">
        <x:v>UNI-1849</x:v>
      </x:c>
      <x:c r="B1850" s="48" t="str">
        <x:v>YELLOW</x:v>
      </x:c>
      <x:c r="C1850" s="48" t="str">
        <x:v>English</x:v>
      </x:c>
      <x:c r="D1850" s="48" t="n">
        <x:v>65</x:v>
      </x:c>
      <x:c r="E1850" s="48" t="str"/>
      <x:c r="F1850" s="48" t="str">
        <x:v>The Employer shall then give notice that the Contractor's Equipment and Temporary</x:v>
      </x:c>
      <x:c r="G1850" s="48" t="str">
        <x:v>Obligation</x:v>
      </x:c>
      <x:c r="H1850" s="48" t="str">
        <x:v>Employer</x:v>
      </x:c>
      <x:c r="I1850" s="48" t="n">
        <x:v>0.88</x:v>
      </x:c>
      <x:c r="J1850" s="48" t="n">
        <x:v>0.92</x:v>
      </x:c>
      <x:c r="K1850" s="48" t="str">
        <x:v>No</x:v>
      </x:c>
      <x:c r="L1850" s="48" t="str">
        <x:v>PDF text</x:v>
      </x:c>
    </x:row>
    <x:row r="1851">
      <x:c r="A1851" s="48" t="str">
        <x:v>UNI-1850</x:v>
      </x:c>
      <x:c r="B1851" s="48" t="str">
        <x:v>YELLOW</x:v>
      </x:c>
      <x:c r="C1851" s="48" t="str">
        <x:v>English</x:v>
      </x:c>
      <x:c r="D1851" s="48" t="n">
        <x:v>65</x:v>
      </x:c>
      <x:c r="E1851" s="48" t="str"/>
      <x:c r="F1851" s="48" t="str">
        <x:v>Goods and Contractor's Documents, and any other sums due to the Contractor for</x:v>
      </x:c>
      <x:c r="G1851" s="48" t="str">
        <x:v>Obligation</x:v>
      </x:c>
      <x:c r="H1851" s="48" t="str">
        <x:v>Contractor</x:v>
      </x:c>
      <x:c r="I1851" s="48" t="n">
        <x:v>0.45</x:v>
      </x:c>
      <x:c r="J1851" s="48" t="n">
        <x:v>0.68</x:v>
      </x:c>
      <x:c r="K1851" s="48" t="str">
        <x:v>Yes</x:v>
      </x:c>
      <x:c r="L1851" s="48" t="str">
        <x:v>PDF text</x:v>
      </x:c>
    </x:row>
    <x:row r="1852">
      <x:c r="A1852" s="48" t="str">
        <x:v>UNI-1851</x:v>
      </x:c>
      <x:c r="B1852" s="48" t="str">
        <x:v>YELLOW</x:v>
      </x:c>
      <x:c r="C1852" s="48" t="str">
        <x:v>English</x:v>
      </x:c>
      <x:c r="D1852" s="48" t="n">
        <x:v>65</x:v>
      </x:c>
      <x:c r="E1852" s="48" t="str"/>
      <x:c r="F1852" s="48" t="str">
        <x:v>After a notice of termination under Sub-Clause 15.2 [Termination by Employer] has taken effect, the Employer may:</x:v>
      </x:c>
      <x:c r="G1852" s="48" t="str">
        <x:v>Obligation</x:v>
      </x:c>
      <x:c r="H1852" s="48" t="str">
        <x:v>Employer</x:v>
      </x:c>
      <x:c r="I1852" s="48" t="n">
        <x:v>0.55</x:v>
      </x:c>
      <x:c r="J1852" s="48" t="n">
        <x:v>0.68</x:v>
      </x:c>
      <x:c r="K1852" s="48" t="str">
        <x:v>Yes</x:v>
      </x:c>
      <x:c r="L1852" s="48" t="str">
        <x:v>PDF text</x:v>
      </x:c>
    </x:row>
    <x:row r="1853">
      <x:c r="A1853" s="48" t="str">
        <x:v>UNI-1852</x:v>
      </x:c>
      <x:c r="B1853" s="48" t="str">
        <x:v>YELLOW</x:v>
      </x:c>
      <x:c r="C1853" s="48" t="str">
        <x:v>English</x:v>
      </x:c>
      <x:c r="D1853" s="48" t="n">
        <x:v>66</x:v>
      </x:c>
      <x:c r="E1853" s="48" t="str"/>
      <x:c r="F1853" s="48" t="str">
        <x:v>to Termination 16.1</x:v>
      </x:c>
      <x:c r="G1853" s="48" t="str">
        <x:v>Obligation</x:v>
      </x:c>
      <x:c r="H1853" s="48" t="str">
        <x:v>Shared</x:v>
      </x:c>
      <x:c r="I1853" s="48" t="n">
        <x:v>0.55</x:v>
      </x:c>
      <x:c r="J1853" s="48" t="n">
        <x:v>0.4</x:v>
      </x:c>
      <x:c r="K1853" s="48" t="str">
        <x:v>Yes</x:v>
      </x:c>
      <x:c r="L1853" s="48" t="str">
        <x:v>PDF text</x:v>
      </x:c>
    </x:row>
    <x:row r="1854">
      <x:c r="A1854" s="48" t="str">
        <x:v>UNI-1853</x:v>
      </x:c>
      <x:c r="B1854" s="48" t="str">
        <x:v>YELLOW</x:v>
      </x:c>
      <x:c r="C1854" s="48" t="str">
        <x:v>English</x:v>
      </x:c>
      <x:c r="D1854" s="48" t="n">
        <x:v>66</x:v>
      </x:c>
      <x:c r="E1854" s="48" t="str"/>
      <x:c r="F1854" s="48" t="str">
        <x:v>to Suspend Work (a) proceed in accordance with Sub-Clause 2.5 [Employer's Claims], (b) withhold further payments to the Contractor until the costs of design, execution, completion and remedying of any defects, damages for delay in completion (if any), and all other costs incurred by the Employer, have been established, and/or (c) recover from the Contractor any losses and damages incurred by the Employer and any extra costs of completing the Works, after allowing for any sum due to the Contractor under Sub-Clause 15.3 [Valuation at Date of Termination].</x:v>
      </x:c>
      <x:c r="G1854" s="48" t="str">
        <x:v>Risk</x:v>
      </x:c>
      <x:c r="H1854" s="48" t="str">
        <x:v>Shared</x:v>
      </x:c>
      <x:c r="I1854" s="48" t="n">
        <x:v>0.78</x:v>
      </x:c>
      <x:c r="J1854" s="48" t="n">
        <x:v>0.6</x:v>
      </x:c>
      <x:c r="K1854" s="48" t="str">
        <x:v>Yes</x:v>
      </x:c>
      <x:c r="L1854" s="48" t="str">
        <x:v>PDF text</x:v>
      </x:c>
    </x:row>
    <x:row r="1855">
      <x:c r="A1855" s="48" t="str">
        <x:v>UNI-1854</x:v>
      </x:c>
      <x:c r="B1855" s="48" t="str">
        <x:v>YELLOW</x:v>
      </x:c>
      <x:c r="C1855" s="48" t="str">
        <x:v>English</x:v>
      </x:c>
      <x:c r="D1855" s="48" t="n">
        <x:v>66</x:v>
      </x:c>
      <x:c r="E1855" s="48" t="str"/>
      <x:c r="F1855" s="48" t="str">
        <x:v>Employer's convenience, by giving notice of such termination to the Contractor.</x:v>
      </x:c>
      <x:c r="G1855" s="48" t="str">
        <x:v>Obligation</x:v>
      </x:c>
      <x:c r="H1855" s="48" t="str">
        <x:v>Shared</x:v>
      </x:c>
      <x:c r="I1855" s="48" t="n">
        <x:v>0.55</x:v>
      </x:c>
      <x:c r="J1855" s="48" t="n">
        <x:v>0.6</x:v>
      </x:c>
      <x:c r="K1855" s="48" t="str">
        <x:v>Yes</x:v>
      </x:c>
      <x:c r="L1855" s="48" t="str">
        <x:v>PDF text</x:v>
      </x:c>
    </x:row>
    <x:row r="1856">
      <x:c r="A1856" s="48" t="str">
        <x:v>UNI-1855</x:v>
      </x:c>
      <x:c r="B1856" s="48" t="str">
        <x:v>YELLOW</x:v>
      </x:c>
      <x:c r="C1856" s="48" t="str">
        <x:v>English</x:v>
      </x:c>
      <x:c r="D1856" s="48" t="n">
        <x:v>66</x:v>
      </x:c>
      <x:c r="E1856" s="48" t="str"/>
      <x:c r="F1856" s="48" t="str">
        <x:v>The Employer shall not terminate the Contract under this Sub-Clause in order to</x:v>
      </x:c>
      <x:c r="G1856" s="48" t="str">
        <x:v>Obligation</x:v>
      </x:c>
      <x:c r="H1856" s="48" t="str">
        <x:v>Employer</x:v>
      </x:c>
      <x:c r="I1856" s="48" t="n">
        <x:v>0.88</x:v>
      </x:c>
      <x:c r="J1856" s="48" t="n">
        <x:v>0.92</x:v>
      </x:c>
      <x:c r="K1856" s="48" t="str">
        <x:v>No</x:v>
      </x:c>
      <x:c r="L1856" s="48" t="str">
        <x:v>PDF text</x:v>
      </x:c>
    </x:row>
    <x:row r="1857">
      <x:c r="A1857" s="48" t="str">
        <x:v>UNI-1856</x:v>
      </x:c>
      <x:c r="B1857" s="48" t="str">
        <x:v>YELLOW</x:v>
      </x:c>
      <x:c r="C1857" s="48" t="str">
        <x:v>English</x:v>
      </x:c>
      <x:c r="D1857" s="48" t="n">
        <x:v>66</x:v>
      </x:c>
      <x:c r="E1857" s="48" t="str"/>
      <x:c r="F1857" s="48" t="str">
        <x:v>execute the Works himself or to arrange for the Works to be executed by another contractor.</x:v>
      </x:c>
      <x:c r="G1857" s="48" t="str">
        <x:v>Obligation</x:v>
      </x:c>
      <x:c r="H1857" s="48" t="str">
        <x:v>Contractor</x:v>
      </x:c>
      <x:c r="I1857" s="48" t="n">
        <x:v>0.45</x:v>
      </x:c>
      <x:c r="J1857" s="48" t="n">
        <x:v>0.68</x:v>
      </x:c>
      <x:c r="K1857" s="48" t="str">
        <x:v>Yes</x:v>
      </x:c>
      <x:c r="L1857" s="48" t="str">
        <x:v>PDF text</x:v>
      </x:c>
    </x:row>
    <x:row r="1858">
      <x:c r="A1858" s="48" t="str">
        <x:v>UNI-1857</x:v>
      </x:c>
      <x:c r="B1858" s="48" t="str">
        <x:v>YELLOW</x:v>
      </x:c>
      <x:c r="C1858" s="48" t="str">
        <x:v>English</x:v>
      </x:c>
      <x:c r="D1858" s="48" t="n">
        <x:v>66</x:v>
      </x:c>
      <x:c r="E1858" s="48" t="str">
        <x:v>16.3</x:v>
      </x:c>
      <x:c r="F1858" s="48" t="str">
        <x:v>16.3 [Cessation of Work and Removal of Contractor's Equipment] and shall be</x:v>
      </x:c>
      <x:c r="G1858" s="48" t="str">
        <x:v>Obligation</x:v>
      </x:c>
      <x:c r="H1858" s="48" t="str">
        <x:v>Contractor</x:v>
      </x:c>
      <x:c r="I1858" s="48" t="n">
        <x:v>0.88</x:v>
      </x:c>
      <x:c r="J1858" s="48" t="n">
        <x:v>0.68</x:v>
      </x:c>
      <x:c r="K1858" s="48" t="str">
        <x:v>Yes</x:v>
      </x:c>
      <x:c r="L1858" s="48" t="str">
        <x:v>PDF text</x:v>
      </x:c>
    </x:row>
    <x:row r="1859">
      <x:c r="A1859" s="48" t="str">
        <x:v>UNI-1858</x:v>
      </x:c>
      <x:c r="B1859" s="48" t="str">
        <x:v>YELLOW</x:v>
      </x:c>
      <x:c r="C1859" s="48" t="str">
        <x:v>English</x:v>
      </x:c>
      <x:c r="D1859" s="48" t="n">
        <x:v>66</x:v>
      </x:c>
      <x:c r="E1859" s="48" t="str"/>
      <x:c r="F1859" s="48" t="str">
        <x:v>paid in accordance with Sub-Clause 19.6 [Optional Termination, Payment and Release].</x:v>
      </x:c>
      <x:c r="G1859" s="48" t="str">
        <x:v>Obligation</x:v>
      </x:c>
      <x:c r="H1859" s="48" t="str">
        <x:v>Shared</x:v>
      </x:c>
      <x:c r="I1859" s="48" t="n">
        <x:v>0.55</x:v>
      </x:c>
      <x:c r="J1859" s="48" t="n">
        <x:v>0.4</x:v>
      </x:c>
      <x:c r="K1859" s="48" t="str">
        <x:v>Yes</x:v>
      </x:c>
      <x:c r="L1859" s="48" t="str">
        <x:v>PDF text</x:v>
      </x:c>
    </x:row>
    <x:row r="1860">
      <x:c r="A1860" s="48" t="str">
        <x:v>UNI-1859</x:v>
      </x:c>
      <x:c r="B1860" s="48" t="str">
        <x:v>YELLOW</x:v>
      </x:c>
      <x:c r="C1860" s="48" t="str">
        <x:v>English</x:v>
      </x:c>
      <x:c r="D1860" s="48" t="n">
        <x:v>66</x:v>
      </x:c>
      <x:c r="E1860" s="48" t="str"/>
      <x:c r="F1860" s="48" t="str">
        <x:v>If the Engineer fails to certify in accordance with Sub-Clause 14.6 [Issue of Interim Payment Certificates] or the Employer fails to comply with Sub-Clause 2.4 [Employer's Financial Arrangements] or Sub-Clause 14.7 [Payment], the Contractor may, after giving not less than 21 days' notice to the Employer, suspend work (or reduce the rate of work) unless and until the Contractor has received the Payment</x:v>
      </x:c>
      <x:c r="G1860" s="48" t="str">
        <x:v>Obligation</x:v>
      </x:c>
      <x:c r="H1860" s="48" t="str">
        <x:v>Shared</x:v>
      </x:c>
      <x:c r="I1860" s="48" t="n">
        <x:v>0.55</x:v>
      </x:c>
      <x:c r="J1860" s="48" t="n">
        <x:v>0.6</x:v>
      </x:c>
      <x:c r="K1860" s="48" t="str">
        <x:v>Yes</x:v>
      </x:c>
      <x:c r="L1860" s="48" t="str">
        <x:v>PDF text</x:v>
      </x:c>
    </x:row>
    <x:row r="1861">
      <x:c r="A1861" s="48" t="str">
        <x:v>UNI-1860</x:v>
      </x:c>
      <x:c r="B1861" s="48" t="str">
        <x:v>YELLOW</x:v>
      </x:c>
      <x:c r="C1861" s="48" t="str">
        <x:v>English</x:v>
      </x:c>
      <x:c r="D1861" s="48" t="n">
        <x:v>66</x:v>
      </x:c>
      <x:c r="E1861" s="48" t="str"/>
      <x:c r="F1861" s="48" t="str">
        <x:v>Certificate, reasonable evidence or payment, as the case may be and as described</x:v>
      </x:c>
      <x:c r="G1861" s="48" t="str">
        <x:v>Right</x:v>
      </x:c>
      <x:c r="H1861" s="48" t="str">
        <x:v>Shared</x:v>
      </x:c>
      <x:c r="I1861" s="48" t="n">
        <x:v>0.78</x:v>
      </x:c>
      <x:c r="J1861" s="48" t="n">
        <x:v>0.4</x:v>
      </x:c>
      <x:c r="K1861" s="48" t="str">
        <x:v>Yes</x:v>
      </x:c>
      <x:c r="L1861" s="48" t="str">
        <x:v>PDF text</x:v>
      </x:c>
    </x:row>
    <x:row r="1862">
      <x:c r="A1862" s="48" t="str">
        <x:v>UNI-1861</x:v>
      </x:c>
      <x:c r="B1862" s="48" t="str">
        <x:v>YELLOW</x:v>
      </x:c>
      <x:c r="C1862" s="48" t="str">
        <x:v>English</x:v>
      </x:c>
      <x:c r="D1862" s="48" t="n">
        <x:v>66</x:v>
      </x:c>
      <x:c r="E1862" s="48" t="str"/>
      <x:c r="F1862" s="48" t="str">
        <x:v>in the notice.</x:v>
      </x:c>
      <x:c r="G1862" s="48" t="str">
        <x:v>Obligation</x:v>
      </x:c>
      <x:c r="H1862" s="48" t="str">
        <x:v>Shared</x:v>
      </x:c>
      <x:c r="I1862" s="48" t="n">
        <x:v>0.55</x:v>
      </x:c>
      <x:c r="J1862" s="48" t="n">
        <x:v>0.4</x:v>
      </x:c>
      <x:c r="K1862" s="48" t="str">
        <x:v>Yes</x:v>
      </x:c>
      <x:c r="L1862" s="48" t="str">
        <x:v>PDF text</x:v>
      </x:c>
    </x:row>
    <x:row r="1863">
      <x:c r="A1863" s="48" t="str">
        <x:v>UNI-1862</x:v>
      </x:c>
      <x:c r="B1863" s="48" t="str">
        <x:v>YELLOW</x:v>
      </x:c>
      <x:c r="C1863" s="48" t="str">
        <x:v>English</x:v>
      </x:c>
      <x:c r="D1863" s="48" t="n">
        <x:v>66</x:v>
      </x:c>
      <x:c r="E1863" s="48" t="str"/>
      <x:c r="F1863" s="48" t="str">
        <x:v>The Contractor's action shall not prejudice his entitlements to financing charges under Sub-Clause 14.8 [Delayed Payment] and to termination under Sub-Clause 16.2 [Termination by Contractor].</x:v>
      </x:c>
      <x:c r="G1863" s="48" t="str">
        <x:v>Obligation</x:v>
      </x:c>
      <x:c r="H1863" s="48" t="str">
        <x:v>Contractor</x:v>
      </x:c>
      <x:c r="I1863" s="48" t="n">
        <x:v>0.88</x:v>
      </x:c>
      <x:c r="J1863" s="48" t="n">
        <x:v>0.68</x:v>
      </x:c>
      <x:c r="K1863" s="48" t="str">
        <x:v>Yes</x:v>
      </x:c>
      <x:c r="L1863" s="48" t="str">
        <x:v>PDF text</x:v>
      </x:c>
    </x:row>
    <x:row r="1864">
      <x:c r="A1864" s="48" t="str">
        <x:v>UNI-1863</x:v>
      </x:c>
      <x:c r="B1864" s="48" t="str">
        <x:v>YELLOW</x:v>
      </x:c>
      <x:c r="C1864" s="48" t="str">
        <x:v>English</x:v>
      </x:c>
      <x:c r="D1864" s="48" t="n">
        <x:v>66</x:v>
      </x:c>
      <x:c r="E1864" s="48" t="str"/>
      <x:c r="F1864" s="48" t="str">
        <x:v>If the Contractor suffers delay and/or incurs Cost as a result of suspending work (or reducing the rate of work) in accordance with this Sub-Clause, the Contractor shall give notice to the Engineer and shall be entitled subject to Sub-Clause 20.1 [Contractor's Claims] to: (a) an extension of time for any such delay, if completion is or will be delayed, under Sub-Clause 8.4 [Extension of Time for Completion], and (b) payment of any such Cost plus reasonable profit, which shall be included in the Contract Price.</x:v>
      </x:c>
      <x:c r="G1864" s="48" t="str">
        <x:v>Risk</x:v>
      </x:c>
      <x:c r="H1864" s="48" t="str">
        <x:v>Contractor</x:v>
      </x:c>
      <x:c r="I1864" s="48" t="n">
        <x:v>0.78</x:v>
      </x:c>
      <x:c r="J1864" s="48" t="n">
        <x:v>0.92</x:v>
      </x:c>
      <x:c r="K1864" s="48" t="str">
        <x:v>No</x:v>
      </x:c>
      <x:c r="L1864" s="48" t="str">
        <x:v>PDF text</x:v>
      </x:c>
    </x:row>
    <x:row r="1865">
      <x:c r="A1865" s="48" t="str">
        <x:v>UNI-1864</x:v>
      </x:c>
      <x:c r="B1865" s="48" t="str">
        <x:v>YELLOW</x:v>
      </x:c>
      <x:c r="C1865" s="48" t="str">
        <x:v>English</x:v>
      </x:c>
      <x:c r="D1865" s="48" t="n">
        <x:v>67</x:v>
      </x:c>
      <x:c r="E1865" s="48" t="str"/>
      <x:c r="F1865" s="48" t="str">
        <x:v>The Contractor's election to terminate the Contract shall not prejudice any other rights of the Contractor, under the Contract or otherwise.</x:v>
      </x:c>
      <x:c r="G1865" s="48" t="str">
        <x:v>Obligation</x:v>
      </x:c>
      <x:c r="H1865" s="48" t="str">
        <x:v>Contractor</x:v>
      </x:c>
      <x:c r="I1865" s="48" t="n">
        <x:v>0.88</x:v>
      </x:c>
      <x:c r="J1865" s="48" t="n">
        <x:v>0.68</x:v>
      </x:c>
      <x:c r="K1865" s="48" t="str">
        <x:v>Yes</x:v>
      </x:c>
      <x:c r="L1865" s="48" t="str">
        <x:v>PDF text</x:v>
      </x:c>
    </x:row>
    <x:row r="1866">
      <x:c r="A1866" s="48" t="str">
        <x:v>UNI-1865</x:v>
      </x:c>
      <x:c r="B1866" s="48" t="str">
        <x:v>YELLOW</x:v>
      </x:c>
      <x:c r="C1866" s="48" t="str">
        <x:v>English</x:v>
      </x:c>
      <x:c r="D1866" s="48" t="n">
        <x:v>67</x:v>
      </x:c>
      <x:c r="E1866" s="48" t="str"/>
      <x:c r="F1866" s="48" t="str">
        <x:v>After a notice of termination under Sub-Clause 15.5 [Employer's Entitlement to Termination], Sub-Clause 16.2 [Termination by Contractor] or Sub-Clause 19.6 [Optional Termination, Payment and Release] has taken effect, the Contractor shall promptly: (a) cease all further work, except for such work as may have been instructed by the Engineer for the protection of life or property or for the safety of the Works, (b) hand over Contractor's Documents, Plant, Materials and other work, for which the Contractor has received payment, and (c) remove all other Goods from the Site, except as necessary for safety, and leave the Site.</x:v>
      </x:c>
      <x:c r="G1866" s="48" t="str">
        <x:v>Obligation</x:v>
      </x:c>
      <x:c r="H1866" s="48" t="str">
        <x:v>Contractor</x:v>
      </x:c>
      <x:c r="I1866" s="48" t="n">
        <x:v>0.88</x:v>
      </x:c>
      <x:c r="J1866" s="48" t="n">
        <x:v>0.92</x:v>
      </x:c>
      <x:c r="K1866" s="48" t="str">
        <x:v>No</x:v>
      </x:c>
      <x:c r="L1866" s="48" t="str">
        <x:v>PDF text</x:v>
      </x:c>
    </x:row>
    <x:row r="1867">
      <x:c r="A1867" s="48" t="str">
        <x:v>UNI-1866</x:v>
      </x:c>
      <x:c r="B1867" s="48" t="str">
        <x:v>YELLOW</x:v>
      </x:c>
      <x:c r="C1867" s="48" t="str">
        <x:v>English</x:v>
      </x:c>
      <x:c r="D1867" s="48" t="n">
        <x:v>67</x:v>
      </x:c>
      <x:c r="E1867" s="48" t="str"/>
      <x:c r="F1867" s="48" t="str">
        <x:v>After a notice of termination under Sub-Clause 16.2 [Termination by Contractor] has taken effect, the Employer shall promptly: (a) return the Performance Security to the Contractor, (b) pay the Contractor in accordance with Sub-Clause 19.6 [Optional Termination, Payment and Release], and (c) pay to the Contractor the amount of any loss of profit or other loss or damage sustained by the Contractor as a result of this termination.</x:v>
      </x:c>
      <x:c r="G1867" s="48" t="str">
        <x:v>Risk</x:v>
      </x:c>
      <x:c r="H1867" s="48" t="str">
        <x:v>Employer</x:v>
      </x:c>
      <x:c r="I1867" s="48" t="n">
        <x:v>0.78</x:v>
      </x:c>
      <x:c r="J1867" s="48" t="n">
        <x:v>0.92</x:v>
      </x:c>
      <x:c r="K1867" s="48" t="str">
        <x:v>No</x:v>
      </x:c>
      <x:c r="L1867" s="48" t="str">
        <x:v>PDF text</x:v>
      </x:c>
    </x:row>
    <x:row r="1868">
      <x:c r="A1868" s="48" t="str">
        <x:v>UNI-1867</x:v>
      </x:c>
      <x:c r="B1868" s="48" t="str">
        <x:v>YELLOW</x:v>
      </x:c>
      <x:c r="C1868" s="48" t="str">
        <x:v>English</x:v>
      </x:c>
      <x:c r="D1868" s="48" t="n">
        <x:v>68</x:v>
      </x:c>
      <x:c r="E1868" s="48" t="str"/>
      <x:c r="F1868" s="48" t="str">
        <x:v>Contractor's Care of the</x:v>
      </x:c>
      <x:c r="G1868" s="48" t="str">
        <x:v>Obligation</x:v>
      </x:c>
      <x:c r="H1868" s="48" t="str">
        <x:v>Contractor</x:v>
      </x:c>
      <x:c r="I1868" s="48" t="n">
        <x:v>0.45</x:v>
      </x:c>
      <x:c r="J1868" s="48" t="n">
        <x:v>0.68</x:v>
      </x:c>
      <x:c r="K1868" s="48" t="str">
        <x:v>Yes</x:v>
      </x:c>
      <x:c r="L1868" s="48" t="str">
        <x:v>PDF text</x:v>
      </x:c>
    </x:row>
    <x:row r="1869">
      <x:c r="A1869" s="48" t="str">
        <x:v>UNI-1868</x:v>
      </x:c>
      <x:c r="B1869" s="48" t="str">
        <x:v>YELLOW</x:v>
      </x:c>
      <x:c r="C1869" s="48" t="str">
        <x:v>English</x:v>
      </x:c>
      <x:c r="D1869" s="48" t="n">
        <x:v>68</x:v>
      </x:c>
      <x:c r="E1869" s="48" t="str"/>
      <x:c r="F1869" s="48" t="str">
        <x:v>The Contractor shall indemnify and hold harmless the Employer, the Employer's</x:v>
      </x:c>
      <x:c r="G1869" s="48" t="str">
        <x:v>Obligation</x:v>
      </x:c>
      <x:c r="H1869" s="48" t="str">
        <x:v>Contractor</x:v>
      </x:c>
      <x:c r="I1869" s="48" t="n">
        <x:v>0.88</x:v>
      </x:c>
      <x:c r="J1869" s="48" t="n">
        <x:v>0.92</x:v>
      </x:c>
      <x:c r="K1869" s="48" t="str">
        <x:v>No</x:v>
      </x:c>
      <x:c r="L1869" s="48" t="str">
        <x:v>PDF text</x:v>
      </x:c>
    </x:row>
    <x:row r="1870">
      <x:c r="A1870" s="48" t="str">
        <x:v>UNI-1869</x:v>
      </x:c>
      <x:c r="B1870" s="48" t="str">
        <x:v>YELLOW</x:v>
      </x:c>
      <x:c r="C1870" s="48" t="str">
        <x:v>English</x:v>
      </x:c>
      <x:c r="D1870" s="48" t="n">
        <x:v>68</x:v>
      </x:c>
      <x:c r="E1870" s="48" t="str"/>
      <x:c r="F1870" s="48" t="str">
        <x:v>Personnel, and their respective agents, against and from all claims, damages, losses and expenses (including legal fees and expenses) in respect of: (a) bodily injury, sickness, disease or death, of any person whatsoever arising out of or in the course of or by reason of the design, execution and completion of the Works and the remedying of any defects, unless attributable to any negligence, wilful act or breach of the Contract by the Employer, the Employer's</x:v>
      </x:c>
      <x:c r="G1870" s="48" t="str">
        <x:v>Obligation</x:v>
      </x:c>
      <x:c r="H1870" s="48" t="str">
        <x:v>Employer</x:v>
      </x:c>
      <x:c r="I1870" s="48" t="n">
        <x:v>0.45</x:v>
      </x:c>
      <x:c r="J1870" s="48" t="n">
        <x:v>0.68</x:v>
      </x:c>
      <x:c r="K1870" s="48" t="str">
        <x:v>Yes</x:v>
      </x:c>
      <x:c r="L1870" s="48" t="str">
        <x:v>PDF text</x:v>
      </x:c>
    </x:row>
    <x:row r="1871">
      <x:c r="A1871" s="48" t="str">
        <x:v>UNI-1870</x:v>
      </x:c>
      <x:c r="B1871" s="48" t="str">
        <x:v>YELLOW</x:v>
      </x:c>
      <x:c r="C1871" s="48" t="str">
        <x:v>English</x:v>
      </x:c>
      <x:c r="D1871" s="48" t="n">
        <x:v>68</x:v>
      </x:c>
      <x:c r="E1871" s="48" t="str"/>
      <x:c r="F1871" s="48" t="str">
        <x:v>Personnel, or any of their respective agents, and</x:v>
      </x:c>
      <x:c r="G1871" s="48" t="str">
        <x:v>Obligation</x:v>
      </x:c>
      <x:c r="H1871" s="48" t="str">
        <x:v>Shared</x:v>
      </x:c>
      <x:c r="I1871" s="48" t="n">
        <x:v>0.45</x:v>
      </x:c>
      <x:c r="J1871" s="48" t="n">
        <x:v>0.4</x:v>
      </x:c>
      <x:c r="K1871" s="48" t="str">
        <x:v>Yes</x:v>
      </x:c>
      <x:c r="L1871" s="48" t="str">
        <x:v>PDF text</x:v>
      </x:c>
    </x:row>
    <x:row r="1872">
      <x:c r="A1872" s="48" t="str">
        <x:v>UNI-1871</x:v>
      </x:c>
      <x:c r="B1872" s="48" t="str">
        <x:v>YELLOW</x:v>
      </x:c>
      <x:c r="C1872" s="48" t="str">
        <x:v>English</x:v>
      </x:c>
      <x:c r="D1872" s="48" t="n">
        <x:v>68</x:v>
      </x:c>
      <x:c r="E1872" s="48" t="str"/>
      <x:c r="F1872" s="48" t="str">
        <x:v>(b) damage to or loss of any property, real or personal (other than the Works), to the extent that such damage or loss: (i) arises out of or in the course of or by reason of the design, execution and completion of the Works and the remedying of any defects, and (ii) is attributable to any negligence, wilful act or breach of the Contract by the Contractor, the Contractor's Personnel, their respective agents, or anyone directly or indirectly employed by any of them.</x:v>
      </x:c>
      <x:c r="G1872" s="48" t="str">
        <x:v>Obligation</x:v>
      </x:c>
      <x:c r="H1872" s="48" t="str">
        <x:v>Contractor</x:v>
      </x:c>
      <x:c r="I1872" s="48" t="n">
        <x:v>0.45</x:v>
      </x:c>
      <x:c r="J1872" s="48" t="n">
        <x:v>0.68</x:v>
      </x:c>
      <x:c r="K1872" s="48" t="str">
        <x:v>Yes</x:v>
      </x:c>
      <x:c r="L1872" s="48" t="str">
        <x:v>PDF text</x:v>
      </x:c>
    </x:row>
    <x:row r="1873">
      <x:c r="A1873" s="48" t="str">
        <x:v>UNI-1872</x:v>
      </x:c>
      <x:c r="B1873" s="48" t="str">
        <x:v>YELLOW</x:v>
      </x:c>
      <x:c r="C1873" s="48" t="str">
        <x:v>English</x:v>
      </x:c>
      <x:c r="D1873" s="48" t="n">
        <x:v>68</x:v>
      </x:c>
      <x:c r="E1873" s="48" t="str"/>
      <x:c r="F1873" s="48" t="str">
        <x:v>The Employer shall indemnify and hold harmless the Contractor, the Contractor's</x:v>
      </x:c>
      <x:c r="G1873" s="48" t="str">
        <x:v>Obligation</x:v>
      </x:c>
      <x:c r="H1873" s="48" t="str">
        <x:v>Employer</x:v>
      </x:c>
      <x:c r="I1873" s="48" t="n">
        <x:v>0.88</x:v>
      </x:c>
      <x:c r="J1873" s="48" t="n">
        <x:v>0.92</x:v>
      </x:c>
      <x:c r="K1873" s="48" t="str">
        <x:v>No</x:v>
      </x:c>
      <x:c r="L1873" s="48" t="str">
        <x:v>PDF text</x:v>
      </x:c>
    </x:row>
    <x:row r="1874">
      <x:c r="A1874" s="48" t="str">
        <x:v>UNI-1873</x:v>
      </x:c>
      <x:c r="B1874" s="48" t="str">
        <x:v>YELLOW</x:v>
      </x:c>
      <x:c r="C1874" s="48" t="str">
        <x:v>English</x:v>
      </x:c>
      <x:c r="D1874" s="48" t="n">
        <x:v>68</x:v>
      </x:c>
      <x:c r="E1874" s="48" t="str"/>
      <x:c r="F1874" s="48" t="str">
        <x:v>Personnel, and their respective agents, against and from all claims, damages, losses and expenses (including legal fees and expenses) in respect of (1) bodily injury, sickness, disease or death, which is attributable to any negligence, wilful act or breach of the Contract by the Employer, the Employer's Personnel, or any of their respective agents, and (2) the matters for which liability may be excluded from insurance cover, as described in sub-paragraphs (d)(i), (ii) and (iii) of Sub-Clause 18.3 [Insurance Against Injury to Persons and Damage to Property].</x:v>
      </x:c>
      <x:c r="G1874" s="48" t="str">
        <x:v>Risk</x:v>
      </x:c>
      <x:c r="H1874" s="48" t="str">
        <x:v>Employer</x:v>
      </x:c>
      <x:c r="I1874" s="48" t="n">
        <x:v>0.78</x:v>
      </x:c>
      <x:c r="J1874" s="48" t="n">
        <x:v>0.68</x:v>
      </x:c>
      <x:c r="K1874" s="48" t="str">
        <x:v>Yes</x:v>
      </x:c>
      <x:c r="L1874" s="48" t="str">
        <x:v>PDF text</x:v>
      </x:c>
    </x:row>
    <x:row r="1875">
      <x:c r="A1875" s="48" t="str">
        <x:v>UNI-1874</x:v>
      </x:c>
      <x:c r="B1875" s="48" t="str">
        <x:v>YELLOW</x:v>
      </x:c>
      <x:c r="C1875" s="48" t="str">
        <x:v>English</x:v>
      </x:c>
      <x:c r="D1875" s="48" t="n">
        <x:v>68</x:v>
      </x:c>
      <x:c r="E1875" s="48" t="str"/>
      <x:c r="F1875" s="48" t="str">
        <x:v>The Contractor shall take full responsibility for the care of the Works and Goods from the Commencement Date until the Taking-Over Certificate is issued (or is deemed to be issued under Sub-Clause 10.1 [Taking Over of the Works and Sections]) for the Works, when responsibility for the care of the Works shall pass to the Employer.</x:v>
      </x:c>
      <x:c r="G1875" s="48" t="str">
        <x:v>Obligation</x:v>
      </x:c>
      <x:c r="H1875" s="48" t="str">
        <x:v>Contractor</x:v>
      </x:c>
      <x:c r="I1875" s="48" t="n">
        <x:v>0.88</x:v>
      </x:c>
      <x:c r="J1875" s="48" t="n">
        <x:v>0.92</x:v>
      </x:c>
      <x:c r="K1875" s="48" t="str">
        <x:v>No</x:v>
      </x:c>
      <x:c r="L1875" s="48" t="str">
        <x:v>PDF text</x:v>
      </x:c>
    </x:row>
    <x:row r="1876">
      <x:c r="A1876" s="48" t="str">
        <x:v>UNI-1875</x:v>
      </x:c>
      <x:c r="B1876" s="48" t="str">
        <x:v>YELLOW</x:v>
      </x:c>
      <x:c r="C1876" s="48" t="str">
        <x:v>English</x:v>
      </x:c>
      <x:c r="D1876" s="48" t="n">
        <x:v>68</x:v>
      </x:c>
      <x:c r="E1876" s="48" t="str"/>
      <x:c r="F1876" s="48" t="str">
        <x:v>After responsibility has accordingly passed to the Employer, the Contractor shall take responsibility for the care of any work which is outstanding on the date stated in a Taking-Over Certificate, until this outstanding work has been completed.</x:v>
      </x:c>
      <x:c r="G1876" s="48" t="str">
        <x:v>Obligation</x:v>
      </x:c>
      <x:c r="H1876" s="48" t="str">
        <x:v>Contractor</x:v>
      </x:c>
      <x:c r="I1876" s="48" t="n">
        <x:v>0.88</x:v>
      </x:c>
      <x:c r="J1876" s="48" t="n">
        <x:v>0.92</x:v>
      </x:c>
      <x:c r="K1876" s="48" t="str">
        <x:v>No</x:v>
      </x:c>
      <x:c r="L1876" s="48" t="str">
        <x:v>PDF text</x:v>
      </x:c>
    </x:row>
    <x:row r="1877">
      <x:c r="A1877" s="48" t="str">
        <x:v>UNI-1876</x:v>
      </x:c>
      <x:c r="B1877" s="48" t="str">
        <x:v>YELLOW</x:v>
      </x:c>
      <x:c r="C1877" s="48" t="str">
        <x:v>English</x:v>
      </x:c>
      <x:c r="D1877" s="48" t="n">
        <x:v>68</x:v>
      </x:c>
      <x:c r="E1877" s="48" t="str"/>
      <x:c r="F1877" s="48" t="str">
        <x:v>If any loss or damage happens to the Works, Goods or Contractor's Documents</x:v>
      </x:c>
      <x:c r="G1877" s="48" t="str">
        <x:v>Risk</x:v>
      </x:c>
      <x:c r="H1877" s="48" t="str">
        <x:v>Contractor</x:v>
      </x:c>
      <x:c r="I1877" s="48" t="n">
        <x:v>0.78</x:v>
      </x:c>
      <x:c r="J1877" s="48" t="n">
        <x:v>0.68</x:v>
      </x:c>
      <x:c r="K1877" s="48" t="str">
        <x:v>Yes</x:v>
      </x:c>
      <x:c r="L1877" s="48" t="str">
        <x:v>PDF text</x:v>
      </x:c>
    </x:row>
    <x:row r="1878">
      <x:c r="A1878" s="48" t="str">
        <x:v>UNI-1877</x:v>
      </x:c>
      <x:c r="B1878" s="48" t="str">
        <x:v>YELLOW</x:v>
      </x:c>
      <x:c r="C1878" s="48" t="str">
        <x:v>English</x:v>
      </x:c>
      <x:c r="D1878" s="48" t="n">
        <x:v>68</x:v>
      </x:c>
      <x:c r="E1878" s="48" t="str"/>
      <x:c r="F1878" s="48" t="str">
        <x:v>during the period when the Contractor is responsible for their care, from any cause not listed in Sub-Clause 17.3 [Employer's Risks], the Contractor shall rectify the loss or damage at the Contractor's risk and cost, so that the Works, Goods and Contractor's Documents conform with the Contract.</x:v>
      </x:c>
      <x:c r="G1878" s="48" t="str">
        <x:v>Risk</x:v>
      </x:c>
      <x:c r="H1878" s="48" t="str">
        <x:v>Employer</x:v>
      </x:c>
      <x:c r="I1878" s="48" t="n">
        <x:v>0.78</x:v>
      </x:c>
      <x:c r="J1878" s="48" t="n">
        <x:v>0.9</x:v>
      </x:c>
      <x:c r="K1878" s="48" t="str">
        <x:v>No</x:v>
      </x:c>
      <x:c r="L1878" s="48" t="str">
        <x:v>PDF text</x:v>
      </x:c>
    </x:row>
    <x:row r="1879">
      <x:c r="A1879" s="48" t="str">
        <x:v>UNI-1878</x:v>
      </x:c>
      <x:c r="B1879" s="48" t="str">
        <x:v>YELLOW</x:v>
      </x:c>
      <x:c r="C1879" s="48" t="str">
        <x:v>English</x:v>
      </x:c>
      <x:c r="D1879" s="48" t="n">
        <x:v>69</x:v>
      </x:c>
      <x:c r="E1879" s="48" t="str"/>
      <x:c r="F1879" s="48" t="str">
        <x:v>The risks referred to in Sub-Clause 17.4 below are: (a) war, hostilities (whether war be declared or not), invasion, act of foreign enemies, (b) rebellion, terrorism, revolution, insurrection, military or usurped power, or civil war, within the Country, (c) riot, commotion or disorder within the Country by persons other than the</x:v>
      </x:c>
      <x:c r="G1879" s="48" t="str">
        <x:v>Obligation</x:v>
      </x:c>
      <x:c r="H1879" s="48" t="str">
        <x:v>Shared</x:v>
      </x:c>
      <x:c r="I1879" s="48" t="n">
        <x:v>0.45</x:v>
      </x:c>
      <x:c r="J1879" s="48" t="n">
        <x:v>0.4</x:v>
      </x:c>
      <x:c r="K1879" s="48" t="str">
        <x:v>Yes</x:v>
      </x:c>
      <x:c r="L1879" s="48" t="str">
        <x:v>PDF text</x:v>
      </x:c>
    </x:row>
    <x:row r="1880">
      <x:c r="A1880" s="48" t="str">
        <x:v>UNI-1879</x:v>
      </x:c>
      <x:c r="B1880" s="48" t="str">
        <x:v>YELLOW</x:v>
      </x:c>
      <x:c r="C1880" s="48" t="str">
        <x:v>English</x:v>
      </x:c>
      <x:c r="D1880" s="48" t="n">
        <x:v>69</x:v>
      </x:c>
      <x:c r="E1880" s="48" t="str"/>
      <x:c r="F1880" s="48" t="str">
        <x:v>Contractor's Personnel and other employees of the Contractor and</x:v>
      </x:c>
      <x:c r="G1880" s="48" t="str">
        <x:v>Obligation</x:v>
      </x:c>
      <x:c r="H1880" s="48" t="str">
        <x:v>Contractor</x:v>
      </x:c>
      <x:c r="I1880" s="48" t="n">
        <x:v>0.45</x:v>
      </x:c>
      <x:c r="J1880" s="48" t="n">
        <x:v>0.68</x:v>
      </x:c>
      <x:c r="K1880" s="48" t="str">
        <x:v>Yes</x:v>
      </x:c>
      <x:c r="L1880" s="48" t="str">
        <x:v>PDF text</x:v>
      </x:c>
    </x:row>
    <x:row r="1881">
      <x:c r="A1881" s="48" t="str">
        <x:v>UNI-1880</x:v>
      </x:c>
      <x:c r="B1881" s="48" t="str">
        <x:v>YELLOW</x:v>
      </x:c>
      <x:c r="C1881" s="48" t="str">
        <x:v>English</x:v>
      </x:c>
      <x:c r="D1881" s="48" t="n">
        <x:v>69</x:v>
      </x:c>
      <x:c r="E1881" s="48" t="str"/>
      <x:c r="F1881" s="48" t="str">
        <x:v>Contractor's use of such munitions, explosives, radiation or radio-activity,</x:v>
      </x:c>
      <x:c r="G1881" s="48" t="str">
        <x:v>Obligation</x:v>
      </x:c>
      <x:c r="H1881" s="48" t="str">
        <x:v>Contractor</x:v>
      </x:c>
      <x:c r="I1881" s="48" t="n">
        <x:v>0.45</x:v>
      </x:c>
      <x:c r="J1881" s="48" t="n">
        <x:v>0.68</x:v>
      </x:c>
      <x:c r="K1881" s="48" t="str">
        <x:v>Yes</x:v>
      </x:c>
      <x:c r="L1881" s="48" t="str">
        <x:v>PDF text</x:v>
      </x:c>
    </x:row>
    <x:row r="1882">
      <x:c r="A1882" s="48" t="str">
        <x:v>UNI-1881</x:v>
      </x:c>
      <x:c r="B1882" s="48" t="str">
        <x:v>YELLOW</x:v>
      </x:c>
      <x:c r="C1882" s="48" t="str">
        <x:v>English</x:v>
      </x:c>
      <x:c r="D1882" s="48" t="n">
        <x:v>69</x:v>
      </x:c>
      <x:c r="E1882" s="48" t="str"/>
      <x:c r="F1882" s="48" t="str">
        <x:v>(e) pressure waves caused by aircraft or other aerial devices travelling at sonic or supersonic speeds, (f) use or occupation by the Employer of any part of the Permanent Works, except as may be specified in the Contract, (g) design of any part of the Works by the Employer's Personnel or by others for whom the Employer is responsible, if any, and (h) any operation of the forces of nature which is Unforeseeable or against which an experienced contractor could not reasonably have been expected to have taken adequate preventative precautions.</x:v>
      </x:c>
      <x:c r="G1882" s="48" t="str">
        <x:v>Risk</x:v>
      </x:c>
      <x:c r="H1882" s="48" t="str">
        <x:v>Shared</x:v>
      </x:c>
      <x:c r="I1882" s="48" t="n">
        <x:v>0.78</x:v>
      </x:c>
      <x:c r="J1882" s="48" t="n">
        <x:v>0.6</x:v>
      </x:c>
      <x:c r="K1882" s="48" t="str">
        <x:v>Yes</x:v>
      </x:c>
      <x:c r="L1882" s="48" t="str">
        <x:v>PDF text</x:v>
      </x:c>
    </x:row>
    <x:row r="1883">
      <x:c r="A1883" s="48" t="str">
        <x:v>UNI-1882</x:v>
      </x:c>
      <x:c r="B1883" s="48" t="str">
        <x:v>YELLOW</x:v>
      </x:c>
      <x:c r="C1883" s="48" t="str">
        <x:v>English</x:v>
      </x:c>
      <x:c r="D1883" s="48" t="n">
        <x:v>69</x:v>
      </x:c>
      <x:c r="E1883" s="48" t="str"/>
      <x:c r="F1883" s="48" t="str">
        <x:v>If and to the extent that any of the risks listed in Sub-Clause 17.3 above results in loss or damage to the Works, Goods or Contractor's Documents, the Contractor shall promptly give notice to the Engineer and shall rectify this loss or damage to the extent required by the Engineer.</x:v>
      </x:c>
      <x:c r="G1883" s="48" t="str">
        <x:v>Risk</x:v>
      </x:c>
      <x:c r="H1883" s="48" t="str">
        <x:v>Contractor</x:v>
      </x:c>
      <x:c r="I1883" s="48" t="n">
        <x:v>0.78</x:v>
      </x:c>
      <x:c r="J1883" s="48" t="n">
        <x:v>0.92</x:v>
      </x:c>
      <x:c r="K1883" s="48" t="str">
        <x:v>No</x:v>
      </x:c>
      <x:c r="L1883" s="48" t="str">
        <x:v>PDF text</x:v>
      </x:c>
    </x:row>
    <x:row r="1884">
      <x:c r="A1884" s="48" t="str">
        <x:v>UNI-1883</x:v>
      </x:c>
      <x:c r="B1884" s="48" t="str">
        <x:v>YELLOW</x:v>
      </x:c>
      <x:c r="C1884" s="48" t="str">
        <x:v>English</x:v>
      </x:c>
      <x:c r="D1884" s="48" t="n">
        <x:v>69</x:v>
      </x:c>
      <x:c r="E1884" s="48" t="str"/>
      <x:c r="F1884" s="48" t="str">
        <x:v>If the Contractor suffers delay and/or incurs Cost from rectifying this loss or damage, the Contractor shall give a further notice to the Engineer and shall be entitled subject to Sub-Clause 20.1 [Contractor's Claims] to: (a) an extension of time for any such delay, if completion is or will be delayed, under Sub-Clause 8.4 [Extension of Time for Completion], and (b) payment of any such Cost, which shall be included in the Contract Price.</x:v>
      </x:c>
      <x:c r="G1884" s="48" t="str">
        <x:v>Risk</x:v>
      </x:c>
      <x:c r="H1884" s="48" t="str">
        <x:v>Contractor</x:v>
      </x:c>
      <x:c r="I1884" s="48" t="n">
        <x:v>0.78</x:v>
      </x:c>
      <x:c r="J1884" s="48" t="n">
        <x:v>0.92</x:v>
      </x:c>
      <x:c r="K1884" s="48" t="str">
        <x:v>No</x:v>
      </x:c>
      <x:c r="L1884" s="48" t="str">
        <x:v>PDF text</x:v>
      </x:c>
    </x:row>
    <x:row r="1885">
      <x:c r="A1885" s="48" t="str">
        <x:v>UNI-1884</x:v>
      </x:c>
      <x:c r="B1885" s="48" t="str">
        <x:v>YELLOW</x:v>
      </x:c>
      <x:c r="C1885" s="48" t="str">
        <x:v>English</x:v>
      </x:c>
      <x:c r="D1885" s="48" t="n">
        <x:v>69</x:v>
      </x:c>
      <x:c r="E1885" s="48" t="str"/>
      <x:c r="F1885" s="48" t="str">
        <x:v>In the case of sub-paragraphs (f) and (g) of Sub-Clause 17.3 [Employer's Risks], reasonable profit on the Cost shall also be included.</x:v>
      </x:c>
      <x:c r="G1885" s="48" t="str">
        <x:v>Obligation</x:v>
      </x:c>
      <x:c r="H1885" s="48" t="str">
        <x:v>Employer</x:v>
      </x:c>
      <x:c r="I1885" s="48" t="n">
        <x:v>0.88</x:v>
      </x:c>
      <x:c r="J1885" s="48" t="n">
        <x:v>0.68</x:v>
      </x:c>
      <x:c r="K1885" s="48" t="str">
        <x:v>Yes</x:v>
      </x:c>
      <x:c r="L1885" s="48" t="str">
        <x:v>PDF text</x:v>
      </x:c>
    </x:row>
    <x:row r="1886">
      <x:c r="A1886" s="48" t="str">
        <x:v>UNI-1885</x:v>
      </x:c>
      <x:c r="B1886" s="48" t="str">
        <x:v>YELLOW</x:v>
      </x:c>
      <x:c r="C1886" s="48" t="str">
        <x:v>English</x:v>
      </x:c>
      <x:c r="D1886" s="48" t="n">
        <x:v>69</x:v>
      </x:c>
      <x:c r="E1886" s="48" t="str"/>
      <x:c r="F1886" s="48" t="str">
        <x:v>The Employer shall indemnify and hold the Contractor harmless against and from any claim alleging an infringement which is or was: (a) an unavoidable result of the Contractor's compliance with the Employer's</x:v>
      </x:c>
      <x:c r="G1886" s="48" t="str">
        <x:v>Obligation</x:v>
      </x:c>
      <x:c r="H1886" s="48" t="str">
        <x:v>Employer</x:v>
      </x:c>
      <x:c r="I1886" s="48" t="n">
        <x:v>0.88</x:v>
      </x:c>
      <x:c r="J1886" s="48" t="n">
        <x:v>0.92</x:v>
      </x:c>
      <x:c r="K1886" s="48" t="str">
        <x:v>No</x:v>
      </x:c>
      <x:c r="L1886" s="48" t="str">
        <x:v>PDF text</x:v>
      </x:c>
    </x:row>
    <x:row r="1887">
      <x:c r="A1887" s="48" t="str">
        <x:v>UNI-1886</x:v>
      </x:c>
      <x:c r="B1887" s="48" t="str">
        <x:v>YELLOW</x:v>
      </x:c>
      <x:c r="C1887" s="48" t="str">
        <x:v>English</x:v>
      </x:c>
      <x:c r="D1887" s="48" t="n">
        <x:v>69</x:v>
      </x:c>
      <x:c r="E1887" s="48" t="str"/>
      <x:c r="F1887" s="48" t="str">
        <x:v>Requirements, or</x:v>
      </x:c>
      <x:c r="G1887" s="48" t="str">
        <x:v>Obligation</x:v>
      </x:c>
      <x:c r="H1887" s="48" t="str">
        <x:v>Shared</x:v>
      </x:c>
      <x:c r="I1887" s="48" t="n">
        <x:v>0.45</x:v>
      </x:c>
      <x:c r="J1887" s="48" t="n">
        <x:v>0.4</x:v>
      </x:c>
      <x:c r="K1887" s="48" t="str">
        <x:v>Yes</x:v>
      </x:c>
      <x:c r="L1887" s="48" t="str">
        <x:v>PDF text</x:v>
      </x:c>
    </x:row>
    <x:row r="1888">
      <x:c r="A1888" s="48" t="str">
        <x:v>UNI-1887</x:v>
      </x:c>
      <x:c r="B1888" s="48" t="str">
        <x:v>YELLOW</x:v>
      </x:c>
      <x:c r="C1888" s="48" t="str">
        <x:v>English</x:v>
      </x:c>
      <x:c r="D1888" s="48" t="n">
        <x:v>70</x:v>
      </x:c>
      <x:c r="E1888" s="48" t="str"/>
      <x:c r="F1888" s="48" t="str">
        <x:v>for Insurances (b) a result of any Works being used by the Employer: (i) for a purpose other than that indicated by, or reasonably to be inferred from, the Contract, or (ii) in conjunction with any thing not supplied by the Contractor, unless such use was disclosed to the Contractor prior to the Base Date or is stated in the Contract.</x:v>
      </x:c>
      <x:c r="G1888" s="48" t="str">
        <x:v>Obligation</x:v>
      </x:c>
      <x:c r="H1888" s="48" t="str">
        <x:v>Shared</x:v>
      </x:c>
      <x:c r="I1888" s="48" t="n">
        <x:v>0.45</x:v>
      </x:c>
      <x:c r="J1888" s="48" t="n">
        <x:v>0.6</x:v>
      </x:c>
      <x:c r="K1888" s="48" t="str">
        <x:v>Yes</x:v>
      </x:c>
      <x:c r="L1888" s="48" t="str">
        <x:v>PDF text</x:v>
      </x:c>
    </x:row>
    <x:row r="1889">
      <x:c r="A1889" s="48" t="str">
        <x:v>UNI-1888</x:v>
      </x:c>
      <x:c r="B1889" s="48" t="str">
        <x:v>YELLOW</x:v>
      </x:c>
      <x:c r="C1889" s="48" t="str">
        <x:v>English</x:v>
      </x:c>
      <x:c r="D1889" s="48" t="n">
        <x:v>70</x:v>
      </x:c>
      <x:c r="E1889" s="48" t="str"/>
      <x:c r="F1889" s="48" t="str">
        <x:v>The Contractor shall indemnify and hold the Employer harmless against and from any other claim which arises out of or in relation to (i) the Contractor's design, manufacture, construction or execution of the Works, (ii) the use of Contractor's Equipment, or (iii) the proper use of the Works.</x:v>
      </x:c>
      <x:c r="G1889" s="48" t="str">
        <x:v>Obligation</x:v>
      </x:c>
      <x:c r="H1889" s="48" t="str">
        <x:v>Contractor</x:v>
      </x:c>
      <x:c r="I1889" s="48" t="n">
        <x:v>0.88</x:v>
      </x:c>
      <x:c r="J1889" s="48" t="n">
        <x:v>0.92</x:v>
      </x:c>
      <x:c r="K1889" s="48" t="str">
        <x:v>No</x:v>
      </x:c>
      <x:c r="L1889" s="48" t="str">
        <x:v>PDF text</x:v>
      </x:c>
    </x:row>
    <x:row r="1890">
      <x:c r="A1890" s="48" t="str">
        <x:v>UNI-1889</x:v>
      </x:c>
      <x:c r="B1890" s="48" t="str">
        <x:v>YELLOW</x:v>
      </x:c>
      <x:c r="C1890" s="48" t="str">
        <x:v>English</x:v>
      </x:c>
      <x:c r="D1890" s="48" t="n">
        <x:v>70</x:v>
      </x:c>
      <x:c r="E1890" s="48" t="str"/>
      <x:c r="F1890" s="48" t="str">
        <x:v>Neither Party shall be liable to the other Party for loss of use of any Works, loss of profit, loss of any contract or for any indirect or consequential loss or damage which may be suffered by the other Party in connection with the Contract, other than under Sub-Clause 16.4 [Payment on Termination] and Sub-Clause 17.1 [Indemnities].</x:v>
      </x:c>
      <x:c r="G1890" s="48" t="str">
        <x:v>Risk</x:v>
      </x:c>
      <x:c r="H1890" s="48" t="str">
        <x:v>Shared</x:v>
      </x:c>
      <x:c r="I1890" s="48" t="n">
        <x:v>0.78</x:v>
      </x:c>
      <x:c r="J1890" s="48" t="n">
        <x:v>0.4</x:v>
      </x:c>
      <x:c r="K1890" s="48" t="str">
        <x:v>Yes</x:v>
      </x:c>
      <x:c r="L1890" s="48" t="str">
        <x:v>PDF text</x:v>
      </x:c>
    </x:row>
    <x:row r="1891">
      <x:c r="A1891" s="48" t="str">
        <x:v>UNI-1890</x:v>
      </x:c>
      <x:c r="B1891" s="48" t="str">
        <x:v>YELLOW</x:v>
      </x:c>
      <x:c r="C1891" s="48" t="str">
        <x:v>English</x:v>
      </x:c>
      <x:c r="D1891" s="48" t="n">
        <x:v>70</x:v>
      </x:c>
      <x:c r="E1891" s="48" t="str">
        <x:v>4.20</x:v>
      </x:c>
      <x:c r="F1891" s="48" t="str">
        <x:v>4.20 [Employer's Equipment and Free-Issue Material], Sub-Clause 17.1 [Indemnities]</x:v>
      </x:c>
      <x:c r="G1891" s="48" t="str">
        <x:v>Obligation</x:v>
      </x:c>
      <x:c r="H1891" s="48" t="str">
        <x:v>Employer</x:v>
      </x:c>
      <x:c r="I1891" s="48" t="n">
        <x:v>0.45</x:v>
      </x:c>
      <x:c r="J1891" s="48" t="n">
        <x:v>0.68</x:v>
      </x:c>
      <x:c r="K1891" s="48" t="str">
        <x:v>Yes</x:v>
      </x:c>
      <x:c r="L1891" s="48" t="str">
        <x:v>PDF text</x:v>
      </x:c>
    </x:row>
    <x:row r="1892">
      <x:c r="A1892" s="48" t="str">
        <x:v>UNI-1891</x:v>
      </x:c>
      <x:c r="B1892" s="48" t="str">
        <x:v>YELLOW</x:v>
      </x:c>
      <x:c r="C1892" s="48" t="str">
        <x:v>English</x:v>
      </x:c>
      <x:c r="D1892" s="48" t="n">
        <x:v>70</x:v>
      </x:c>
      <x:c r="E1892" s="48" t="str"/>
      <x:c r="F1892" s="48" t="str">
        <x:v>and Sub-Clause 17.5 [Intellectual and Industrial Property Rights], shall not exceed the sum stated in the Particular Conditions or (if a sum is not so stated) the Accepted Contract Amount.</x:v>
      </x:c>
      <x:c r="G1892" s="48" t="str">
        <x:v>Obligation</x:v>
      </x:c>
      <x:c r="H1892" s="48" t="str">
        <x:v>Shared</x:v>
      </x:c>
      <x:c r="I1892" s="48" t="n">
        <x:v>0.88</x:v>
      </x:c>
      <x:c r="J1892" s="48" t="n">
        <x:v>0.4</x:v>
      </x:c>
      <x:c r="K1892" s="48" t="str">
        <x:v>Yes</x:v>
      </x:c>
      <x:c r="L1892" s="48" t="str">
        <x:v>PDF text</x:v>
      </x:c>
    </x:row>
    <x:row r="1893">
      <x:c r="A1893" s="48" t="str">
        <x:v>UNI-1892</x:v>
      </x:c>
      <x:c r="B1893" s="48" t="str">
        <x:v>YELLOW</x:v>
      </x:c>
      <x:c r="C1893" s="48" t="str">
        <x:v>English</x:v>
      </x:c>
      <x:c r="D1893" s="48" t="n">
        <x:v>70</x:v>
      </x:c>
      <x:c r="E1893" s="48" t="str"/>
      <x:c r="F1893" s="48" t="str">
        <x:v>If a policy is required to indemnify joint insured, the cover shall apply separately to each insured as though a separate policy had been issued for each of the joint</x:v>
      </x:c>
      <x:c r="G1893" s="48" t="str">
        <x:v>Obligation</x:v>
      </x:c>
      <x:c r="H1893" s="48" t="str">
        <x:v>Shared</x:v>
      </x:c>
      <x:c r="I1893" s="48" t="n">
        <x:v>0.88</x:v>
      </x:c>
      <x:c r="J1893" s="48" t="n">
        <x:v>0.4</x:v>
      </x:c>
      <x:c r="K1893" s="48" t="str">
        <x:v>Yes</x:v>
      </x:c>
      <x:c r="L1893" s="48" t="str">
        <x:v>PDF text</x:v>
      </x:c>
    </x:row>
    <x:row r="1894">
      <x:c r="A1894" s="48" t="str">
        <x:v>UNI-1893</x:v>
      </x:c>
      <x:c r="B1894" s="48" t="str">
        <x:v>YELLOW</x:v>
      </x:c>
      <x:c r="C1894" s="48" t="str">
        <x:v>English</x:v>
      </x:c>
      <x:c r="D1894" s="48" t="n">
        <x:v>71</x:v>
      </x:c>
      <x:c r="E1894" s="48" t="str"/>
      <x:c r="F1894" s="48" t="str">
        <x:v>insured.</x:v>
      </x:c>
      <x:c r="G1894" s="48" t="str">
        <x:v>Obligation</x:v>
      </x:c>
      <x:c r="H1894" s="48" t="str">
        <x:v>Shared</x:v>
      </x:c>
      <x:c r="I1894" s="48" t="n">
        <x:v>0.45</x:v>
      </x:c>
      <x:c r="J1894" s="48" t="n">
        <x:v>0.4</x:v>
      </x:c>
      <x:c r="K1894" s="48" t="str">
        <x:v>Yes</x:v>
      </x:c>
      <x:c r="L1894" s="48" t="str">
        <x:v>PDF text</x:v>
      </x:c>
    </x:row>
    <x:row r="1895">
      <x:c r="A1895" s="48" t="str">
        <x:v>UNI-1894</x:v>
      </x:c>
      <x:c r="B1895" s="48" t="str">
        <x:v>YELLOW</x:v>
      </x:c>
      <x:c r="C1895" s="48" t="str">
        <x:v>English</x:v>
      </x:c>
      <x:c r="D1895" s="48" t="n">
        <x:v>71</x:v>
      </x:c>
      <x:c r="E1895" s="48" t="str"/>
      <x:c r="F1895" s="48" t="str">
        <x:v>If a policy indemnifies additional joint insured, namely in addition to the insured specified in this Clause, (i) the Contractor shall act under the policy on behalf of these additional joint insured except that the Employer shall act for Employer's Personnel, (ii) additional joint insured shall not be entitled to receive payments directly from the insurer or to have any other direct dealings with the insurer, and (iii) the insuring Party shall require all additional joint insured to comply with the conditions stipulated in the policy.</x:v>
      </x:c>
      <x:c r="G1895" s="48" t="str">
        <x:v>Obligation</x:v>
      </x:c>
      <x:c r="H1895" s="48" t="str">
        <x:v>Contractor</x:v>
      </x:c>
      <x:c r="I1895" s="48" t="n">
        <x:v>0.88</x:v>
      </x:c>
      <x:c r="J1895" s="48" t="n">
        <x:v>0.92</x:v>
      </x:c>
      <x:c r="K1895" s="48" t="str">
        <x:v>No</x:v>
      </x:c>
      <x:c r="L1895" s="48" t="str">
        <x:v>PDF text</x:v>
      </x:c>
    </x:row>
    <x:row r="1896">
      <x:c r="A1896" s="48" t="str">
        <x:v>UNI-1895</x:v>
      </x:c>
      <x:c r="B1896" s="48" t="str">
        <x:v>YELLOW</x:v>
      </x:c>
      <x:c r="C1896" s="48" t="str">
        <x:v>English</x:v>
      </x:c>
      <x:c r="D1896" s="48" t="n">
        <x:v>71</x:v>
      </x:c>
      <x:c r="E1896" s="48" t="str"/>
      <x:c r="F1896" s="48" t="str">
        <x:v>The relevant insuring Party shall, within the respective periods stated in the Appendix to Tender (calculated from the Commencement Date), submit to the other Party: (a) evidence that the insurances described in this Clause have been effected, and (b) copies of the policies for the insurances described in Sub-Clause 18.2 [Insurance for Works and Contractor's Equipment] and Sub-Clause 18.3 [Insurance against Injury to Persons and Damage to Property].</x:v>
      </x:c>
      <x:c r="G1896" s="48" t="str">
        <x:v>Obligation</x:v>
      </x:c>
      <x:c r="H1896" s="48" t="str">
        <x:v>Contractor</x:v>
      </x:c>
      <x:c r="I1896" s="48" t="n">
        <x:v>0.88</x:v>
      </x:c>
      <x:c r="J1896" s="48" t="n">
        <x:v>0.68</x:v>
      </x:c>
      <x:c r="K1896" s="48" t="str">
        <x:v>Yes</x:v>
      </x:c>
      <x:c r="L1896" s="48" t="str">
        <x:v>PDF text</x:v>
      </x:c>
    </x:row>
    <x:row r="1897">
      <x:c r="A1897" s="48" t="str">
        <x:v>UNI-1896</x:v>
      </x:c>
      <x:c r="B1897" s="48" t="str">
        <x:v>YELLOW</x:v>
      </x:c>
      <x:c r="C1897" s="48" t="str">
        <x:v>English</x:v>
      </x:c>
      <x:c r="D1897" s="48" t="n">
        <x:v>71</x:v>
      </x:c>
      <x:c r="E1897" s="48" t="str"/>
      <x:c r="F1897" s="48" t="str">
        <x:v>Neither Party shall make any material alteration to the terms of any insurance without the prior approval of the other Party.</x:v>
      </x:c>
      <x:c r="G1897" s="48" t="str">
        <x:v>Obligation</x:v>
      </x:c>
      <x:c r="H1897" s="48" t="str">
        <x:v>Shared</x:v>
      </x:c>
      <x:c r="I1897" s="48" t="n">
        <x:v>0.88</x:v>
      </x:c>
      <x:c r="J1897" s="48" t="n">
        <x:v>0.4</x:v>
      </x:c>
      <x:c r="K1897" s="48" t="str">
        <x:v>Yes</x:v>
      </x:c>
      <x:c r="L1897" s="48" t="str">
        <x:v>PDF text</x:v>
      </x:c>
    </x:row>
    <x:row r="1898">
      <x:c r="A1898" s="48" t="str">
        <x:v>UNI-1897</x:v>
      </x:c>
      <x:c r="B1898" s="48" t="str">
        <x:v>YELLOW</x:v>
      </x:c>
      <x:c r="C1898" s="48" t="str">
        <x:v>English</x:v>
      </x:c>
      <x:c r="D1898" s="48" t="n">
        <x:v>71</x:v>
      </x:c>
      <x:c r="E1898" s="48" t="str"/>
      <x:c r="F1898" s="48" t="str">
        <x:v>Payments by one Party to the other Party shall be subject to Sub-Clause 2.5 [Employer's Claims] or Sub-Clause 20.1 [Contractor's Claims], as applicable</x:v>
      </x:c>
      <x:c r="G1898" s="48" t="str">
        <x:v>Obligation</x:v>
      </x:c>
      <x:c r="H1898" s="48" t="str">
        <x:v>Shared</x:v>
      </x:c>
      <x:c r="I1898" s="48" t="n">
        <x:v>0.88</x:v>
      </x:c>
      <x:c r="J1898" s="48" t="n">
        <x:v>0.6</x:v>
      </x:c>
      <x:c r="K1898" s="48" t="str">
        <x:v>Yes</x:v>
      </x:c>
      <x:c r="L1898" s="48" t="str">
        <x:v>PDF text</x:v>
      </x:c>
    </x:row>
    <x:row r="1899">
      <x:c r="A1899" s="48" t="str">
        <x:v>UNI-1898</x:v>
      </x:c>
      <x:c r="B1899" s="48" t="str">
        <x:v>YELLOW</x:v>
      </x:c>
      <x:c r="C1899" s="48" t="str">
        <x:v>English</x:v>
      </x:c>
      <x:c r="D1899" s="48" t="n">
        <x:v>71</x:v>
      </x:c>
      <x:c r="E1899" s="48" t="str"/>
      <x:c r="F1899" s="48" t="str">
        <x:v>The insuring Party shall insure the Works, Plant, Materials and Contractor's</x:v>
      </x:c>
      <x:c r="G1899" s="48" t="str">
        <x:v>Obligation</x:v>
      </x:c>
      <x:c r="H1899" s="48" t="str">
        <x:v>Contractor</x:v>
      </x:c>
      <x:c r="I1899" s="48" t="n">
        <x:v>0.88</x:v>
      </x:c>
      <x:c r="J1899" s="48" t="n">
        <x:v>0.68</x:v>
      </x:c>
      <x:c r="K1899" s="48" t="str">
        <x:v>Yes</x:v>
      </x:c>
      <x:c r="L1899" s="48" t="str">
        <x:v>PDF text</x:v>
      </x:c>
    </x:row>
    <x:row r="1900">
      <x:c r="A1900" s="48" t="str">
        <x:v>UNI-1899</x:v>
      </x:c>
      <x:c r="B1900" s="48" t="str">
        <x:v>YELLOW</x:v>
      </x:c>
      <x:c r="C1900" s="48" t="str">
        <x:v>English</x:v>
      </x:c>
      <x:c r="D1900" s="48" t="n">
        <x:v>72</x:v>
      </x:c>
      <x:c r="E1900" s="48" t="str"/>
      <x:c r="F1900" s="48" t="str">
        <x:v>The insuring Party shall maintain this insurance to provide cover until the date of issue of the Performance Certificate, for loss or damage for which the Contractor is liable arising from a cause occurring prior to the issue of the Taking-Over Certificate, and for loss or damage caused by the Contractor in the course of any other operations (including those under Clause 11 [Defects Liability] and Clause 12 [Tests after Completion]).</x:v>
      </x:c>
      <x:c r="G1900" s="48" t="str">
        <x:v>Risk</x:v>
      </x:c>
      <x:c r="H1900" s="48" t="str">
        <x:v>Contractor</x:v>
      </x:c>
      <x:c r="I1900" s="48" t="n">
        <x:v>0.78</x:v>
      </x:c>
      <x:c r="J1900" s="48" t="n">
        <x:v>0.68</x:v>
      </x:c>
      <x:c r="K1900" s="48" t="str">
        <x:v>Yes</x:v>
      </x:c>
      <x:c r="L1900" s="48" t="str">
        <x:v>PDF text</x:v>
      </x:c>
    </x:row>
    <x:row r="1901">
      <x:c r="A1901" s="48" t="str">
        <x:v>UNI-1900</x:v>
      </x:c>
      <x:c r="B1901" s="48" t="str">
        <x:v>YELLOW</x:v>
      </x:c>
      <x:c r="C1901" s="48" t="str">
        <x:v>English</x:v>
      </x:c>
      <x:c r="D1901" s="48" t="n">
        <x:v>72</x:v>
      </x:c>
      <x:c r="E1901" s="48" t="str"/>
      <x:c r="F1901" s="48" t="str">
        <x:v>The insuring Party shall insure the Contractor's Equipment for not less than the full replacement value, including delivery to Site.</x:v>
      </x:c>
      <x:c r="G1901" s="48" t="str">
        <x:v>Obligation</x:v>
      </x:c>
      <x:c r="H1901" s="48" t="str">
        <x:v>Contractor</x:v>
      </x:c>
      <x:c r="I1901" s="48" t="n">
        <x:v>0.88</x:v>
      </x:c>
      <x:c r="J1901" s="48" t="n">
        <x:v>0.68</x:v>
      </x:c>
      <x:c r="K1901" s="48" t="str">
        <x:v>Yes</x:v>
      </x:c>
      <x:c r="L1901" s="48" t="str">
        <x:v>PDF text</x:v>
      </x:c>
    </x:row>
    <x:row r="1902">
      <x:c r="A1902" s="48" t="str">
        <x:v>UNI-1901</x:v>
      </x:c>
      <x:c r="B1902" s="48" t="str">
        <x:v>YELLOW</x:v>
      </x:c>
      <x:c r="C1902" s="48" t="str">
        <x:v>English</x:v>
      </x:c>
      <x:c r="D1902" s="48" t="n">
        <x:v>72</x:v>
      </x:c>
      <x:c r="E1902" s="48" t="str"/>
      <x:c r="F1902" s="48" t="str">
        <x:v>For each item of Contractor's Equipment, the insurance shall be effective while it is being transported to the Site and until it is no longer required as Contractor's Equipment.</x:v>
      </x:c>
      <x:c r="G1902" s="48" t="str">
        <x:v>Obligation</x:v>
      </x:c>
      <x:c r="H1902" s="48" t="str">
        <x:v>Contractor</x:v>
      </x:c>
      <x:c r="I1902" s="48" t="n">
        <x:v>0.88</x:v>
      </x:c>
      <x:c r="J1902" s="48" t="n">
        <x:v>0.68</x:v>
      </x:c>
      <x:c r="K1902" s="48" t="str">
        <x:v>Yes</x:v>
      </x:c>
      <x:c r="L1902" s="48" t="str">
        <x:v>PDF text</x:v>
      </x:c>
    </x:row>
    <x:row r="1903">
      <x:c r="A1903" s="48" t="str">
        <x:v>UNI-1902</x:v>
      </x:c>
      <x:c r="B1903" s="48" t="str">
        <x:v>YELLOW</x:v>
      </x:c>
      <x:c r="C1903" s="48" t="str">
        <x:v>English</x:v>
      </x:c>
      <x:c r="D1903" s="48" t="n">
        <x:v>72</x:v>
      </x:c>
      <x:c r="E1903" s="48" t="str"/>
      <x:c r="F1903" s="48" t="str">
        <x:v>Unless otherwise stated in the Particular Conditions, insurances under this SubClause: (a) shall be effected and maintained by the Contractor as insuring Party, (b) shall be in the joint names of the Parties, who shall be jointly entitled to receive payments from the insurers, payments being held or allocated between the</x:v>
      </x:c>
      <x:c r="G1903" s="48" t="str">
        <x:v>Obligation</x:v>
      </x:c>
      <x:c r="H1903" s="48" t="str">
        <x:v>Shared</x:v>
      </x:c>
      <x:c r="I1903" s="48" t="n">
        <x:v>0.88</x:v>
      </x:c>
      <x:c r="J1903" s="48" t="n">
        <x:v>0.93</x:v>
      </x:c>
      <x:c r="K1903" s="48" t="str">
        <x:v>No</x:v>
      </x:c>
      <x:c r="L1903" s="48" t="str">
        <x:v>PDF text</x:v>
      </x:c>
    </x:row>
    <x:row r="1904">
      <x:c r="A1904" s="48" t="str">
        <x:v>UNI-1903</x:v>
      </x:c>
      <x:c r="B1904" s="48" t="str">
        <x:v>YELLOW</x:v>
      </x:c>
      <x:c r="C1904" s="48" t="str">
        <x:v>English</x:v>
      </x:c>
      <x:c r="D1904" s="48" t="n">
        <x:v>72</x:v>
      </x:c>
      <x:c r="E1904" s="48" t="str"/>
      <x:c r="F1904" s="48" t="str">
        <x:v>(c) shall cover all loss and damage from any cause not listed in Sub-Clause 17.3 [Employer's Risks], (d) shall also cover loss or damage to a part of the Works which is attributable to the use or occupation by the Employer of another part of the Works, and loss or damage from the risks listed in sub-paragraphs (c), (g) and (h) of Sub-Clause</x:v>
      </x:c>
      <x:c r="G1904" s="48" t="str">
        <x:v>Obligation</x:v>
      </x:c>
      <x:c r="H1904" s="48" t="str">
        <x:v>Employer</x:v>
      </x:c>
      <x:c r="I1904" s="48" t="n">
        <x:v>0.88</x:v>
      </x:c>
      <x:c r="J1904" s="48" t="n">
        <x:v>0.68</x:v>
      </x:c>
      <x:c r="K1904" s="48" t="str">
        <x:v>Yes</x:v>
      </x:c>
      <x:c r="L1904" s="48" t="str">
        <x:v>PDF text</x:v>
      </x:c>
    </x:row>
    <x:row r="1905">
      <x:c r="A1905" s="48" t="str">
        <x:v>UNI-1904</x:v>
      </x:c>
      <x:c r="B1905" s="48" t="str">
        <x:v>YELLOW</x:v>
      </x:c>
      <x:c r="C1905" s="48" t="str">
        <x:v>English</x:v>
      </x:c>
      <x:c r="D1905" s="48" t="n">
        <x:v>72</x:v>
      </x:c>
      <x:c r="E1905" s="48" t="str">
        <x:v>17.3</x:v>
      </x:c>
      <x:c r="F1905" s="48" t="str">
        <x:v>17.3 [Employer's Risks], excluding (in each case) risks which are not insurable</x:v>
      </x:c>
      <x:c r="G1905" s="48" t="str">
        <x:v>Obligation</x:v>
      </x:c>
      <x:c r="H1905" s="48" t="str">
        <x:v>Employer</x:v>
      </x:c>
      <x:c r="I1905" s="48" t="n">
        <x:v>0.45</x:v>
      </x:c>
      <x:c r="J1905" s="48" t="n">
        <x:v>0.68</x:v>
      </x:c>
      <x:c r="K1905" s="48" t="str">
        <x:v>Yes</x:v>
      </x:c>
      <x:c r="L1905" s="48" t="str">
        <x:v>PDF text</x:v>
      </x:c>
    </x:row>
    <x:row r="1906">
      <x:c r="A1906" s="48" t="str">
        <x:v>UNI-1905</x:v>
      </x:c>
      <x:c r="B1906" s="48" t="str">
        <x:v>YELLOW</x:v>
      </x:c>
      <x:c r="C1906" s="48" t="str">
        <x:v>English</x:v>
      </x:c>
      <x:c r="D1906" s="48" t="n">
        <x:v>72</x:v>
      </x:c>
      <x:c r="E1906" s="48" t="str"/>
      <x:c r="F1906" s="48" t="str">
        <x:v>at commercially reasonable terms, with deductibles per occurrence of not more than the amount stated in the Appendix to Tender (if an amount is not so stated, this sub-paragraph (d) shall not apply), and (e) may however exclude loss of, damage to, and reinstatement of: (i) a part of the Works which is in a defective condition due to a defect in its design, materials or workmanship (but cover shall include any other parts which are lost or damaged as a direct result of this defective condition and not as described in sub-paragraph (ii) below), (ii) a part of the Works which is lost or damaged in order to reinstate any other part of the Works if this other part is in a defective condition due to a defect in its design, materials or workmanship, (iii) a part of the Works which has been taken over by the Employer, except to the extent that the Contractor is liable for the loss or damage, and (iv) Goods while they are not in the Country, subject to Sub-Clause 14.5 [Plant and Materials intended for the Works].</x:v>
      </x:c>
      <x:c r="G1906" s="48" t="str">
        <x:v>Risk</x:v>
      </x:c>
      <x:c r="H1906" s="48" t="str">
        <x:v>Shared</x:v>
      </x:c>
      <x:c r="I1906" s="48" t="n">
        <x:v>0.78</x:v>
      </x:c>
      <x:c r="J1906" s="48" t="n">
        <x:v>0.6</x:v>
      </x:c>
      <x:c r="K1906" s="48" t="str">
        <x:v>Yes</x:v>
      </x:c>
      <x:c r="L1906" s="48" t="str">
        <x:v>PDF text</x:v>
      </x:c>
    </x:row>
    <x:row r="1907">
      <x:c r="A1907" s="48" t="str">
        <x:v>UNI-1906</x:v>
      </x:c>
      <x:c r="B1907" s="48" t="str">
        <x:v>YELLOW</x:v>
      </x:c>
      <x:c r="C1907" s="48" t="str">
        <x:v>English</x:v>
      </x:c>
      <x:c r="D1907" s="48" t="n">
        <x:v>72</x:v>
      </x:c>
      <x:c r="E1907" s="48" t="str"/>
      <x:c r="F1907" s="48" t="str">
        <x:v>If, more than one year after the Base Date, the cover described in sub-paragraph</x:v>
      </x:c>
      <x:c r="G1907" s="48" t="str">
        <x:v>Obligation</x:v>
      </x:c>
      <x:c r="H1907" s="48" t="str">
        <x:v>Shared</x:v>
      </x:c>
      <x:c r="I1907" s="48" t="n">
        <x:v>0.45</x:v>
      </x:c>
      <x:c r="J1907" s="48" t="n">
        <x:v>0.4</x:v>
      </x:c>
      <x:c r="K1907" s="48" t="str">
        <x:v>Yes</x:v>
      </x:c>
      <x:c r="L1907" s="48" t="str">
        <x:v>PDF text</x:v>
      </x:c>
    </x:row>
    <x:row r="1908">
      <x:c r="A1908" s="48" t="str">
        <x:v>UNI-1907</x:v>
      </x:c>
      <x:c r="B1908" s="48" t="str">
        <x:v>YELLOW</x:v>
      </x:c>
      <x:c r="C1908" s="48" t="str">
        <x:v>English</x:v>
      </x:c>
      <x:c r="D1908" s="48" t="n">
        <x:v>72</x:v>
      </x:c>
      <x:c r="E1908" s="48" t="str"/>
      <x:c r="F1908" s="48" t="str">
        <x:v>(d) above ceases to be available at commercially reasonable terms, the Contractor shall (as insuring Party) give notice to the Employer, with supporting particulars.</x:v>
      </x:c>
      <x:c r="G1908" s="48" t="str">
        <x:v>Obligation</x:v>
      </x:c>
      <x:c r="H1908" s="48" t="str">
        <x:v>Contractor</x:v>
      </x:c>
      <x:c r="I1908" s="48" t="n">
        <x:v>0.88</x:v>
      </x:c>
      <x:c r="J1908" s="48" t="n">
        <x:v>0.92</x:v>
      </x:c>
      <x:c r="K1908" s="48" t="str">
        <x:v>No</x:v>
      </x:c>
      <x:c r="L1908" s="48" t="str">
        <x:v>PDF text</x:v>
      </x:c>
    </x:row>
    <x:row r="1909">
      <x:c r="A1909" s="48" t="str">
        <x:v>UNI-1908</x:v>
      </x:c>
      <x:c r="B1909" s="48" t="str">
        <x:v>YELLOW</x:v>
      </x:c>
      <x:c r="C1909" s="48" t="str">
        <x:v>English</x:v>
      </x:c>
      <x:c r="D1909" s="48" t="n">
        <x:v>72</x:v>
      </x:c>
      <x:c r="E1909" s="48" t="str"/>
      <x:c r="F1909" s="48" t="str">
        <x:v>The Employer shall then (i) be entitled subject to Sub-Clause 2.5 [Employer's Claims] to payment of an amount equivalent to such commercially reasonable terms as the Contractor should have expected to have paid for such cover, and (ii) be deemed, unless he obtains the cover at commercially reasonable terms, to have approved the omission under Sub-Clause 18.1 [General Requirements for Insurances].</x:v>
      </x:c>
      <x:c r="G1909" s="48" t="str">
        <x:v>Obligation</x:v>
      </x:c>
      <x:c r="H1909" s="48" t="str">
        <x:v>Employer</x:v>
      </x:c>
      <x:c r="I1909" s="48" t="n">
        <x:v>0.88</x:v>
      </x:c>
      <x:c r="J1909" s="48" t="n">
        <x:v>0.92</x:v>
      </x:c>
      <x:c r="K1909" s="48" t="str">
        <x:v>No</x:v>
      </x:c>
      <x:c r="L1909" s="48" t="str">
        <x:v>PDF text</x:v>
      </x:c>
    </x:row>
    <x:row r="1910">
      <x:c r="A1910" s="48" t="str">
        <x:v>UNI-1909</x:v>
      </x:c>
      <x:c r="B1910" s="48" t="str">
        <x:v>YELLOW</x:v>
      </x:c>
      <x:c r="C1910" s="48" t="str">
        <x:v>English</x:v>
      </x:c>
      <x:c r="D1910" s="48" t="n">
        <x:v>73</x:v>
      </x:c>
      <x:c r="E1910" s="48" t="str"/>
      <x:c r="F1910" s="48" t="str">
        <x:v>The insuring Party shall insure against each Party's liability for any loss, damage, death or bodily injury which may occur to any physical property (except things insured under Sub-Clause 18.2 [Insurance for Works and Contractor's Equipment]) or to any person (except persons insured under Sub-Clause 18.4 [Insurance for Contractor's Personnel]), which may arise out of the Contractor's performance of the Contract and occurring before the issue of the Performance Certificate.</x:v>
      </x:c>
      <x:c r="G1910" s="48" t="str">
        <x:v>Risk</x:v>
      </x:c>
      <x:c r="H1910" s="48" t="str">
        <x:v>Shared</x:v>
      </x:c>
      <x:c r="I1910" s="48" t="n">
        <x:v>0.78</x:v>
      </x:c>
      <x:c r="J1910" s="48" t="n">
        <x:v>0.93</x:v>
      </x:c>
      <x:c r="K1910" s="48" t="str">
        <x:v>No</x:v>
      </x:c>
      <x:c r="L1910" s="48" t="str">
        <x:v>PDF text</x:v>
      </x:c>
    </x:row>
    <x:row r="1911">
      <x:c r="A1911" s="48" t="str">
        <x:v>UNI-1910</x:v>
      </x:c>
      <x:c r="B1911" s="48" t="str">
        <x:v>YELLOW</x:v>
      </x:c>
      <x:c r="C1911" s="48" t="str">
        <x:v>English</x:v>
      </x:c>
      <x:c r="D1911" s="48" t="n">
        <x:v>73</x:v>
      </x:c>
      <x:c r="E1911" s="48" t="str"/>
      <x:c r="F1911" s="48" t="str">
        <x:v>This insurance shall be for a limit per occurrence of not less than the amount stated in the Appendix to Tender, with no limit on the number of occurrences.</x:v>
      </x:c>
      <x:c r="G1911" s="48" t="str">
        <x:v>Obligation</x:v>
      </x:c>
      <x:c r="H1911" s="48" t="str">
        <x:v>Shared</x:v>
      </x:c>
      <x:c r="I1911" s="48" t="n">
        <x:v>0.88</x:v>
      </x:c>
      <x:c r="J1911" s="48" t="n">
        <x:v>0.4</x:v>
      </x:c>
      <x:c r="K1911" s="48" t="str">
        <x:v>Yes</x:v>
      </x:c>
      <x:c r="L1911" s="48" t="str">
        <x:v>PDF text</x:v>
      </x:c>
    </x:row>
    <x:row r="1912">
      <x:c r="A1912" s="48" t="str">
        <x:v>UNI-1911</x:v>
      </x:c>
      <x:c r="B1912" s="48" t="str">
        <x:v>YELLOW</x:v>
      </x:c>
      <x:c r="C1912" s="48" t="str">
        <x:v>English</x:v>
      </x:c>
      <x:c r="D1912" s="48" t="n">
        <x:v>73</x:v>
      </x:c>
      <x:c r="E1912" s="48" t="str"/>
      <x:c r="F1912" s="48" t="str">
        <x:v>Unless otherwise stated in the Particular Conditions, the insurances specified in this Sub-Clause: (a) shall be effected and maintained by the Contractor as insuring Party, (b) shall be in the joint names of the Parties, (c) shall be extended to cover liability for all loss and damage to the Employer's property (except things insured under Sub-Clause 18.2) arising out of the</x:v>
      </x:c>
      <x:c r="G1912" s="48" t="str">
        <x:v>Risk</x:v>
      </x:c>
      <x:c r="H1912" s="48" t="str">
        <x:v>Shared</x:v>
      </x:c>
      <x:c r="I1912" s="48" t="n">
        <x:v>0.78</x:v>
      </x:c>
      <x:c r="J1912" s="48" t="n">
        <x:v>0.93</x:v>
      </x:c>
      <x:c r="K1912" s="48" t="str">
        <x:v>No</x:v>
      </x:c>
      <x:c r="L1912" s="48" t="str">
        <x:v>PDF text</x:v>
      </x:c>
    </x:row>
    <x:row r="1913">
      <x:c r="A1913" s="48" t="str">
        <x:v>UNI-1912</x:v>
      </x:c>
      <x:c r="B1913" s="48" t="str">
        <x:v>YELLOW</x:v>
      </x:c>
      <x:c r="C1913" s="48" t="str">
        <x:v>English</x:v>
      </x:c>
      <x:c r="D1913" s="48" t="n">
        <x:v>73</x:v>
      </x:c>
      <x:c r="E1913" s="48" t="str"/>
      <x:c r="F1913" s="48" t="str">
        <x:v>Contractor's performance of the Contract, and</x:v>
      </x:c>
      <x:c r="G1913" s="48" t="str">
        <x:v>Obligation</x:v>
      </x:c>
      <x:c r="H1913" s="48" t="str">
        <x:v>Contractor</x:v>
      </x:c>
      <x:c r="I1913" s="48" t="n">
        <x:v>0.45</x:v>
      </x:c>
      <x:c r="J1913" s="48" t="n">
        <x:v>0.68</x:v>
      </x:c>
      <x:c r="K1913" s="48" t="str">
        <x:v>Yes</x:v>
      </x:c>
      <x:c r="L1913" s="48" t="str">
        <x:v>PDF text</x:v>
      </x:c>
    </x:row>
    <x:row r="1914">
      <x:c r="A1914" s="48" t="str">
        <x:v>UNI-1913</x:v>
      </x:c>
      <x:c r="B1914" s="48" t="str">
        <x:v>YELLOW</x:v>
      </x:c>
      <x:c r="C1914" s="48" t="str">
        <x:v>English</x:v>
      </x:c>
      <x:c r="D1914" s="48" t="n">
        <x:v>73</x:v>
      </x:c>
      <x:c r="E1914" s="48" t="str"/>
      <x:c r="F1914" s="48" t="str">
        <x:v>(d) may however exclude liability to the extent that it arises from: (i) the Employer's right to have the Permanent Works executed on, over, under, in or through any land, and to occupy this land for the Permanent Works, (ii) damage which is an unavoidable result of the Contractor's obligations to execute the Works and remedy any defects, and (iii) a cause listed in Sub-Clause 17.3 [Employer's Risks], except to the extent that cover is available at commercially reasonable terms.</x:v>
      </x:c>
      <x:c r="G1914" s="48" t="str">
        <x:v>Risk</x:v>
      </x:c>
      <x:c r="H1914" s="48" t="str">
        <x:v>Employer</x:v>
      </x:c>
      <x:c r="I1914" s="48" t="n">
        <x:v>0.78</x:v>
      </x:c>
      <x:c r="J1914" s="48" t="n">
        <x:v>0.9</x:v>
      </x:c>
      <x:c r="K1914" s="48" t="str">
        <x:v>No</x:v>
      </x:c>
      <x:c r="L1914" s="48" t="str">
        <x:v>PDF text</x:v>
      </x:c>
    </x:row>
    <x:row r="1915">
      <x:c r="A1915" s="48" t="str">
        <x:v>UNI-1914</x:v>
      </x:c>
      <x:c r="B1915" s="48" t="str">
        <x:v>YELLOW</x:v>
      </x:c>
      <x:c r="C1915" s="48" t="str">
        <x:v>English</x:v>
      </x:c>
      <x:c r="D1915" s="48" t="n">
        <x:v>73</x:v>
      </x:c>
      <x:c r="E1915" s="48" t="str"/>
      <x:c r="F1915" s="48" t="str">
        <x:v>damages, losses and expenses (including legal fees and expenses) arising from injury, sickness, disease or death of any person employed by the Contractor or any other of the Contractor's Personnel.</x:v>
      </x:c>
      <x:c r="G1915" s="48" t="str">
        <x:v>Obligation</x:v>
      </x:c>
      <x:c r="H1915" s="48" t="str">
        <x:v>Contractor</x:v>
      </x:c>
      <x:c r="I1915" s="48" t="n">
        <x:v>0.45</x:v>
      </x:c>
      <x:c r="J1915" s="48" t="n">
        <x:v>0.68</x:v>
      </x:c>
      <x:c r="K1915" s="48" t="str">
        <x:v>Yes</x:v>
      </x:c>
      <x:c r="L1915" s="48" t="str">
        <x:v>PDF text</x:v>
      </x:c>
    </x:row>
    <x:row r="1916">
      <x:c r="A1916" s="48" t="str">
        <x:v>UNI-1915</x:v>
      </x:c>
      <x:c r="B1916" s="48" t="str">
        <x:v>YELLOW</x:v>
      </x:c>
      <x:c r="C1916" s="48" t="str">
        <x:v>English</x:v>
      </x:c>
      <x:c r="D1916" s="48" t="n">
        <x:v>73</x:v>
      </x:c>
      <x:c r="E1916" s="48" t="str"/>
      <x:c r="F1916" s="48" t="str">
        <x:v>insurance, except that this insurance may exclude losses and claims to the extent that they arise from any act or neglect of the Employer or of the Employer's Personnel.</x:v>
      </x:c>
      <x:c r="G1916" s="48" t="str">
        <x:v>Right</x:v>
      </x:c>
      <x:c r="H1916" s="48" t="str">
        <x:v>Employer</x:v>
      </x:c>
      <x:c r="I1916" s="48" t="n">
        <x:v>0.78</x:v>
      </x:c>
      <x:c r="J1916" s="48" t="n">
        <x:v>0.68</x:v>
      </x:c>
      <x:c r="K1916" s="48" t="str">
        <x:v>Yes</x:v>
      </x:c>
      <x:c r="L1916" s="48" t="str">
        <x:v>PDF text</x:v>
      </x:c>
    </x:row>
    <x:row r="1917">
      <x:c r="A1917" s="48" t="str">
        <x:v>UNI-1916</x:v>
      </x:c>
      <x:c r="B1917" s="48" t="str">
        <x:v>YELLOW</x:v>
      </x:c>
      <x:c r="C1917" s="48" t="str">
        <x:v>English</x:v>
      </x:c>
      <x:c r="D1917" s="48" t="n">
        <x:v>73</x:v>
      </x:c>
      <x:c r="E1917" s="48" t="str"/>
      <x:c r="F1917" s="48" t="str">
        <x:v>For a Subcontractor's employees, the insurance may be effected by the Subcontractor, but the Contractor shall be responsible for compliance with this Clause.</x:v>
      </x:c>
      <x:c r="G1917" s="48" t="str">
        <x:v>Obligation</x:v>
      </x:c>
      <x:c r="H1917" s="48" t="str">
        <x:v>Contractor</x:v>
      </x:c>
      <x:c r="I1917" s="48" t="n">
        <x:v>0.88</x:v>
      </x:c>
      <x:c r="J1917" s="48" t="n">
        <x:v>0.92</x:v>
      </x:c>
      <x:c r="K1917" s="48" t="str">
        <x:v>No</x:v>
      </x:c>
      <x:c r="L1917" s="48" t="str">
        <x:v>PDF text</x:v>
      </x:c>
    </x:row>
    <x:row r="1918">
      <x:c r="A1918" s="48" t="str">
        <x:v>UNI-1917</x:v>
      </x:c>
      <x:c r="B1918" s="48" t="str">
        <x:v>YELLOW</x:v>
      </x:c>
      <x:c r="C1918" s="48" t="str">
        <x:v>English</x:v>
      </x:c>
      <x:c r="D1918" s="48" t="n">
        <x:v>73</x:v>
      </x:c>
      <x:c r="E1918" s="48" t="str"/>
      <x:c r="F1918" s="48" t="str">
        <x:v>In this Clause, "Force Majeure" means an exceptional event or circumstance: (a) which is beyond a Party's control, (b) which such Party could not reasonably have provided against before entering into the Contract, (c) which, having arisen, such Party could not reasonably have avoided or overcome, and (d) which is not substantially attributable to the other Party.</x:v>
      </x:c>
      <x:c r="G1918" s="48" t="str">
        <x:v>Definition</x:v>
      </x:c>
      <x:c r="H1918" s="48" t="str"/>
      <x:c r="I1918" s="48" t="n">
        <x:v>0.97</x:v>
      </x:c>
      <x:c r="J1918" s="48" t="n">
        <x:v>0.99</x:v>
      </x:c>
      <x:c r="K1918" s="48" t="str">
        <x:v>No</x:v>
      </x:c>
      <x:c r="L1918" s="48" t="str">
        <x:v>PDF text</x:v>
      </x:c>
    </x:row>
    <x:row r="1919">
      <x:c r="A1919" s="48" t="str">
        <x:v>UNI-1918</x:v>
      </x:c>
      <x:c r="B1919" s="48" t="str">
        <x:v>YELLOW</x:v>
      </x:c>
      <x:c r="C1919" s="48" t="str">
        <x:v>English</x:v>
      </x:c>
      <x:c r="D1919" s="48" t="n">
        <x:v>74</x:v>
      </x:c>
      <x:c r="E1919" s="48" t="str"/>
      <x:c r="F1919" s="48" t="str">
        <x:v>Sub-contractor</x:v>
      </x:c>
      <x:c r="G1919" s="48" t="str">
        <x:v>Obligation</x:v>
      </x:c>
      <x:c r="H1919" s="48" t="str">
        <x:v>Contractor</x:v>
      </x:c>
      <x:c r="I1919" s="48" t="n">
        <x:v>0.45</x:v>
      </x:c>
      <x:c r="J1919" s="48" t="n">
        <x:v>0.68</x:v>
      </x:c>
      <x:c r="K1919" s="48" t="str">
        <x:v>Yes</x:v>
      </x:c>
      <x:c r="L1919" s="48" t="str">
        <x:v>PDF text</x:v>
      </x:c>
    </x:row>
    <x:row r="1920">
      <x:c r="A1920" s="48" t="str">
        <x:v>UNI-1919</x:v>
      </x:c>
      <x:c r="B1920" s="48" t="str">
        <x:v>YELLOW</x:v>
      </x:c>
      <x:c r="C1920" s="48" t="str">
        <x:v>English</x:v>
      </x:c>
      <x:c r="D1920" s="48" t="n">
        <x:v>74</x:v>
      </x:c>
      <x:c r="E1920" s="48" t="str"/>
      <x:c r="F1920" s="48" t="str">
        <x:v>Force Majeure may include, but is not limited to, exceptional events or circumstances of the kind listed below, so long as conditions (a) to (d) above are satisfied: (i) war, hostilities (whether war be declared or not), invasion, act of foreign enemies, (ii) rebellion, terrorism, revolution, insurrection, military or usurped power, or civil war, (iii) riot, commotion, disorder, strike or lockout by persons other than the</x:v>
      </x:c>
      <x:c r="G1920" s="48" t="str">
        <x:v>Right</x:v>
      </x:c>
      <x:c r="H1920" s="48" t="str">
        <x:v>Shared</x:v>
      </x:c>
      <x:c r="I1920" s="48" t="n">
        <x:v>0.78</x:v>
      </x:c>
      <x:c r="J1920" s="48" t="n">
        <x:v>0.4</x:v>
      </x:c>
      <x:c r="K1920" s="48" t="str">
        <x:v>Yes</x:v>
      </x:c>
      <x:c r="L1920" s="48" t="str">
        <x:v>PDF text</x:v>
      </x:c>
    </x:row>
    <x:row r="1921">
      <x:c r="A1921" s="48" t="str">
        <x:v>UNI-1920</x:v>
      </x:c>
      <x:c r="B1921" s="48" t="str">
        <x:v>YELLOW</x:v>
      </x:c>
      <x:c r="C1921" s="48" t="str">
        <x:v>English</x:v>
      </x:c>
      <x:c r="D1921" s="48" t="n">
        <x:v>74</x:v>
      </x:c>
      <x:c r="E1921" s="48" t="str"/>
      <x:c r="F1921" s="48" t="str">
        <x:v>(iv) munitions of war, explosive materials, ionising radiation or contamination by radio-activity, except as may be attributable to the Contractor's use of such munitions, explosives, radiation or radio-activity, and (v) natural catastrophes such as earthquake, hurricane, typhoon or volcanic activity.</x:v>
      </x:c>
      <x:c r="G1921" s="48" t="str">
        <x:v>Right</x:v>
      </x:c>
      <x:c r="H1921" s="48" t="str">
        <x:v>Contractor</x:v>
      </x:c>
      <x:c r="I1921" s="48" t="n">
        <x:v>0.78</x:v>
      </x:c>
      <x:c r="J1921" s="48" t="n">
        <x:v>0.68</x:v>
      </x:c>
      <x:c r="K1921" s="48" t="str">
        <x:v>Yes</x:v>
      </x:c>
      <x:c r="L1921" s="48" t="str">
        <x:v>PDF text</x:v>
      </x:c>
    </x:row>
    <x:row r="1922">
      <x:c r="A1922" s="48" t="str">
        <x:v>UNI-1921</x:v>
      </x:c>
      <x:c r="B1922" s="48" t="str">
        <x:v>YELLOW</x:v>
      </x:c>
      <x:c r="C1922" s="48" t="str">
        <x:v>English</x:v>
      </x:c>
      <x:c r="D1922" s="48" t="n">
        <x:v>74</x:v>
      </x:c>
      <x:c r="E1922" s="48" t="str"/>
      <x:c r="F1922" s="48" t="str">
        <x:v>If a Party is or will be prevented from performing any of its obligations under the Contract by Force Majeure, then it shall give notice to the other Party of the event or circumstances constituting the Force Majeure and shall specify the obligations, the performance of which is or will be prevented.</x:v>
      </x:c>
      <x:c r="G1922" s="48" t="str">
        <x:v>Risk</x:v>
      </x:c>
      <x:c r="H1922" s="48" t="str">
        <x:v>Shared</x:v>
      </x:c>
      <x:c r="I1922" s="48" t="n">
        <x:v>0.78</x:v>
      </x:c>
      <x:c r="J1922" s="48" t="n">
        <x:v>0.4</x:v>
      </x:c>
      <x:c r="K1922" s="48" t="str">
        <x:v>Yes</x:v>
      </x:c>
      <x:c r="L1922" s="48" t="str">
        <x:v>PDF text</x:v>
      </x:c>
    </x:row>
    <x:row r="1923">
      <x:c r="A1923" s="48" t="str">
        <x:v>UNI-1922</x:v>
      </x:c>
      <x:c r="B1923" s="48" t="str">
        <x:v>YELLOW</x:v>
      </x:c>
      <x:c r="C1923" s="48" t="str">
        <x:v>English</x:v>
      </x:c>
      <x:c r="D1923" s="48" t="n">
        <x:v>74</x:v>
      </x:c>
      <x:c r="E1923" s="48" t="str"/>
      <x:c r="F1923" s="48" t="str">
        <x:v>The Party shall, having given notice, be excused performance of such obligations for so long as such Force Majeure prevents it from performing them.</x:v>
      </x:c>
      <x:c r="G1923" s="48" t="str">
        <x:v>Obligation</x:v>
      </x:c>
      <x:c r="H1923" s="48" t="str">
        <x:v>Shared</x:v>
      </x:c>
      <x:c r="I1923" s="48" t="n">
        <x:v>0.88</x:v>
      </x:c>
      <x:c r="J1923" s="48" t="n">
        <x:v>0.4</x:v>
      </x:c>
      <x:c r="K1923" s="48" t="str">
        <x:v>Yes</x:v>
      </x:c>
      <x:c r="L1923" s="48" t="str">
        <x:v>PDF text</x:v>
      </x:c>
    </x:row>
    <x:row r="1924">
      <x:c r="A1924" s="48" t="str">
        <x:v>UNI-1923</x:v>
      </x:c>
      <x:c r="B1924" s="48" t="str">
        <x:v>YELLOW</x:v>
      </x:c>
      <x:c r="C1924" s="48" t="str">
        <x:v>English</x:v>
      </x:c>
      <x:c r="D1924" s="48" t="n">
        <x:v>74</x:v>
      </x:c>
      <x:c r="E1924" s="48" t="str"/>
      <x:c r="F1924" s="48" t="str">
        <x:v>If the Contractor is prevented from performing any of his obligations under the</x:v>
      </x:c>
      <x:c r="G1924" s="48" t="str">
        <x:v>Obligation</x:v>
      </x:c>
      <x:c r="H1924" s="48" t="str">
        <x:v>Contractor</x:v>
      </x:c>
      <x:c r="I1924" s="48" t="n">
        <x:v>0.45</x:v>
      </x:c>
      <x:c r="J1924" s="48" t="n">
        <x:v>0.68</x:v>
      </x:c>
      <x:c r="K1924" s="48" t="str">
        <x:v>Yes</x:v>
      </x:c>
      <x:c r="L1924" s="48" t="str">
        <x:v>PDF text</x:v>
      </x:c>
    </x:row>
    <x:row r="1925">
      <x:c r="A1925" s="48" t="str">
        <x:v>UNI-1924</x:v>
      </x:c>
      <x:c r="B1925" s="48" t="str">
        <x:v>YELLOW</x:v>
      </x:c>
      <x:c r="C1925" s="48" t="str">
        <x:v>English</x:v>
      </x:c>
      <x:c r="D1925" s="48" t="n">
        <x:v>74</x:v>
      </x:c>
      <x:c r="E1925" s="48" t="str"/>
      <x:c r="F1925" s="48" t="str">
        <x:v>Contract by Force Majeure of which notice has been given under Sub-Clause 19.2 [Notice of Force Majeure], and suffers delay and/or incurs Cost by reason of such Force Majeure, the Contractor shall be entitled subject to Sub-Clause 20.1 [Contractor's Claims] to: (a) an extension of time for any such delay, if completion is or will be delayed, under Sub-Clause 8.4 [Extension of Time for Completion], and (b) if the event or circumstance is of the kind described in sub-paragraphs (i) to (iv) of Sub-Clause 19.1 [Definition of Force Majeure] and, in the case of subparagraphs (ii) to (iv), occurs in the Country, payment of any such Cost.</x:v>
      </x:c>
      <x:c r="G1925" s="48" t="str">
        <x:v>Risk</x:v>
      </x:c>
      <x:c r="H1925" s="48" t="str">
        <x:v>Contractor</x:v>
      </x:c>
      <x:c r="I1925" s="48" t="n">
        <x:v>0.78</x:v>
      </x:c>
      <x:c r="J1925" s="48" t="n">
        <x:v>0.92</x:v>
      </x:c>
      <x:c r="K1925" s="48" t="str">
        <x:v>No</x:v>
      </x:c>
      <x:c r="L1925" s="48" t="str">
        <x:v>PDF text</x:v>
      </x:c>
    </x:row>
    <x:row r="1926">
      <x:c r="A1926" s="48" t="str">
        <x:v>UNI-1925</x:v>
      </x:c>
      <x:c r="B1926" s="48" t="str">
        <x:v>YELLOW</x:v>
      </x:c>
      <x:c r="C1926" s="48" t="str">
        <x:v>English</x:v>
      </x:c>
      <x:c r="D1926" s="48" t="n">
        <x:v>74</x:v>
      </x:c>
      <x:c r="E1926" s="48" t="str"/>
      <x:c r="F1926" s="48" t="str">
        <x:v>If any Subcontractor is entitled under any contract or agreement relating to the Works to relief from force majeure on terms additional to or broader than those specified in</x:v>
      </x:c>
      <x:c r="G1926" s="48" t="str">
        <x:v>Risk</x:v>
      </x:c>
      <x:c r="H1926" s="48" t="str">
        <x:v>Shared</x:v>
      </x:c>
      <x:c r="I1926" s="48" t="n">
        <x:v>0.78</x:v>
      </x:c>
      <x:c r="J1926" s="48" t="n">
        <x:v>0.4</x:v>
      </x:c>
      <x:c r="K1926" s="48" t="str">
        <x:v>Yes</x:v>
      </x:c>
      <x:c r="L1926" s="48" t="str">
        <x:v>PDF text</x:v>
      </x:c>
    </x:row>
    <x:row r="1927">
      <x:c r="A1927" s="48" t="str">
        <x:v>UNI-1926</x:v>
      </x:c>
      <x:c r="B1927" s="48" t="str">
        <x:v>YELLOW</x:v>
      </x:c>
      <x:c r="C1927" s="48" t="str">
        <x:v>English</x:v>
      </x:c>
      <x:c r="D1927" s="48" t="n">
        <x:v>75</x:v>
      </x:c>
      <x:c r="E1927" s="48" t="str"/>
      <x:c r="F1927" s="48" t="str">
        <x:v>under the Law 20.1</x:v>
      </x:c>
      <x:c r="G1927" s="48" t="str">
        <x:v>Obligation</x:v>
      </x:c>
      <x:c r="H1927" s="48" t="str">
        <x:v>Shared</x:v>
      </x:c>
      <x:c r="I1927" s="48" t="n">
        <x:v>0.45</x:v>
      </x:c>
      <x:c r="J1927" s="48" t="n">
        <x:v>0.4</x:v>
      </x:c>
      <x:c r="K1927" s="48" t="str">
        <x:v>Yes</x:v>
      </x:c>
      <x:c r="L1927" s="48" t="str">
        <x:v>PDF text</x:v>
      </x:c>
    </x:row>
    <x:row r="1928">
      <x:c r="A1928" s="48" t="str">
        <x:v>UNI-1927</x:v>
      </x:c>
      <x:c r="B1928" s="48" t="str">
        <x:v>YELLOW</x:v>
      </x:c>
      <x:c r="C1928" s="48" t="str">
        <x:v>English</x:v>
      </x:c>
      <x:c r="D1928" s="48" t="n">
        <x:v>75</x:v>
      </x:c>
      <x:c r="E1928" s="48" t="str"/>
      <x:c r="F1928" s="48" t="str">
        <x:v>this Clause, such additional or broader force majeure events or circumstances shall not excuse the Contractor's non-performance or entitle him to relief under this Clause.</x:v>
      </x:c>
      <x:c r="G1928" s="48" t="str">
        <x:v>Obligation</x:v>
      </x:c>
      <x:c r="H1928" s="48" t="str">
        <x:v>Contractor</x:v>
      </x:c>
      <x:c r="I1928" s="48" t="n">
        <x:v>0.88</x:v>
      </x:c>
      <x:c r="J1928" s="48" t="n">
        <x:v>0.68</x:v>
      </x:c>
      <x:c r="K1928" s="48" t="str">
        <x:v>Yes</x:v>
      </x:c>
      <x:c r="L1928" s="48" t="str">
        <x:v>PDF text</x:v>
      </x:c>
    </x:row>
    <x:row r="1929">
      <x:c r="A1929" s="48" t="str">
        <x:v>UNI-1928</x:v>
      </x:c>
      <x:c r="B1929" s="48" t="str">
        <x:v>YELLOW</x:v>
      </x:c>
      <x:c r="C1929" s="48" t="str">
        <x:v>English</x:v>
      </x:c>
      <x:c r="D1929" s="48" t="n">
        <x:v>75</x:v>
      </x:c>
      <x:c r="E1929" s="48" t="str"/>
      <x:c r="F1929" s="48" t="str">
        <x:v>In this event, the termination shall take effect 7 days after the notice is given, and the Contractor shall proceed in accordance with Sub-Clause 16.3 [Cessation of Work and Removal of Contractor's Equipment].</x:v>
      </x:c>
      <x:c r="G1929" s="48" t="str">
        <x:v>Obligation</x:v>
      </x:c>
      <x:c r="H1929" s="48" t="str">
        <x:v>Contractor</x:v>
      </x:c>
      <x:c r="I1929" s="48" t="n">
        <x:v>0.88</x:v>
      </x:c>
      <x:c r="J1929" s="48" t="n">
        <x:v>0.92</x:v>
      </x:c>
      <x:c r="K1929" s="48" t="str">
        <x:v>No</x:v>
      </x:c>
      <x:c r="L1929" s="48" t="str">
        <x:v>PDF text</x:v>
      </x:c>
    </x:row>
    <x:row r="1930">
      <x:c r="A1930" s="48" t="str">
        <x:v>UNI-1929</x:v>
      </x:c>
      <x:c r="B1930" s="48" t="str">
        <x:v>YELLOW</x:v>
      </x:c>
      <x:c r="C1930" s="48" t="str">
        <x:v>English</x:v>
      </x:c>
      <x:c r="D1930" s="48" t="n">
        <x:v>75</x:v>
      </x:c>
      <x:c r="E1930" s="48" t="str"/>
      <x:c r="F1930" s="48" t="str">
        <x:v>Upon such termination, the Engineer shall determine the value of the work done and issue a Payment Certificate which shall include: (a) the amounts payable for any work carried out for which a price is stated in the Contract; (b) the Cost of Plant and Materials ordered for the Works which have been delivered to the Contractor, or of which the Contractor is liable to accept delivery: this Plant and Materials shall become the property of (and be at the risk of) the Employer when paid for by the Employer, and the Contractor shall place the same at the Employer's disposal; (c) any other Cost or liability which in the circumstances was reasonably incurred by the Contractor in the expectation of completing the Works; (d) the Cost of removal of Temporary Works and Contractor's Equipment from the</x:v>
      </x:c>
      <x:c r="G1930" s="48" t="str">
        <x:v>Risk</x:v>
      </x:c>
      <x:c r="H1930" s="48" t="str">
        <x:v>Contractor</x:v>
      </x:c>
      <x:c r="I1930" s="48" t="n">
        <x:v>0.78</x:v>
      </x:c>
      <x:c r="J1930" s="48" t="n">
        <x:v>0.92</x:v>
      </x:c>
      <x:c r="K1930" s="48" t="str">
        <x:v>No</x:v>
      </x:c>
      <x:c r="L1930" s="48" t="str">
        <x:v>PDF text</x:v>
      </x:c>
    </x:row>
    <x:row r="1931">
      <x:c r="A1931" s="48" t="str">
        <x:v>UNI-1930</x:v>
      </x:c>
      <x:c r="B1931" s="48" t="str">
        <x:v>YELLOW</x:v>
      </x:c>
      <x:c r="C1931" s="48" t="str">
        <x:v>English</x:v>
      </x:c>
      <x:c r="D1931" s="48" t="n">
        <x:v>75</x:v>
      </x:c>
      <x:c r="E1931" s="48" t="str"/>
      <x:c r="F1931" s="48" t="str">
        <x:v>Site and the return of these items to the Contractor's works in his country (or</x:v>
      </x:c>
      <x:c r="G1931" s="48" t="str">
        <x:v>Obligation</x:v>
      </x:c>
      <x:c r="H1931" s="48" t="str">
        <x:v>Contractor</x:v>
      </x:c>
      <x:c r="I1931" s="48" t="n">
        <x:v>0.45</x:v>
      </x:c>
      <x:c r="J1931" s="48" t="n">
        <x:v>0.68</x:v>
      </x:c>
      <x:c r="K1931" s="48" t="str">
        <x:v>Yes</x:v>
      </x:c>
      <x:c r="L1931" s="48" t="str">
        <x:v>PDF text</x:v>
      </x:c>
    </x:row>
    <x:row r="1932">
      <x:c r="A1932" s="48" t="str">
        <x:v>UNI-1931</x:v>
      </x:c>
      <x:c r="B1932" s="48" t="str">
        <x:v>YELLOW</x:v>
      </x:c>
      <x:c r="C1932" s="48" t="str">
        <x:v>English</x:v>
      </x:c>
      <x:c r="D1932" s="48" t="n">
        <x:v>75</x:v>
      </x:c>
      <x:c r="E1932" s="48" t="str"/>
      <x:c r="F1932" s="48" t="str">
        <x:v>to any other destination at no greater cost); and (e) the Cost of repatriation of the Contractor's staff and labour employed wholly in connection with the Works at the date of termination.</x:v>
      </x:c>
      <x:c r="G1932" s="48" t="str">
        <x:v>Obligation</x:v>
      </x:c>
      <x:c r="H1932" s="48" t="str">
        <x:v>Contractor</x:v>
      </x:c>
      <x:c r="I1932" s="48" t="n">
        <x:v>0.55</x:v>
      </x:c>
      <x:c r="J1932" s="48" t="n">
        <x:v>0.68</x:v>
      </x:c>
      <x:c r="K1932" s="48" t="str">
        <x:v>Yes</x:v>
      </x:c>
      <x:c r="L1932" s="48" t="str">
        <x:v>PDF text</x:v>
      </x:c>
    </x:row>
    <x:row r="1933">
      <x:c r="A1933" s="48" t="str">
        <x:v>UNI-1932</x:v>
      </x:c>
      <x:c r="B1933" s="48" t="str">
        <x:v>YELLOW</x:v>
      </x:c>
      <x:c r="C1933" s="48" t="str">
        <x:v>English</x:v>
      </x:c>
      <x:c r="D1933" s="48" t="n">
        <x:v>75</x:v>
      </x:c>
      <x:c r="E1933" s="48" t="str"/>
      <x:c r="F1933" s="48" t="str">
        <x:v>Completion and/or any additional payment, under any Clause of these Conditions or</x:v>
      </x:c>
      <x:c r="G1933" s="48" t="str">
        <x:v>Obligation</x:v>
      </x:c>
      <x:c r="H1933" s="48" t="str">
        <x:v>Shared</x:v>
      </x:c>
      <x:c r="I1933" s="48" t="n">
        <x:v>0.55</x:v>
      </x:c>
      <x:c r="J1933" s="48" t="n">
        <x:v>0.4</x:v>
      </x:c>
      <x:c r="K1933" s="48" t="str">
        <x:v>Yes</x:v>
      </x:c>
      <x:c r="L1933" s="48" t="str">
        <x:v>PDF text</x:v>
      </x:c>
    </x:row>
    <x:row r="1934">
      <x:c r="A1934" s="48" t="str">
        <x:v>UNI-1933</x:v>
      </x:c>
      <x:c r="B1934" s="48" t="str">
        <x:v>YELLOW</x:v>
      </x:c>
      <x:c r="C1934" s="48" t="str">
        <x:v>English</x:v>
      </x:c>
      <x:c r="D1934" s="48" t="n">
        <x:v>75</x:v>
      </x:c>
      <x:c r="E1934" s="48" t="str"/>
      <x:c r="F1934" s="48" t="str">
        <x:v>otherwise in connection with the Contract, the Contractor shall give notice to the Engineer, describing the event or circumstance giving rise to the claim.</x:v>
      </x:c>
      <x:c r="G1934" s="48" t="str">
        <x:v>Obligation</x:v>
      </x:c>
      <x:c r="H1934" s="48" t="str">
        <x:v>Contractor</x:v>
      </x:c>
      <x:c r="I1934" s="48" t="n">
        <x:v>0.88</x:v>
      </x:c>
      <x:c r="J1934" s="48" t="n">
        <x:v>0.92</x:v>
      </x:c>
      <x:c r="K1934" s="48" t="str">
        <x:v>No</x:v>
      </x:c>
      <x:c r="L1934" s="48" t="str">
        <x:v>PDF text</x:v>
      </x:c>
    </x:row>
    <x:row r="1935">
      <x:c r="A1935" s="48" t="str">
        <x:v>UNI-1934</x:v>
      </x:c>
      <x:c r="B1935" s="48" t="str">
        <x:v>YELLOW</x:v>
      </x:c>
      <x:c r="C1935" s="48" t="str">
        <x:v>English</x:v>
      </x:c>
      <x:c r="D1935" s="48" t="n">
        <x:v>75</x:v>
      </x:c>
      <x:c r="E1935" s="48" t="str"/>
      <x:c r="F1935" s="48" t="str">
        <x:v>The notice shall be given as soon as practicable, and not later than 28 days after the Contractor became aware, or should have become aware, of the event or circumstance.</x:v>
      </x:c>
      <x:c r="G1935" s="48" t="str">
        <x:v>Obligation</x:v>
      </x:c>
      <x:c r="H1935" s="48" t="str">
        <x:v>Contractor</x:v>
      </x:c>
      <x:c r="I1935" s="48" t="n">
        <x:v>0.88</x:v>
      </x:c>
      <x:c r="J1935" s="48" t="n">
        <x:v>0.68</x:v>
      </x:c>
      <x:c r="K1935" s="48" t="str">
        <x:v>Yes</x:v>
      </x:c>
      <x:c r="L1935" s="48" t="str">
        <x:v>PDF text</x:v>
      </x:c>
    </x:row>
    <x:row r="1936">
      <x:c r="A1936" s="48" t="str">
        <x:v>UNI-1935</x:v>
      </x:c>
      <x:c r="B1936" s="48" t="str">
        <x:v>YELLOW</x:v>
      </x:c>
      <x:c r="C1936" s="48" t="str">
        <x:v>English</x:v>
      </x:c>
      <x:c r="D1936" s="48" t="n">
        <x:v>76</x:v>
      </x:c>
      <x:c r="E1936" s="48" t="str"/>
      <x:c r="F1936" s="48" t="str">
        <x:v>Without admitting the Employer's liability, the Engineer may, after receiving any notice under this Sub-Clause, monitor the record-keeping and/or instruct the Contractor to keep further contemporary records.</x:v>
      </x:c>
      <x:c r="G1936" s="48" t="str">
        <x:v>Risk</x:v>
      </x:c>
      <x:c r="H1936" s="48" t="str">
        <x:v>Shared</x:v>
      </x:c>
      <x:c r="I1936" s="48" t="n">
        <x:v>0.78</x:v>
      </x:c>
      <x:c r="J1936" s="48" t="n">
        <x:v>0.6</x:v>
      </x:c>
      <x:c r="K1936" s="48" t="str">
        <x:v>Yes</x:v>
      </x:c>
      <x:c r="L1936" s="48" t="str">
        <x:v>PDF text</x:v>
      </x:c>
    </x:row>
    <x:row r="1937">
      <x:c r="A1937" s="48" t="str">
        <x:v>UNI-1936</x:v>
      </x:c>
      <x:c r="B1937" s="48" t="str">
        <x:v>YELLOW</x:v>
      </x:c>
      <x:c r="C1937" s="48" t="str">
        <x:v>English</x:v>
      </x:c>
      <x:c r="D1937" s="48" t="n">
        <x:v>77</x:v>
      </x:c>
      <x:c r="E1937" s="48" t="str"/>
      <x:c r="F1937" s="48" t="str">
        <x:v>Dispute Adjudication</x:v>
      </x:c>
      <x:c r="G1937" s="48" t="str">
        <x:v>Obligation</x:v>
      </x:c>
      <x:c r="H1937" s="48" t="str">
        <x:v>Shared</x:v>
      </x:c>
      <x:c r="I1937" s="48" t="n">
        <x:v>0.55</x:v>
      </x:c>
      <x:c r="J1937" s="48" t="n">
        <x:v>0.4</x:v>
      </x:c>
      <x:c r="K1937" s="48" t="str">
        <x:v>Yes</x:v>
      </x:c>
      <x:c r="L1937" s="48" t="str">
        <x:v>PDF text</x:v>
      </x:c>
    </x:row>
    <x:row r="1938">
      <x:c r="A1938" s="48" t="str">
        <x:v>UNI-1937</x:v>
      </x:c>
      <x:c r="B1938" s="48" t="str">
        <x:v>YELLOW</x:v>
      </x:c>
      <x:c r="C1938" s="48" t="str">
        <x:v>English</x:v>
      </x:c>
      <x:c r="D1938" s="48" t="n">
        <x:v>77</x:v>
      </x:c>
      <x:c r="E1938" s="48" t="str"/>
      <x:c r="F1938" s="48" t="str">
        <x:v>Failure to Agree Dispute</x:v>
      </x:c>
      <x:c r="G1938" s="48" t="str">
        <x:v>Obligation</x:v>
      </x:c>
      <x:c r="H1938" s="48" t="str">
        <x:v>Shared</x:v>
      </x:c>
      <x:c r="I1938" s="48" t="n">
        <x:v>0.55</x:v>
      </x:c>
      <x:c r="J1938" s="48" t="n">
        <x:v>0.4</x:v>
      </x:c>
      <x:c r="K1938" s="48" t="str">
        <x:v>Yes</x:v>
      </x:c>
      <x:c r="L1938" s="48" t="str">
        <x:v>PDF text</x:v>
      </x:c>
    </x:row>
    <x:row r="1939">
      <x:c r="A1939" s="48" t="str">
        <x:v>UNI-1938</x:v>
      </x:c>
      <x:c r="B1939" s="48" t="str">
        <x:v>YELLOW</x:v>
      </x:c>
      <x:c r="C1939" s="48" t="str">
        <x:v>English</x:v>
      </x:c>
      <x:c r="D1939" s="48" t="n">
        <x:v>77</x:v>
      </x:c>
      <x:c r="E1939" s="48" t="str"/>
      <x:c r="F1939" s="48" t="str">
        <x:v>Adjudication Board</x:v>
      </x:c>
      <x:c r="G1939" s="48" t="str">
        <x:v>Obligation</x:v>
      </x:c>
      <x:c r="H1939" s="48" t="str">
        <x:v>Shared</x:v>
      </x:c>
      <x:c r="I1939" s="48" t="n">
        <x:v>0.45</x:v>
      </x:c>
      <x:c r="J1939" s="48" t="n">
        <x:v>0.4</x:v>
      </x:c>
      <x:c r="K1939" s="48" t="str">
        <x:v>Yes</x:v>
      </x:c>
      <x:c r="L1939" s="48" t="str">
        <x:v>PDF text</x:v>
      </x:c>
    </x:row>
    <x:row r="1940">
      <x:c r="A1940" s="48" t="str">
        <x:v>UNI-1939</x:v>
      </x:c>
      <x:c r="B1940" s="48" t="str">
        <x:v>YELLOW</x:v>
      </x:c>
      <x:c r="C1940" s="48" t="str">
        <x:v>English</x:v>
      </x:c>
      <x:c r="D1940" s="48" t="n">
        <x:v>77</x:v>
      </x:c>
      <x:c r="E1940" s="48" t="str"/>
      <x:c r="F1940" s="48" t="str">
        <x:v>Disputes shall be adjudicated by a DAB in accordance with Sub-Clause 20.4 [Obtaining Dispute Adjudication Board's Decision].</x:v>
      </x:c>
      <x:c r="G1940" s="48" t="str">
        <x:v>Obligation</x:v>
      </x:c>
      <x:c r="H1940" s="48" t="str">
        <x:v>Shared</x:v>
      </x:c>
      <x:c r="I1940" s="48" t="n">
        <x:v>0.88</x:v>
      </x:c>
      <x:c r="J1940" s="48" t="n">
        <x:v>0.4</x:v>
      </x:c>
      <x:c r="K1940" s="48" t="str">
        <x:v>Yes</x:v>
      </x:c>
      <x:c r="L1940" s="48" t="str">
        <x:v>PDF text</x:v>
      </x:c>
    </x:row>
    <x:row r="1941">
      <x:c r="A1941" s="48" t="str">
        <x:v>UNI-1940</x:v>
      </x:c>
      <x:c r="B1941" s="48" t="str">
        <x:v>YELLOW</x:v>
      </x:c>
      <x:c r="C1941" s="48" t="str">
        <x:v>English</x:v>
      </x:c>
      <x:c r="D1941" s="48" t="n">
        <x:v>77</x:v>
      </x:c>
      <x:c r="E1941" s="48" t="str"/>
      <x:c r="F1941" s="48" t="str">
        <x:v>The Parties shall jointly appoint a DAB by the date 28 days after a Party gives notice to the other Party of its intention to refer a dispute to a DAB in accordance with Sub-Clause 20.4.</x:v>
      </x:c>
      <x:c r="G1941" s="48" t="str">
        <x:v>Obligation</x:v>
      </x:c>
      <x:c r="H1941" s="48" t="str">
        <x:v>Shared</x:v>
      </x:c>
      <x:c r="I1941" s="48" t="n">
        <x:v>0.88</x:v>
      </x:c>
      <x:c r="J1941" s="48" t="n">
        <x:v>0.93</x:v>
      </x:c>
      <x:c r="K1941" s="48" t="str">
        <x:v>No</x:v>
      </x:c>
      <x:c r="L1941" s="48" t="str">
        <x:v>PDF text</x:v>
      </x:c>
    </x:row>
    <x:row r="1942">
      <x:c r="A1942" s="48" t="str">
        <x:v>UNI-1941</x:v>
      </x:c>
      <x:c r="B1942" s="48" t="str">
        <x:v>YELLOW</x:v>
      </x:c>
      <x:c r="C1942" s="48" t="str">
        <x:v>English</x:v>
      </x:c>
      <x:c r="D1942" s="48" t="n">
        <x:v>77</x:v>
      </x:c>
      <x:c r="E1942" s="48" t="str"/>
      <x:c r="F1942" s="48" t="str">
        <x:v>The DAB shall comprise, as stated in the Appendix to Tender, either one or three</x:v>
      </x:c>
      <x:c r="G1942" s="48" t="str">
        <x:v>Obligation</x:v>
      </x:c>
      <x:c r="H1942" s="48" t="str">
        <x:v>Shared</x:v>
      </x:c>
      <x:c r="I1942" s="48" t="n">
        <x:v>0.88</x:v>
      </x:c>
      <x:c r="J1942" s="48" t="n">
        <x:v>0.4</x:v>
      </x:c>
      <x:c r="K1942" s="48" t="str">
        <x:v>Yes</x:v>
      </x:c>
      <x:c r="L1942" s="48" t="str">
        <x:v>PDF text</x:v>
      </x:c>
    </x:row>
    <x:row r="1943">
      <x:c r="A1943" s="48" t="str">
        <x:v>UNI-1942</x:v>
      </x:c>
      <x:c r="B1943" s="48" t="str">
        <x:v>YELLOW</x:v>
      </x:c>
      <x:c r="C1943" s="48" t="str">
        <x:v>English</x:v>
      </x:c>
      <x:c r="D1943" s="48" t="n">
        <x:v>77</x:v>
      </x:c>
      <x:c r="E1943" s="48" t="str"/>
      <x:c r="F1943" s="48" t="str">
        <x:v>suitably qualified persons ("the members").</x:v>
      </x:c>
      <x:c r="G1943" s="48" t="str">
        <x:v>Obligation</x:v>
      </x:c>
      <x:c r="H1943" s="48" t="str">
        <x:v>Shared</x:v>
      </x:c>
      <x:c r="I1943" s="48" t="n">
        <x:v>0.45</x:v>
      </x:c>
      <x:c r="J1943" s="48" t="n">
        <x:v>0.4</x:v>
      </x:c>
      <x:c r="K1943" s="48" t="str">
        <x:v>Yes</x:v>
      </x:c>
      <x:c r="L1943" s="48" t="str">
        <x:v>PDF text</x:v>
      </x:c>
    </x:row>
    <x:row r="1944">
      <x:c r="A1944" s="48" t="str">
        <x:v>UNI-1943</x:v>
      </x:c>
      <x:c r="B1944" s="48" t="str">
        <x:v>YELLOW</x:v>
      </x:c>
      <x:c r="C1944" s="48" t="str">
        <x:v>English</x:v>
      </x:c>
      <x:c r="D1944" s="48" t="n">
        <x:v>77</x:v>
      </x:c>
      <x:c r="E1944" s="48" t="str"/>
      <x:c r="F1944" s="48" t="str">
        <x:v>If the number is not so stated and the Parties do not agree otherwise, the DAB shall comprise three persons.</x:v>
      </x:c>
      <x:c r="G1944" s="48" t="str">
        <x:v>Obligation</x:v>
      </x:c>
      <x:c r="H1944" s="48" t="str">
        <x:v>Shared</x:v>
      </x:c>
      <x:c r="I1944" s="48" t="n">
        <x:v>0.88</x:v>
      </x:c>
      <x:c r="J1944" s="48" t="n">
        <x:v>0.93</x:v>
      </x:c>
      <x:c r="K1944" s="48" t="str">
        <x:v>No</x:v>
      </x:c>
      <x:c r="L1944" s="48" t="str">
        <x:v>PDF text</x:v>
      </x:c>
    </x:row>
    <x:row r="1945">
      <x:c r="A1945" s="48" t="str">
        <x:v>UNI-1944</x:v>
      </x:c>
      <x:c r="B1945" s="48" t="str">
        <x:v>YELLOW</x:v>
      </x:c>
      <x:c r="C1945" s="48" t="str">
        <x:v>English</x:v>
      </x:c>
      <x:c r="D1945" s="48" t="n">
        <x:v>77</x:v>
      </x:c>
      <x:c r="E1945" s="48" t="str"/>
      <x:c r="F1945" s="48" t="str">
        <x:v>If the DAB is to comprise three persons, each Party shall nominate one member for</x:v>
      </x:c>
      <x:c r="G1945" s="48" t="str">
        <x:v>Obligation</x:v>
      </x:c>
      <x:c r="H1945" s="48" t="str">
        <x:v>Shared</x:v>
      </x:c>
      <x:c r="I1945" s="48" t="n">
        <x:v>0.88</x:v>
      </x:c>
      <x:c r="J1945" s="48" t="n">
        <x:v>0.93</x:v>
      </x:c>
      <x:c r="K1945" s="48" t="str">
        <x:v>No</x:v>
      </x:c>
      <x:c r="L1945" s="48" t="str">
        <x:v>PDF text</x:v>
      </x:c>
    </x:row>
    <x:row r="1946">
      <x:c r="A1946" s="48" t="str">
        <x:v>UNI-1945</x:v>
      </x:c>
      <x:c r="B1946" s="48" t="str">
        <x:v>YELLOW</x:v>
      </x:c>
      <x:c r="C1946" s="48" t="str">
        <x:v>English</x:v>
      </x:c>
      <x:c r="D1946" s="48" t="n">
        <x:v>77</x:v>
      </x:c>
      <x:c r="E1946" s="48" t="str"/>
      <x:c r="F1946" s="48" t="str">
        <x:v>the approval of the other Party.</x:v>
      </x:c>
      <x:c r="G1946" s="48" t="str">
        <x:v>Obligation</x:v>
      </x:c>
      <x:c r="H1946" s="48" t="str">
        <x:v>Shared</x:v>
      </x:c>
      <x:c r="I1946" s="48" t="n">
        <x:v>0.45</x:v>
      </x:c>
      <x:c r="J1946" s="48" t="n">
        <x:v>0.4</x:v>
      </x:c>
      <x:c r="K1946" s="48" t="str">
        <x:v>Yes</x:v>
      </x:c>
      <x:c r="L1946" s="48" t="str">
        <x:v>PDF text</x:v>
      </x:c>
    </x:row>
    <x:row r="1947">
      <x:c r="A1947" s="48" t="str">
        <x:v>UNI-1946</x:v>
      </x:c>
      <x:c r="B1947" s="48" t="str">
        <x:v>YELLOW</x:v>
      </x:c>
      <x:c r="C1947" s="48" t="str">
        <x:v>English</x:v>
      </x:c>
      <x:c r="D1947" s="48" t="n">
        <x:v>77</x:v>
      </x:c>
      <x:c r="E1947" s="48" t="str"/>
      <x:c r="F1947" s="48" t="str">
        <x:v>The Parties shall consult both these members and shall agree upon the third member, who shall be appointed to act as chairman.</x:v>
      </x:c>
      <x:c r="G1947" s="48" t="str">
        <x:v>Obligation</x:v>
      </x:c>
      <x:c r="H1947" s="48" t="str">
        <x:v>Shared</x:v>
      </x:c>
      <x:c r="I1947" s="48" t="n">
        <x:v>0.88</x:v>
      </x:c>
      <x:c r="J1947" s="48" t="n">
        <x:v>0.93</x:v>
      </x:c>
      <x:c r="K1947" s="48" t="str">
        <x:v>No</x:v>
      </x:c>
      <x:c r="L1947" s="48" t="str">
        <x:v>PDF text</x:v>
      </x:c>
    </x:row>
    <x:row r="1948">
      <x:c r="A1948" s="48" t="str">
        <x:v>UNI-1947</x:v>
      </x:c>
      <x:c r="B1948" s="48" t="str">
        <x:v>YELLOW</x:v>
      </x:c>
      <x:c r="C1948" s="48" t="str">
        <x:v>English</x:v>
      </x:c>
      <x:c r="D1948" s="48" t="n">
        <x:v>77</x:v>
      </x:c>
      <x:c r="E1948" s="48" t="str"/>
      <x:c r="F1948" s="48" t="str">
        <x:v>However, if a list of potential members is included in the Contract, the members shall be selected from those on the list, other than anyone who is unable or unwilling to accept appointment to the DAB.</x:v>
      </x:c>
      <x:c r="G1948" s="48" t="str">
        <x:v>Obligation</x:v>
      </x:c>
      <x:c r="H1948" s="48" t="str">
        <x:v>Shared</x:v>
      </x:c>
      <x:c r="I1948" s="48" t="n">
        <x:v>0.88</x:v>
      </x:c>
      <x:c r="J1948" s="48" t="n">
        <x:v>0.4</x:v>
      </x:c>
      <x:c r="K1948" s="48" t="str">
        <x:v>Yes</x:v>
      </x:c>
      <x:c r="L1948" s="48" t="str">
        <x:v>PDF text</x:v>
      </x:c>
    </x:row>
    <x:row r="1949">
      <x:c r="A1949" s="48" t="str">
        <x:v>UNI-1948</x:v>
      </x:c>
      <x:c r="B1949" s="48" t="str">
        <x:v>YELLOW</x:v>
      </x:c>
      <x:c r="C1949" s="48" t="str">
        <x:v>English</x:v>
      </x:c>
      <x:c r="D1949" s="48" t="n">
        <x:v>77</x:v>
      </x:c>
      <x:c r="E1949" s="48" t="str"/>
      <x:c r="F1949" s="48" t="str">
        <x:v>The agreement between the Parties and either the sole member ("adjudicator") or each of the three members shall incorporate by reference the General Conditions of</x:v>
      </x:c>
      <x:c r="G1949" s="48" t="str">
        <x:v>Obligation</x:v>
      </x:c>
      <x:c r="H1949" s="48" t="str">
        <x:v>Shared</x:v>
      </x:c>
      <x:c r="I1949" s="48" t="n">
        <x:v>0.88</x:v>
      </x:c>
      <x:c r="J1949" s="48" t="n">
        <x:v>0.93</x:v>
      </x:c>
      <x:c r="K1949" s="48" t="str">
        <x:v>No</x:v>
      </x:c>
      <x:c r="L1949" s="48" t="str">
        <x:v>PDF text</x:v>
      </x:c>
    </x:row>
    <x:row r="1950">
      <x:c r="A1950" s="48" t="str">
        <x:v>UNI-1949</x:v>
      </x:c>
      <x:c r="B1950" s="48" t="str">
        <x:v>YELLOW</x:v>
      </x:c>
      <x:c r="C1950" s="48" t="str">
        <x:v>English</x:v>
      </x:c>
      <x:c r="D1950" s="48" t="n">
        <x:v>77</x:v>
      </x:c>
      <x:c r="E1950" s="48" t="str"/>
      <x:c r="F1950" s="48" t="str">
        <x:v>Dispute Adjudication Agreement contained in the Appendix to these General</x:v>
      </x:c>
      <x:c r="G1950" s="48" t="str">
        <x:v>Obligation</x:v>
      </x:c>
      <x:c r="H1950" s="48" t="str">
        <x:v>Shared</x:v>
      </x:c>
      <x:c r="I1950" s="48" t="n">
        <x:v>0.55</x:v>
      </x:c>
      <x:c r="J1950" s="48" t="n">
        <x:v>0.4</x:v>
      </x:c>
      <x:c r="K1950" s="48" t="str">
        <x:v>Yes</x:v>
      </x:c>
      <x:c r="L1950" s="48" t="str">
        <x:v>PDF text</x:v>
      </x:c>
    </x:row>
    <x:row r="1951">
      <x:c r="A1951" s="48" t="str">
        <x:v>UNI-1950</x:v>
      </x:c>
      <x:c r="B1951" s="48" t="str">
        <x:v>YELLOW</x:v>
      </x:c>
      <x:c r="C1951" s="48" t="str">
        <x:v>English</x:v>
      </x:c>
      <x:c r="D1951" s="48" t="n">
        <x:v>77</x:v>
      </x:c>
      <x:c r="E1951" s="48" t="str"/>
      <x:c r="F1951" s="48" t="str">
        <x:v>Conditions, with such amendments as are agreed between them.</x:v>
      </x:c>
      <x:c r="G1951" s="48" t="str">
        <x:v>Obligation</x:v>
      </x:c>
      <x:c r="H1951" s="48" t="str">
        <x:v>Shared</x:v>
      </x:c>
      <x:c r="I1951" s="48" t="n">
        <x:v>0.45</x:v>
      </x:c>
      <x:c r="J1951" s="48" t="n">
        <x:v>0.4</x:v>
      </x:c>
      <x:c r="K1951" s="48" t="str">
        <x:v>Yes</x:v>
      </x:c>
      <x:c r="L1951" s="48" t="str">
        <x:v>PDF text</x:v>
      </x:c>
    </x:row>
    <x:row r="1952">
      <x:c r="A1952" s="48" t="str">
        <x:v>UNI-1951</x:v>
      </x:c>
      <x:c r="B1952" s="48" t="str">
        <x:v>YELLOW</x:v>
      </x:c>
      <x:c r="C1952" s="48" t="str">
        <x:v>English</x:v>
      </x:c>
      <x:c r="D1952" s="48" t="n">
        <x:v>77</x:v>
      </x:c>
      <x:c r="E1952" s="48" t="str"/>
      <x:c r="F1952" s="48" t="str">
        <x:v>members shall be mutually agreed upon by the Parties when agreeing the terms of appointment.</x:v>
      </x:c>
      <x:c r="G1952" s="48" t="str">
        <x:v>Obligation</x:v>
      </x:c>
      <x:c r="H1952" s="48" t="str">
        <x:v>Shared</x:v>
      </x:c>
      <x:c r="I1952" s="48" t="n">
        <x:v>0.88</x:v>
      </x:c>
      <x:c r="J1952" s="48" t="n">
        <x:v>0.93</x:v>
      </x:c>
      <x:c r="K1952" s="48" t="str">
        <x:v>No</x:v>
      </x:c>
      <x:c r="L1952" s="48" t="str">
        <x:v>PDF text</x:v>
      </x:c>
    </x:row>
    <x:row r="1953">
      <x:c r="A1953" s="48" t="str">
        <x:v>UNI-1952</x:v>
      </x:c>
      <x:c r="B1953" s="48" t="str">
        <x:v>YELLOW</x:v>
      </x:c>
      <x:c r="C1953" s="48" t="str">
        <x:v>English</x:v>
      </x:c>
      <x:c r="D1953" s="48" t="n">
        <x:v>77</x:v>
      </x:c>
      <x:c r="E1953" s="48" t="str"/>
      <x:c r="F1953" s="48" t="str">
        <x:v>If at any time the Parties so agree, they may appoint a suitably qualified person or persons to replace any one or more members of the DAB.</x:v>
      </x:c>
      <x:c r="G1953" s="48" t="str">
        <x:v>Right</x:v>
      </x:c>
      <x:c r="H1953" s="48" t="str">
        <x:v>Shared</x:v>
      </x:c>
      <x:c r="I1953" s="48" t="n">
        <x:v>0.78</x:v>
      </x:c>
      <x:c r="J1953" s="48" t="n">
        <x:v>0.93</x:v>
      </x:c>
      <x:c r="K1953" s="48" t="str">
        <x:v>No</x:v>
      </x:c>
      <x:c r="L1953" s="48" t="str">
        <x:v>PDF text</x:v>
      </x:c>
    </x:row>
    <x:row r="1954">
      <x:c r="A1954" s="48" t="str">
        <x:v>UNI-1953</x:v>
      </x:c>
      <x:c r="B1954" s="48" t="str">
        <x:v>YELLOW</x:v>
      </x:c>
      <x:c r="C1954" s="48" t="str">
        <x:v>English</x:v>
      </x:c>
      <x:c r="D1954" s="48" t="n">
        <x:v>77</x:v>
      </x:c>
      <x:c r="E1954" s="48" t="str"/>
      <x:c r="F1954" s="48" t="str">
        <x:v>Unless the Parties agree otherwise, the appointment will come into effect if a member declines to act or is unable to act as a result of death, disability, resignation or termination of appointment.</x:v>
      </x:c>
      <x:c r="G1954" s="48" t="str">
        <x:v>Obligation</x:v>
      </x:c>
      <x:c r="H1954" s="48" t="str">
        <x:v>Shared</x:v>
      </x:c>
      <x:c r="I1954" s="48" t="n">
        <x:v>0.55</x:v>
      </x:c>
      <x:c r="J1954" s="48" t="n">
        <x:v>0.93</x:v>
      </x:c>
      <x:c r="K1954" s="48" t="str">
        <x:v>Yes</x:v>
      </x:c>
      <x:c r="L1954" s="48" t="str">
        <x:v>PDF text</x:v>
      </x:c>
    </x:row>
    <x:row r="1955">
      <x:c r="A1955" s="48" t="str">
        <x:v>UNI-1954</x:v>
      </x:c>
      <x:c r="B1955" s="48" t="str">
        <x:v>YELLOW</x:v>
      </x:c>
      <x:c r="C1955" s="48" t="str">
        <x:v>English</x:v>
      </x:c>
      <x:c r="D1955" s="48" t="n">
        <x:v>77</x:v>
      </x:c>
      <x:c r="E1955" s="48" t="str"/>
      <x:c r="F1955" s="48" t="str">
        <x:v>The replacement shall be appointed in the same manner as the replaced person was</x:v>
      </x:c>
      <x:c r="G1955" s="48" t="str">
        <x:v>Obligation</x:v>
      </x:c>
      <x:c r="H1955" s="48" t="str">
        <x:v>Shared</x:v>
      </x:c>
      <x:c r="I1955" s="48" t="n">
        <x:v>0.88</x:v>
      </x:c>
      <x:c r="J1955" s="48" t="n">
        <x:v>0.4</x:v>
      </x:c>
      <x:c r="K1955" s="48" t="str">
        <x:v>Yes</x:v>
      </x:c>
      <x:c r="L1955" s="48" t="str">
        <x:v>PDF text</x:v>
      </x:c>
    </x:row>
    <x:row r="1956">
      <x:c r="A1956" s="48" t="str">
        <x:v>UNI-1955</x:v>
      </x:c>
      <x:c r="B1956" s="48" t="str">
        <x:v>YELLOW</x:v>
      </x:c>
      <x:c r="C1956" s="48" t="str">
        <x:v>English</x:v>
      </x:c>
      <x:c r="D1956" s="48" t="n">
        <x:v>77</x:v>
      </x:c>
      <x:c r="E1956" s="48" t="str"/>
      <x:c r="F1956" s="48" t="str">
        <x:v>required to have been nominated or agreed upon, as described in this Sub-Clause.</x:v>
      </x:c>
      <x:c r="G1956" s="48" t="str">
        <x:v>Obligation</x:v>
      </x:c>
      <x:c r="H1956" s="48" t="str">
        <x:v>Shared</x:v>
      </x:c>
      <x:c r="I1956" s="48" t="n">
        <x:v>0.45</x:v>
      </x:c>
      <x:c r="J1956" s="48" t="n">
        <x:v>0.4</x:v>
      </x:c>
      <x:c r="K1956" s="48" t="str">
        <x:v>Yes</x:v>
      </x:c>
      <x:c r="L1956" s="48" t="str">
        <x:v>PDF text</x:v>
      </x:c>
    </x:row>
    <x:row r="1957">
      <x:c r="A1957" s="48" t="str">
        <x:v>UNI-1956</x:v>
      </x:c>
      <x:c r="B1957" s="48" t="str">
        <x:v>YELLOW</x:v>
      </x:c>
      <x:c r="C1957" s="48" t="str">
        <x:v>English</x:v>
      </x:c>
      <x:c r="D1957" s="48" t="n">
        <x:v>77</x:v>
      </x:c>
      <x:c r="E1957" s="48" t="str"/>
      <x:c r="F1957" s="48" t="str">
        <x:v>Unless otherwise agreed by both Parties, the appointment of the DAB (including each member) shall expire when the DAB has given its decision on the dispute referred to it under SubClause 20.4 [Obtaining Dispute Adjudication Board’s Decision], unless other disputes have been referred to the DAB by that time under Sub-Clause 20.4, in which event the relevant date shall be when the DAB has also given decisions on those disputes.</x:v>
      </x:c>
      <x:c r="G1957" s="48" t="str">
        <x:v>Obligation</x:v>
      </x:c>
      <x:c r="H1957" s="48" t="str">
        <x:v>Shared</x:v>
      </x:c>
      <x:c r="I1957" s="48" t="n">
        <x:v>0.88</x:v>
      </x:c>
      <x:c r="J1957" s="48" t="n">
        <x:v>0.93</x:v>
      </x:c>
      <x:c r="K1957" s="48" t="str">
        <x:v>No</x:v>
      </x:c>
      <x:c r="L1957" s="48" t="str">
        <x:v>PDF text</x:v>
      </x:c>
    </x:row>
    <x:row r="1958">
      <x:c r="A1958" s="48" t="str">
        <x:v>UNI-1957</x:v>
      </x:c>
      <x:c r="B1958" s="48" t="str">
        <x:v>YELLOW</x:v>
      </x:c>
      <x:c r="C1958" s="48" t="str">
        <x:v>English</x:v>
      </x:c>
      <x:c r="D1958" s="48" t="n">
        <x:v>77</x:v>
      </x:c>
      <x:c r="E1958" s="48" t="str"/>
      <x:c r="F1958" s="48" t="str">
        <x:v>If any of the following conditions apply, namely: (a) the Parties fail to agree upon the appointment of the sole member of the DAB by the date stated in the first paragraph of Sub-Clause 20.2 [Appointment of the Dispute Adjudication Board], (b) either Party fails to nominate a member (for approval by the other Party) of a</x:v>
      </x:c>
      <x:c r="G1958" s="48" t="str">
        <x:v>Obligation</x:v>
      </x:c>
      <x:c r="H1958" s="48" t="str">
        <x:v>Shared</x:v>
      </x:c>
      <x:c r="I1958" s="48" t="n">
        <x:v>0.55</x:v>
      </x:c>
      <x:c r="J1958" s="48" t="n">
        <x:v>0.93</x:v>
      </x:c>
      <x:c r="K1958" s="48" t="str">
        <x:v>Yes</x:v>
      </x:c>
      <x:c r="L1958" s="48" t="str">
        <x:v>PDF text</x:v>
      </x:c>
    </x:row>
    <x:row r="1959">
      <x:c r="A1959" s="48" t="str">
        <x:v>UNI-1958</x:v>
      </x:c>
      <x:c r="B1959" s="48" t="str">
        <x:v>YELLOW</x:v>
      </x:c>
      <x:c r="C1959" s="48" t="str">
        <x:v>English</x:v>
      </x:c>
      <x:c r="D1959" s="48" t="n">
        <x:v>77</x:v>
      </x:c>
      <x:c r="E1959" s="48" t="str"/>
      <x:c r="F1959" s="48" t="str">
        <x:v>DAB of three persons by such date,</x:v>
      </x:c>
      <x:c r="G1959" s="48" t="str">
        <x:v>Obligation</x:v>
      </x:c>
      <x:c r="H1959" s="48" t="str">
        <x:v>Shared</x:v>
      </x:c>
      <x:c r="I1959" s="48" t="n">
        <x:v>0.45</x:v>
      </x:c>
      <x:c r="J1959" s="48" t="n">
        <x:v>0.4</x:v>
      </x:c>
      <x:c r="K1959" s="48" t="str">
        <x:v>Yes</x:v>
      </x:c>
      <x:c r="L1959" s="48" t="str">
        <x:v>PDF text</x:v>
      </x:c>
    </x:row>
    <x:row r="1960">
      <x:c r="A1960" s="48" t="str">
        <x:v>UNI-1959</x:v>
      </x:c>
      <x:c r="B1960" s="48" t="str">
        <x:v>YELLOW</x:v>
      </x:c>
      <x:c r="C1960" s="48" t="str">
        <x:v>English</x:v>
      </x:c>
      <x:c r="D1960" s="48" t="n">
        <x:v>77</x:v>
      </x:c>
      <x:c r="E1960" s="48" t="str"/>
      <x:c r="F1960" s="48" t="str">
        <x:v>(c) the Parties fail to agree upon the appointment of the third member (to act as chairman) of the DAB by such date, or (d) the Parties fail to agree upon the appointment of a replacement person within 42 days after the date on which the sole member or one of the three members declines to act or is unable to act as a result of death, disability, resignation or termination of appointment,</x:v>
      </x:c>
      <x:c r="G1960" s="48" t="str">
        <x:v>Obligation</x:v>
      </x:c>
      <x:c r="H1960" s="48" t="str">
        <x:v>Shared</x:v>
      </x:c>
      <x:c r="I1960" s="48" t="n">
        <x:v>0.55</x:v>
      </x:c>
      <x:c r="J1960" s="48" t="n">
        <x:v>0.93</x:v>
      </x:c>
      <x:c r="K1960" s="48" t="str">
        <x:v>Yes</x:v>
      </x:c>
      <x:c r="L1960" s="48" t="str">
        <x:v>PDF text</x:v>
      </x:c>
    </x:row>
    <x:row r="1961">
      <x:c r="A1961" s="48" t="str">
        <x:v>UNI-1960</x:v>
      </x:c>
      <x:c r="B1961" s="48" t="str">
        <x:v>YELLOW</x:v>
      </x:c>
      <x:c r="C1961" s="48" t="str">
        <x:v>English</x:v>
      </x:c>
      <x:c r="D1961" s="48" t="n">
        <x:v>78</x:v>
      </x:c>
      <x:c r="E1961" s="48" t="str"/>
      <x:c r="F1961" s="48" t="str">
        <x:v>then the appointing entity or official named in the Appendix to Tender shall, upon the request of either or both of the Parties and after due consultation with both Parties, appoint this member of the DAB.</x:v>
      </x:c>
      <x:c r="G1961" s="48" t="str">
        <x:v>Obligation</x:v>
      </x:c>
      <x:c r="H1961" s="48" t="str">
        <x:v>Shared</x:v>
      </x:c>
      <x:c r="I1961" s="48" t="n">
        <x:v>0.88</x:v>
      </x:c>
      <x:c r="J1961" s="48" t="n">
        <x:v>0.93</x:v>
      </x:c>
      <x:c r="K1961" s="48" t="str">
        <x:v>No</x:v>
      </x:c>
      <x:c r="L1961" s="48" t="str">
        <x:v>PDF text</x:v>
      </x:c>
    </x:row>
    <x:row r="1962">
      <x:c r="A1962" s="48" t="str">
        <x:v>UNI-1961</x:v>
      </x:c>
      <x:c r="B1962" s="48" t="str">
        <x:v>YELLOW</x:v>
      </x:c>
      <x:c r="C1962" s="48" t="str">
        <x:v>English</x:v>
      </x:c>
      <x:c r="D1962" s="48" t="n">
        <x:v>78</x:v>
      </x:c>
      <x:c r="E1962" s="48" t="str"/>
      <x:c r="F1962" s="48" t="str">
        <x:v>If a dispute (of any kind whatsoever) arises between the Parties in connection with, or arising out of, the Contract or the execution of the Works, including any dispute as to any certificate, determination, instruction, opinion or valuation of the Engineer, then after a DAB has been appointed pursuant to Sub-Clauses 20.2 [Appointment of the DAB] and 20.3 [Failure to Agree DAB] either Party may refer the dispute in writing to the DAB for its decision, with copies to the other Party and the Engineer.</x:v>
      </x:c>
      <x:c r="G1962" s="48" t="str">
        <x:v>Risk</x:v>
      </x:c>
      <x:c r="H1962" s="48" t="str">
        <x:v>Shared</x:v>
      </x:c>
      <x:c r="I1962" s="48" t="n">
        <x:v>0.78</x:v>
      </x:c>
      <x:c r="J1962" s="48" t="n">
        <x:v>0.93</x:v>
      </x:c>
      <x:c r="K1962" s="48" t="str">
        <x:v>No</x:v>
      </x:c>
      <x:c r="L1962" s="48" t="str">
        <x:v>PDF text</x:v>
      </x:c>
    </x:row>
    <x:row r="1963">
      <x:c r="A1963" s="48" t="str">
        <x:v>UNI-1962</x:v>
      </x:c>
      <x:c r="B1963" s="48" t="str">
        <x:v>YELLOW</x:v>
      </x:c>
      <x:c r="C1963" s="48" t="str">
        <x:v>English</x:v>
      </x:c>
      <x:c r="D1963" s="48" t="n">
        <x:v>78</x:v>
      </x:c>
      <x:c r="E1963" s="48" t="str"/>
      <x:c r="F1963" s="48" t="str">
        <x:v>For a DAB of three persons, the DAB shall be deemed to have received such</x:v>
      </x:c>
      <x:c r="G1963" s="48" t="str">
        <x:v>Obligation</x:v>
      </x:c>
      <x:c r="H1963" s="48" t="str">
        <x:v>Shared</x:v>
      </x:c>
      <x:c r="I1963" s="48" t="n">
        <x:v>0.88</x:v>
      </x:c>
      <x:c r="J1963" s="48" t="n">
        <x:v>0.4</x:v>
      </x:c>
      <x:c r="K1963" s="48" t="str">
        <x:v>Yes</x:v>
      </x:c>
      <x:c r="L1963" s="48" t="str">
        <x:v>PDF text</x:v>
      </x:c>
    </x:row>
    <x:row r="1964">
      <x:c r="A1964" s="48" t="str">
        <x:v>UNI-1963</x:v>
      </x:c>
      <x:c r="B1964" s="48" t="str">
        <x:v>YELLOW</x:v>
      </x:c>
      <x:c r="C1964" s="48" t="str">
        <x:v>English</x:v>
      </x:c>
      <x:c r="D1964" s="48" t="n">
        <x:v>78</x:v>
      </x:c>
      <x:c r="E1964" s="48" t="str"/>
      <x:c r="F1964" s="48" t="str">
        <x:v>reference on the date when it is received by the chairman of the DAB.</x:v>
      </x:c>
      <x:c r="G1964" s="48" t="str">
        <x:v>Obligation</x:v>
      </x:c>
      <x:c r="H1964" s="48" t="str">
        <x:v>Shared</x:v>
      </x:c>
      <x:c r="I1964" s="48" t="n">
        <x:v>0.45</x:v>
      </x:c>
      <x:c r="J1964" s="48" t="n">
        <x:v>0.4</x:v>
      </x:c>
      <x:c r="K1964" s="48" t="str">
        <x:v>Yes</x:v>
      </x:c>
      <x:c r="L1964" s="48" t="str">
        <x:v>PDF text</x:v>
      </x:c>
    </x:row>
    <x:row r="1965">
      <x:c r="A1965" s="48" t="str">
        <x:v>UNI-1964</x:v>
      </x:c>
      <x:c r="B1965" s="48" t="str">
        <x:v>YELLOW</x:v>
      </x:c>
      <x:c r="C1965" s="48" t="str">
        <x:v>English</x:v>
      </x:c>
      <x:c r="D1965" s="48" t="n">
        <x:v>78</x:v>
      </x:c>
      <x:c r="E1965" s="48" t="str"/>
      <x:c r="F1965" s="48" t="str">
        <x:v>Both Parties shall promptly make available to the DAB all information, access to the Site, and appropriate facilities, as the DAB may require for the purposes of making a decision on such dispute.</x:v>
      </x:c>
      <x:c r="G1965" s="48" t="str">
        <x:v>Obligation</x:v>
      </x:c>
      <x:c r="H1965" s="48" t="str">
        <x:v>Shared</x:v>
      </x:c>
      <x:c r="I1965" s="48" t="n">
        <x:v>0.88</x:v>
      </x:c>
      <x:c r="J1965" s="48" t="n">
        <x:v>0.93</x:v>
      </x:c>
      <x:c r="K1965" s="48" t="str">
        <x:v>No</x:v>
      </x:c>
      <x:c r="L1965" s="48" t="str">
        <x:v>PDF text</x:v>
      </x:c>
    </x:row>
    <x:row r="1966">
      <x:c r="A1966" s="48" t="str">
        <x:v>UNI-1965</x:v>
      </x:c>
      <x:c r="B1966" s="48" t="str">
        <x:v>YELLOW</x:v>
      </x:c>
      <x:c r="C1966" s="48" t="str">
        <x:v>English</x:v>
      </x:c>
      <x:c r="D1966" s="48" t="n">
        <x:v>78</x:v>
      </x:c>
      <x:c r="E1966" s="48" t="str"/>
      <x:c r="F1966" s="48" t="str">
        <x:v>The DAB shall be deemed to be not acting as arbitrator(s).</x:v>
      </x:c>
      <x:c r="G1966" s="48" t="str">
        <x:v>Obligation</x:v>
      </x:c>
      <x:c r="H1966" s="48" t="str">
        <x:v>Shared</x:v>
      </x:c>
      <x:c r="I1966" s="48" t="n">
        <x:v>0.88</x:v>
      </x:c>
      <x:c r="J1966" s="48" t="n">
        <x:v>0.4</x:v>
      </x:c>
      <x:c r="K1966" s="48" t="str">
        <x:v>Yes</x:v>
      </x:c>
      <x:c r="L1966" s="48" t="str">
        <x:v>PDF text</x:v>
      </x:c>
    </x:row>
    <x:row r="1967">
      <x:c r="A1967" s="48" t="str">
        <x:v>UNI-1966</x:v>
      </x:c>
      <x:c r="B1967" s="48" t="str">
        <x:v>YELLOW</x:v>
      </x:c>
      <x:c r="C1967" s="48" t="str">
        <x:v>English</x:v>
      </x:c>
      <x:c r="D1967" s="48" t="n">
        <x:v>78</x:v>
      </x:c>
      <x:c r="E1967" s="48" t="str"/>
      <x:c r="F1967" s="48" t="str">
        <x:v>Within 84 days after receiving such reference, or the advance payment referred to in Clause 6 of the Appendix - General Conditions of Dispute Adjudication Agreement, whichever date is later, or within such other period as may be proposed by the DAB and approved by both Parties, the DAB shall give its decision, which shall be reasoned and shall state that it is given under this Sub-Clause.</x:v>
      </x:c>
      <x:c r="G1967" s="48" t="str">
        <x:v>Obligation</x:v>
      </x:c>
      <x:c r="H1967" s="48" t="str">
        <x:v>Shared</x:v>
      </x:c>
      <x:c r="I1967" s="48" t="n">
        <x:v>0.88</x:v>
      </x:c>
      <x:c r="J1967" s="48" t="n">
        <x:v>0.93</x:v>
      </x:c>
      <x:c r="K1967" s="48" t="str">
        <x:v>No</x:v>
      </x:c>
      <x:c r="L1967" s="48" t="str">
        <x:v>PDF text</x:v>
      </x:c>
    </x:row>
    <x:row r="1968">
      <x:c r="A1968" s="48" t="str">
        <x:v>UNI-1967</x:v>
      </x:c>
      <x:c r="B1968" s="48" t="str">
        <x:v>YELLOW</x:v>
      </x:c>
      <x:c r="C1968" s="48" t="str">
        <x:v>English</x:v>
      </x:c>
      <x:c r="D1968" s="48" t="n">
        <x:v>78</x:v>
      </x:c>
      <x:c r="E1968" s="48" t="str"/>
      <x:c r="F1968" s="48" t="str">
        <x:v>However, if neither of the Parties has paid in full the invoices submitted by each member pursuant to Clause 6 of the Appendix, the DAB shall not be obliged to give its decision until such invoices have been paid in full.</x:v>
      </x:c>
      <x:c r="G1968" s="48" t="str">
        <x:v>Obligation</x:v>
      </x:c>
      <x:c r="H1968" s="48" t="str">
        <x:v>Shared</x:v>
      </x:c>
      <x:c r="I1968" s="48" t="n">
        <x:v>0.88</x:v>
      </x:c>
      <x:c r="J1968" s="48" t="n">
        <x:v>0.93</x:v>
      </x:c>
      <x:c r="K1968" s="48" t="str">
        <x:v>No</x:v>
      </x:c>
      <x:c r="L1968" s="48" t="str">
        <x:v>PDF text</x:v>
      </x:c>
    </x:row>
    <x:row r="1969">
      <x:c r="A1969" s="48" t="str">
        <x:v>UNI-1968</x:v>
      </x:c>
      <x:c r="B1969" s="48" t="str">
        <x:v>YELLOW</x:v>
      </x:c>
      <x:c r="C1969" s="48" t="str">
        <x:v>English</x:v>
      </x:c>
      <x:c r="D1969" s="48" t="n">
        <x:v>78</x:v>
      </x:c>
      <x:c r="E1969" s="48" t="str"/>
      <x:c r="F1969" s="48" t="str">
        <x:v>Unless the Contract has already been abandoned, repudiated or terminated, the Contractor shall continue to proceed with the Works in accordance with the Contract.</x:v>
      </x:c>
      <x:c r="G1969" s="48" t="str">
        <x:v>Obligation</x:v>
      </x:c>
      <x:c r="H1969" s="48" t="str">
        <x:v>Contractor</x:v>
      </x:c>
      <x:c r="I1969" s="48" t="n">
        <x:v>0.88</x:v>
      </x:c>
      <x:c r="J1969" s="48" t="n">
        <x:v>0.92</x:v>
      </x:c>
      <x:c r="K1969" s="48" t="str">
        <x:v>No</x:v>
      </x:c>
      <x:c r="L1969" s="48" t="str">
        <x:v>PDF text</x:v>
      </x:c>
    </x:row>
    <x:row r="1970">
      <x:c r="A1970" s="48" t="str">
        <x:v>UNI-1969</x:v>
      </x:c>
      <x:c r="B1970" s="48" t="str">
        <x:v>YELLOW</x:v>
      </x:c>
      <x:c r="C1970" s="48" t="str">
        <x:v>English</x:v>
      </x:c>
      <x:c r="D1970" s="48" t="n">
        <x:v>78</x:v>
      </x:c>
      <x:c r="E1970" s="48" t="str"/>
      <x:c r="F1970" s="48" t="str">
        <x:v>If either Party is dissatisfied with the DAB's decision, then either Party may, within 28 days after receiving the decision, give notice to the other Party of its dissatisfaction.</x:v>
      </x:c>
      <x:c r="G1970" s="48" t="str">
        <x:v>Obligation</x:v>
      </x:c>
      <x:c r="H1970" s="48" t="str">
        <x:v>Shared</x:v>
      </x:c>
      <x:c r="I1970" s="48" t="n">
        <x:v>0.55</x:v>
      </x:c>
      <x:c r="J1970" s="48" t="n">
        <x:v>0.93</x:v>
      </x:c>
      <x:c r="K1970" s="48" t="str">
        <x:v>Yes</x:v>
      </x:c>
      <x:c r="L1970" s="48" t="str">
        <x:v>PDF text</x:v>
      </x:c>
    </x:row>
    <x:row r="1971">
      <x:c r="A1971" s="48" t="str">
        <x:v>UNI-1970</x:v>
      </x:c>
      <x:c r="B1971" s="48" t="str">
        <x:v>YELLOW</x:v>
      </x:c>
      <x:c r="C1971" s="48" t="str">
        <x:v>English</x:v>
      </x:c>
      <x:c r="D1971" s="48" t="n">
        <x:v>78</x:v>
      </x:c>
      <x:c r="E1971" s="48" t="str"/>
      <x:c r="F1971" s="48" t="str">
        <x:v>If the DAB fails to give its decision within the period of 84 days (or as otherwise approved) after receiving such reference or such payment, then either Party may, within 28 days after this period has expired, give notice to the other Party of its dissatisfaction.</x:v>
      </x:c>
      <x:c r="G1971" s="48" t="str">
        <x:v>Obligation</x:v>
      </x:c>
      <x:c r="H1971" s="48" t="str">
        <x:v>Shared</x:v>
      </x:c>
      <x:c r="I1971" s="48" t="n">
        <x:v>0.55</x:v>
      </x:c>
      <x:c r="J1971" s="48" t="n">
        <x:v>0.93</x:v>
      </x:c>
      <x:c r="K1971" s="48" t="str">
        <x:v>Yes</x:v>
      </x:c>
      <x:c r="L1971" s="48" t="str">
        <x:v>PDF text</x:v>
      </x:c>
    </x:row>
    <x:row r="1972">
      <x:c r="A1972" s="48" t="str">
        <x:v>UNI-1971</x:v>
      </x:c>
      <x:c r="B1972" s="48" t="str">
        <x:v>YELLOW</x:v>
      </x:c>
      <x:c r="C1972" s="48" t="str">
        <x:v>English</x:v>
      </x:c>
      <x:c r="D1972" s="48" t="n">
        <x:v>78</x:v>
      </x:c>
      <x:c r="E1972" s="48" t="str"/>
      <x:c r="F1972" s="48" t="str">
        <x:v>Except as stated in Sub-Clause 20.7 [Failure to Comply with Dispute Adjudication Board's Decision] and Sub-Clause 20.8 [Expiry of Dispute Adjudication Board's Appointment], neither Party shall be entitled to commence arbitration of a dispute unless a notice of dissatisfaction has been given in accordance with this Sub-Clause.</x:v>
      </x:c>
      <x:c r="G1972" s="48" t="str">
        <x:v>Obligation</x:v>
      </x:c>
      <x:c r="H1972" s="48" t="str">
        <x:v>Shared</x:v>
      </x:c>
      <x:c r="I1972" s="48" t="n">
        <x:v>0.88</x:v>
      </x:c>
      <x:c r="J1972" s="48" t="n">
        <x:v>0.4</x:v>
      </x:c>
      <x:c r="K1972" s="48" t="str">
        <x:v>Yes</x:v>
      </x:c>
      <x:c r="L1972" s="48" t="str">
        <x:v>PDF text</x:v>
      </x:c>
    </x:row>
    <x:row r="1973">
      <x:c r="A1973" s="48" t="str">
        <x:v>UNI-1972</x:v>
      </x:c>
      <x:c r="B1973" s="48" t="str">
        <x:v>YELLOW</x:v>
      </x:c>
      <x:c r="C1973" s="48" t="str">
        <x:v>English</x:v>
      </x:c>
      <x:c r="D1973" s="48" t="n">
        <x:v>78</x:v>
      </x:c>
      <x:c r="E1973" s="48" t="str"/>
      <x:c r="F1973" s="48" t="str">
        <x:v>If the DAB has given its decision as to a matter in dispute to both Parties, and no notice of dissatisfaction has been given by either Party within 28 days after it received the DAB's decision, then the decision shall become final and binding upon both Parties.</x:v>
      </x:c>
      <x:c r="G1973" s="48" t="str">
        <x:v>Obligation</x:v>
      </x:c>
      <x:c r="H1973" s="48" t="str">
        <x:v>Shared</x:v>
      </x:c>
      <x:c r="I1973" s="48" t="n">
        <x:v>0.88</x:v>
      </x:c>
      <x:c r="J1973" s="48" t="n">
        <x:v>0.93</x:v>
      </x:c>
      <x:c r="K1973" s="48" t="str">
        <x:v>No</x:v>
      </x:c>
      <x:c r="L1973" s="48" t="str">
        <x:v>PDF text</x:v>
      </x:c>
    </x:row>
    <x:row r="1974">
      <x:c r="A1974" s="48" t="str">
        <x:v>UNI-1973</x:v>
      </x:c>
      <x:c r="B1974" s="48" t="str">
        <x:v>YELLOW</x:v>
      </x:c>
      <x:c r="C1974" s="48" t="str">
        <x:v>English</x:v>
      </x:c>
      <x:c r="D1974" s="48" t="n">
        <x:v>78</x:v>
      </x:c>
      <x:c r="E1974" s="48" t="str"/>
      <x:c r="F1974" s="48" t="str">
        <x:v>However, unless both Parties agree otherwise, arbitration may be 20.4</x:v>
      </x:c>
      <x:c r="G1974" s="48" t="str">
        <x:v>Right</x:v>
      </x:c>
      <x:c r="H1974" s="48" t="str">
        <x:v>Shared</x:v>
      </x:c>
      <x:c r="I1974" s="48" t="n">
        <x:v>0.78</x:v>
      </x:c>
      <x:c r="J1974" s="48" t="n">
        <x:v>0.93</x:v>
      </x:c>
      <x:c r="K1974" s="48" t="str">
        <x:v>No</x:v>
      </x:c>
      <x:c r="L1974" s="48" t="str">
        <x:v>PDF text</x:v>
      </x:c>
    </x:row>
    <x:row r="1975">
      <x:c r="A1975" s="48" t="str">
        <x:v>UNI-1974</x:v>
      </x:c>
      <x:c r="B1975" s="48" t="str">
        <x:v>YELLOW</x:v>
      </x:c>
      <x:c r="C1975" s="48" t="str">
        <x:v>English</x:v>
      </x:c>
      <x:c r="D1975" s="48" t="n">
        <x:v>78</x:v>
      </x:c>
      <x:c r="E1975" s="48" t="str"/>
      <x:c r="F1975" s="48" t="str">
        <x:v>Adjudication Board’s</x:v>
      </x:c>
      <x:c r="G1975" s="48" t="str">
        <x:v>Obligation</x:v>
      </x:c>
      <x:c r="H1975" s="48" t="str">
        <x:v>Shared</x:v>
      </x:c>
      <x:c r="I1975" s="48" t="n">
        <x:v>0.45</x:v>
      </x:c>
      <x:c r="J1975" s="48" t="n">
        <x:v>0.4</x:v>
      </x:c>
      <x:c r="K1975" s="48" t="str">
        <x:v>Yes</x:v>
      </x:c>
      <x:c r="L1975" s="48" t="str">
        <x:v>PDF text</x:v>
      </x:c>
    </x:row>
    <x:row r="1976">
      <x:c r="A1976" s="48" t="str">
        <x:v>UNI-1975</x:v>
      </x:c>
      <x:c r="B1976" s="48" t="str">
        <x:v>YELLOW</x:v>
      </x:c>
      <x:c r="C1976" s="48" t="str">
        <x:v>English</x:v>
      </x:c>
      <x:c r="D1976" s="48" t="n">
        <x:v>78</x:v>
      </x:c>
      <x:c r="E1976" s="48" t="str"/>
      <x:c r="F1976" s="48" t="str">
        <x:v>Decision</x:v>
      </x:c>
      <x:c r="G1976" s="48" t="str">
        <x:v>Obligation</x:v>
      </x:c>
      <x:c r="H1976" s="48" t="str">
        <x:v>Shared</x:v>
      </x:c>
      <x:c r="I1976" s="48" t="n">
        <x:v>0.45</x:v>
      </x:c>
      <x:c r="J1976" s="48" t="n">
        <x:v>0.4</x:v>
      </x:c>
      <x:c r="K1976" s="48" t="str">
        <x:v>Yes</x:v>
      </x:c>
      <x:c r="L1976" s="48" t="str">
        <x:v>PDF text</x:v>
      </x:c>
    </x:row>
    <x:row r="1977">
      <x:c r="A1977" s="48" t="str">
        <x:v>UNI-1976</x:v>
      </x:c>
      <x:c r="B1977" s="48" t="str">
        <x:v>YELLOW</x:v>
      </x:c>
      <x:c r="C1977" s="48" t="str">
        <x:v>English</x:v>
      </x:c>
      <x:c r="D1977" s="48" t="n">
        <x:v>78</x:v>
      </x:c>
      <x:c r="E1977" s="48" t="str"/>
      <x:c r="F1977" s="48" t="str">
        <x:v>Amicable Settlement</x:v>
      </x:c>
      <x:c r="G1977" s="48" t="str">
        <x:v>Obligation</x:v>
      </x:c>
      <x:c r="H1977" s="48" t="str">
        <x:v>Shared</x:v>
      </x:c>
      <x:c r="I1977" s="48" t="n">
        <x:v>0.45</x:v>
      </x:c>
      <x:c r="J1977" s="48" t="n">
        <x:v>0.4</x:v>
      </x:c>
      <x:c r="K1977" s="48" t="str">
        <x:v>Yes</x:v>
      </x:c>
      <x:c r="L1977" s="48" t="str">
        <x:v>PDF text</x:v>
      </x:c>
    </x:row>
    <x:row r="1978">
      <x:c r="A1978" s="48" t="str">
        <x:v>UNI-1977</x:v>
      </x:c>
      <x:c r="B1978" s="48" t="str">
        <x:v>YELLOW</x:v>
      </x:c>
      <x:c r="C1978" s="48" t="str">
        <x:v>English</x:v>
      </x:c>
      <x:c r="D1978" s="48" t="n">
        <x:v>79</x:v>
      </x:c>
      <x:c r="E1978" s="48" t="str"/>
      <x:c r="F1978" s="48" t="str">
        <x:v>commenced on or after the fifty-sixth day after the day on which notice of dissatisfaction was given, even if no attempt at amicable settlement has been made Unless settled amicably, any dispute in respect of which the DAB's decision (if any) has not become final and binding shall be finally settled by international arbitration.</x:v>
      </x:c>
      <x:c r="G1978" s="48" t="str">
        <x:v>Obligation</x:v>
      </x:c>
      <x:c r="H1978" s="48" t="str">
        <x:v>Shared</x:v>
      </x:c>
      <x:c r="I1978" s="48" t="n">
        <x:v>0.88</x:v>
      </x:c>
      <x:c r="J1978" s="48" t="n">
        <x:v>0.4</x:v>
      </x:c>
      <x:c r="K1978" s="48" t="str">
        <x:v>Yes</x:v>
      </x:c>
      <x:c r="L1978" s="48" t="str">
        <x:v>PDF text</x:v>
      </x:c>
    </x:row>
    <x:row r="1979">
      <x:c r="A1979" s="48" t="str">
        <x:v>UNI-1978</x:v>
      </x:c>
      <x:c r="B1979" s="48" t="str">
        <x:v>YELLOW</x:v>
      </x:c>
      <x:c r="C1979" s="48" t="str">
        <x:v>English</x:v>
      </x:c>
      <x:c r="D1979" s="48" t="n">
        <x:v>79</x:v>
      </x:c>
      <x:c r="E1979" s="48" t="str"/>
      <x:c r="F1979" s="48" t="str">
        <x:v>Unless otherwise agreed by both Parties: (a) the dispute shall be finally settled under the Rules of Arbitration of the</x:v>
      </x:c>
      <x:c r="G1979" s="48" t="str">
        <x:v>Obligation</x:v>
      </x:c>
      <x:c r="H1979" s="48" t="str">
        <x:v>Shared</x:v>
      </x:c>
      <x:c r="I1979" s="48" t="n">
        <x:v>0.88</x:v>
      </x:c>
      <x:c r="J1979" s="48" t="n">
        <x:v>0.93</x:v>
      </x:c>
      <x:c r="K1979" s="48" t="str">
        <x:v>No</x:v>
      </x:c>
      <x:c r="L1979" s="48" t="str">
        <x:v>PDF text</x:v>
      </x:c>
    </x:row>
    <x:row r="1980">
      <x:c r="A1980" s="48" t="str">
        <x:v>UNI-1979</x:v>
      </x:c>
      <x:c r="B1980" s="48" t="str">
        <x:v>YELLOW</x:v>
      </x:c>
      <x:c r="C1980" s="48" t="str">
        <x:v>English</x:v>
      </x:c>
      <x:c r="D1980" s="48" t="n">
        <x:v>79</x:v>
      </x:c>
      <x:c r="E1980" s="48" t="str"/>
      <x:c r="F1980" s="48" t="str">
        <x:v>International Chamber of Commerce,</x:v>
      </x:c>
      <x:c r="G1980" s="48" t="str">
        <x:v>Obligation</x:v>
      </x:c>
      <x:c r="H1980" s="48" t="str">
        <x:v>Shared</x:v>
      </x:c>
      <x:c r="I1980" s="48" t="n">
        <x:v>0.45</x:v>
      </x:c>
      <x:c r="J1980" s="48" t="n">
        <x:v>0.4</x:v>
      </x:c>
      <x:c r="K1980" s="48" t="str">
        <x:v>Yes</x:v>
      </x:c>
      <x:c r="L1980" s="48" t="str">
        <x:v>PDF text</x:v>
      </x:c>
    </x:row>
    <x:row r="1981">
      <x:c r="A1981" s="48" t="str">
        <x:v>UNI-1980</x:v>
      </x:c>
      <x:c r="B1981" s="48" t="str">
        <x:v>YELLOW</x:v>
      </x:c>
      <x:c r="C1981" s="48" t="str">
        <x:v>English</x:v>
      </x:c>
      <x:c r="D1981" s="48" t="n">
        <x:v>79</x:v>
      </x:c>
      <x:c r="E1981" s="48" t="str"/>
      <x:c r="F1981" s="48" t="str">
        <x:v>(b) the dispute shall be settled by three arbitrators appointed in accordance with these Rules, and (c) the arbitration shall be conducted in the language for communications defined in Sub-Clause 1.4 [Law and Language].</x:v>
      </x:c>
      <x:c r="G1981" s="48" t="str">
        <x:v>Obligation</x:v>
      </x:c>
      <x:c r="H1981" s="48" t="str">
        <x:v>Shared</x:v>
      </x:c>
      <x:c r="I1981" s="48" t="n">
        <x:v>0.88</x:v>
      </x:c>
      <x:c r="J1981" s="48" t="n">
        <x:v>0.4</x:v>
      </x:c>
      <x:c r="K1981" s="48" t="str">
        <x:v>Yes</x:v>
      </x:c>
      <x:c r="L1981" s="48" t="str">
        <x:v>PDF text</x:v>
      </x:c>
    </x:row>
    <x:row r="1982">
      <x:c r="A1982" s="48" t="str">
        <x:v>UNI-1981</x:v>
      </x:c>
      <x:c r="B1982" s="48" t="str">
        <x:v>YELLOW</x:v>
      </x:c>
      <x:c r="C1982" s="48" t="str">
        <x:v>English</x:v>
      </x:c>
      <x:c r="D1982" s="48" t="n">
        <x:v>79</x:v>
      </x:c>
      <x:c r="E1982" s="48" t="str"/>
      <x:c r="F1982" s="48" t="str">
        <x:v>The arbitrator(s) shall have full power to open up, review and revise any certificate, determination, instruction, opinion or valuation of the Engineer, and any decision of the DAB, relevant to the dispute.</x:v>
      </x:c>
      <x:c r="G1982" s="48" t="str">
        <x:v>Obligation</x:v>
      </x:c>
      <x:c r="H1982" s="48" t="str">
        <x:v>Shared</x:v>
      </x:c>
      <x:c r="I1982" s="48" t="n">
        <x:v>0.88</x:v>
      </x:c>
      <x:c r="J1982" s="48" t="n">
        <x:v>0.4</x:v>
      </x:c>
      <x:c r="K1982" s="48" t="str">
        <x:v>Yes</x:v>
      </x:c>
      <x:c r="L1982" s="48" t="str">
        <x:v>PDF text</x:v>
      </x:c>
    </x:row>
    <x:row r="1983">
      <x:c r="A1983" s="48" t="str">
        <x:v>UNI-1982</x:v>
      </x:c>
      <x:c r="B1983" s="48" t="str">
        <x:v>YELLOW</x:v>
      </x:c>
      <x:c r="C1983" s="48" t="str">
        <x:v>English</x:v>
      </x:c>
      <x:c r="D1983" s="48" t="n">
        <x:v>79</x:v>
      </x:c>
      <x:c r="E1983" s="48" t="str"/>
      <x:c r="F1983" s="48" t="str">
        <x:v>Nothing shall disqualify the Engineer from being called as a witness and giving evidence before the arbitrator(s) on any matter whatsoever relevant to the dispute.</x:v>
      </x:c>
      <x:c r="G1983" s="48" t="str">
        <x:v>Obligation</x:v>
      </x:c>
      <x:c r="H1983" s="48" t="str">
        <x:v>Shared</x:v>
      </x:c>
      <x:c r="I1983" s="48" t="n">
        <x:v>0.88</x:v>
      </x:c>
      <x:c r="J1983" s="48" t="n">
        <x:v>0.4</x:v>
      </x:c>
      <x:c r="K1983" s="48" t="str">
        <x:v>Yes</x:v>
      </x:c>
      <x:c r="L1983" s="48" t="str">
        <x:v>PDF text</x:v>
      </x:c>
    </x:row>
    <x:row r="1984">
      <x:c r="A1984" s="48" t="str">
        <x:v>UNI-1983</x:v>
      </x:c>
      <x:c r="B1984" s="48" t="str">
        <x:v>YELLOW</x:v>
      </x:c>
      <x:c r="C1984" s="48" t="str">
        <x:v>English</x:v>
      </x:c>
      <x:c r="D1984" s="48" t="n">
        <x:v>79</x:v>
      </x:c>
      <x:c r="E1984" s="48" t="str"/>
      <x:c r="F1984" s="48" t="str">
        <x:v>Neither Party shall be limited in the proceedings before the arbitrator(s) to the evidence or arguments previously put before the DAB to obtain its decision, or to the reasons for dissatisfaction given in its notice of dissatisfaction.</x:v>
      </x:c>
      <x:c r="G1984" s="48" t="str">
        <x:v>Obligation</x:v>
      </x:c>
      <x:c r="H1984" s="48" t="str">
        <x:v>Shared</x:v>
      </x:c>
      <x:c r="I1984" s="48" t="n">
        <x:v>0.88</x:v>
      </x:c>
      <x:c r="J1984" s="48" t="n">
        <x:v>0.4</x:v>
      </x:c>
      <x:c r="K1984" s="48" t="str">
        <x:v>Yes</x:v>
      </x:c>
      <x:c r="L1984" s="48" t="str">
        <x:v>PDF text</x:v>
      </x:c>
    </x:row>
    <x:row r="1985">
      <x:c r="A1985" s="48" t="str">
        <x:v>UNI-1984</x:v>
      </x:c>
      <x:c r="B1985" s="48" t="str">
        <x:v>YELLOW</x:v>
      </x:c>
      <x:c r="C1985" s="48" t="str">
        <x:v>English</x:v>
      </x:c>
      <x:c r="D1985" s="48" t="n">
        <x:v>79</x:v>
      </x:c>
      <x:c r="E1985" s="48" t="str"/>
      <x:c r="F1985" s="48" t="str">
        <x:v>Any decision of the DAB shall be admissible in evidence in the arbitration.</x:v>
      </x:c>
      <x:c r="G1985" s="48" t="str">
        <x:v>Obligation</x:v>
      </x:c>
      <x:c r="H1985" s="48" t="str">
        <x:v>Shared</x:v>
      </x:c>
      <x:c r="I1985" s="48" t="n">
        <x:v>0.88</x:v>
      </x:c>
      <x:c r="J1985" s="48" t="n">
        <x:v>0.4</x:v>
      </x:c>
      <x:c r="K1985" s="48" t="str">
        <x:v>Yes</x:v>
      </x:c>
      <x:c r="L1985" s="48" t="str">
        <x:v>PDF text</x:v>
      </x:c>
    </x:row>
    <x:row r="1986">
      <x:c r="A1986" s="48" t="str">
        <x:v>UNI-1985</x:v>
      </x:c>
      <x:c r="B1986" s="48" t="str">
        <x:v>YELLOW</x:v>
      </x:c>
      <x:c r="C1986" s="48" t="str">
        <x:v>English</x:v>
      </x:c>
      <x:c r="D1986" s="48" t="n">
        <x:v>79</x:v>
      </x:c>
      <x:c r="E1986" s="48" t="str"/>
      <x:c r="F1986" s="48" t="str">
        <x:v>The obligations of the Parties, the Engineer and the DAB shall not be altered by reason of any arbitration being conducted during the progress of the Works.</x:v>
      </x:c>
      <x:c r="G1986" s="48" t="str">
        <x:v>Obligation</x:v>
      </x:c>
      <x:c r="H1986" s="48" t="str">
        <x:v>Shared</x:v>
      </x:c>
      <x:c r="I1986" s="48" t="n">
        <x:v>0.88</x:v>
      </x:c>
      <x:c r="J1986" s="48" t="n">
        <x:v>0.93</x:v>
      </x:c>
      <x:c r="K1986" s="48" t="str">
        <x:v>No</x:v>
      </x:c>
      <x:c r="L1986" s="48" t="str">
        <x:v>PDF text</x:v>
      </x:c>
    </x:row>
    <x:row r="1987">
      <x:c r="A1987" s="48" t="str">
        <x:v>UNI-1986</x:v>
      </x:c>
      <x:c r="B1987" s="48" t="str">
        <x:v>YELLOW</x:v>
      </x:c>
      <x:c r="C1987" s="48" t="str">
        <x:v>English</x:v>
      </x:c>
      <x:c r="D1987" s="48" t="n">
        <x:v>79</x:v>
      </x:c>
      <x:c r="E1987" s="48" t="str"/>
      <x:c r="F1987" s="48" t="str">
        <x:v>In the event that: (a) neither Party has given notice of dissatisfaction within the period stated in SubClause 20.4 [Obtaining Dispute Adjudication Board's Decision], (b) the DAB's related decision (if any) has become final and binding, and (c) a Party fails to comply with this decision, then the other Party may, without prejudice to any other rights it may have, refer the failure itself to arbitration under Sub-Clause 20.6 [Arbitration].</x:v>
      </x:c>
      <x:c r="G1987" s="48" t="str">
        <x:v>Risk</x:v>
      </x:c>
      <x:c r="H1987" s="48" t="str">
        <x:v>Shared</x:v>
      </x:c>
      <x:c r="I1987" s="48" t="n">
        <x:v>0.78</x:v>
      </x:c>
      <x:c r="J1987" s="48" t="n">
        <x:v>0.4</x:v>
      </x:c>
      <x:c r="K1987" s="48" t="str">
        <x:v>Yes</x:v>
      </x:c>
      <x:c r="L1987" s="48" t="str">
        <x:v>PDF text</x:v>
      </x:c>
    </x:row>
    <x:row r="1988">
      <x:c r="A1988" s="48" t="str">
        <x:v>UNI-1987</x:v>
      </x:c>
      <x:c r="B1988" s="48" t="str">
        <x:v>YELLOW</x:v>
      </x:c>
      <x:c r="C1988" s="48" t="str">
        <x:v>English</x:v>
      </x:c>
      <x:c r="D1988" s="48" t="n">
        <x:v>79</x:v>
      </x:c>
      <x:c r="E1988" s="48" t="str"/>
      <x:c r="F1988" s="48" t="str">
        <x:v>Sub-Clause 20.4 [Obtaining Dispute Adjudication Board's Decision] and Sub-Clause 20.5 [Amicable Settlement] shall not apply to this reference.</x:v>
      </x:c>
      <x:c r="G1988" s="48" t="str">
        <x:v>Obligation</x:v>
      </x:c>
      <x:c r="H1988" s="48" t="str">
        <x:v>Shared</x:v>
      </x:c>
      <x:c r="I1988" s="48" t="n">
        <x:v>0.88</x:v>
      </x:c>
      <x:c r="J1988" s="48" t="n">
        <x:v>0.4</x:v>
      </x:c>
      <x:c r="K1988" s="48" t="str">
        <x:v>Yes</x:v>
      </x:c>
      <x:c r="L1988" s="48" t="str">
        <x:v>PDF text</x:v>
      </x:c>
    </x:row>
    <x:row r="1989">
      <x:c r="A1989" s="48" t="str">
        <x:v>UNI-1988</x:v>
      </x:c>
      <x:c r="B1989" s="48" t="str">
        <x:v>YELLOW</x:v>
      </x:c>
      <x:c r="C1989" s="48" t="str">
        <x:v>English</x:v>
      </x:c>
      <x:c r="D1989" s="48" t="n">
        <x:v>79</x:v>
      </x:c>
      <x:c r="E1989" s="48" t="str"/>
      <x:c r="F1989" s="48" t="str">
        <x:v>If a dispute arises between the Parties in connection with, or arising out of, the</x:v>
      </x:c>
      <x:c r="G1989" s="48" t="str">
        <x:v>Obligation</x:v>
      </x:c>
      <x:c r="H1989" s="48" t="str">
        <x:v>Shared</x:v>
      </x:c>
      <x:c r="I1989" s="48" t="n">
        <x:v>0.55</x:v>
      </x:c>
      <x:c r="J1989" s="48" t="n">
        <x:v>0.93</x:v>
      </x:c>
      <x:c r="K1989" s="48" t="str">
        <x:v>Yes</x:v>
      </x:c>
      <x:c r="L1989" s="48" t="str">
        <x:v>PDF text</x:v>
      </x:c>
    </x:row>
    <x:row r="1990">
      <x:c r="A1990" s="48" t="str">
        <x:v>UNI-1989</x:v>
      </x:c>
      <x:c r="B1990" s="48" t="str">
        <x:v>YELLOW</x:v>
      </x:c>
      <x:c r="C1990" s="48" t="str">
        <x:v>English</x:v>
      </x:c>
      <x:c r="D1990" s="48" t="n">
        <x:v>79</x:v>
      </x:c>
      <x:c r="E1990" s="48" t="str"/>
      <x:c r="F1990" s="48" t="str">
        <x:v>Contract or the execution of the Works and there is no DAB in place, whether by</x:v>
      </x:c>
      <x:c r="G1990" s="48" t="str">
        <x:v>Obligation</x:v>
      </x:c>
      <x:c r="H1990" s="48" t="str">
        <x:v>Shared</x:v>
      </x:c>
      <x:c r="I1990" s="48" t="n">
        <x:v>0.45</x:v>
      </x:c>
      <x:c r="J1990" s="48" t="n">
        <x:v>0.4</x:v>
      </x:c>
      <x:c r="K1990" s="48" t="str">
        <x:v>Yes</x:v>
      </x:c>
      <x:c r="L1990" s="48" t="str">
        <x:v>PDF text</x:v>
      </x:c>
    </x:row>
    <x:row r="1991">
      <x:c r="A1991" s="48" t="str">
        <x:v>UNI-1990</x:v>
      </x:c>
      <x:c r="B1991" s="48" t="str">
        <x:v>YELLOW</x:v>
      </x:c>
      <x:c r="C1991" s="48" t="str">
        <x:v>English</x:v>
      </x:c>
      <x:c r="D1991" s="48" t="n">
        <x:v>79</x:v>
      </x:c>
      <x:c r="E1991" s="48" t="str"/>
      <x:c r="F1991" s="48" t="str">
        <x:v>reason of the expiry of the DAB's appointment or otherwise: (a) Sub-Clause 20.4 [Obtaining Dispute Adjudication Board's Decision] and SubClause 20.5 [Amicable Settlement] shall not apply, and (b) the dispute may be referred directly to arbitration under Sub-Clause 20.6 [Arbitration].</x:v>
      </x:c>
      <x:c r="G1991" s="48" t="str">
        <x:v>Obligation</x:v>
      </x:c>
      <x:c r="H1991" s="48" t="str">
        <x:v>Shared</x:v>
      </x:c>
      <x:c r="I1991" s="48" t="n">
        <x:v>0.88</x:v>
      </x:c>
      <x:c r="J1991" s="48" t="n">
        <x:v>0.4</x:v>
      </x:c>
      <x:c r="K1991" s="48" t="str">
        <x:v>Yes</x:v>
      </x:c>
      <x:c r="L1991" s="48" t="str">
        <x:v>PDF text</x:v>
      </x:c>
    </x:row>
    <x:row r="1992">
      <x:c r="A1992" s="48" t="str">
        <x:v>UNI-1991</x:v>
      </x:c>
      <x:c r="B1992" s="48" t="str">
        <x:v>YELLOW</x:v>
      </x:c>
      <x:c r="C1992" s="48" t="str">
        <x:v>English</x:v>
      </x:c>
      <x:c r="D1992" s="48" t="n">
        <x:v>79</x:v>
      </x:c>
      <x:c r="E1992" s="48" t="str"/>
      <x:c r="F1992" s="48" t="str">
        <x:v>Board's Decision</x:v>
      </x:c>
      <x:c r="G1992" s="48" t="str">
        <x:v>Obligation</x:v>
      </x:c>
      <x:c r="H1992" s="48" t="str">
        <x:v>Shared</x:v>
      </x:c>
      <x:c r="I1992" s="48" t="n">
        <x:v>0.45</x:v>
      </x:c>
      <x:c r="J1992" s="48" t="n">
        <x:v>0.4</x:v>
      </x:c>
      <x:c r="K1992" s="48" t="str">
        <x:v>Yes</x:v>
      </x:c>
      <x:c r="L1992" s="48" t="str">
        <x:v>PDF text</x:v>
      </x:c>
    </x:row>
    <x:row r="1993">
      <x:c r="A1993" s="48" t="str">
        <x:v>UNI-1992</x:v>
      </x:c>
      <x:c r="B1993" s="48" t="str">
        <x:v>YELLOW</x:v>
      </x:c>
      <x:c r="C1993" s="48" t="str">
        <x:v>English</x:v>
      </x:c>
      <x:c r="D1993" s="48" t="n">
        <x:v>79</x:v>
      </x:c>
      <x:c r="E1993" s="48" t="str"/>
      <x:c r="F1993" s="48" t="str">
        <x:v>Adjudication Board's</x:v>
      </x:c>
      <x:c r="G1993" s="48" t="str">
        <x:v>Obligation</x:v>
      </x:c>
      <x:c r="H1993" s="48" t="str">
        <x:v>Shared</x:v>
      </x:c>
      <x:c r="I1993" s="48" t="n">
        <x:v>0.45</x:v>
      </x:c>
      <x:c r="J1993" s="48" t="n">
        <x:v>0.4</x:v>
      </x:c>
      <x:c r="K1993" s="48" t="str">
        <x:v>Yes</x:v>
      </x:c>
      <x:c r="L1993" s="48" t="str">
        <x:v>PDF text</x:v>
      </x:c>
    </x:row>
    <x:row r="1994">
      <x:c r="A1994" s="48" t="str">
        <x:v>UNI-1993</x:v>
      </x:c>
      <x:c r="B1994" s="48" t="str">
        <x:v>YELLOW</x:v>
      </x:c>
      <x:c r="C1994" s="48" t="str">
        <x:v>English</x:v>
      </x:c>
      <x:c r="D1994" s="48" t="n">
        <x:v>79</x:v>
      </x:c>
      <x:c r="E1994" s="48" t="str"/>
      <x:c r="F1994" s="48" t="str">
        <x:v>Appointment</x:v>
      </x:c>
      <x:c r="G1994" s="48" t="str">
        <x:v>Obligation</x:v>
      </x:c>
      <x:c r="H1994" s="48" t="str">
        <x:v>Shared</x:v>
      </x:c>
      <x:c r="I1994" s="48" t="n">
        <x:v>0.45</x:v>
      </x:c>
      <x:c r="J1994" s="48" t="n">
        <x:v>0.4</x:v>
      </x:c>
      <x:c r="K1994" s="48" t="str">
        <x:v>Yes</x:v>
      </x:c>
      <x:c r="L1994" s="48" t="str">
        <x:v>PDF text</x:v>
      </x:c>
    </x:row>
    <x:row r="1995">
      <x:c r="A1995" s="48" t="str">
        <x:v>UNI-1994</x:v>
      </x:c>
      <x:c r="B1995" s="48" t="str">
        <x:v>ORANGE</x:v>
      </x:c>
      <x:c r="C1995" s="48" t="str">
        <x:v>English</x:v>
      </x:c>
      <x:c r="D1995" s="48" t="n">
        <x:v>7</x:v>
      </x:c>
      <x:c r="E1995" s="48" t="str"/>
      <x:c r="F1995" s="48" t="str">
        <x:v>PART I - GENERAL CONDITIONS</x:v>
      </x:c>
      <x:c r="G1995" s="48" t="str">
        <x:v>Heading</x:v>
      </x:c>
      <x:c r="H1995" s="48" t="str"/>
      <x:c r="I1995" s="48" t="n">
        <x:v>0.9</x:v>
      </x:c>
      <x:c r="J1995" s="48" t="n">
        <x:v>0.99</x:v>
      </x:c>
      <x:c r="K1995" s="48" t="str">
        <x:v>No</x:v>
      </x:c>
      <x:c r="L1995" s="48" t="str">
        <x:v>OCR</x:v>
      </x:c>
    </x:row>
    <x:row r="1996">
      <x:c r="A1996" s="48" t="str">
        <x:v>UNI-1995</x:v>
      </x:c>
      <x:c r="B1996" s="48" t="str">
        <x:v>ORANGE</x:v>
      </x:c>
      <x:c r="C1996" s="48" t="str">
        <x:v>English</x:v>
      </x:c>
      <x:c r="D1996" s="48" t="n">
        <x:v>7</x:v>
      </x:c>
      <x:c r="E1996" s="48" t="str"/>
      <x:c r="F1996" s="48" t="str">
        <x:v>Denim 1 tn fe Come eid to) the wok ad express deine ew ‘Ritharcine meanings suede thom tcp wre cme oes cere</x:v>
      </x:c>
      <x:c r="G1996" s="48" t="str">
        <x:v>Obligation</x:v>
      </x:c>
      <x:c r="H1996" s="48" t="str">
        <x:v>Shared</x:v>
      </x:c>
      <x:c r="I1996" s="48" t="n">
        <x:v>0.45</x:v>
      </x:c>
      <x:c r="J1996" s="48" t="n">
        <x:v>0.4</x:v>
      </x:c>
      <x:c r="K1996" s="48" t="str">
        <x:v>Yes</x:v>
      </x:c>
      <x:c r="L1996" s="48" t="str">
        <x:v>OCR</x:v>
      </x:c>
    </x:row>
    <x:row r="1997">
      <x:c r="A1997" s="48" t="str">
        <x:v>UNI-1996</x:v>
      </x:c>
      <x:c r="B1997" s="48" t="str">
        <x:v>ORANGE</x:v>
      </x:c>
      <x:c r="C1997" s="48" t="str">
        <x:v>English</x:v>
      </x:c>
      <x:c r="D1997" s="48" t="n">
        <x:v>7</x:v>
      </x:c>
      <x:c r="E1997" s="48" t="str"/>
      <x:c r="F1997" s="48" t="str">
        <x:v>La Bement</x:v>
      </x:c>
      <x:c r="G1997" s="48" t="str">
        <x:v>Obligation</x:v>
      </x:c>
      <x:c r="H1997" s="48" t="str">
        <x:v>Shared</x:v>
      </x:c>
      <x:c r="I1997" s="48" t="n">
        <x:v>0.45</x:v>
      </x:c>
      <x:c r="J1997" s="48" t="n">
        <x:v>0.4</x:v>
      </x:c>
      <x:c r="K1997" s="48" t="str">
        <x:v>Yes</x:v>
      </x:c>
      <x:c r="L1997" s="48" t="str">
        <x:v>OCR</x:v>
      </x:c>
    </x:row>
    <x:row r="1998">
      <x:c r="A1998" s="48" t="str">
        <x:v>UNI-1997</x:v>
      </x:c>
      <x:c r="B1998" s="48" t="str">
        <x:v>ORANGE</x:v>
      </x:c>
      <x:c r="C1998" s="48" t="str">
        <x:v>English</x:v>
      </x:c>
      <x:c r="D1998" s="48" t="n">
        <x:v>7</x:v>
      </x:c>
      <x:c r="E1998" s="48" t="str"/>
      <x:c r="F1998" s="48" t="str">
        <x:v>Shi auees sa toes</x:v>
      </x:c>
      <x:c r="G1998" s="48" t="str">
        <x:v>Obligation</x:v>
      </x:c>
      <x:c r="H1998" s="48" t="str">
        <x:v>Shared</x:v>
      </x:c>
      <x:c r="I1998" s="48" t="n">
        <x:v>0.45</x:v>
      </x:c>
      <x:c r="J1998" s="48" t="n">
        <x:v>0.4</x:v>
      </x:c>
      <x:c r="K1998" s="48" t="str">
        <x:v>Yes</x:v>
      </x:c>
      <x:c r="L1998" s="48" t="str">
        <x:v>OCR</x:v>
      </x:c>
    </x:row>
    <x:row r="1999">
      <x:c r="A1999" s="48" t="str">
        <x:v>UNI-1998</x:v>
      </x:c>
      <x:c r="B1999" s="48" t="str">
        <x:v>ORANGE</x:v>
      </x:c>
      <x:c r="C1999" s="48" t="str">
        <x:v>English</x:v>
      </x:c>
      <x:c r="D1999" s="48" t="n">
        <x:v>7</x:v>
      </x:c>
      <x:c r="E1999" s="48" t="str"/>
      <x:c r="F1999" s="48" t="str">
        <x:v>Se teTigere ome</x:v>
      </x:c>
      <x:c r="G1999" s="48" t="str">
        <x:v>Obligation</x:v>
      </x:c>
      <x:c r="H1999" s="48" t="str">
        <x:v>Shared</x:v>
      </x:c>
      <x:c r="I1999" s="48" t="n">
        <x:v>0.45</x:v>
      </x:c>
      <x:c r="J1999" s="48" t="n">
        <x:v>0.4</x:v>
      </x:c>
      <x:c r="K1999" s="48" t="str">
        <x:v>Yes</x:v>
      </x:c>
      <x:c r="L1999" s="48" t="str">
        <x:v>OCR</x:v>
      </x:c>
    </x:row>
    <x:row r="2000">
      <x:c r="A2000" s="48" t="str">
        <x:v>UNI-1999</x:v>
      </x:c>
      <x:c r="B2000" s="48" t="str">
        <x:v>ORANGE</x:v>
      </x:c>
      <x:c r="C2000" s="48" t="str">
        <x:v>English</x:v>
      </x:c>
      <x:c r="D2000" s="48" t="n">
        <x:v>7</x:v>
      </x:c>
      <x:c r="E2000" s="48" t="str"/>
      <x:c r="F2000" s="48" t="str">
        <x:v>sata Sr ee ee fe eevee moun. ses Sareea etre te</x:v>
      </x:c>
      <x:c r="G2000" s="48" t="str">
        <x:v>Obligation</x:v>
      </x:c>
      <x:c r="H2000" s="48" t="str">
        <x:v>Shared</x:v>
      </x:c>
      <x:c r="I2000" s="48" t="n">
        <x:v>0.45</x:v>
      </x:c>
      <x:c r="J2000" s="48" t="n">
        <x:v>0.4</x:v>
      </x:c>
      <x:c r="K2000" s="48" t="str">
        <x:v>Yes</x:v>
      </x:c>
      <x:c r="L2000" s="48" t="str">
        <x:v>OCR</x:v>
      </x:c>
    </x:row>
    <x:row r="2001">
      <x:c r="A2001" s="48" t="str">
        <x:v>UNI-2000</x:v>
      </x:c>
      <x:c r="B2001" s="48" t="str">
        <x:v>ORANGE</x:v>
      </x:c>
      <x:c r="C2001" s="48" t="str">
        <x:v>English</x:v>
      </x:c>
      <x:c r="D2001" s="48" t="n">
        <x:v>7</x:v>
      </x:c>
      <x:c r="E2001" s="48" t="str"/>
      <x:c r="F2001" s="48" t="str">
        <x:v>See erent</x:v>
      </x:c>
      <x:c r="G2001" s="48" t="str">
        <x:v>Obligation</x:v>
      </x:c>
      <x:c r="H2001" s="48" t="str">
        <x:v>Shared</x:v>
      </x:c>
      <x:c r="I2001" s="48" t="n">
        <x:v>0.45</x:v>
      </x:c>
      <x:c r="J2001" s="48" t="n">
        <x:v>0.4</x:v>
      </x:c>
      <x:c r="K2001" s="48" t="str">
        <x:v>Yes</x:v>
      </x:c>
      <x:c r="L2001" s="48" t="str">
        <x:v>OCR</x:v>
      </x:c>
    </x:row>
    <x:row r="2002">
      <x:c r="A2002" s="48" t="str">
        <x:v>UNI-2001</x:v>
      </x:c>
      <x:c r="B2002" s="48" t="str">
        <x:v>ORANGE</x:v>
      </x:c>
      <x:c r="C2002" s="48" t="str">
        <x:v>English</x:v>
      </x:c>
      <x:c r="D2002" s="48" t="n">
        <x:v>7</x:v>
      </x:c>
      <x:c r="E2002" s="48" t="str">
        <x:v>1.7</x:v>
      </x:c>
      <x:c r="F2002" s="48" t="str">
        <x:v>1.7 -Seedle of Payment meas he Schade signe a ach i</x:v>
      </x:c>
      <x:c r="G2002" s="48" t="str">
        <x:v>Obligation</x:v>
      </x:c>
      <x:c r="H2002" s="48" t="str">
        <x:v>Shared</x:v>
      </x:c>
      <x:c r="I2002" s="48" t="n">
        <x:v>0.55</x:v>
      </x:c>
      <x:c r="J2002" s="48" t="n">
        <x:v>0.4</x:v>
      </x:c>
      <x:c r="K2002" s="48" t="str">
        <x:v>Yes</x:v>
      </x:c>
      <x:c r="L2002" s="48" t="str">
        <x:v>OCR</x:v>
      </x:c>
    </x:row>
    <x:row r="2003">
      <x:c r="A2003" s="48" t="str">
        <x:v>UNI-2002</x:v>
      </x:c>
      <x:c r="B2003" s="48" t="str">
        <x:v>ORANGE</x:v>
      </x:c>
      <x:c r="C2003" s="48" t="str">
        <x:v>English</x:v>
      </x:c>
      <x:c r="D2003" s="48" t="n">
        <x:v>7</x:v>
      </x:c>
      <x:c r="E2003" s="48" t="str"/>
      <x:c r="F2003" s="48" t="str">
        <x:v>‘Sy rctmed om Seb Cane 1 eet cee eo acre the phe LL19 “Cort Agen eam enact agen ay) eed 11121 “Tngloye meme he pron same chin he Arend “enero helo mesons tuch onb e ‘ithe ese ee Coma an sige ch pen 1122 “Conta meas ep wane Tend as eon cee by ‘SEnpger mathe essen stan ea (Get wa he coset oe Empey sgre f ron 15123 Bingo Reese” mans he pron apie by te uy wats Eppes Repent fr ease oe ‘Comat amined che Appenie Wo Ten thet ‘en estos ye na oe wl</x:v>
      </x:c>
      <x:c r="G2003" s="48" t="str">
        <x:v>Obligation</x:v>
      </x:c>
      <x:c r="H2003" s="48" t="str">
        <x:v>Shared</x:v>
      </x:c>
      <x:c r="I2003" s="48" t="n">
        <x:v>0.45</x:v>
      </x:c>
      <x:c r="J2003" s="48" t="n">
        <x:v>0.4</x:v>
      </x:c>
      <x:c r="K2003" s="48" t="str">
        <x:v>Yes</x:v>
      </x:c>
      <x:c r="L2003" s="48" t="str">
        <x:v>OCR</x:v>
      </x:c>
    </x:row>
    <x:row r="2004">
      <x:c r="A2004" s="48" t="str">
        <x:v>UNI-2003</x:v>
      </x:c>
      <x:c r="B2004" s="48" t="str">
        <x:v>ORANGE</x:v>
      </x:c>
      <x:c r="C2004" s="48" t="str">
        <x:v>English</x:v>
      </x:c>
      <x:c r="D2004" s="48" t="n">
        <x:v>8</x:v>
      </x:c>
      <x:c r="E2004" s="48" t="str"/>
      <x:c r="F2004" s="48" t="str">
        <x:v>1126 “Dora mmr ede 2am Smeets</x:v>
      </x:c>
      <x:c r="G2004" s="48" t="str">
        <x:v>Obligation</x:v>
      </x:c>
      <x:c r="H2004" s="48" t="str">
        <x:v>Shared</x:v>
      </x:c>
      <x:c r="I2004" s="48" t="n">
        <x:v>0.45</x:v>
      </x:c>
      <x:c r="J2004" s="48" t="n">
        <x:v>0.4</x:v>
      </x:c>
      <x:c r="K2004" s="48" t="str">
        <x:v>Yes</x:v>
      </x:c>
      <x:c r="L2004" s="48" t="str">
        <x:v>OCR</x:v>
      </x:c>
    </x:row>
    <x:row r="2005">
      <x:c r="A2005" s="48" t="str">
        <x:v>UNI-2004</x:v>
      </x:c>
      <x:c r="B2005" s="48" t="str">
        <x:v>ORANGE</x:v>
      </x:c>
      <x:c r="C2005" s="48" t="str">
        <x:v>English</x:v>
      </x:c>
      <x:c r="D2005" s="48" t="n">
        <x:v>8</x:v>
      </x:c>
      <x:c r="E2005" s="48" t="str"/>
      <x:c r="F2005" s="48" t="str">
        <x:v>Li Teteand Completion</x:v>
      </x:c>
      <x:c r="G2005" s="48" t="str">
        <x:v>Obligation</x:v>
      </x:c>
      <x:c r="H2005" s="48" t="str">
        <x:v>Shared</x:v>
      </x:c>
      <x:c r="I2005" s="48" t="n">
        <x:v>0.45</x:v>
      </x:c>
      <x:c r="J2005" s="48" t="n">
        <x:v>0.4</x:v>
      </x:c>
      <x:c r="K2005" s="48" t="str">
        <x:v>Yes</x:v>
      </x:c>
      <x:c r="L2005" s="48" t="str">
        <x:v>OCR</x:v>
      </x:c>
    </x:row>
    <x:row r="2006">
      <x:c r="A2006" s="48" t="str">
        <x:v>UNI-2005</x:v>
      </x:c>
      <x:c r="B2006" s="48" t="str">
        <x:v>ORANGE</x:v>
      </x:c>
      <x:c r="C2006" s="48" t="str">
        <x:v>English</x:v>
      </x:c>
      <x:c r="D2006" s="48" t="n">
        <x:v>8</x:v>
      </x:c>
      <x:c r="E2006" s="48" t="str"/>
      <x:c r="F2006" s="48" t="str">
        <x:v>[HALL “Rt on Compton” mes th es pci in th Cant an ‘gt aan he chi med ae tahen over tye Engle.</x:v>
      </x:c>
      <x:c r="G2006" s="48" t="str">
        <x:v>Obligation</x:v>
      </x:c>
      <x:c r="H2006" s="48" t="str">
        <x:v>Shared</x:v>
      </x:c>
      <x:c r="I2006" s="48" t="n">
        <x:v>0.45</x:v>
      </x:c>
      <x:c r="J2006" s="48" t="n">
        <x:v>0.4</x:v>
      </x:c>
      <x:c r="K2006" s="48" t="str">
        <x:v>Yes</x:v>
      </x:c>
      <x:c r="L2006" s="48" t="str">
        <x:v>OCR</x:v>
      </x:c>
    </x:row>
    <x:row r="2007">
      <x:c r="A2007" s="48" t="str">
        <x:v>UNI-2006</x:v>
      </x:c>
      <x:c r="B2007" s="48" t="str">
        <x:v>ORANGE</x:v>
      </x:c>
      <x:c r="C2007" s="48" t="str">
        <x:v>English</x:v>
      </x:c>
      <x:c r="D2007" s="48" t="n">
        <x:v>8</x:v>
      </x:c>
      <x:c r="E2007" s="48" t="str"/>
      <x:c r="F2007" s="48" t="str">
        <x:v>Sia wt cnt coaster de Wes ay</x:v>
      </x:c>
      <x:c r="G2007" s="48" t="str">
        <x:v>Obligation</x:v>
      </x:c>
      <x:c r="H2007" s="48" t="str">
        <x:v>Shared</x:v>
      </x:c>
      <x:c r="I2007" s="48" t="n">
        <x:v>0.45</x:v>
      </x:c>
      <x:c r="J2007" s="48" t="n">
        <x:v>0.4</x:v>
      </x:c>
      <x:c r="K2007" s="48" t="str">
        <x:v>Yes</x:v>
      </x:c>
      <x:c r="L2007" s="48" t="str">
        <x:v>OCR</x:v>
      </x:c>
    </x:row>
    <x:row r="2008">
      <x:c r="A2008" s="48" t="str">
        <x:v>UNI-2007</x:v>
      </x:c>
      <x:c r="B2008" s="48" t="str">
        <x:v>ORANGE</x:v>
      </x:c>
      <x:c r="C2008" s="48" t="str">
        <x:v>English</x:v>
      </x:c>
      <x:c r="D2008" s="48" t="n">
        <x:v>8</x:v>
      </x:c>
      <x:c r="E2008" s="48" t="str"/>
      <x:c r="F2008" s="48" t="str">
        <x:v>144 -Perimance Cea” mene he cee ion by the pyar eens wa Se 115 Maney and Payments 181 Contact Pie ese he edn be Lee of cepa al os Conracor fort ge ctctn deol ‘Beha ene etn ere m ranch ovo ete Cee</x:v>
      </x:c>
      <x:c r="G2008" s="48" t="str">
        <x:v>Obligation</x:v>
      </x:c>
      <x:c r="H2008" s="48" t="str">
        <x:v>Shared</x:v>
      </x:c>
      <x:c r="I2008" s="48" t="n">
        <x:v>0.45</x:v>
      </x:c>
      <x:c r="J2008" s="48" t="n">
        <x:v>0.4</x:v>
      </x:c>
      <x:c r="K2008" s="48" t="str">
        <x:v>Yes</x:v>
      </x:c>
      <x:c r="L2008" s="48" t="str">
        <x:v>OCR</x:v>
      </x:c>
    </x:row>
    <x:row r="2009">
      <x:c r="A2009" s="48" t="str">
        <x:v>UNI-2008</x:v>
      </x:c>
      <x:c r="B2009" s="48" t="str">
        <x:v>ORANGE</x:v>
      </x:c>
      <x:c r="C2009" s="48" t="str">
        <x:v>English</x:v>
      </x:c>
      <x:c r="D2009" s="48" t="n">
        <x:v>9</x:v>
      </x:c>
      <x:c r="E2009" s="48" t="str"/>
      <x:c r="F2009" s="48" t="str">
        <x:v>1182 “Loa Caren” mete carey fe Cy 3 “Fae Ce neat ance niet we {jaf taal Caren</x:v>
      </x:c>
      <x:c r="G2009" s="48" t="str">
        <x:v>Obligation</x:v>
      </x:c>
      <x:c r="H2009" s="48" t="str">
        <x:v>Shared</x:v>
      </x:c>
      <x:c r="I2009" s="48" t="n">
        <x:v>0.45</x:v>
      </x:c>
      <x:c r="J2009" s="48" t="n">
        <x:v>0.4</x:v>
      </x:c>
      <x:c r="K2009" s="48" t="str">
        <x:v>Yes</x:v>
      </x:c>
      <x:c r="L2009" s="48" t="str">
        <x:v>OCR</x:v>
      </x:c>
    </x:row>
    <x:row r="2010">
      <x:c r="A2010" s="48" t="str">
        <x:v>UNI-2009</x:v>
      </x:c>
      <x:c r="B2010" s="48" t="str">
        <x:v>ORANGE</x:v>
      </x:c>
      <x:c r="C2010" s="48" t="str">
        <x:v>English</x:v>
      </x:c>
      <x:c r="D2010" s="48" t="n">
        <x:v>9</x:v>
      </x:c>
      <x:c r="E2010" s="48" t="str">
        <x:v>1.84</x:v>
      </x:c>
      <x:c r="F2010" s="48" t="str">
        <x:v>1.84 “Reeion Moneys he seamuted renon mais etine</x:v>
      </x:c>
      <x:c r="G2010" s="48" t="str">
        <x:v>Obligation</x:v>
      </x:c>
      <x:c r="H2010" s="48" t="str">
        <x:v>Shared</x:v>
      </x:c>
      <x:c r="I2010" s="48" t="n">
        <x:v>0.45</x:v>
      </x:c>
      <x:c r="J2010" s="48" t="n">
        <x:v>0.4</x:v>
      </x:c>
      <x:c r="K2010" s="48" t="str">
        <x:v>Yes</x:v>
      </x:c>
      <x:c r="L2010" s="48" t="str">
        <x:v>OCR</x:v>
      </x:c>
    </x:row>
    <x:row r="2011">
      <x:c r="A2011" s="48" t="str">
        <x:v>UNI-2010</x:v>
      </x:c>
      <x:c r="B2011" s="48" t="str">
        <x:v>ORANGE</x:v>
      </x:c>
      <x:c r="C2011" s="48" t="str">
        <x:v>English</x:v>
      </x:c>
      <x:c r="D2011" s="48" t="n">
        <x:v>9</x:v>
      </x:c>
      <x:c r="E2011" s="48" t="str"/>
      <x:c r="F2011" s="48" t="str">
        <x:v>‘jhe Empoer n ebChse 133 18S “Rovian Sun mess any) ped athe Cae an (ipl ee Gr ccnp pro Were ot inca of Pa Sana ewes</x:v>
      </x:c>
      <x:c r="G2011" s="48" t="str">
        <x:v>Obligation</x:v>
      </x:c>
      <x:c r="H2011" s="48" t="str">
        <x:v>Shared</x:v>
      </x:c>
      <x:c r="I2011" s="48" t="n">
        <x:v>0.45</x:v>
      </x:c>
      <x:c r="J2011" s="48" t="n">
        <x:v>0.4</x:v>
      </x:c>
      <x:c r="K2011" s="48" t="str">
        <x:v>Yes</x:v>
      </x:c>
      <x:c r="L2011" s="48" t="str">
        <x:v>OCR</x:v>
      </x:c>
    </x:row>
    <x:row r="2012">
      <x:c r="A2012" s="48" t="str">
        <x:v>UNI-2011</x:v>
      </x:c>
      <x:c r="B2012" s="48" t="str">
        <x:v>ORANGE</x:v>
      </x:c>
      <x:c r="C2012" s="48" t="str">
        <x:v>English</x:v>
      </x:c>
      <x:c r="D2012" s="48" t="n">
        <x:v>9</x:v>
      </x:c>
      <x:c r="E2012" s="48" t="str">
        <x:v>11.6</x:v>
      </x:c>
      <x:c r="F2012" s="48" t="str">
        <x:v>11.6 “Cost meas al expe propty ince re incre</x:v>
      </x:c>
      <x:c r="G2012" s="48" t="str">
        <x:v>Obligation</x:v>
      </x:c>
      <x:c r="H2012" s="48" t="str">
        <x:v>Shared</x:v>
      </x:c>
      <x:c r="I2012" s="48" t="n">
        <x:v>0.45</x:v>
      </x:c>
      <x:c r="J2012" s="48" t="n">
        <x:v>0.4</x:v>
      </x:c>
      <x:c r="K2012" s="48" t="str">
        <x:v>Yes</x:v>
      </x:c>
      <x:c r="L2012" s="48" t="str">
        <x:v>OCR</x:v>
      </x:c>
    </x:row>
    <x:row r="2013">
      <x:c r="A2013" s="48" t="str">
        <x:v>UNI-2012</x:v>
      </x:c>
      <x:c r="B2013" s="48" t="str">
        <x:v>ORANGE</x:v>
      </x:c>
      <x:c r="C2013" s="48" t="str">
        <x:v>English</x:v>
      </x:c>
      <x:c r="D2013" s="48" t="n">
        <x:v>9</x:v>
      </x:c>
      <x:c r="E2013" s="48" t="str"/>
      <x:c r="F2013" s="48" t="str">
        <x:v>{i cooman, ner ono he Se mcg Ont na ares St ce</x:v>
      </x:c>
      <x:c r="G2013" s="48" t="str">
        <x:v>Obligation</x:v>
      </x:c>
      <x:c r="H2013" s="48" t="str">
        <x:v>Shared</x:v>
      </x:c>
      <x:c r="I2013" s="48" t="n">
        <x:v>0.45</x:v>
      </x:c>
      <x:c r="J2013" s="48" t="n">
        <x:v>0.4</x:v>
      </x:c>
      <x:c r="K2013" s="48" t="str">
        <x:v>Yes</x:v>
      </x:c>
      <x:c r="L2013" s="48" t="str">
        <x:v>OCR</x:v>
      </x:c>
    </x:row>
    <x:row r="2014">
      <x:c r="A2014" s="48" t="str">
        <x:v>UNI-2013</x:v>
      </x:c>
      <x:c r="B2014" s="48" t="str">
        <x:v>ORANGE</x:v>
      </x:c>
      <x:c r="C2014" s="48" t="str">
        <x:v>English</x:v>
      </x:c>
      <x:c r="D2014" s="48" t="n">
        <x:v>9</x:v>
      </x:c>
      <x:c r="E2014" s="48" t="str">
        <x:v>11.57</x:v>
      </x:c>
      <x:c r="F2014" s="48" t="str">
        <x:v>11.57 “buen Payment Creat” meas ay panne cere sed</x:v>
      </x:c>
      <x:c r="G2014" s="48" t="str">
        <x:v>Obligation</x:v>
      </x:c>
      <x:c r="H2014" s="48" t="str">
        <x:v>Shared</x:v>
      </x:c>
      <x:c r="I2014" s="48" t="n">
        <x:v>0.55</x:v>
      </x:c>
      <x:c r="J2014" s="48" t="n">
        <x:v>0.4</x:v>
      </x:c>
      <x:c r="K2014" s="48" t="str">
        <x:v>Yes</x:v>
      </x:c>
      <x:c r="L2014" s="48" t="str">
        <x:v>OCR</x:v>
      </x:c>
    </x:row>
    <x:row r="2015">
      <x:c r="A2015" s="48" t="str">
        <x:v>UNI-2014</x:v>
      </x:c>
      <x:c r="B2015" s="48" t="str">
        <x:v>ORANGE</x:v>
      </x:c>
      <x:c r="C2015" s="48" t="str">
        <x:v>English</x:v>
      </x:c>
      <x:c r="D2015" s="48" t="n">
        <x:v>9</x:v>
      </x:c>
      <x:c r="E2015" s="48" t="str"/>
      <x:c r="F2015" s="48" t="str">
        <x:v>‘phe Employers Hest wat Cae 15 te a te nal aye Cee</x:v>
      </x:c>
      <x:c r="G2015" s="48" t="str">
        <x:v>Obligation</x:v>
      </x:c>
      <x:c r="H2015" s="48" t="str">
        <x:v>Shared</x:v>
      </x:c>
      <x:c r="I2015" s="48" t="n">
        <x:v>0.45</x:v>
      </x:c>
      <x:c r="J2015" s="48" t="n">
        <x:v>0.4</x:v>
      </x:c>
      <x:c r="K2015" s="48" t="str">
        <x:v>Yes</x:v>
      </x:c>
      <x:c r="L2015" s="48" t="str">
        <x:v>OCR</x:v>
      </x:c>
    </x:row>
    <x:row r="2016">
      <x:c r="A2016" s="48" t="str">
        <x:v>UNI-2015</x:v>
      </x:c>
      <x:c r="B2016" s="48" t="str">
        <x:v>ORANGE</x:v>
      </x:c>
      <x:c r="C2016" s="48" t="str">
        <x:v>English</x:v>
      </x:c>
      <x:c r="D2016" s="48" t="n">
        <x:v>9</x:v>
      </x:c>
      <x:c r="E2016" s="48" t="str">
        <x:v>11.58</x:v>
      </x:c>
      <x:c r="F2016" s="48" t="str">
        <x:v>11.58 “nt Payer Ceri mans he et eine sed by</x:v>
      </x:c>
      <x:c r="G2016" s="48" t="str">
        <x:v>Obligation</x:v>
      </x:c>
      <x:c r="H2016" s="48" t="str">
        <x:v>Shared</x:v>
      </x:c>
      <x:c r="I2016" s="48" t="n">
        <x:v>0.45</x:v>
      </x:c>
      <x:c r="J2016" s="48" t="n">
        <x:v>0.4</x:v>
      </x:c>
      <x:c r="K2016" s="48" t="str">
        <x:v>Yes</x:v>
      </x:c>
      <x:c r="L2016" s="48" t="str">
        <x:v>OCR</x:v>
      </x:c>
    </x:row>
    <x:row r="2017">
      <x:c r="A2017" s="48" t="str">
        <x:v>UNI-2016</x:v>
      </x:c>
      <x:c r="B2017" s="48" t="str">
        <x:v>ORANGE</x:v>
      </x:c>
      <x:c r="C2017" s="48" t="str">
        <x:v>English</x:v>
      </x:c>
      <x:c r="D2017" s="48" t="n">
        <x:v>9</x:v>
      </x:c>
      <x:c r="E2017" s="48" t="str"/>
      <x:c r="F2017" s="48" t="str">
        <x:v>ite Enpuers Reps eer Sub Clae 118 1159 “Pn Sakon” es Se aged salen deed Su 116 Omer Dette 161 “Contin Decunet” mea sl eigen entries pop) ps, pt mode pera ‘nme ma, or mana tema ‘Strato abe ye Corte 1162 “Varies” mean any sein andor moicion 1 he</x:v>
      </x:c>
      <x:c r="G2017" s="48" t="str">
        <x:v>Obligation</x:v>
      </x:c>
      <x:c r="H2017" s="48" t="str">
        <x:v>Shared</x:v>
      </x:c>
      <x:c r="I2017" s="48" t="n">
        <x:v>0.45</x:v>
      </x:c>
      <x:c r="J2017" s="48" t="n">
        <x:v>0.4</x:v>
      </x:c>
      <x:c r="K2017" s="48" t="str">
        <x:v>Yes</x:v>
      </x:c>
      <x:c r="L2017" s="48" t="str">
        <x:v>OCR</x:v>
      </x:c>
    </x:row>
    <x:row r="2018">
      <x:c r="A2018" s="48" t="str">
        <x:v>UNI-2017</x:v>
      </x:c>
      <x:c r="B2018" s="48" t="str">
        <x:v>ORANGE</x:v>
      </x:c>
      <x:c r="C2018" s="48" t="str">
        <x:v>English</x:v>
      </x:c>
      <x:c r="D2018" s="48" t="n">
        <x:v>9</x:v>
      </x:c>
      <x:c r="E2018" s="48" t="str"/>
      <x:c r="F2018" s="48" t="str">
        <x:v>Eppes Roem, wich errad by the Empoyers</x:v>
      </x:c>
      <x:c r="G2018" s="48" t="str">
        <x:v>Obligation</x:v>
      </x:c>
      <x:c r="H2018" s="48" t="str">
        <x:v>Shared</x:v>
      </x:c>
      <x:c r="I2018" s="48" t="n">
        <x:v>0.45</x:v>
      </x:c>
      <x:c r="J2018" s="48" t="n">
        <x:v>0.4</x:v>
      </x:c>
      <x:c r="K2018" s="48" t="str">
        <x:v>Yes</x:v>
      </x:c>
      <x:c r="L2018" s="48" t="str">
        <x:v>OCR</x:v>
      </x:c>
    </x:row>
    <x:row r="2019">
      <x:c r="A2019" s="48" t="str">
        <x:v>UNI-2018</x:v>
      </x:c>
      <x:c r="B2019" s="48" t="str">
        <x:v>ORANGE</x:v>
      </x:c>
      <x:c r="C2019" s="48" t="str">
        <x:v>English</x:v>
      </x:c>
      <x:c r="D2019" s="48" t="n">
        <x:v>9</x:v>
      </x:c>
      <x:c r="E2019" s="48" t="str"/>
      <x:c r="F2019" s="48" t="str">
        <x:v>Kemi el steno</x:v>
      </x:c>
      <x:c r="G2019" s="48" t="str">
        <x:v>Obligation</x:v>
      </x:c>
      <x:c r="H2019" s="48" t="str">
        <x:v>Shared</x:v>
      </x:c>
      <x:c r="I2019" s="48" t="n">
        <x:v>0.45</x:v>
      </x:c>
      <x:c r="J2019" s="48" t="n">
        <x:v>0.4</x:v>
      </x:c>
      <x:c r="K2019" s="48" t="str">
        <x:v>Yes</x:v>
      </x:c>
      <x:c r="L2019" s="48" t="str">
        <x:v>OCR</x:v>
      </x:c>
    </x:row>
    <x:row r="2020">
      <x:c r="A2020" s="48" t="str">
        <x:v>UNI-2019</x:v>
      </x:c>
      <x:c r="B2020" s="48" t="str">
        <x:v>ORANGE</x:v>
      </x:c>
      <x:c r="C2020" s="48" t="str">
        <x:v>English</x:v>
      </x:c>
      <x:c r="D2020" s="48" t="n">
        <x:v>9</x:v>
      </x:c>
      <x:c r="E2020" s="48" t="str"/>
      <x:c r="F2020" s="48" t="str">
        <x:v>11463 “Wor” mean te Perma Woks te Temporary Woks 0 ner fhe P|</x:v>
      </x:c>
      <x:c r="G2020" s="48" t="str">
        <x:v>Obligation</x:v>
      </x:c>
      <x:c r="H2020" s="48" t="str">
        <x:v>Shared</x:v>
      </x:c>
      <x:c r="I2020" s="48" t="n">
        <x:v>0.45</x:v>
      </x:c>
      <x:c r="J2020" s="48" t="n">
        <x:v>0.4</x:v>
      </x:c>
      <x:c r="K2020" s="48" t="str">
        <x:v>Yes</x:v>
      </x:c>
      <x:c r="L2020" s="48" t="str">
        <x:v>OCR</x:v>
      </x:c>
    </x:row>
    <x:row r="2021">
      <x:c r="A2021" s="48" t="str">
        <x:v>UNI-2020</x:v>
      </x:c>
      <x:c r="B2021" s="48" t="str">
        <x:v>ORANGE</x:v>
      </x:c>
      <x:c r="C2021" s="48" t="str">
        <x:v>English</x:v>
      </x:c>
      <x:c r="D2021" s="48" t="n">
        <x:v>9</x:v>
      </x:c>
      <x:c r="E2021" s="48" t="str">
        <x:v>1.64</x:v>
      </x:c>
      <x:c r="F2021" s="48" t="str">
        <x:v>1.64 “Permanent Wa" meas he pean works ded sd</x:v>
      </x:c>
      <x:c r="G2021" s="48" t="str">
        <x:v>Obligation</x:v>
      </x:c>
      <x:c r="H2021" s="48" t="str">
        <x:v>Shared</x:v>
      </x:c>
      <x:c r="I2021" s="48" t="n">
        <x:v>0.45</x:v>
      </x:c>
      <x:c r="J2021" s="48" t="n">
        <x:v>0.4</x:v>
      </x:c>
      <x:c r="K2021" s="48" t="str">
        <x:v>Yes</x:v>
      </x:c>
      <x:c r="L2021" s="48" t="str">
        <x:v>OCR</x:v>
      </x:c>
    </x:row>
    <x:row r="2022">
      <x:c r="A2022" s="48" t="str">
        <x:v>UNI-2021</x:v>
      </x:c>
      <x:c r="B2022" s="48" t="str">
        <x:v>ORANGE</x:v>
      </x:c>
      <x:c r="C2022" s="48" t="str">
        <x:v>English</x:v>
      </x:c>
      <x:c r="D2022" s="48" t="n">
        <x:v>9</x:v>
      </x:c>
      <x:c r="E2022" s="48" t="str"/>
      <x:c r="F2022" s="48" t="str">
        <x:v>san acre nhs Coat 16S “Tempra Werk mea a empower ind te thon Geotail “Sepa e Ms ante ening fn es 114 in amma nt pan sea fe oi et Rema es nang yy toe ‘Shae obese hs Court pet mth Coe</x:v>
      </x:c>
      <x:c r="G2022" s="48" t="str">
        <x:v>Obligation</x:v>
      </x:c>
      <x:c r="H2022" s="48" t="str">
        <x:v>Shared</x:v>
      </x:c>
      <x:c r="I2022" s="48" t="n">
        <x:v>0.45</x:v>
      </x:c>
      <x:c r="J2022" s="48" t="n">
        <x:v>0.4</x:v>
      </x:c>
      <x:c r="K2022" s="48" t="str">
        <x:v>Yes</x:v>
      </x:c>
      <x:c r="L2022" s="48" t="str">
        <x:v>OCR</x:v>
      </x:c>
    </x:row>
    <x:row r="2023">
      <x:c r="A2023" s="48" t="str">
        <x:v>UNI-2022</x:v>
      </x:c>
      <x:c r="B2023" s="48" t="str">
        <x:v>ORANGE</x:v>
      </x:c>
      <x:c r="C2023" s="48" t="str">
        <x:v>English</x:v>
      </x:c>
      <x:c r="D2023" s="48" t="n">
        <x:v>9</x:v>
      </x:c>
      <x:c r="E2023" s="48" t="str"/>
      <x:c r="F2023" s="48" t="str">
        <x:v>Lar map goa ah ta Pm ee</x:v>
      </x:c>
      <x:c r="G2023" s="48" t="str">
        <x:v>Obligation</x:v>
      </x:c>
      <x:c r="H2023" s="48" t="str">
        <x:v>Shared</x:v>
      </x:c>
      <x:c r="I2023" s="48" t="n">
        <x:v>0.45</x:v>
      </x:c>
      <x:c r="J2023" s="48" t="n">
        <x:v>0.4</x:v>
      </x:c>
      <x:c r="K2023" s="48" t="str">
        <x:v>Yes</x:v>
      </x:c>
      <x:c r="L2023" s="48" t="str">
        <x:v>OCR</x:v>
      </x:c>
    </x:row>
    <x:row r="2024">
      <x:c r="A2024" s="48" t="str">
        <x:v>UNI-2023</x:v>
      </x:c>
      <x:c r="B2024" s="48" t="str">
        <x:v>ORANGE</x:v>
      </x:c>
      <x:c r="C2024" s="48" t="str">
        <x:v>English</x:v>
      </x:c>
      <x:c r="D2024" s="48" t="n">
        <x:v>9</x:v>
      </x:c>
      <x:c r="E2024" s="48" t="str"/>
      <x:c r="F2024" s="48" t="str">
        <x:v>snf'Sepentlin he Romane Wns be Cra lie</x:v>
      </x:c>
      <x:c r="G2024" s="48" t="str">
        <x:v>Obligation</x:v>
      </x:c>
      <x:c r="H2024" s="48" t="str">
        <x:v>Shared</x:v>
      </x:c>
      <x:c r="I2024" s="48" t="n">
        <x:v>0.45</x:v>
      </x:c>
      <x:c r="J2024" s="48" t="n">
        <x:v>0.4</x:v>
      </x:c>
      <x:c r="K2024" s="48" t="str">
        <x:v>Yes</x:v>
      </x:c>
      <x:c r="L2024" s="48" t="str">
        <x:v>OCR</x:v>
      </x:c>
    </x:row>
    <x:row r="2025">
      <x:c r="A2025" s="48" t="str">
        <x:v>UNI-2024</x:v>
      </x:c>
      <x:c r="B2025" s="48" t="str">
        <x:v>ORANGE</x:v>
      </x:c>
      <x:c r="C2025" s="48" t="str">
        <x:v>English</x:v>
      </x:c>
      <x:c r="D2025" s="48" t="n">
        <x:v>9</x:v>
      </x:c>
      <x:c r="E2025" s="48" t="str"/>
      <x:c r="F2025" s="48" t="str">
        <x:v>Sse fom ahem ed</x:v>
      </x:c>
      <x:c r="G2025" s="48" t="str">
        <x:v>Obligation</x:v>
      </x:c>
      <x:c r="H2025" s="48" t="str">
        <x:v>Shared</x:v>
      </x:c>
      <x:c r="I2025" s="48" t="n">
        <x:v>0.45</x:v>
      </x:c>
      <x:c r="J2025" s="48" t="n">
        <x:v>0.4</x:v>
      </x:c>
      <x:c r="K2025" s="48" t="str">
        <x:v>Yes</x:v>
      </x:c>
      <x:c r="L2025" s="48" t="str">
        <x:v>OCR</x:v>
      </x:c>
    </x:row>
    <x:row r="2026">
      <x:c r="A2026" s="48" t="str">
        <x:v>UNI-2025</x:v>
      </x:c>
      <x:c r="B2026" s="48" t="str">
        <x:v>ORANGE</x:v>
      </x:c>
      <x:c r="C2026" s="48" t="str">
        <x:v>English</x:v>
      </x:c>
      <x:c r="D2026" s="48" t="n">
        <x:v>9</x:v>
      </x:c>
      <x:c r="E2026" s="48" t="str">
        <x:v>1.68</x:v>
      </x:c>
      <x:c r="F2026" s="48" t="str">
        <x:v>1.68 “Conroe” eae may pei nd hr</x:v>
      </x:c>
      <x:c r="G2026" s="48" t="str">
        <x:v>Right</x:v>
      </x:c>
      <x:c r="H2026" s="48" t="str">
        <x:v>Shared</x:v>
      </x:c>
      <x:c r="I2026" s="48" t="n">
        <x:v>0.78</x:v>
      </x:c>
      <x:c r="J2026" s="48" t="n">
        <x:v>0.4</x:v>
      </x:c>
      <x:c r="K2026" s="48" t="str">
        <x:v>Yes</x:v>
      </x:c>
      <x:c r="L2026" s="48" t="str">
        <x:v>OCR</x:v>
      </x:c>
    </x:row>
    <x:row r="2027">
      <x:c r="A2027" s="48" t="str">
        <x:v>UNI-2026</x:v>
      </x:c>
      <x:c r="B2027" s="48" t="str">
        <x:v>ORANGE</x:v>
      </x:c>
      <x:c r="C2027" s="48" t="str">
        <x:v>English</x:v>
      </x:c>
      <x:c r="D2027" s="48" t="n">
        <x:v>9</x:v>
      </x:c>
      <x:c r="E2027" s="48" t="str"/>
      <x:c r="F2027" s="48" t="str">
        <x:v>‘ngs at Feapry Not) map!</x:v>
      </x:c>
      <x:c r="G2027" s="48" t="str">
        <x:v>Obligation</x:v>
      </x:c>
      <x:c r="H2027" s="48" t="str">
        <x:v>Shared</x:v>
      </x:c>
      <x:c r="I2027" s="48" t="n">
        <x:v>0.45</x:v>
      </x:c>
      <x:c r="J2027" s="48" t="n">
        <x:v>0.4</x:v>
      </x:c>
      <x:c r="K2027" s="48" t="str">
        <x:v>Yes</x:v>
      </x:c>
      <x:c r="L2027" s="48" t="str">
        <x:v>OCR</x:v>
      </x:c>
    </x:row>
    <x:row r="2028">
      <x:c r="A2028" s="48" t="str">
        <x:v>UNI-2027</x:v>
      </x:c>
      <x:c r="B2028" s="48" t="str">
        <x:v>ORANGE</x:v>
      </x:c>
      <x:c r="C2028" s="48" t="str">
        <x:v>English</x:v>
      </x:c>
      <x:c r="D2028" s="48" t="n">
        <x:v>9</x:v>
      </x:c>
      <x:c r="E2028" s="48" t="str"/>
      <x:c r="F2028" s="48" t="str">
        <x:v>Se exec ‘Socio at nde ene fy ec fe code Pa.</x:v>
      </x:c>
      <x:c r="G2028" s="48" t="str">
        <x:v>Obligation</x:v>
      </x:c>
      <x:c r="H2028" s="48" t="str">
        <x:v>Shared</x:v>
      </x:c>
      <x:c r="I2028" s="48" t="n">
        <x:v>0.45</x:v>
      </x:c>
      <x:c r="J2028" s="48" t="n">
        <x:v>0.4</x:v>
      </x:c>
      <x:c r="K2028" s="48" t="str">
        <x:v>Yes</x:v>
      </x:c>
      <x:c r="L2028" s="48" t="str">
        <x:v>OCR</x:v>
      </x:c>
    </x:row>
    <x:row r="2029">
      <x:c r="A2029" s="48" t="str">
        <x:v>UNI-2028</x:v>
      </x:c>
      <x:c r="B2029" s="48" t="str">
        <x:v>ORANGE</x:v>
      </x:c>
      <x:c r="C2029" s="48" t="str">
        <x:v>English</x:v>
      </x:c>
      <x:c r="D2029" s="48" t="n">
        <x:v>9</x:v>
      </x:c>
      <x:c r="E2029" s="48" t="str"/>
      <x:c r="F2029" s="48" t="str">
        <x:v>Me, te ies el fm “evan phe Reman os</x:v>
      </x:c>
      <x:c r="G2029" s="48" t="str">
        <x:v>Obligation</x:v>
      </x:c>
      <x:c r="H2029" s="48" t="str">
        <x:v>Shared</x:v>
      </x:c>
      <x:c r="I2029" s="48" t="n">
        <x:v>0.45</x:v>
      </x:c>
      <x:c r="J2029" s="48" t="n">
        <x:v>0.4</x:v>
      </x:c>
      <x:c r="K2029" s="48" t="str">
        <x:v>Yes</x:v>
      </x:c>
      <x:c r="L2029" s="48" t="str">
        <x:v>OCR</x:v>
      </x:c>
    </x:row>
    <x:row r="2030">
      <x:c r="A2030" s="48" t="str">
        <x:v>UNI-2029</x:v>
      </x:c>
      <x:c r="B2030" s="48" t="str">
        <x:v>ORANGE</x:v>
      </x:c>
      <x:c r="C2030" s="48" t="str">
        <x:v>English</x:v>
      </x:c>
      <x:c r="D2030" s="48" t="n">
        <x:v>10</x:v>
      </x:c>
      <x:c r="E2030" s="48" t="str"/>
      <x:c r="F2030" s="48" t="str">
        <x:v>L1A9 “Seton” mens 2 pt of he Work weil fie in he ‘Repent oar a See a) 1 1st" mean he es oie ye Eman wee Wes</x:v>
      </x:c>
      <x:c r="G2030" s="48" t="str">
        <x:v>Obligation</x:v>
      </x:c>
      <x:c r="H2030" s="48" t="str">
        <x:v>Shared</x:v>
      </x:c>
      <x:c r="I2030" s="48" t="n">
        <x:v>0.45</x:v>
      </x:c>
      <x:c r="J2030" s="48" t="n">
        <x:v>0.4</x:v>
      </x:c>
      <x:c r="K2030" s="48" t="str">
        <x:v>Yes</x:v>
      </x:c>
      <x:c r="L2030" s="48" t="str">
        <x:v>OCR</x:v>
      </x:c>
    </x:row>
    <x:row r="2031">
      <x:c r="A2031" s="48" t="str">
        <x:v>UNI-2030</x:v>
      </x:c>
      <x:c r="B2031" s="48" t="str">
        <x:v>ORANGE</x:v>
      </x:c>
      <x:c r="C2031" s="48" t="str">
        <x:v>English</x:v>
      </x:c>
      <x:c r="D2031" s="48" t="n">
        <x:v>10</x:v>
      </x:c>
      <x:c r="E2031" s="48" t="str"/>
      <x:c r="F2031" s="48" t="str">
        <x:v>ECS eS she Meals</x:v>
      </x:c>
      <x:c r="G2031" s="48" t="str">
        <x:v>Obligation</x:v>
      </x:c>
      <x:c r="H2031" s="48" t="str">
        <x:v>Shared</x:v>
      </x:c>
      <x:c r="I2031" s="48" t="n">
        <x:v>0.45</x:v>
      </x:c>
      <x:c r="J2031" s="48" t="n">
        <x:v>0.4</x:v>
      </x:c>
      <x:c r="K2031" s="48" t="str">
        <x:v>Yes</x:v>
      </x:c>
      <x:c r="L2031" s="48" t="str">
        <x:v>OCR</x:v>
      </x:c>
    </x:row>
    <x:row r="2032">
      <x:c r="A2032" s="48" t="str">
        <x:v>UNI-2031</x:v>
      </x:c>
      <x:c r="B2032" s="48" t="str">
        <x:v>ORANGE</x:v>
      </x:c>
      <x:c r="C2032" s="48" t="str">
        <x:v>English</x:v>
      </x:c>
      <x:c r="D2032" s="48" t="n">
        <x:v>10</x:v>
      </x:c>
      <x:c r="E2032" s="48" t="str"/>
      <x:c r="F2032" s="48" t="str">
        <x:v>‘Slee, ye pices ay be pce dept it Coma oman pu oe Si Heatingsand 12 ‘Then and magna nasa tur. he Coins hal a Margins |” Wun incomes thr wept</x:v>
      </x:c>
      <x:c r="G2032" s="48" t="str">
        <x:v>Obligation</x:v>
      </x:c>
      <x:c r="H2032" s="48" t="str">
        <x:v>Shared</x:v>
      </x:c>
      <x:c r="I2032" s="48" t="n">
        <x:v>0.45</x:v>
      </x:c>
      <x:c r="J2032" s="48" t="n">
        <x:v>0.4</x:v>
      </x:c>
      <x:c r="K2032" s="48" t="str">
        <x:v>Yes</x:v>
      </x:c>
      <x:c r="L2032" s="48" t="str">
        <x:v>OCR</x:v>
      </x:c>
    </x:row>
    <x:row r="2033">
      <x:c r="A2033" s="48" t="str">
        <x:v>UNI-2032</x:v>
      </x:c>
      <x:c r="B2033" s="48" t="str">
        <x:v>ORANGE</x:v>
      </x:c>
      <x:c r="C2033" s="48" t="str">
        <x:v>English</x:v>
      </x:c>
      <x:c r="D2033" s="48" t="n">
        <x:v>10</x:v>
      </x:c>
      <x:c r="E2033" s="48" t="str"/>
      <x:c r="F2033" s="48" t="str">
        <x:v>TEASP pra eve the ecm aus Wes peti</x:v>
      </x:c>
      <x:c r="G2033" s="48" t="str">
        <x:v>Obligation</x:v>
      </x:c>
      <x:c r="H2033" s="48" t="str">
        <x:v>Shared</x:v>
      </x:c>
      <x:c r="I2033" s="48" t="n">
        <x:v>0.45</x:v>
      </x:c>
      <x:c r="J2033" s="48" t="n">
        <x:v>0.4</x:v>
      </x:c>
      <x:c r="K2033" s="48" t="str">
        <x:v>Yes</x:v>
      </x:c>
      <x:c r="L2033" s="48" t="str">
        <x:v>OCR</x:v>
      </x:c>
    </x:row>
    <x:row r="2034">
      <x:c r="A2034" s="48" t="str">
        <x:v>UNI-2033</x:v>
      </x:c>
      <x:c r="B2034" s="48" t="str">
        <x:v>ORANGE</x:v>
      </x:c>
      <x:c r="C2034" s="48" t="str">
        <x:v>English</x:v>
      </x:c>
      <x:c r="D2034" s="48" t="n">
        <x:v>10</x:v>
      </x:c>
      <x:c r="E2034" s="48" t="str"/>
      <x:c r="F2034" s="48" t="str">
        <x:v>‘Soper dh aoe genie Law and Langage 1A Tela ote Conct is am inthe Ape Tener ‘hts inthe lng langage named othe Append Tene shal preva.</x:v>
      </x:c>
      <x:c r="G2034" s="48" t="str">
        <x:v>Obligation</x:v>
      </x:c>
      <x:c r="H2034" s="48" t="str">
        <x:v>Shared</x:v>
      </x:c>
      <x:c r="I2034" s="48" t="n">
        <x:v>0.45</x:v>
      </x:c>
      <x:c r="J2034" s="48" t="n">
        <x:v>0.4</x:v>
      </x:c>
      <x:c r="K2034" s="48" t="str">
        <x:v>Yes</x:v>
      </x:c>
      <x:c r="L2034" s="48" t="str">
        <x:v>OCR</x:v>
      </x:c>
    </x:row>
    <x:row r="2035">
      <x:c r="A2035" s="48" t="str">
        <x:v>UNI-2034</x:v>
      </x:c>
      <x:c r="B2035" s="48" t="str">
        <x:v>ORANGE</x:v>
      </x:c>
      <x:c r="C2035" s="48" t="str">
        <x:v>English</x:v>
      </x:c>
      <x:c r="D2035" s="48" t="n">
        <x:v>10</x:v>
      </x:c>
      <x:c r="E2035" s="48" t="str"/>
      <x:c r="F2035" s="48" t="str">
        <x:v>Tunney ody commons eo se th APE</x:v>
      </x:c>
      <x:c r="G2035" s="48" t="str">
        <x:v>Obligation</x:v>
      </x:c>
      <x:c r="H2035" s="48" t="str">
        <x:v>Shared</x:v>
      </x:c>
      <x:c r="I2035" s="48" t="n">
        <x:v>0.45</x:v>
      </x:c>
      <x:c r="J2035" s="48" t="n">
        <x:v>0.4</x:v>
      </x:c>
      <x:c r="K2035" s="48" t="str">
        <x:v>Yes</x:v>
      </x:c>
      <x:c r="L2035" s="48" t="str">
        <x:v>OCR</x:v>
      </x:c>
    </x:row>
    <x:row r="2036">
      <x:c r="A2036" s="48" t="str">
        <x:v>UNI-2035</x:v>
      </x:c>
      <x:c r="B2036" s="48" t="str">
        <x:v>ORANGE</x:v>
      </x:c>
      <x:c r="C2036" s="48" t="str">
        <x:v>English</x:v>
      </x:c>
      <x:c r="D2036" s="48" t="n">
        <x:v>10</x:v>
      </x:c>
      <x:c r="E2036" s="48" t="str"/>
      <x:c r="F2036" s="48" t="str">
        <x:v>cnr Avene 1S pty lf ee ty he oe ry nce» Cnt ‘Npmeebn th on rest i ch tins may cy</x:v>
      </x:c>
      <x:c r="G2036" s="48" t="str">
        <x:v>Right</x:v>
      </x:c>
      <x:c r="H2036" s="48" t="str">
        <x:v>Shared</x:v>
      </x:c>
      <x:c r="I2036" s="48" t="n">
        <x:v>0.78</x:v>
      </x:c>
      <x:c r="J2036" s="48" t="n">
        <x:v>0.4</x:v>
      </x:c>
      <x:c r="K2036" s="48" t="str">
        <x:v>Yes</x:v>
      </x:c>
      <x:c r="L2036" s="48" t="str">
        <x:v>OCR</x:v>
      </x:c>
    </x:row>
    <x:row r="2037">
      <x:c r="A2037" s="48" t="str">
        <x:v>UNI-2036</x:v>
      </x:c>
      <x:c r="B2037" s="48" t="str">
        <x:v>ORANGE</x:v>
      </x:c>
      <x:c r="C2037" s="48" t="str">
        <x:v>English</x:v>
      </x:c>
      <x:c r="D2037" s="48" t="n">
        <x:v>10</x:v>
      </x:c>
      <x:c r="E2037" s="48" t="str"/>
      <x:c r="F2037" s="48" t="str">
        <x:v>MeSeiihc Cem Te ct of stamp Ste an iu pes poe</x:v>
      </x:c>
      <x:c r="G2037" s="48" t="str">
        <x:v>Obligation</x:v>
      </x:c>
      <x:c r="H2037" s="48" t="str">
        <x:v>Shared</x:v>
      </x:c>
      <x:c r="I2037" s="48" t="n">
        <x:v>0.45</x:v>
      </x:c>
      <x:c r="J2037" s="48" t="n">
        <x:v>0.4</x:v>
      </x:c>
      <x:c r="K2037" s="48" t="str">
        <x:v>Yes</x:v>
      </x:c>
      <x:c r="L2037" s="48" t="str">
        <x:v>OCR</x:v>
      </x:c>
    </x:row>
    <x:row r="2038">
      <x:c r="A2038" s="48" t="str">
        <x:v>UNI-2037</x:v>
      </x:c>
      <x:c r="B2038" s="48" t="str">
        <x:v>ORANGE</x:v>
      </x:c>
      <x:c r="C2038" s="48" t="str">
        <x:v>English</x:v>
      </x:c>
      <x:c r="D2038" s="48" t="n">
        <x:v>10</x:v>
      </x:c>
      <x:c r="E2038" s="48" t="str">
        <x:v>1</x:v>
      </x:c>
      <x:c r="F2038" s="48" t="str">
        <x:v>1 shale tr ye Ege ry of 6 The document fring he Cnr a1 een at ly cay</x:v>
      </x:c>
      <x:c r="G2038" s="48" t="str">
        <x:v>Heading</x:v>
      </x:c>
      <x:c r="H2038" s="48" t="str"/>
      <x:c r="I2038" s="48" t="n">
        <x:v>0.9</x:v>
      </x:c>
      <x:c r="J2038" s="48" t="n">
        <x:v>0.99</x:v>
      </x:c>
      <x:c r="K2038" s="48" t="str">
        <x:v>No</x:v>
      </x:c>
      <x:c r="L2038" s="48" t="str">
        <x:v>OCR</x:v>
      </x:c>
    </x:row>
    <x:row r="2039">
      <x:c r="A2039" s="48" t="str">
        <x:v>UNI-2038</x:v>
      </x:c>
      <x:c r="B2039" s="48" t="str">
        <x:v>ORANGE</x:v>
      </x:c>
      <x:c r="C2039" s="48" t="str">
        <x:v>English</x:v>
      </x:c>
      <x:c r="D2039" s="48" t="n">
        <x:v>10</x:v>
      </x:c>
      <x:c r="E2039" s="48" t="str"/>
      <x:c r="F2039" s="48" t="str">
        <x:v>BOSSE MWe Ste ee eae amma docrepny im be Scum</x:v>
      </x:c>
      <x:c r="G2039" s="48" t="str">
        <x:v>Obligation</x:v>
      </x:c>
      <x:c r="H2039" s="48" t="str">
        <x:v>Shared</x:v>
      </x:c>
      <x:c r="I2039" s="48" t="n">
        <x:v>0.45</x:v>
      </x:c>
      <x:c r="J2039" s="48" t="n">
        <x:v>0.4</x:v>
      </x:c>
      <x:c r="K2039" s="48" t="str">
        <x:v>Yes</x:v>
      </x:c>
      <x:c r="L2039" s="48" t="str">
        <x:v>OCR</x:v>
      </x:c>
    </x:row>
    <x:row r="2040">
      <x:c r="A2040" s="48" t="str">
        <x:v>UNI-2039</x:v>
      </x:c>
      <x:c r="B2040" s="48" t="str">
        <x:v>ORANGE</x:v>
      </x:c>
      <x:c r="C2040" s="48" t="str">
        <x:v>English</x:v>
      </x:c>
      <x:c r="D2040" s="48" t="n">
        <x:v>10</x:v>
      </x:c>
      <x:c r="E2040" s="48" t="str"/>
      <x:c r="F2040" s="48" t="str">
        <x:v>toner Repeal cy meer cicton x ttn (tke Comat an the ry fhe Scone al es ows (6) Teeter of Acree (e) Te Employers Reems (© he Conlon of Cre Pat (©, Te Combis f Cote Pa (8) The Coats Popo Docume on Sit</x:v>
      </x:c>
      <x:c r="G2040" s="48" t="str">
        <x:v>Obligation</x:v>
      </x:c>
      <x:c r="H2040" s="48" t="str">
        <x:v>Shared</x:v>
      </x:c>
      <x:c r="I2040" s="48" t="n">
        <x:v>0.45</x:v>
      </x:c>
      <x:c r="J2040" s="48" t="n">
        <x:v>0.4</x:v>
      </x:c>
      <x:c r="K2040" s="48" t="str">
        <x:v>Yes</x:v>
      </x:c>
      <x:c r="L2040" s="48" t="str">
        <x:v>OCR</x:v>
      </x:c>
    </x:row>
    <x:row r="2041">
      <x:c r="A2041" s="48" t="str">
        <x:v>UNI-2040</x:v>
      </x:c>
      <x:c r="B2041" s="48" t="str">
        <x:v>ORANGE</x:v>
      </x:c>
      <x:c r="C2041" s="48" t="str">
        <x:v>English</x:v>
      </x:c>
      <x:c r="D2041" s="48" t="n">
        <x:v>10</x:v>
      </x:c>
      <x:c r="E2041" s="48" t="str">
        <x:v>1.7</x:v>
      </x:c>
      <x:c r="F2041" s="48" t="str">
        <x:v>1.7 The Coarse oe Sie oe compte tof he dco Teint Commo te Commaee Desens ait ce! ‘Sttmtncatos gree a ual SabCate1 a e cemet, ‘und a Ce 3 The Epes te Emer Rersrne ‘Alaa ened win Sob Cone) saline be aires ‘Sm ene omission of ay a, cn</x:v>
      </x:c>
      <x:c r="G2041" s="48" t="str">
        <x:v>Obligation</x:v>
      </x:c>
      <x:c r="H2041" s="48" t="str">
        <x:v>Shared</x:v>
      </x:c>
      <x:c r="I2041" s="48" t="n">
        <x:v>0.45</x:v>
      </x:c>
      <x:c r="J2041" s="48" t="n">
        <x:v>0.4</x:v>
      </x:c>
      <x:c r="K2041" s="48" t="str">
        <x:v>Yes</x:v>
      </x:c>
      <x:c r="L2041" s="48" t="str">
        <x:v>OCR</x:v>
      </x:c>
    </x:row>
    <x:row r="2042">
      <x:c r="A2042" s="48" t="str">
        <x:v>UNI-2041</x:v>
      </x:c>
      <x:c r="B2042" s="48" t="str">
        <x:v>ORANGE</x:v>
      </x:c>
      <x:c r="C2042" s="48" t="str">
        <x:v>English</x:v>
      </x:c>
      <x:c r="D2042" s="48" t="n">
        <x:v>10</x:v>
      </x:c>
      <x:c r="E2042" s="48" t="str"/>
      <x:c r="F2042" s="48" t="str">
        <x:v>Seietgenonei bt ing al tbe ery</x:v>
      </x:c>
      <x:c r="G2042" s="48" t="str">
        <x:v>Obligation</x:v>
      </x:c>
      <x:c r="H2042" s="48" t="str">
        <x:v>Shared</x:v>
      </x:c>
      <x:c r="I2042" s="48" t="n">
        <x:v>0.45</x:v>
      </x:c>
      <x:c r="J2042" s="48" t="n">
        <x:v>0.4</x:v>
      </x:c>
      <x:c r="K2042" s="48" t="str">
        <x:v>Yes</x:v>
      </x:c>
      <x:c r="L2042" s="48" t="str">
        <x:v>OCR</x:v>
      </x:c>
    </x:row>
    <x:row r="2043">
      <x:c r="A2043" s="48" t="str">
        <x:v>UNI-2042</x:v>
      </x:c>
      <x:c r="B2043" s="48" t="str">
        <x:v>ORANGE</x:v>
      </x:c>
      <x:c r="C2043" s="48" t="str">
        <x:v>English</x:v>
      </x:c>
      <x:c r="D2043" s="48" t="n">
        <x:v>10</x:v>
      </x:c>
      <x:c r="E2043" s="48" t="str"/>
      <x:c r="F2043" s="48" t="str">
        <x:v>Toned cde</x:v>
      </x:c>
      <x:c r="G2043" s="48" t="str">
        <x:v>Obligation</x:v>
      </x:c>
      <x:c r="H2043" s="48" t="str">
        <x:v>Shared</x:v>
      </x:c>
      <x:c r="I2043" s="48" t="n">
        <x:v>0.45</x:v>
      </x:c>
      <x:c r="J2043" s="48" t="n">
        <x:v>0.4</x:v>
      </x:c>
      <x:c r="K2043" s="48" t="str">
        <x:v>Yes</x:v>
      </x:c>
      <x:c r="L2043" s="48" t="str">
        <x:v>OCR</x:v>
      </x:c>
    </x:row>
    <x:row r="2044">
      <x:c r="A2044" s="48" t="str">
        <x:v>UNI-2043</x:v>
      </x:c>
      <x:c r="B2044" s="48" t="str">
        <x:v>ORANGE</x:v>
      </x:c>
      <x:c r="C2044" s="48" t="str">
        <x:v>English</x:v>
      </x:c>
      <x:c r="D2044" s="48" t="n">
        <x:v>11</x:v>
      </x:c>
      <x:c r="E2044" s="48" t="str"/>
      <x:c r="F2044" s="48" t="str">
        <x:v>heer provision is male for cman be “sit” of ‘ing alt eae han wten perm ped communica, ‘ii sped me hone ae ae te Ape ‘Alleria eso wien rer tegen whe Cota th {nine ore Emtoers Rene a aes 0 Bien oh</x:v>
      </x:c>
      <x:c r="G2044" s="48" t="str">
        <x:v>Obligation</x:v>
      </x:c>
      <x:c r="H2044" s="48" t="str">
        <x:v>Shared</x:v>
      </x:c>
      <x:c r="I2044" s="48" t="n">
        <x:v>0.45</x:v>
      </x:c>
      <x:c r="J2044" s="48" t="n">
        <x:v>0.4</x:v>
      </x:c>
      <x:c r="K2044" s="48" t="str">
        <x:v>Yes</x:v>
      </x:c>
      <x:c r="L2044" s="48" t="str">
        <x:v>OCR</x:v>
      </x:c>
    </x:row>
    <x:row r="2045">
      <x:c r="A2045" s="48" t="str">
        <x:v>UNI-2044</x:v>
      </x:c>
      <x:c r="B2045" s="48" t="str">
        <x:v>ORANGE</x:v>
      </x:c>
      <x:c r="C2045" s="48" t="str">
        <x:v>English</x:v>
      </x:c>
      <x:c r="D2045" s="48" t="n">
        <x:v>11</x:v>
      </x:c>
      <x:c r="E2045" s="48" t="str"/>
      <x:c r="F2045" s="48" t="str">
        <x:v>Emer or be Engrs Reysesie byte Canrcne tl elr</x:v>
      </x:c>
      <x:c r="G2045" s="48" t="str">
        <x:v>Obligation</x:v>
      </x:c>
      <x:c r="H2045" s="48" t="str">
        <x:v>Shared</x:v>
      </x:c>
      <x:c r="I2045" s="48" t="n">
        <x:v>0.45</x:v>
      </x:c>
      <x:c r="J2045" s="48" t="n">
        <x:v>0.4</x:v>
      </x:c>
      <x:c r="K2045" s="48" t="str">
        <x:v>Yes</x:v>
      </x:c>
      <x:c r="L2045" s="48" t="str">
        <x:v>OCR</x:v>
      </x:c>
    </x:row>
    <x:row r="2046">
      <x:c r="A2046" s="48" t="str">
        <x:v>UNI-2045</x:v>
      </x:c>
      <x:c r="B2046" s="48" t="str">
        <x:v>ORANGE</x:v>
      </x:c>
      <x:c r="C2046" s="48" t="str">
        <x:v>English</x:v>
      </x:c>
      <x:c r="D2046" s="48" t="n">
        <x:v>11</x:v>
      </x:c>
      <x:c r="E2046" s="48" t="str"/>
      <x:c r="F2046" s="48" t="str">
        <x:v>‘iter and gin ete nee of icy ‘Saloon of he pel yten occa umm The abe fer eccip f sch omens shal he a nt Append Provblond 19 The Comicon Dac ane sn anc of te Cour Coearecin '” Chica ober tel ne Emp gore th Coc ‘Dormant onic free of Se Ene Rasta an asa Himpnyers eet 110 Copight he Conon Dans nl ter design cme made ‘Conracors.</x:v>
      </x:c>
      <x:c r="G2046" s="48" t="str">
        <x:v>Obligation</x:v>
      </x:c>
      <x:c r="H2046" s="48" t="str">
        <x:v>Shared</x:v>
      </x:c>
      <x:c r="I2046" s="48" t="n">
        <x:v>0.45</x:v>
      </x:c>
      <x:c r="J2046" s="48" t="n">
        <x:v>0.4</x:v>
      </x:c>
      <x:c r="K2046" s="48" t="str">
        <x:v>Yes</x:v>
      </x:c>
      <x:c r="L2046" s="48" t="str">
        <x:v>OCR</x:v>
      </x:c>
    </x:row>
    <x:row r="2047">
      <x:c r="A2047" s="48" t="str">
        <x:v>UNI-2046</x:v>
      </x:c>
      <x:c r="B2047" s="48" t="str">
        <x:v>ORANGE</x:v>
      </x:c>
      <x:c r="C2047" s="48" t="str">
        <x:v>English</x:v>
      </x:c>
      <x:c r="D2047" s="48" t="n">
        <x:v>11</x:v>
      </x:c>
      <x:c r="E2047" s="48" t="str"/>
      <x:c r="F2047" s="48" t="str">
        <x:v>"fy" en thal he Cont ‘al beeen he pti) mane cman Fy th Cac he bint tn ie ‘ers pans eccrine sang ser.</x:v>
      </x:c>
      <x:c r="G2047" s="48" t="str">
        <x:v>Obligation</x:v>
      </x:c>
      <x:c r="H2047" s="48" t="str">
        <x:v>Shared</x:v>
      </x:c>
      <x:c r="I2047" s="48" t="n">
        <x:v>0.45</x:v>
      </x:c>
      <x:c r="J2047" s="48" t="n">
        <x:v>0.4</x:v>
      </x:c>
      <x:c r="K2047" s="48" t="str">
        <x:v>Yes</x:v>
      </x:c>
      <x:c r="L2047" s="48" t="str">
        <x:v>OCR</x:v>
      </x:c>
    </x:row>
    <x:row r="2048">
      <x:c r="A2048" s="48" t="str">
        <x:v>UNI-2047</x:v>
      </x:c>
      <x:c r="B2048" s="48" t="str">
        <x:v>ORANGE</x:v>
      </x:c>
      <x:c r="C2048" s="48" t="str">
        <x:v>English</x:v>
      </x:c>
      <x:c r="D2048" s="48" t="n">
        <x:v>11</x:v>
      </x:c>
      <x:c r="E2048" s="48" t="str"/>
      <x:c r="F2048" s="48" t="str">
        <x:v>Mey ‘oa ot Tey ulm erie Cenc ce by ak. {Spe commanic! oh ry he Hao he Eee</x:v>
      </x:c>
      <x:c r="G2048" s="48" t="str">
        <x:v>Obligation</x:v>
      </x:c>
      <x:c r="H2048" s="48" t="str">
        <x:v>Shared</x:v>
      </x:c>
      <x:c r="I2048" s="48" t="n">
        <x:v>0.45</x:v>
      </x:c>
      <x:c r="J2048" s="48" t="n">
        <x:v>0.4</x:v>
      </x:c>
      <x:c r="K2048" s="48" t="str">
        <x:v>Yes</x:v>
      </x:c>
      <x:c r="L2048" s="48" t="str">
        <x:v>OCR</x:v>
      </x:c>
    </x:row>
    <x:row r="2049">
      <x:c r="A2049" s="48" t="str">
        <x:v>UNI-2048</x:v>
      </x:c>
      <x:c r="B2049" s="48" t="str">
        <x:v>ORANGE</x:v>
      </x:c>
      <x:c r="C2049" s="48" t="str">
        <x:v>English</x:v>
      </x:c>
      <x:c r="D2049" s="48" t="n">
        <x:v>11</x:v>
      </x:c>
      <x:c r="E2049" s="48" t="str"/>
      <x:c r="F2049" s="48" t="str">
        <x:v>Rhee fr er popes</x:v>
      </x:c>
      <x:c r="G2049" s="48" t="str">
        <x:v>Obligation</x:v>
      </x:c>
      <x:c r="H2049" s="48" t="str">
        <x:v>Shared</x:v>
      </x:c>
      <x:c r="I2049" s="48" t="n">
        <x:v>0.45</x:v>
      </x:c>
      <x:c r="J2049" s="48" t="n">
        <x:v>0.4</x:v>
      </x:c>
      <x:c r="K2049" s="48" t="str">
        <x:v>Yes</x:v>
      </x:c>
      <x:c r="L2049" s="48" t="str">
        <x:v>OCR</x:v>
      </x:c>
    </x:row>
    <x:row r="2050">
      <x:c r="A2050" s="48" t="str">
        <x:v>UNI-2049</x:v>
      </x:c>
      <x:c r="B2050" s="48" t="str">
        <x:v>ORANGE</x:v>
      </x:c>
      <x:c r="C2050" s="48" t="str">
        <x:v>English</x:v>
      </x:c>
      <x:c r="D2050" s="48" t="n">
        <x:v>11</x:v>
      </x:c>
      <x:c r="E2050" s="48" t="str"/>
      <x:c r="F2050" s="48" t="str">
        <x:v>Contraco’ seo 111 Copyigt in te EmpoerRegsemens a ter document sad by th</x:v>
      </x:c>
      <x:c r="G2050" s="48" t="str">
        <x:v>Obligation</x:v>
      </x:c>
      <x:c r="H2050" s="48" t="str">
        <x:v>Shared</x:v>
      </x:c>
      <x:c r="I2050" s="48" t="n">
        <x:v>0.45</x:v>
      </x:c>
      <x:c r="J2050" s="48" t="n">
        <x:v>0.4</x:v>
      </x:c>
      <x:c r="K2050" s="48" t="str">
        <x:v>Yes</x:v>
      </x:c>
      <x:c r="L2050" s="48" t="str">
        <x:v>OCR</x:v>
      </x:c>
    </x:row>
    <x:row r="2051">
      <x:c r="A2051" s="48" t="str">
        <x:v>UNI-2050</x:v>
      </x:c>
      <x:c r="B2051" s="48" t="str">
        <x:v>ORANGE</x:v>
      </x:c>
      <x:c r="C2051" s="48" t="str">
        <x:v>English</x:v>
      </x:c>
      <x:c r="D2051" s="48" t="n">
        <x:v>11</x:v>
      </x:c>
      <x:c r="E2051" s="48" t="str"/>
      <x:c r="F2051" s="48" t="str">
        <x:v>Timers Enya Enger Represent al x ees</x:v>
      </x:c>
      <x:c r="G2051" s="48" t="str">
        <x:v>Obligation</x:v>
      </x:c>
      <x:c r="H2051" s="48" t="str">
        <x:v>Shared</x:v>
      </x:c>
      <x:c r="I2051" s="48" t="n">
        <x:v>0.45</x:v>
      </x:c>
      <x:c r="J2051" s="48" t="n">
        <x:v>0.4</x:v>
      </x:c>
      <x:c r="K2051" s="48" t="str">
        <x:v>Yes</x:v>
      </x:c>
      <x:c r="L2051" s="48" t="str">
        <x:v>OCR</x:v>
      </x:c>
    </x:row>
    <x:row r="2052">
      <x:c r="A2052" s="48" t="str">
        <x:v>UNI-2051</x:v>
      </x:c>
      <x:c r="B2052" s="48" t="str">
        <x:v>ORANGE</x:v>
      </x:c>
      <x:c r="C2052" s="48" t="str">
        <x:v>English</x:v>
      </x:c>
      <x:c r="D2052" s="48" t="n">
        <x:v>11</x:v>
      </x:c>
      <x:c r="E2052" s="48" t="str"/>
      <x:c r="F2052" s="48" t="str">
        <x:v>‘omens the es onan he pepe he Epler The Coma a he {Ss ep ae ome a ch caer par ‘Cnn Te sa thot he lye comet be copied ‘Soman pty yt Cam, nes ft Contd als 112 The Cece shal ot be reid ace. w te Empleo he [Empyers Repose he oe do ted it Append Comptes ni 112 Tones dh inal mt cng ete ptm te Core, “Rasiya win give ace ude yale rouse he reves equation and Sayan este onan other on yest amy sts gay comtuted plc story ving ution vee Wows Te (Ceo ch cn a pols brn rye apd oy st ‘Se hata ean a ng ca i a ley ‘a ant Mes an cp of he Wes The Elser 2d te ‘ono shal empl wb elo ech eum eaves se evlomed ‘iy ‘ach pence sll be jimly a vey abe to he Employer forthe ‘Smet fe ems fhe Cot Sh pron hal depo ‘em onc ear nah sory ba ha eet rt) ‘mon aim men, Te cc es</x:v>
      </x:c>
      <x:c r="G2052" s="48" t="str">
        <x:v>Obligation</x:v>
      </x:c>
      <x:c r="H2052" s="48" t="str">
        <x:v>Employer</x:v>
      </x:c>
      <x:c r="I2052" s="48" t="n">
        <x:v>0.45</x:v>
      </x:c>
      <x:c r="J2052" s="48" t="n">
        <x:v>0.68</x:v>
      </x:c>
      <x:c r="K2052" s="48" t="str">
        <x:v>Yes</x:v>
      </x:c>
      <x:c r="L2052" s="48" t="str">
        <x:v>OCR</x:v>
      </x:c>
    </x:row>
    <x:row r="2053">
      <x:c r="A2053" s="48" t="str">
        <x:v>UNI-2052</x:v>
      </x:c>
      <x:c r="B2053" s="48" t="str">
        <x:v>ORANGE</x:v>
      </x:c>
      <x:c r="C2053" s="48" t="str">
        <x:v>English</x:v>
      </x:c>
      <x:c r="D2053" s="48" t="n">
        <x:v>12</x:v>
      </x:c>
      <x:c r="E2053" s="48" t="str"/>
      <x:c r="F2053" s="48" t="str">
        <x:v>‘ocr ummains 21h ror tei py emir noose ‘Aces toand 22.</x:v>
      </x:c>
      <x:c r="G2053" s="48" t="str">
        <x:v>Obligation</x:v>
      </x:c>
      <x:c r="H2053" s="48" t="str">
        <x:v>Shared</x:v>
      </x:c>
      <x:c r="I2053" s="48" t="n">
        <x:v>0.45</x:v>
      </x:c>
      <x:c r="J2053" s="48" t="n">
        <x:v>0.4</x:v>
      </x:c>
      <x:c r="K2053" s="48" t="str">
        <x:v>Yes</x:v>
      </x:c>
      <x:c r="L2053" s="48" t="str">
        <x:v>OCR</x:v>
      </x:c>
    </x:row>
    <x:row r="2054">
      <x:c r="A2054" s="48" t="str">
        <x:v>UNI-2053</x:v>
      </x:c>
      <x:c r="B2054" s="48" t="str">
        <x:v>ORANGE</x:v>
      </x:c>
      <x:c r="C2054" s="48" t="str">
        <x:v>English</x:v>
      </x:c>
      <x:c r="D2054" s="48" t="n">
        <x:v>12</x:v>
      </x:c>
      <x:c r="E2054" s="48" t="str"/>
      <x:c r="F2054" s="48" t="str">
        <x:v>The Bape sal gt he Counter igh fet and passion roscnon hed San te tne td ne Apne Teder Shhh md (Se pouenton ay ate cuore be nee</x:v>
      </x:c>
      <x:c r="G2054" s="48" t="str">
        <x:v>Obligation</x:v>
      </x:c>
      <x:c r="H2054" s="48" t="str">
        <x:v>Shared</x:v>
      </x:c>
      <x:c r="I2054" s="48" t="n">
        <x:v>0.45</x:v>
      </x:c>
      <x:c r="J2054" s="48" t="n">
        <x:v>0.4</x:v>
      </x:c>
      <x:c r="K2054" s="48" t="str">
        <x:v>Yes</x:v>
      </x:c>
      <x:c r="L2054" s="48" t="str">
        <x:v>OCR</x:v>
      </x:c>
    </x:row>
    <x:row r="2055">
      <x:c r="A2055" s="48" t="str">
        <x:v>UNI-2054</x:v>
      </x:c>
      <x:c r="B2055" s="48" t="str">
        <x:v>ORANGE</x:v>
      </x:c>
      <x:c r="C2055" s="48" t="str">
        <x:v>English</x:v>
      </x:c>
      <x:c r="D2055" s="48" t="n">
        <x:v>12</x:v>
      </x:c>
      <x:c r="E2055" s="48" t="str"/>
      <x:c r="F2055" s="48" t="str">
        <x:v>Ne Coracor sen ey andra Cot om aie eh ar of</x:v>
      </x:c>
      <x:c r="G2055" s="48" t="str">
        <x:v>Obligation</x:v>
      </x:c>
      <x:c r="H2055" s="48" t="str">
        <x:v>Shared</x:v>
      </x:c>
      <x:c r="I2055" s="48" t="n">
        <x:v>0.45</x:v>
      </x:c>
      <x:c r="J2055" s="48" t="n">
        <x:v>0.4</x:v>
      </x:c>
      <x:c r="K2055" s="48" t="str">
        <x:v>Yes</x:v>
      </x:c>
      <x:c r="L2055" s="48" t="str">
        <x:v>OCR</x:v>
      </x:c>
    </x:row>
    <x:row r="2056">
      <x:c r="A2056" s="48" t="str">
        <x:v>UNI-2055</x:v>
      </x:c>
      <x:c r="B2056" s="48" t="str">
        <x:v>ORANGE</x:v>
      </x:c>
      <x:c r="C2056" s="48" t="str">
        <x:v>English</x:v>
      </x:c>
      <x:c r="D2056" s="48" t="n">
        <x:v>12</x:v>
      </x:c>
      <x:c r="E2056" s="48" t="str"/>
      <x:c r="F2056" s="48" t="str">
        <x:v>Ernie to on ho ace wo pose he Se he Canter</x:v>
      </x:c>
      <x:c r="G2056" s="48" t="str">
        <x:v>Obligation</x:v>
      </x:c>
      <x:c r="H2056" s="48" t="str">
        <x:v>Shared</x:v>
      </x:c>
      <x:c r="I2056" s="48" t="n">
        <x:v>0.45</x:v>
      </x:c>
      <x:c r="J2056" s="48" t="n">
        <x:v>0.4</x:v>
      </x:c>
      <x:c r="K2056" s="48" t="str">
        <x:v>Yes</x:v>
      </x:c>
      <x:c r="L2056" s="48" t="str">
        <x:v>OCR</x:v>
      </x:c>
    </x:row>
    <x:row r="2057">
      <x:c r="A2057" s="48" t="str">
        <x:v>UNI-2056</x:v>
      </x:c>
      <x:c r="B2057" s="48" t="str">
        <x:v>ORANGE</x:v>
      </x:c>
      <x:c r="C2057" s="48" t="str">
        <x:v>English</x:v>
      </x:c>
      <x:c r="D2057" s="48" t="n">
        <x:v>12</x:v>
      </x:c>
      <x:c r="E2057" s="48" t="str"/>
      <x:c r="F2057" s="48" t="str">
        <x:v>‘higeenaeme Cale Haprcnae Aterreeot ch e © amo Ct pm pt ch he a sn sal ut he Catteni Permits ener 21 The Epo le est ant ot fhe Cntr, st i in ‘Repo pry Sums pray mone enemy yr ‘BE Wenn for devry cag ewan hop cas) of Pas</x:v>
      </x:c>
      <x:c r="G2057" s="48" t="str">
        <x:v>Obligation</x:v>
      </x:c>
      <x:c r="H2057" s="48" t="str">
        <x:v>Shared</x:v>
      </x:c>
      <x:c r="I2057" s="48" t="n">
        <x:v>0.45</x:v>
      </x:c>
      <x:c r="J2057" s="48" t="n">
        <x:v>0.4</x:v>
      </x:c>
      <x:c r="K2057" s="48" t="str">
        <x:v>Yes</x:v>
      </x:c>
      <x:c r="L2057" s="48" t="str">
        <x:v>OCR</x:v>
      </x:c>
    </x:row>
    <x:row r="2058">
      <x:c r="A2058" s="48" t="str">
        <x:v>UNI-2057</x:v>
      </x:c>
      <x:c r="B2058" s="48" t="str">
        <x:v>ORANGE</x:v>
      </x:c>
      <x:c r="C2058" s="48" t="str">
        <x:v>English</x:v>
      </x:c>
      <x:c r="D2058" s="48" t="n">
        <x:v>12</x:v>
      </x:c>
      <x:c r="E2058" s="48" t="str"/>
      <x:c r="F2058" s="48" t="str">
        <x:v>Necrls nf Coombes, al te smpiion of be Wo</x:v>
      </x:c>
      <x:c r="G2058" s="48" t="str">
        <x:v>Obligation</x:v>
      </x:c>
      <x:c r="H2058" s="48" t="str">
        <x:v>Shared</x:v>
      </x:c>
      <x:c r="I2058" s="48" t="n">
        <x:v>0.45</x:v>
      </x:c>
      <x:c r="J2058" s="48" t="n">
        <x:v>0.4</x:v>
      </x:c>
      <x:c r="K2058" s="48" t="str">
        <x:v>Yes</x:v>
      </x:c>
      <x:c r="L2058" s="48" t="str">
        <x:v>OCR</x:v>
      </x:c>
    </x:row>
    <x:row r="2059">
      <x:c r="A2059" s="48" t="str">
        <x:v>UNI-2058</x:v>
      </x:c>
      <x:c r="B2059" s="48" t="str">
        <x:v>ORANGE</x:v>
      </x:c>
      <x:c r="C2059" s="48" t="str">
        <x:v>English</x:v>
      </x:c>
      <x:c r="D2059" s="48" t="n">
        <x:v>12</x:v>
      </x:c>
      <x:c r="E2059" s="48" t="str"/>
      <x:c r="F2059" s="48" t="str">
        <x:v>‘Siivegous may ah coe ropes fo be Emer se sprben aan me ow spo Ce Employers 24 The Ener sl be ctl wie the Cnr. se Employes eattamento "Somat ay tne ar Bing 3 porn fo the Cece.</x:v>
      </x:c>
      <x:c r="G2059" s="48" t="str">
        <x:v>Right</x:v>
      </x:c>
      <x:c r="H2059" s="48" t="str">
        <x:v>Shared</x:v>
      </x:c>
      <x:c r="I2059" s="48" t="n">
        <x:v>0.78</x:v>
      </x:c>
      <x:c r="J2059" s="48" t="n">
        <x:v>0.4</x:v>
      </x:c>
      <x:c r="K2059" s="48" t="str">
        <x:v>Yes</x:v>
      </x:c>
      <x:c r="L2059" s="48" t="str">
        <x:v>OCR</x:v>
      </x:c>
    </x:row>
    <x:row r="2060">
      <x:c r="A2060" s="48" t="str">
        <x:v>UNI-2059</x:v>
      </x:c>
      <x:c r="B2060" s="48" t="str">
        <x:v>ORANGE</x:v>
      </x:c>
      <x:c r="C2060" s="48" t="str">
        <x:v>English</x:v>
      </x:c>
      <x:c r="D2060" s="48" t="n">
        <x:v>12</x:v>
      </x:c>
      <x:c r="E2060" s="48" t="str"/>
      <x:c r="F2060" s="48" t="str">
        <x:v>Teen Sin TaSaecemnn nce ens</x:v>
      </x:c>
      <x:c r="G2060" s="48" t="str">
        <x:v>Obligation</x:v>
      </x:c>
      <x:c r="H2060" s="48" t="str">
        <x:v>Shared</x:v>
      </x:c>
      <x:c r="I2060" s="48" t="n">
        <x:v>0.45</x:v>
      </x:c>
      <x:c r="J2060" s="48" t="n">
        <x:v>0.4</x:v>
      </x:c>
      <x:c r="K2060" s="48" t="str">
        <x:v>Yes</x:v>
      </x:c>
      <x:c r="L2060" s="48" t="str">
        <x:v>OCR</x:v>
      </x:c>
    </x:row>
    <x:row r="2061">
      <x:c r="A2061" s="48" t="str">
        <x:v>UNI-2060</x:v>
      </x:c>
      <x:c r="B2061" s="48" t="str">
        <x:v>ORANGE</x:v>
      </x:c>
      <x:c r="C2061" s="48" t="str">
        <x:v>English</x:v>
      </x:c>
      <x:c r="D2061" s="48" t="n">
        <x:v>12</x:v>
      </x:c>
      <x:c r="E2061" s="48" t="str"/>
      <x:c r="F2061" s="48" t="str">
        <x:v>(a) shal paca in acne wi Sah Cas 1632 (0) sae py te Epo scence wih Sb Case 196 ‘Sie pero of x yarn nut the Comair consent 3 ‘The Employer's Representative</x:v>
      </x:c>
      <x:c r="G2061" s="48" t="str">
        <x:v>Obligation</x:v>
      </x:c>
      <x:c r="H2061" s="48" t="str">
        <x:v>Employer</x:v>
      </x:c>
      <x:c r="I2061" s="48" t="n">
        <x:v>0.45</x:v>
      </x:c>
      <x:c r="J2061" s="48" t="n">
        <x:v>0.68</x:v>
      </x:c>
      <x:c r="K2061" s="48" t="str">
        <x:v>Yes</x:v>
      </x:c>
      <x:c r="L2061" s="48" t="str">
        <x:v>OCR</x:v>
      </x:c>
    </x:row>
    <x:row r="2062">
      <x:c r="A2062" s="48" t="str">
        <x:v>UNI-2061</x:v>
      </x:c>
      <x:c r="B2062" s="48" t="str">
        <x:v>ORANGE</x:v>
      </x:c>
      <x:c r="C2062" s="48" t="str">
        <x:v>English</x:v>
      </x:c>
      <x:c r="D2062" s="48" t="n">
        <x:v>12</x:v>
      </x:c>
      <x:c r="E2062" s="48" t="str"/>
      <x:c r="F2062" s="48" t="str">
        <x:v>Emplne’s AI The ployer’ Repscve al cary othe dats sei te</x:v>
      </x:c>
      <x:c r="G2062" s="48" t="str">
        <x:v>Obligation</x:v>
      </x:c>
      <x:c r="H2062" s="48" t="str">
        <x:v>Shared</x:v>
      </x:c>
      <x:c r="I2062" s="48" t="n">
        <x:v>0.45</x:v>
      </x:c>
      <x:c r="J2062" s="48" t="n">
        <x:v>0.4</x:v>
      </x:c>
      <x:c r="K2062" s="48" t="str">
        <x:v>Yes</x:v>
      </x:c>
      <x:c r="L2062" s="48" t="str">
        <x:v>OCR</x:v>
      </x:c>
    </x:row>
    <x:row r="2063">
      <x:c r="A2063" s="48" t="str">
        <x:v>UNI-2062</x:v>
      </x:c>
      <x:c r="B2063" s="48" t="str">
        <x:v>ORANGE</x:v>
      </x:c>
      <x:c r="C2063" s="48" t="str">
        <x:v>English</x:v>
      </x:c>
      <x:c r="D2063" s="48" t="n">
        <x:v>12</x:v>
      </x:c>
      <x:c r="E2063" s="48" t="str"/>
      <x:c r="F2063" s="48" t="str">
        <x:v>eames Gute Eps ocr an oy ed "ton “The Employers Repesetine may exe bony spied ino (mrssury be pdm te Cora te Ens Reprsoaire {Sree ans erm spine yh lye an</x:v>
      </x:c>
      <x:c r="G2063" s="48" t="str">
        <x:v>Right</x:v>
      </x:c>
      <x:c r="H2063" s="48" t="str">
        <x:v>Shared</x:v>
      </x:c>
      <x:c r="I2063" s="48" t="n">
        <x:v>0.78</x:v>
      </x:c>
      <x:c r="J2063" s="48" t="n">
        <x:v>0.4</x:v>
      </x:c>
      <x:c r="K2063" s="48" t="str">
        <x:v>Yes</x:v>
      </x:c>
      <x:c r="L2063" s="48" t="str">
        <x:v>OCR</x:v>
      </x:c>
    </x:row>
    <x:row r="2064">
      <x:c r="A2064" s="48" t="str">
        <x:v>UNI-2063</x:v>
      </x:c>
      <x:c r="B2064" s="48" t="str">
        <x:v>ORANGE</x:v>
      </x:c>
      <x:c r="C2064" s="48" t="str">
        <x:v>English</x:v>
      </x:c>
      <x:c r="D2064" s="48" t="n">
        <x:v>12</x:v>
      </x:c>
      <x:c r="E2064" s="48" t="str"/>
      <x:c r="F2064" s="48" t="str">
        <x:v>Sooo laf ie Eee ee crocang x thn ch</x:v>
      </x:c>
      <x:c r="G2064" s="48" t="str">
        <x:v>Obligation</x:v>
      </x:c>
      <x:c r="H2064" s="48" t="str">
        <x:v>Shared</x:v>
      </x:c>
      <x:c r="I2064" s="48" t="n">
        <x:v>0.45</x:v>
      </x:c>
      <x:c r="J2064" s="48" t="n">
        <x:v>0.4</x:v>
      </x:c>
      <x:c r="K2064" s="48" t="str">
        <x:v>Yes</x:v>
      </x:c>
      <x:c r="L2064" s="48" t="str">
        <x:v>OCR</x:v>
      </x:c>
    </x:row>
    <x:row r="2065">
      <x:c r="A2065" s="48" t="str">
        <x:v>UNI-2064</x:v>
      </x:c>
      <x:c r="B2065" s="48" t="str">
        <x:v>ORANGE</x:v>
      </x:c>
      <x:c r="C2065" s="48" t="str">
        <x:v>English</x:v>
      </x:c>
      <x:c r="D2065" s="48" t="n">
        <x:v>12</x:v>
      </x:c>
      <x:c r="E2065" s="48" t="str"/>
      <x:c r="F2065" s="48" t="str">
        <x:v>‘jose all eas tun Pat Any rqate ape Sal</x:v>
      </x:c>
      <x:c r="G2065" s="48" t="str">
        <x:v>Obligation</x:v>
      </x:c>
      <x:c r="H2065" s="48" t="str">
        <x:v>Shared</x:v>
      </x:c>
      <x:c r="I2065" s="48" t="n">
        <x:v>0.45</x:v>
      </x:c>
      <x:c r="J2065" s="48" t="n">
        <x:v>0.4</x:v>
      </x:c>
      <x:c r="K2065" s="48" t="str">
        <x:v>Yes</x:v>
      </x:c>
      <x:c r="L2065" s="48" t="str">
        <x:v>OCR</x:v>
      </x:c>
    </x:row>
    <x:row r="2066">
      <x:c r="A2066" s="48" t="str">
        <x:v>UNI-2065</x:v>
      </x:c>
      <x:c r="B2066" s="48" t="str">
        <x:v>ORANGE</x:v>
      </x:c>
      <x:c r="C2066" s="48" t="str">
        <x:v>English</x:v>
      </x:c>
      <x:c r="D2066" s="48" t="n">
        <x:v>12</x:v>
      </x:c>
      <x:c r="E2066" s="48" t="str"/>
      <x:c r="F2066" s="48" t="str">
        <x:v>Stn hve ben en ye Epler ay sch oon ened</x:v>
      </x:c>
      <x:c r="G2066" s="48" t="str">
        <x:v>Obligation</x:v>
      </x:c>
      <x:c r="H2066" s="48" t="str">
        <x:v>Shared</x:v>
      </x:c>
      <x:c r="I2066" s="48" t="n">
        <x:v>0.45</x:v>
      </x:c>
      <x:c r="J2066" s="48" t="n">
        <x:v>0.4</x:v>
      </x:c>
      <x:c r="K2066" s="48" t="str">
        <x:v>Yes</x:v>
      </x:c>
      <x:c r="L2066" s="48" t="str">
        <x:v>OCR</x:v>
      </x:c>
    </x:row>
    <x:row r="2067">
      <x:c r="A2067" s="48" t="str">
        <x:v>UNI-2066</x:v>
      </x:c>
      <x:c r="B2067" s="48" t="str">
        <x:v>ORANGE</x:v>
      </x:c>
      <x:c r="C2067" s="48" t="str">
        <x:v>English</x:v>
      </x:c>
      <x:c r="D2067" s="48" t="n">
        <x:v>12</x:v>
      </x:c>
      <x:c r="E2067" s="48" t="str"/>
      <x:c r="F2067" s="48" t="str">
        <x:v>‘the Empyers Rescate:</x:v>
      </x:c>
      <x:c r="G2067" s="48" t="str">
        <x:v>Obligation</x:v>
      </x:c>
      <x:c r="H2067" s="48" t="str">
        <x:v>Shared</x:v>
      </x:c>
      <x:c r="I2067" s="48" t="n">
        <x:v>0.45</x:v>
      </x:c>
      <x:c r="J2067" s="48" t="n">
        <x:v>0.4</x:v>
      </x:c>
      <x:c r="K2067" s="48" t="str">
        <x:v>Yes</x:v>
      </x:c>
      <x:c r="L2067" s="48" t="str">
        <x:v>OCR</x:v>
      </x:c>
    </x:row>
    <x:row r="2068">
      <x:c r="A2068" s="48" t="str">
        <x:v>UNI-2067</x:v>
      </x:c>
      <x:c r="B2068" s="48" t="str">
        <x:v>ORANGE</x:v>
      </x:c>
      <x:c r="C2068" s="48" t="str">
        <x:v>English</x:v>
      </x:c>
      <x:c r="D2068" s="48" t="n">
        <x:v>13</x:v>
      </x:c>
      <x:c r="E2068" s="48" t="str"/>
      <x:c r="F2068" s="48" t="str">
        <x:v>Except as egress i the Conlon of Cnc. he Epler epee Sl hve no suey cer Be Coat oS fh ‘ites ligating ae the Cac Ah ‘Sis dren sn compas wis S-Class 3.3 sad 3</x:v>
      </x:c>
      <x:c r="G2068" s="48" t="str">
        <x:v>Obligation</x:v>
      </x:c>
      <x:c r="H2068" s="48" t="str">
        <x:v>Shared</x:v>
      </x:c>
      <x:c r="I2068" s="48" t="n">
        <x:v>0.45</x:v>
      </x:c>
      <x:c r="J2068" s="48" t="n">
        <x:v>0.4</x:v>
      </x:c>
      <x:c r="K2068" s="48" t="str">
        <x:v>Yes</x:v>
      </x:c>
      <x:c r="L2068" s="48" t="str">
        <x:v>OCR</x:v>
      </x:c>
    </x:row>
    <x:row r="2069">
      <x:c r="A2069" s="48" t="str">
        <x:v>UNI-2068</x:v>
      </x:c>
      <x:c r="B2069" s="48" t="str">
        <x:v>ORANGE</x:v>
      </x:c>
      <x:c r="C2069" s="48" t="str">
        <x:v>English</x:v>
      </x:c>
      <x:c r="D2069" s="48" t="n">
        <x:v>13</x:v>
      </x:c>
      <x:c r="E2069" s="48" t="str"/>
      <x:c r="F2069" s="48" t="str">
        <x:v>The Enger Repent lo ote Employer al commuicions</x:v>
      </x:c>
      <x:c r="G2069" s="48" t="str">
        <x:v>Obligation</x:v>
      </x:c>
      <x:c r="H2069" s="48" t="str">
        <x:v>Employer</x:v>
      </x:c>
      <x:c r="I2069" s="48" t="n">
        <x:v>0.45</x:v>
      </x:c>
      <x:c r="J2069" s="48" t="n">
        <x:v>0.68</x:v>
      </x:c>
      <x:c r="K2069" s="48" t="str">
        <x:v>Yes</x:v>
      </x:c>
      <x:c r="L2069" s="48" t="str">
        <x:v>OCR</x:v>
      </x:c>
    </x:row>
    <x:row r="2070">
      <x:c r="A2070" s="48" t="str">
        <x:v>UNI-2069</x:v>
      </x:c>
      <x:c r="B2070" s="48" t="str">
        <x:v>ORANGE</x:v>
      </x:c>
      <x:c r="C2070" s="48" t="str">
        <x:v>English</x:v>
      </x:c>
      <x:c r="D2070" s="48" t="n">
        <x:v>13</x:v>
      </x:c>
      <x:c r="E2070" s="48" t="str"/>
      <x:c r="F2070" s="48" t="str">
        <x:v>‘esr received bhi a onan ie Co equrnwnifer 42.</x:v>
      </x:c>
      <x:c r="G2070" s="48" t="str">
        <x:v>Obligation</x:v>
      </x:c>
      <x:c r="H2070" s="48" t="str">
        <x:v>Shared</x:v>
      </x:c>
      <x:c r="I2070" s="48" t="n">
        <x:v>0.45</x:v>
      </x:c>
      <x:c r="J2070" s="48" t="n">
        <x:v>0.4</x:v>
      </x:c>
      <x:c r="K2070" s="48" t="str">
        <x:v>Yes</x:v>
      </x:c>
      <x:c r="L2070" s="48" t="str">
        <x:v>OCR</x:v>
      </x:c>
    </x:row>
    <x:row r="2071">
      <x:c r="A2071" s="48" t="str">
        <x:v>UNI-2070</x:v>
      </x:c>
      <x:c r="B2071" s="48" t="str">
        <x:v>ORANGE</x:v>
      </x:c>
      <x:c r="C2071" s="48" t="str">
        <x:v>English</x:v>
      </x:c>
      <x:c r="D2071" s="48" t="n">
        <x:v>13</x:v>
      </x:c>
      <x:c r="E2071" s="48" t="str"/>
      <x:c r="F2071" s="48" t="str">
        <x:v>The ingloers Reps ale wy quid nga ther miners" oath ee di ay a ‘ince eternal and uke est ae for Canase Empiyer’ —A3- The Employer's Rese may fon ne te pte ay fs egresematnes "dies oasis a a ine ce ay uch apy "Atherty © Slogaonrevecaon tb ing at ht nl con ‘Daeg hacker erd ee Employed Cte ‘ny dermis, insti, inecin. examination, sing. comet ‘pyotl or imlarat by my ach nan of cE Reese ‘Tonsce wi Spice altars et cat eg hed ‘schatararine empnet enema ee (2) any fale w csappo ay Pu, Macias, design or wrap ‘Ratt epade te aif npn epee tore pea</x:v>
      </x:c>
      <x:c r="G2071" s="48" t="str">
        <x:v>Right</x:v>
      </x:c>
      <x:c r="H2071" s="48" t="str">
        <x:v>Employer</x:v>
      </x:c>
      <x:c r="I2071" s="48" t="n">
        <x:v>0.78</x:v>
      </x:c>
      <x:c r="J2071" s="48" t="n">
        <x:v>0.68</x:v>
      </x:c>
      <x:c r="K2071" s="48" t="str">
        <x:v>Yes</x:v>
      </x:c>
      <x:c r="L2071" s="48" t="str">
        <x:v>OCR</x:v>
      </x:c>
    </x:row>
    <x:row r="2072">
      <x:c r="A2072" s="48" t="str">
        <x:v>UNI-2071</x:v>
      </x:c>
      <x:c r="B2072" s="48" t="str">
        <x:v>ORANGE</x:v>
      </x:c>
      <x:c r="C2072" s="48" t="str">
        <x:v>English</x:v>
      </x:c>
      <x:c r="D2072" s="48" t="n">
        <x:v>13</x:v>
      </x:c>
      <x:c r="E2072" s="48" t="str"/>
      <x:c r="F2072" s="48" t="str">
        <x:v>Plt tra hee ek</x:v>
      </x:c>
      <x:c r="G2072" s="48" t="str">
        <x:v>Obligation</x:v>
      </x:c>
      <x:c r="H2072" s="48" t="str">
        <x:v>Shared</x:v>
      </x:c>
      <x:c r="I2072" s="48" t="n">
        <x:v>0.45</x:v>
      </x:c>
      <x:c r="J2072" s="48" t="n">
        <x:v>0.4</x:v>
      </x:c>
      <x:c r="K2072" s="48" t="str">
        <x:v>Yes</x:v>
      </x:c>
      <x:c r="L2072" s="48" t="str">
        <x:v>OCR</x:v>
      </x:c>
    </x:row>
    <x:row r="2073">
      <x:c r="A2073" s="48" t="str">
        <x:v>UNI-2072</x:v>
      </x:c>
      <x:c r="B2073" s="48" t="str">
        <x:v>ORANGE</x:v>
      </x:c>
      <x:c r="C2073" s="48" t="str">
        <x:v>English</x:v>
      </x:c>
      <x:c r="D2073" s="48" t="n">
        <x:v>13</x:v>
      </x:c>
      <x:c r="E2073" s="48" t="str"/>
      <x:c r="F2073" s="48" t="str">
        <x:v>1% se Conroy Semin onc of 8 te {i'Se Employer’ Reena he Cnn yee he ar te tnplgers Rayner Sheil elon vere of vay ‘Sermnatn oar aress 34 os py yey pm. he Conc sa cmp sarees “* a ge Eas cane mane he Employer's 15 When he Employer’ Repeeaive emi tine vale, Coto maps RS italy meanest Comer en Se, tet heement_ Semen apron levee Boers Reps a ‘Smee mea enya ede wie Com 4 ‘The Contractor ‘Genet Obigaom: 41 The Was as comp the Came lb hala aca i ‘he Count re pro sh hy ae aw det {= Comac.</x:v>
      </x:c>
      <x:c r="G2073" s="48" t="str">
        <x:v>Obligation</x:v>
      </x:c>
      <x:c r="H2073" s="48" t="str">
        <x:v>Shared</x:v>
      </x:c>
      <x:c r="I2073" s="48" t="n">
        <x:v>0.45</x:v>
      </x:c>
      <x:c r="J2073" s="48" t="n">
        <x:v>0.6</x:v>
      </x:c>
      <x:c r="K2073" s="48" t="str">
        <x:v>Yes</x:v>
      </x:c>
      <x:c r="L2073" s="48" t="str">
        <x:v>OCR</x:v>
      </x:c>
    </x:row>
    <x:row r="2074">
      <x:c r="A2074" s="48" t="str">
        <x:v>UNI-2073</x:v>
      </x:c>
      <x:c r="B2074" s="48" t="str">
        <x:v>ORANGE</x:v>
      </x:c>
      <x:c r="C2074" s="48" t="str">
        <x:v>English</x:v>
      </x:c>
      <x:c r="D2074" s="48" t="n">
        <x:v>13</x:v>
      </x:c>
      <x:c r="E2074" s="48" t="str"/>
      <x:c r="F2074" s="48" t="str">
        <x:v>The Wer ol wc ty oa ch cea to an {te nloer® Regent Concur Pope snd Seba, ot {Senet seniors er Cc ny Se ln ‘ce ray conto ahi bl ice opera ioe tons</x:v>
      </x:c>
      <x:c r="G2074" s="48" t="str">
        <x:v>Obligation</x:v>
      </x:c>
      <x:c r="H2074" s="48" t="str">
        <x:v>Shared</x:v>
      </x:c>
      <x:c r="I2074" s="48" t="n">
        <x:v>0.45</x:v>
      </x:c>
      <x:c r="J2074" s="48" t="n">
        <x:v>0.4</x:v>
      </x:c>
      <x:c r="K2074" s="48" t="str">
        <x:v>Yes</x:v>
      </x:c>
      <x:c r="L2074" s="48" t="str">
        <x:v>OCR</x:v>
      </x:c>
    </x:row>
    <x:row r="2075">
      <x:c r="A2075" s="48" t="str">
        <x:v>UNI-2074</x:v>
      </x:c>
      <x:c r="B2075" s="48" t="str">
        <x:v>ORANGE</x:v>
      </x:c>
      <x:c r="C2075" s="48" t="str">
        <x:v>English</x:v>
      </x:c>
      <x:c r="D2075" s="48" t="n">
        <x:v>14</x:v>
      </x:c>
      <x:c r="E2075" s="48" t="str"/>
      <x:c r="F2075" s="48" t="str">
        <x:v>‘re Covracor sat design coe ant compe te Woks, cane ovate a nit et ot</x:v>
      </x:c>
      <x:c r="G2075" s="48" t="str">
        <x:v>Obligation</x:v>
      </x:c>
      <x:c r="H2075" s="48" t="str">
        <x:v>Shared</x:v>
      </x:c>
      <x:c r="I2075" s="48" t="n">
        <x:v>0.45</x:v>
      </x:c>
      <x:c r="J2075" s="48" t="n">
        <x:v>0.4</x:v>
      </x:c>
      <x:c r="K2075" s="48" t="str">
        <x:v>Yes</x:v>
      </x:c>
      <x:c r="L2075" s="48" t="str">
        <x:v>OCR</x:v>
      </x:c>
    </x:row>
    <x:row r="2076">
      <x:c r="A2076" s="48" t="str">
        <x:v>UNI-2075</x:v>
      </x:c>
      <x:c r="B2076" s="48" t="str">
        <x:v>ORANGE</x:v>
      </x:c>
      <x:c r="C2076" s="48" t="str">
        <x:v>English</x:v>
      </x:c>
      <x:c r="D2076" s="48" t="n">
        <x:v>14</x:v>
      </x:c>
      <x:c r="E2076" s="48" t="str"/>
      <x:c r="F2076" s="48" t="str">
        <x:v>Sh ere ee tag whe of gee) ma</x:v>
      </x:c>
      <x:c r="G2076" s="48" t="str">
        <x:v>Obligation</x:v>
      </x:c>
      <x:c r="H2076" s="48" t="str">
        <x:v>Shared</x:v>
      </x:c>
      <x:c r="I2076" s="48" t="n">
        <x:v>0.45</x:v>
      </x:c>
      <x:c r="J2076" s="48" t="n">
        <x:v>0.4</x:v>
      </x:c>
      <x:c r="K2076" s="48" t="str">
        <x:v>Yes</x:v>
      </x:c>
      <x:c r="L2076" s="48" t="str">
        <x:v>OCR</x:v>
      </x:c>
    </x:row>
    <x:row r="2077">
      <x:c r="A2077" s="48" t="str">
        <x:v>UNI-2076</x:v>
      </x:c>
      <x:c r="B2077" s="48" t="str">
        <x:v>ORANGE</x:v>
      </x:c>
      <x:c r="C2077" s="48" t="str">
        <x:v>English</x:v>
      </x:c>
      <x:c r="D2077" s="48" t="n">
        <x:v>14</x:v>
      </x:c>
      <x:c r="E2077" s="48" t="str"/>
      <x:c r="F2077" s="48" t="str">
        <x:v>Tepe cin an rv degen, oes od mc</x:v>
      </x:c>
      <x:c r="G2077" s="48" t="str">
        <x:v>Obligation</x:v>
      </x:c>
      <x:c r="H2077" s="48" t="str">
        <x:v>Shared</x:v>
      </x:c>
      <x:c r="I2077" s="48" t="n">
        <x:v>0.45</x:v>
      </x:c>
      <x:c r="J2077" s="48" t="n">
        <x:v>0.4</x:v>
      </x:c>
      <x:c r="K2077" s="48" t="str">
        <x:v>Yes</x:v>
      </x:c>
      <x:c r="L2077" s="48" t="str">
        <x:v>OCR</x:v>
      </x:c>
    </x:row>
    <x:row r="2078">
      <x:c r="A2078" s="48" t="str">
        <x:v>UNI-2077</x:v>
      </x:c>
      <x:c r="B2078" s="48" t="str">
        <x:v>ORANGE</x:v>
      </x:c>
      <x:c r="C2078" s="48" t="str">
        <x:v>English</x:v>
      </x:c>
      <x:c r="D2078" s="48" t="n">
        <x:v>14</x:v>
      </x:c>
      <x:c r="E2078" s="48" t="str"/>
      <x:c r="F2078" s="48" t="str">
        <x:v>we ommercig ese Cnr al is Himsa ping te oye Repatocne oc ugh tin an aan, ay) a a Se Epler Repent oy ene, a robe elec, oe eet liane noe ‘Sanpete Concer eon ‘Te Courter alae fl epost acy. tii a</x:v>
      </x:c>
      <x:c r="G2078" s="48" t="str">
        <x:v>Obligation</x:v>
      </x:c>
      <x:c r="H2078" s="48" t="str">
        <x:v>Shared</x:v>
      </x:c>
      <x:c r="I2078" s="48" t="n">
        <x:v>0.45</x:v>
      </x:c>
      <x:c r="J2078" s="48" t="n">
        <x:v>0.4</x:v>
      </x:c>
      <x:c r="K2078" s="48" t="str">
        <x:v>Yes</x:v>
      </x:c>
      <x:c r="L2078" s="48" t="str">
        <x:v>OCR</x:v>
      </x:c>
    </x:row>
    <x:row r="2079">
      <x:c r="A2079" s="48" t="str">
        <x:v>UNI-2078</x:v>
      </x:c>
      <x:c r="B2079" s="48" t="str">
        <x:v>ORANGE</x:v>
      </x:c>
      <x:c r="C2079" s="48" t="str">
        <x:v>English</x:v>
      </x:c>
      <x:c r="D2079" s="48" t="n">
        <x:v>14</x:v>
      </x:c>
      <x:c r="E2079" s="48" t="str"/>
      <x:c r="F2079" s="48" t="str">
        <x:v>Fee Sant appenlorcomem ty te Employers Repeemaive</x:v>
      </x:c>
      <x:c r="G2079" s="48" t="str">
        <x:v>Obligation</x:v>
      </x:c>
      <x:c r="H2079" s="48" t="str">
        <x:v>Shared</x:v>
      </x:c>
      <x:c r="I2079" s="48" t="n">
        <x:v>0.45</x:v>
      </x:c>
      <x:c r="J2079" s="48" t="n">
        <x:v>0.4</x:v>
      </x:c>
      <x:c r="K2079" s="48" t="str">
        <x:v>Yes</x:v>
      </x:c>
      <x:c r="L2079" s="48" t="str">
        <x:v>OCR</x:v>
      </x:c>
    </x:row>
    <x:row r="2080">
      <x:c r="A2080" s="48" t="str">
        <x:v>UNI-2079</x:v>
      </x:c>
      <x:c r="B2080" s="48" t="str">
        <x:v>ORANGE</x:v>
      </x:c>
      <x:c r="C2080" s="48" t="str">
        <x:v>English</x:v>
      </x:c>
      <x:c r="D2080" s="48" t="n">
        <x:v>14</x:v>
      </x:c>
      <x:c r="E2080" s="48" t="str"/>
      <x:c r="F2080" s="48" t="str">
        <x:v>eames 42 Reem sheer ye cog (2 inna cate st gen at</x:v>
      </x:c>
      <x:c r="G2080" s="48" t="str">
        <x:v>Obligation</x:v>
      </x:c>
      <x:c r="H2080" s="48" t="str">
        <x:v>Shared</x:v>
      </x:c>
      <x:c r="I2080" s="48" t="n">
        <x:v>0.45</x:v>
      </x:c>
      <x:c r="J2080" s="48" t="n">
        <x:v>0.4</x:v>
      </x:c>
      <x:c r="K2080" s="48" t="str">
        <x:v>Yes</x:v>
      </x:c>
      <x:c r="L2080" s="48" t="str">
        <x:v>OCR</x:v>
      </x:c>
    </x:row>
    <x:row r="2081">
      <x:c r="A2081" s="48" t="str">
        <x:v>UNI-2080</x:v>
      </x:c>
      <x:c r="B2081" s="48" t="str">
        <x:v>ORANGE</x:v>
      </x:c>
      <x:c r="C2081" s="48" t="str">
        <x:v>English</x:v>
      </x:c>
      <x:c r="D2081" s="48" t="n">
        <x:v>14</x:v>
      </x:c>
      <x:c r="E2081" s="48" t="str"/>
      <x:c r="F2081" s="48" t="str">
        <x:v>Teepe a women ee sl be emed te</x:v>
      </x:c>
      <x:c r="G2081" s="48" t="str">
        <x:v>Obligation</x:v>
      </x:c>
      <x:c r="H2081" s="48" t="str">
        <x:v>Shared</x:v>
      </x:c>
      <x:c r="I2081" s="48" t="n">
        <x:v>0.45</x:v>
      </x:c>
      <x:c r="J2081" s="48" t="n">
        <x:v>0.4</x:v>
      </x:c>
      <x:c r="K2081" s="48" t="str">
        <x:v>Yes</x:v>
      </x:c>
      <x:c r="L2081" s="48" t="str">
        <x:v>OCR</x:v>
      </x:c>
    </x:row>
    <x:row r="2082">
      <x:c r="A2082" s="48" t="str">
        <x:v>UNI-2081</x:v>
      </x:c>
      <x:c r="B2082" s="48" t="str">
        <x:v>ORANGE</x:v>
      </x:c>
      <x:c r="C2082" s="48" t="str">
        <x:v>English</x:v>
      </x:c>
      <x:c r="D2082" s="48" t="n">
        <x:v>14</x:v>
      </x:c>
      <x:c r="E2082" s="48" t="str"/>
      <x:c r="F2082" s="48" t="str">
        <x:v>eS 2 SEAGIG Stic ee eee een sees</x:v>
      </x:c>
      <x:c r="G2082" s="48" t="str">
        <x:v>Obligation</x:v>
      </x:c>
      <x:c r="H2082" s="48" t="str">
        <x:v>Shared</x:v>
      </x:c>
      <x:c r="I2082" s="48" t="n">
        <x:v>0.45</x:v>
      </x:c>
      <x:c r="J2082" s="48" t="n">
        <x:v>0.4</x:v>
      </x:c>
      <x:c r="K2082" s="48" t="str">
        <x:v>Yes</x:v>
      </x:c>
      <x:c r="L2082" s="48" t="str">
        <x:v>OCR</x:v>
      </x:c>
    </x:row>
    <x:row r="2083">
      <x:c r="A2083" s="48" t="str">
        <x:v>UNI-2082</x:v>
      </x:c>
      <x:c r="B2083" s="48" t="str">
        <x:v>ORANGE</x:v>
      </x:c>
      <x:c r="C2083" s="48" t="str">
        <x:v>English</x:v>
      </x:c>
      <x:c r="D2083" s="48" t="n">
        <x:v>14</x:v>
      </x:c>
      <x:c r="E2083" s="48" t="str"/>
      <x:c r="F2083" s="48" t="str">
        <x:v>Somer te ttt eo</x:v>
      </x:c>
      <x:c r="G2083" s="48" t="str">
        <x:v>Obligation</x:v>
      </x:c>
      <x:c r="H2083" s="48" t="str">
        <x:v>Shared</x:v>
      </x:c>
      <x:c r="I2083" s="48" t="n">
        <x:v>0.45</x:v>
      </x:c>
      <x:c r="J2083" s="48" t="n">
        <x:v>0.4</x:v>
      </x:c>
      <x:c r="K2083" s="48" t="str">
        <x:v>Yes</x:v>
      </x:c>
      <x:c r="L2083" s="48" t="str">
        <x:v>OCR</x:v>
      </x:c>
    </x:row>
    <x:row r="2084">
      <x:c r="A2084" s="48" t="str">
        <x:v>UNI-2083</x:v>
      </x:c>
      <x:c r="B2084" s="48" t="str">
        <x:v>ORANGE</x:v>
      </x:c>
      <x:c r="C2084" s="48" t="str">
        <x:v>English</x:v>
      </x:c>
      <x:c r="D2084" s="48" t="n">
        <x:v>14</x:v>
      </x:c>
      <x:c r="E2084" s="48" t="str"/>
      <x:c r="F2084" s="48" t="str">
        <x:v>Se tat pronto cet</x:v>
      </x:c>
      <x:c r="G2084" s="48" t="str">
        <x:v>Obligation</x:v>
      </x:c>
      <x:c r="H2084" s="48" t="str">
        <x:v>Shared</x:v>
      </x:c>
      <x:c r="I2084" s="48" t="n">
        <x:v>0.45</x:v>
      </x:c>
      <x:c r="J2084" s="48" t="n">
        <x:v>0.4</x:v>
      </x:c>
      <x:c r="K2084" s="48" t="str">
        <x:v>Yes</x:v>
      </x:c>
      <x:c r="L2084" s="48" t="str">
        <x:v>OCR</x:v>
      </x:c>
    </x:row>
    <x:row r="2085">
      <x:c r="A2085" s="48" t="str">
        <x:v>UNI-2084</x:v>
      </x:c>
      <x:c r="B2085" s="48" t="str">
        <x:v>ORANGE</x:v>
      </x:c>
      <x:c r="C2085" s="48" t="str">
        <x:v>English</x:v>
      </x:c>
      <x:c r="D2085" s="48" t="n">
        <x:v>14</x:v>
      </x:c>
      <x:c r="E2085" s="48" t="str"/>
      <x:c r="F2085" s="48" t="str">
        <x:v>Goer et ste</x:v>
      </x:c>
      <x:c r="G2085" s="48" t="str">
        <x:v>Obligation</x:v>
      </x:c>
      <x:c r="H2085" s="48" t="str">
        <x:v>Shared</x:v>
      </x:c>
      <x:c r="I2085" s="48" t="n">
        <x:v>0.45</x:v>
      </x:c>
      <x:c r="J2085" s="48" t="n">
        <x:v>0.4</x:v>
      </x:c>
      <x:c r="K2085" s="48" t="str">
        <x:v>Yes</x:v>
      </x:c>
      <x:c r="L2085" s="48" t="str">
        <x:v>OCR</x:v>
      </x:c>
    </x:row>
    <x:row r="2086">
      <x:c r="A2086" s="48" t="str">
        <x:v>UNI-2085</x:v>
      </x:c>
      <x:c r="B2086" s="48" t="str">
        <x:v>ORANGE</x:v>
      </x:c>
      <x:c r="C2086" s="48" t="str">
        <x:v>English</x:v>
      </x:c>
      <x:c r="D2086" s="48" t="n">
        <x:v>14</x:v>
      </x:c>
      <x:c r="E2086" s="48" t="str"/>
      <x:c r="F2086" s="48" t="str">
        <x:v>rake Gm Cir ere iescirtarns Gm atenn mmee e (ToircrWhenever the Conmacor’s Representative isto be absent from fe</x:v>
      </x:c>
      <x:c r="G2086" s="48" t="str">
        <x:v>Obligation</x:v>
      </x:c>
      <x:c r="H2086" s="48" t="str">
        <x:v>Shared</x:v>
      </x:c>
      <x:c r="I2086" s="48" t="n">
        <x:v>0.45</x:v>
      </x:c>
      <x:c r="J2086" s="48" t="n">
        <x:v>0.4</x:v>
      </x:c>
      <x:c r="K2086" s="48" t="str">
        <x:v>Yes</x:v>
      </x:c>
      <x:c r="L2086" s="48" t="str">
        <x:v>OCR</x:v>
      </x:c>
    </x:row>
    <x:row r="2087">
      <x:c r="A2087" s="48" t="str">
        <x:v>UNI-2086</x:v>
      </x:c>
      <x:c r="B2087" s="48" t="str">
        <x:v>ORANGE</x:v>
      </x:c>
      <x:c r="C2087" s="48" t="str">
        <x:v>English</x:v>
      </x:c>
      <x:c r="D2087" s="48" t="n">
        <x:v>14</x:v>
      </x:c>
      <x:c r="E2087" s="48" t="str"/>
      <x:c r="F2087" s="48" t="str">
        <x:v>Sencar bere</x:v>
      </x:c>
      <x:c r="G2087" s="48" t="str">
        <x:v>Obligation</x:v>
      </x:c>
      <x:c r="H2087" s="48" t="str">
        <x:v>Shared</x:v>
      </x:c>
      <x:c r="I2087" s="48" t="n">
        <x:v>0.45</x:v>
      </x:c>
      <x:c r="J2087" s="48" t="n">
        <x:v>0.4</x:v>
      </x:c>
      <x:c r="K2087" s="48" t="str">
        <x:v>Yes</x:v>
      </x:c>
      <x:c r="L2087" s="48" t="str">
        <x:v>OCR</x:v>
      </x:c>
    </x:row>
    <x:row r="2088">
      <x:c r="A2088" s="48" t="str">
        <x:v>UNI-2087</x:v>
      </x:c>
      <x:c r="B2088" s="48" t="str">
        <x:v>ORANGE</x:v>
      </x:c>
      <x:c r="C2088" s="48" t="str">
        <x:v>English</x:v>
      </x:c>
      <x:c r="D2088" s="48" t="n">
        <x:v>14</x:v>
      </x:c>
      <x:c r="E2088" s="48" t="str"/>
      <x:c r="F2088" s="48" t="str">
        <x:v>recat tenement green</x:v>
      </x:c>
      <x:c r="G2088" s="48" t="str">
        <x:v>Obligation</x:v>
      </x:c>
      <x:c r="H2088" s="48" t="str">
        <x:v>Shared</x:v>
      </x:c>
      <x:c r="I2088" s="48" t="n">
        <x:v>0.45</x:v>
      </x:c>
      <x:c r="J2088" s="48" t="n">
        <x:v>0.4</x:v>
      </x:c>
      <x:c r="K2088" s="48" t="str">
        <x:v>Yes</x:v>
      </x:c>
      <x:c r="L2088" s="48" t="str">
        <x:v>OCR</x:v>
      </x:c>
    </x:row>
    <x:row r="2089">
      <x:c r="A2089" s="48" t="str">
        <x:v>UNI-2088</x:v>
      </x:c>
      <x:c r="B2089" s="48" t="str">
        <x:v>ORANGE</x:v>
      </x:c>
      <x:c r="C2089" s="48" t="str">
        <x:v>English</x:v>
      </x:c>
      <x:c r="D2089" s="48" t="n">
        <x:v>14</x:v>
      </x:c>
      <x:c r="E2089" s="48" t="str"/>
      <x:c r="F2089" s="48" t="str">
        <x:v>Ree steerer ayer ea</x:v>
      </x:c>
      <x:c r="G2089" s="48" t="str">
        <x:v>Obligation</x:v>
      </x:c>
      <x:c r="H2089" s="48" t="str">
        <x:v>Shared</x:v>
      </x:c>
      <x:c r="I2089" s="48" t="n">
        <x:v>0.45</x:v>
      </x:c>
      <x:c r="J2089" s="48" t="n">
        <x:v>0.4</x:v>
      </x:c>
      <x:c r="K2089" s="48" t="str">
        <x:v>Yes</x:v>
      </x:c>
      <x:c r="L2089" s="48" t="str">
        <x:v>OCR</x:v>
      </x:c>
    </x:row>
    <x:row r="2090">
      <x:c r="A2090" s="48" t="str">
        <x:v>UNI-2089</x:v>
      </x:c>
      <x:c r="B2090" s="48" t="str">
        <x:v>ORANGE</x:v>
      </x:c>
      <x:c r="C2090" s="48" t="str">
        <x:v>English</x:v>
      </x:c>
      <x:c r="D2090" s="48" t="n">
        <x:v>14</x:v>
      </x:c>
      <x:c r="E2090" s="48" t="str"/>
      <x:c r="F2090" s="48" t="str">
        <x:v>Se ce iateneesaitatamenesaiae</x:v>
      </x:c>
      <x:c r="G2090" s="48" t="str">
        <x:v>Obligation</x:v>
      </x:c>
      <x:c r="H2090" s="48" t="str">
        <x:v>Shared</x:v>
      </x:c>
      <x:c r="I2090" s="48" t="n">
        <x:v>0.45</x:v>
      </x:c>
      <x:c r="J2090" s="48" t="n">
        <x:v>0.4</x:v>
      </x:c>
      <x:c r="K2090" s="48" t="str">
        <x:v>Yes</x:v>
      </x:c>
      <x:c r="L2090" s="48" t="str">
        <x:v>OCR</x:v>
      </x:c>
    </x:row>
    <x:row r="2091">
      <x:c r="A2091" s="48" t="str">
        <x:v>UNI-2090</x:v>
      </x:c>
      <x:c r="B2091" s="48" t="str">
        <x:v>ORANGE</x:v>
      </x:c>
      <x:c r="C2091" s="48" t="str">
        <x:v>English</x:v>
      </x:c>
      <x:c r="D2091" s="48" t="n">
        <x:v>14</x:v>
      </x:c>
      <x:c r="E2091" s="48" t="str"/>
      <x:c r="F2091" s="48" t="str">
        <x:v>See Sactapieioesoe erat mur</x:v>
      </x:c>
      <x:c r="G2091" s="48" t="str">
        <x:v>Obligation</x:v>
      </x:c>
      <x:c r="H2091" s="48" t="str">
        <x:v>Shared</x:v>
      </x:c>
      <x:c r="I2091" s="48" t="n">
        <x:v>0.45</x:v>
      </x:c>
      <x:c r="J2091" s="48" t="n">
        <x:v>0.4</x:v>
      </x:c>
      <x:c r="K2091" s="48" t="str">
        <x:v>Yes</x:v>
      </x:c>
      <x:c r="L2091" s="48" t="str">
        <x:v>OCR</x:v>
      </x:c>
    </x:row>
    <x:row r="2092">
      <x:c r="A2092" s="48" t="str">
        <x:v>UNI-2091</x:v>
      </x:c>
      <x:c r="B2092" s="48" t="str">
        <x:v>ORANGE</x:v>
      </x:c>
      <x:c r="C2092" s="48" t="str">
        <x:v>English</x:v>
      </x:c>
      <x:c r="D2092" s="48" t="n">
        <x:v>14</x:v>
      </x:c>
      <x:c r="E2092" s="48" t="str"/>
      <x:c r="F2092" s="48" t="str">
        <x:v>oa ee ead wr mvked The Court Reese</x:v>
      </x:c>
      <x:c r="G2092" s="48" t="str">
        <x:v>Obligation</x:v>
      </x:c>
      <x:c r="H2092" s="48" t="str">
        <x:v>Shared</x:v>
      </x:c>
      <x:c r="I2092" s="48" t="n">
        <x:v>0.45</x:v>
      </x:c>
      <x:c r="J2092" s="48" t="n">
        <x:v>0.4</x:v>
      </x:c>
      <x:c r="K2092" s="48" t="str">
        <x:v>Yes</x:v>
      </x:c>
      <x:c r="L2092" s="48" t="str">
        <x:v>OCR</x:v>
      </x:c>
    </x:row>
    <x:row r="2093">
      <x:c r="A2093" s="48" t="str">
        <x:v>UNI-2092</x:v>
      </x:c>
      <x:c r="B2093" s="48" t="str">
        <x:v>ORANGE</x:v>
      </x:c>
      <x:c r="C2093" s="48" t="str">
        <x:v>English</x:v>
      </x:c>
      <x:c r="D2093" s="48" t="n">
        <x:v>14</x:v>
      </x:c>
      <x:c r="E2093" s="48" t="str"/>
      <x:c r="F2093" s="48" t="str">
        <x:v>Tooele hr De angige fr ey oy Commences</x:v>
      </x:c>
      <x:c r="G2093" s="48" t="str">
        <x:v>Obligation</x:v>
      </x:c>
      <x:c r="H2093" s="48" t="str">
        <x:v>Shared</x:v>
      </x:c>
      <x:c r="I2093" s="48" t="n">
        <x:v>0.45</x:v>
      </x:c>
      <x:c r="J2093" s="48" t="n">
        <x:v>0.4</x:v>
      </x:c>
      <x:c r="K2093" s="48" t="str">
        <x:v>Yes</x:v>
      </x:c>
      <x:c r="L2093" s="48" t="str">
        <x:v>OCR</x:v>
      </x:c>
    </x:row>
    <x:row r="2094">
      <x:c r="A2094" s="48" t="str">
        <x:v>UNI-2093</x:v>
      </x:c>
      <x:c r="B2094" s="48" t="str">
        <x:v>ORANGE</x:v>
      </x:c>
      <x:c r="C2094" s="48" t="str">
        <x:v>English</x:v>
      </x:c>
      <x:c r="D2094" s="48" t="n">
        <x:v>14</x:v>
      </x:c>
      <x:c r="E2094" s="48" t="str"/>
      <x:c r="F2094" s="48" t="str">
        <x:v>‘Einnd Sable 1</x:v>
      </x:c>
      <x:c r="G2094" s="48" t="str">
        <x:v>Obligation</x:v>
      </x:c>
      <x:c r="H2094" s="48" t="str">
        <x:v>Shared</x:v>
      </x:c>
      <x:c r="I2094" s="48" t="n">
        <x:v>0.45</x:v>
      </x:c>
      <x:c r="J2094" s="48" t="n">
        <x:v>0.4</x:v>
      </x:c>
      <x:c r="K2094" s="48" t="str">
        <x:v>Yes</x:v>
      </x:c>
      <x:c r="L2094" s="48" t="str">
        <x:v>OCR</x:v>
      </x:c>
    </x:row>
    <x:row r="2095">
      <x:c r="A2095" s="48" t="str">
        <x:v>UNI-2094</x:v>
      </x:c>
      <x:c r="B2095" s="48" t="str">
        <x:v>ORANGE</x:v>
      </x:c>
      <x:c r="C2095" s="48" t="str">
        <x:v>English</x:v>
      </x:c>
      <x:c r="D2095" s="48" t="n">
        <x:v>15</x:v>
      </x:c>
      <x:c r="E2095" s="48" t="str"/>
      <x:c r="F2095" s="48" t="str">
        <x:v>Coordination 44 The Courter sal te gsi eee tion npg eesin TheWeris “Ge Wak lang Grdnaion of er cance the sts ‘pein Eno Router Te Crt sal pci</x:v>
      </x:c>
      <x:c r="G2095" s="48" t="str">
        <x:v>Obligation</x:v>
      </x:c>
      <x:c r="H2095" s="48" t="str">
        <x:v>Shared</x:v>
      </x:c>
      <x:c r="I2095" s="48" t="n">
        <x:v>0.45</x:v>
      </x:c>
      <x:c r="J2095" s="48" t="n">
        <x:v>0.4</x:v>
      </x:c>
      <x:c r="K2095" s="48" t="str">
        <x:v>Yes</x:v>
      </x:c>
      <x:c r="L2095" s="48" t="str">
        <x:v>OCR</x:v>
      </x:c>
    </x:row>
    <x:row r="2096">
      <x:c r="A2096" s="48" t="str">
        <x:v>UNI-2095</x:v>
      </x:c>
      <x:c r="B2096" s="48" t="str">
        <x:v>ORANGE</x:v>
      </x:c>
      <x:c r="C2096" s="48" t="str">
        <x:v>English</x:v>
      </x:c>
      <x:c r="D2096" s="48" t="n">
        <x:v>15</x:v>
      </x:c>
      <x:c r="E2096" s="48" t="str"/>
      <x:c r="F2096" s="48" t="str">
        <x:v>Eki ene nen em sa</x:v>
      </x:c>
      <x:c r="G2096" s="48" t="str">
        <x:v>Obligation</x:v>
      </x:c>
      <x:c r="H2096" s="48" t="str">
        <x:v>Shared</x:v>
      </x:c>
      <x:c r="I2096" s="48" t="n">
        <x:v>0.45</x:v>
      </x:c>
      <x:c r="J2096" s="48" t="n">
        <x:v>0.4</x:v>
      </x:c>
      <x:c r="K2096" s="48" t="str">
        <x:v>Yes</x:v>
      </x:c>
      <x:c r="L2096" s="48" t="str">
        <x:v>OCR</x:v>
      </x:c>
    </x:row>
    <x:row r="2097">
      <x:c r="A2097" s="48" t="str">
        <x:v>UNI-2096</x:v>
      </x:c>
      <x:c r="B2097" s="48" t="str">
        <x:v>ORANGE</x:v>
      </x:c>
      <x:c r="C2097" s="48" t="str">
        <x:v>English</x:v>
      </x:c>
      <x:c r="D2097" s="48" t="n">
        <x:v>15</x:v>
      </x:c>
      <x:c r="E2097" s="48" t="str"/>
      <x:c r="F2097" s="48" t="str">
        <x:v>(2 ay tects poy ye gly he woken (0) Me were of the pie a (©) the workmen of ay ely costae pbc store who my be mplopesin heccettn oon Sey weak tt ed ‘ACen wich he poe mye Te Guava sal ebusn, coca and stent 6 the Enger ‘Epc ft stoma deta ne of 8 {tod pat fe Sc) rm Sects Tt Contr sal ‘spol rie cas i eh rh cr se ‘Sno cnt wath te wort of er Stent he Cotas Sebrniracon 45 The Cana sll nt nt he ws of Wak, Vl trie</x:v>
      </x:c>
      <x:c r="G2097" s="48" t="str">
        <x:v>Obligation</x:v>
      </x:c>
      <x:c r="H2097" s="48" t="str">
        <x:v>Shared</x:v>
      </x:c>
      <x:c r="I2097" s="48" t="n">
        <x:v>0.45</x:v>
      </x:c>
      <x:c r="J2097" s="48" t="n">
        <x:v>0.4</x:v>
      </x:c>
      <x:c r="K2097" s="48" t="str">
        <x:v>Yes</x:v>
      </x:c>
      <x:c r="L2097" s="48" t="str">
        <x:v>OCR</x:v>
      </x:c>
    </x:row>
    <x:row r="2098">
      <x:c r="A2098" s="48" t="str">
        <x:v>UNI-2097</x:v>
      </x:c>
      <x:c r="B2098" s="48" t="str">
        <x:v>ORANGE</x:v>
      </x:c>
      <x:c r="C2098" s="48" t="str">
        <x:v>English</x:v>
      </x:c>
      <x:c r="D2098" s="48" t="n">
        <x:v>15</x:v>
      </x:c>
      <x:c r="E2098" s="48" t="str"/>
      <x:c r="F2098" s="48" t="str">
        <x:v>(© he Coc a at ein i cn fo une of (© te pir cone fh Ener Rees hl be ind ‘ther pep Soto ‘ommcncag werk one Se. te Cacor shal ye Employer eget wach stare pci, te Conc l gne + fir aad reno eee SL a ‘The Cott sabe eae er ceva yal Suber al pvr ot ra Tie Cnr eset ‘Sirti ne tao i omc pr or ope Asignment st 45 raSutcourtrha uneale ing aaa pion be Siicenracir’s "” Copmacoro he met Seed er cued Pat Maral oe ries ‘Obes Sop ty tach Sate, sah cao een Seyen he ‘Shey fe Cort Pathe Coomcer tl pen he apo ‘Gh ea, gn he nts of ch oa tthe ply fe ‘Seip ito, te opm et o he Emer Sting Om 47 The Cntr al to he Ws etn xg pois i ad eae pct inte Soya Rt ae ‘roi fen by a Epler Reese in wing Tae Cnt ‘Sis t hector ne poston ee, menane</x:v>
      </x:c>
      <x:c r="G2098" s="48" t="str">
        <x:v>Obligation</x:v>
      </x:c>
      <x:c r="H2098" s="48" t="str">
        <x:v>Employer</x:v>
      </x:c>
      <x:c r="I2098" s="48" t="n">
        <x:v>0.45</x:v>
      </x:c>
      <x:c r="J2098" s="48" t="n">
        <x:v>0.68</x:v>
      </x:c>
      <x:c r="K2098" s="48" t="str">
        <x:v>Yes</x:v>
      </x:c>
      <x:c r="L2098" s="48" t="str">
        <x:v>OCR</x:v>
      </x:c>
    </x:row>
    <x:row r="2099">
      <x:c r="A2099" s="48" t="str">
        <x:v>UNI-2098</x:v>
      </x:c>
      <x:c r="B2099" s="48" t="str">
        <x:v>ORANGE</x:v>
      </x:c>
      <x:c r="C2099" s="48" t="str">
        <x:v>English</x:v>
      </x:c>
      <x:c r="D2099" s="48" t="n">
        <x:v>15</x:v>
      </x:c>
      <x:c r="E2099" s="48" t="str"/>
      <x:c r="F2099" s="48" t="str">
        <x:v>Spoof be Woe</x:v>
      </x:c>
      <x:c r="G2099" s="48" t="str">
        <x:v>Obligation</x:v>
      </x:c>
      <x:c r="H2099" s="48" t="str">
        <x:v>Shared</x:v>
      </x:c>
      <x:c r="I2099" s="48" t="n">
        <x:v>0.45</x:v>
      </x:c>
      <x:c r="J2099" s="48" t="n">
        <x:v>0.4</x:v>
      </x:c>
      <x:c r="K2099" s="48" t="str">
        <x:v>Yes</x:v>
      </x:c>
      <x:c r="L2099" s="48" t="str">
        <x:v>OCR</x:v>
      </x:c>
    </x:row>
    <x:row r="2100">
      <x:c r="A2100" s="48" t="str">
        <x:v>UNI-2099</x:v>
      </x:c>
      <x:c r="B2100" s="48" t="str">
        <x:v>ORANGE</x:v>
      </x:c>
      <x:c r="C2100" s="48" t="str">
        <x:v>English</x:v>
      </x:c>
      <x:c r="D2100" s="48" t="n">
        <x:v>15</x:v>
      </x:c>
      <x:c r="E2100" s="48" t="str"/>
      <x:c r="F2100" s="48" t="str">
        <x:v>(Quaty Amarone AR Unlove sted ia Pt the Conc sal isin gy ‘strane ste te dentate Compan wih Se ements the ‘Gon Sch tensa = ace mi he Sa ed ‘Gora Comanche qty sence Se Salt lee ‘Conca a ces gat wep</x:v>
      </x:c>
      <x:c r="G2100" s="48" t="str">
        <x:v>Obligation</x:v>
      </x:c>
      <x:c r="H2100" s="48" t="str">
        <x:v>Shared</x:v>
      </x:c>
      <x:c r="I2100" s="48" t="n">
        <x:v>0.45</x:v>
      </x:c>
      <x:c r="J2100" s="48" t="n">
        <x:v>0.4</x:v>
      </x:c>
      <x:c r="K2100" s="48" t="str">
        <x:v>Yes</x:v>
      </x:c>
      <x:c r="L2100" s="48" t="str">
        <x:v>OCR</x:v>
      </x:c>
    </x:row>
    <x:row r="2101">
      <x:c r="A2101" s="48" t="str">
        <x:v>UNI-2100</x:v>
      </x:c>
      <x:c r="B2101" s="48" t="str">
        <x:v>ORANGE</x:v>
      </x:c>
      <x:c r="C2101" s="48" t="str">
        <x:v>English</x:v>
      </x:c>
      <x:c r="D2101" s="48" t="n">
        <x:v>16</x:v>
      </x:c>
      <x:c r="E2101" s="48" t="str"/>
      <x:c r="F2101" s="48" t="str">
        <x:v>Df proces acpi document sa he sie the</x:v>
      </x:c>
      <x:c r="G2101" s="48" t="str">
        <x:v>Obligation</x:v>
      </x:c>
      <x:c r="H2101" s="48" t="str">
        <x:v>Shared</x:v>
      </x:c>
      <x:c r="I2101" s="48" t="n">
        <x:v>0.45</x:v>
      </x:c>
      <x:c r="J2101" s="48" t="n">
        <x:v>0.4</x:v>
      </x:c>
      <x:c r="K2101" s="48" t="str">
        <x:v>Yes</x:v>
      </x:c>
      <x:c r="L2101" s="48" t="str">
        <x:v>OCR</x:v>
      </x:c>
    </x:row>
    <x:row r="2102">
      <x:c r="A2102" s="48" t="str">
        <x:v>UNI-2101</x:v>
      </x:c>
      <x:c r="B2102" s="48" t="str">
        <x:v>ORANGE</x:v>
      </x:c>
      <x:c r="C2102" s="48" t="str">
        <x:v>English</x:v>
      </x:c>
      <x:c r="D2102" s="48" t="n">
        <x:v>16</x:v>
      </x:c>
      <x:c r="E2102" s="48" t="str"/>
      <x:c r="F2102" s="48" t="str">
        <x:v>Bapoyers Repessasre fr ar rman bbe Seg at</x:v>
      </x:c>
      <x:c r="G2102" s="48" t="str">
        <x:v>Obligation</x:v>
      </x:c>
      <x:c r="H2102" s="48" t="str">
        <x:v>Shared</x:v>
      </x:c>
      <x:c r="I2102" s="48" t="n">
        <x:v>0.45</x:v>
      </x:c>
      <x:c r="J2102" s="48" t="n">
        <x:v>0.4</x:v>
      </x:c>
      <x:c r="K2102" s="48" t="str">
        <x:v>Yes</x:v>
      </x:c>
      <x:c r="L2102" s="48" t="str">
        <x:v>OCR</x:v>
      </x:c>
    </x:row>
    <x:row r="2103">
      <x:c r="A2103" s="48" t="str">
        <x:v>UNI-2102</x:v>
      </x:c>
      <x:c r="B2103" s="48" t="str">
        <x:v>ORANGE</x:v>
      </x:c>
      <x:c r="C2103" s="48" t="str">
        <x:v>English</x:v>
      </x:c>
      <x:c r="D2103" s="48" t="n">
        <x:v>16</x:v>
      </x:c>
      <x:c r="E2103" s="48" t="str"/>
      <x:c r="F2103" s="48" t="str">
        <x:v>Semel en ame Ey</x:v>
      </x:c>
      <x:c r="G2103" s="48" t="str">
        <x:v>Obligation</x:v>
      </x:c>
      <x:c r="H2103" s="48" t="str">
        <x:v>Shared</x:v>
      </x:c>
      <x:c r="I2103" s="48" t="n">
        <x:v>0.45</x:v>
      </x:c>
      <x:c r="J2103" s="48" t="n">
        <x:v>0.4</x:v>
      </x:c>
      <x:c r="K2103" s="48" t="str">
        <x:v>Yes</x:v>
      </x:c>
      <x:c r="L2103" s="48" t="str">
        <x:v>OCR</x:v>
      </x:c>
    </x:row>
    <x:row r="2104">
      <x:c r="A2104" s="48" t="str">
        <x:v>UNI-2103</x:v>
      </x:c>
      <x:c r="B2104" s="48" t="str">
        <x:v>ORANGE</x:v>
      </x:c>
      <x:c r="C2104" s="48" t="str">
        <x:v>English</x:v>
      </x:c>
      <x:c r="D2104" s="48" t="n">
        <x:v>16</x:v>
      </x:c>
      <x:c r="E2104" s="48" t="str"/>
      <x:c r="F2104" s="48" t="str">
        <x:v>[Enlye Reps sl fe ened me ypc fey dno coreive acta ewer Ste Duin 49 The Engle sl lane made stale o he Cnt i te Ra ‘te ST dao hyo ete cnn we Sa, and ‘Sts eevee ings sac iver ay bal ot</x:v>
      </x:c>
      <x:c r="G2104" s="48" t="str">
        <x:v>Obligation</x:v>
      </x:c>
      <x:c r="H2104" s="48" t="str">
        <x:v>Shared</x:v>
      </x:c>
      <x:c r="I2104" s="48" t="n">
        <x:v>0.45</x:v>
      </x:c>
      <x:c r="J2104" s="48" t="n">
        <x:v>0.4</x:v>
      </x:c>
      <x:c r="K2104" s="48" t="str">
        <x:v>Yes</x:v>
      </x:c>
      <x:c r="L2104" s="48" t="str">
        <x:v>OCR</x:v>
      </x:c>
    </x:row>
    <x:row r="2105">
      <x:c r="A2105" s="48" t="str">
        <x:v>UNI-2104</x:v>
      </x:c>
      <x:c r="B2105" s="48" t="str">
        <x:v>ORANGE</x:v>
      </x:c>
      <x:c r="C2105" s="48" t="str">
        <x:v>English</x:v>
      </x:c>
      <x:c r="D2105" s="48" t="n">
        <x:v>16</x:v>
      </x:c>
      <x:c r="E2105" s="48" t="str"/>
      <x:c r="F2105" s="48" t="str">
        <x:v>Stage on meng er ne Ws Te Cc at</x:v>
      </x:c>
      <x:c r="G2105" s="48" t="str">
        <x:v>Obligation</x:v>
      </x:c>
      <x:c r="H2105" s="48" t="str">
        <x:v>Shared</x:v>
      </x:c>
      <x:c r="I2105" s="48" t="n">
        <x:v>0.45</x:v>
      </x:c>
      <x:c r="J2105" s="48" t="n">
        <x:v>0.4</x:v>
      </x:c>
      <x:c r="K2105" s="48" t="str">
        <x:v>Yes</x:v>
      </x:c>
      <x:c r="L2105" s="48" t="str">
        <x:v>OCR</x:v>
      </x:c>
    </x:row>
    <x:row r="2106">
      <x:c r="A2106" s="48" t="str">
        <x:v>UNI-2105</x:v>
      </x:c>
      <x:c r="B2106" s="48" t="str">
        <x:v>ORANGE</x:v>
      </x:c>
      <x:c r="C2106" s="48" t="str">
        <x:v>English</x:v>
      </x:c>
      <x:c r="D2106" s="48" t="n">
        <x:v>16</x:v>
      </x:c>
      <x:c r="E2106" s="48" t="str"/>
      <x:c r="F2106" s="48" t="str">
        <x:v>“The Conn sl be ene ae npc and xa eS ‘Sreontngs shea sn ocr ste nomaton, tad hae ‘et sabi te Tn .</x:v>
      </x:c>
      <x:c r="G2106" s="48" t="str">
        <x:v>Obligation</x:v>
      </x:c>
      <x:c r="H2106" s="48" t="str">
        <x:v>Shared</x:v>
      </x:c>
      <x:c r="I2106" s="48" t="n">
        <x:v>0.45</x:v>
      </x:c>
      <x:c r="J2106" s="48" t="n">
        <x:v>0.4</x:v>
      </x:c>
      <x:c r="K2106" s="48" t="str">
        <x:v>Yes</x:v>
      </x:c>
      <x:c r="L2106" s="48" t="str">
        <x:v>OCR</x:v>
      </x:c>
    </x:row>
    <x:row r="2107">
      <x:c r="A2107" s="48" t="str">
        <x:v>UNI-2106</x:v>
      </x:c>
      <x:c r="B2107" s="48" t="str">
        <x:v>ORANGE</x:v>
      </x:c>
      <x:c r="C2107" s="48" t="str">
        <x:v>English</x:v>
      </x:c>
      <x:c r="D2107" s="48" t="n">
        <x:v>16</x:v>
      </x:c>
      <x:c r="E2107" s="48" t="str"/>
      <x:c r="F2107" s="48" t="str">
        <x:v>(4) se dp nse contin (0) texkrt andra ote wknd Maertsncsay fer heeceicn ‘Diste etgecis snl ober inom ehh ay ile 6 “The Cotes dca hve sii ae 8 coc: {au tice ef be Conan lem eee ate inte Caen {fe Comac el oer als gan be Cort sting ‘Sign exec tl compoion ef the Wons andthe remedying 9 2) nlorseble 401 sabre endo a emacs by the Contac wich in is ‘Schsurtae | opnna ne stv by an xperenee cna ie Cen hal ‘Cones he" ho the" Ener epee oat te empoyes [epscuiv can mae such cose De eel ou nie a rh npn sf megan he Enpoyers Reon al ‘SS.</x:v>
      </x:c>
      <x:c r="G2107" s="48" t="str">
        <x:v>Obligation</x:v>
      </x:c>
      <x:c r="H2107" s="48" t="str">
        <x:v>Shared</x:v>
      </x:c>
      <x:c r="I2107" s="48" t="n">
        <x:v>0.45</x:v>
      </x:c>
      <x:c r="J2107" s="48" t="n">
        <x:v>0.4</x:v>
      </x:c>
      <x:c r="K2107" s="48" t="str">
        <x:v>Yes</x:v>
      </x:c>
      <x:c r="L2107" s="48" t="str">
        <x:v>OCR</x:v>
      </x:c>
    </x:row>
    <x:row r="2108">
      <x:c r="A2108" s="48" t="str">
        <x:v>UNI-2107</x:v>
      </x:c>
      <x:c r="B2108" s="48" t="str">
        <x:v>ORANGE</x:v>
      </x:c>
      <x:c r="C2108" s="48" t="str">
        <x:v>English</x:v>
      </x:c>
      <x:c r="D2108" s="48" t="n">
        <x:v>16</x:v>
      </x:c>
      <x:c r="E2108" s="48" t="str"/>
      <x:c r="F2108" s="48" t="str">
        <x:v>Conlon st bye Boe Da) ese by a expel ‘Shescor roca! atone wig Se-Chane tape Sen (2) any evemion tne wich he Comer ell ander Sub (©) the ana Cote uch coi, hich Sal Be led he oc a ye Conroe cong ‘Aces Hele 412 The Contr le de hve ssid Nm the stably ‘Dively ef ener atthe Came oe Te Conn shal</x:v>
      </x:c>
      <x:c r="G2108" s="48" t="str">
        <x:v>Obligation</x:v>
      </x:c>
      <x:c r="H2108" s="48" t="str">
        <x:v>Shared</x:v>
      </x:c>
      <x:c r="I2108" s="48" t="n">
        <x:v>0.45</x:v>
      </x:c>
      <x:c r="J2108" s="48" t="n">
        <x:v>0.4</x:v>
      </x:c>
      <x:c r="K2108" s="48" t="str">
        <x:v>Yes</x:v>
      </x:c>
      <x:c r="L2108" s="48" t="str">
        <x:v>OCR</x:v>
      </x:c>
    </x:row>
    <x:row r="2109">
      <x:c r="A2109" s="48" t="str">
        <x:v>UNI-2108</x:v>
      </x:c>
      <x:c r="B2109" s="48" t="str">
        <x:v>ORANGE</x:v>
      </x:c>
      <x:c r="C2109" s="48" t="str">
        <x:v>English</x:v>
      </x:c>
      <x:c r="D2109" s="48" t="n">
        <x:v>16</x:v>
      </x:c>
      <x:c r="E2109" s="48" t="str"/>
      <x:c r="F2109" s="48" t="str">
        <x:v>Semur nis ay sge Soe oh be oy caer</x:v>
      </x:c>
      <x:c r="G2109" s="48" t="str">
        <x:v>Obligation</x:v>
      </x:c>
      <x:c r="H2109" s="48" t="str">
        <x:v>Shared</x:v>
      </x:c>
      <x:c r="I2109" s="48" t="n">
        <x:v>0.45</x:v>
      </x:c>
      <x:c r="J2109" s="48" t="n">
        <x:v>0.4</x:v>
      </x:c>
      <x:c r="K2109" s="48" t="str">
        <x:v>Yes</x:v>
      </x:c>
      <x:c r="L2109" s="48" t="str">
        <x:v>OCR</x:v>
      </x:c>
    </x:row>
    <x:row r="2110">
      <x:c r="A2110" s="48" t="str">
        <x:v>UNI-2109</x:v>
      </x:c>
      <x:c r="B2110" s="48" t="str">
        <x:v>ORANGE</x:v>
      </x:c>
      <x:c r="C2110" s="48" t="str">
        <x:v>English</x:v>
      </x:c>
      <x:c r="D2110" s="48" t="n">
        <x:v>16</x:v>
      </x:c>
      <x:c r="E2110" s="48" t="str"/>
      <x:c r="F2110" s="48" t="str">
        <x:v>‘cry fhe ae ot at, ear snd der Toe Coa ‘Sean my poms at ay be eed fom ea arts re ‘Seer ars td cons,</x:v>
      </x:c>
      <x:c r="G2110" s="48" t="str">
        <x:v>Obligation</x:v>
      </x:c>
      <x:c r="H2110" s="48" t="str">
        <x:v>Shared</x:v>
      </x:c>
      <x:c r="I2110" s="48" t="n">
        <x:v>0.45</x:v>
      </x:c>
      <x:c r="J2110" s="48" t="n">
        <x:v>0.4</x:v>
      </x:c>
      <x:c r="K2110" s="48" t="str">
        <x:v>Yes</x:v>
      </x:c>
      <x:c r="L2110" s="48" t="str">
        <x:v>OCR</x:v>
      </x:c>
    </x:row>
    <x:row r="2111">
      <x:c r="A2111" s="48" t="str">
        <x:v>UNI-2110</x:v>
      </x:c>
      <x:c r="B2111" s="48" t="str">
        <x:v>ORANGE</x:v>
      </x:c>
      <x:c r="C2111" s="48" t="str">
        <x:v>English</x:v>
      </x:c>
      <x:c r="D2111" s="48" t="n">
        <x:v>17</x:v>
      </x:c>
      <x:c r="E2111" s="48" t="str"/>
      <x:c r="F2111" s="48" t="str">
        <x:v>“The Emporia eens ray am which may are fhe (Sow shrvnof ny acter The Epo et grr th ‘Siti ray oy pt ae ote a i eer igh Way nd 413 Te Comer hl et acon and are peal rtp Pace: Gayman im racer nt Sa The Cra al ah</x:v>
      </x:c>
      <x:c r="G2111" s="48" t="str">
        <x:v>Right</x:v>
      </x:c>
      <x:c r="H2111" s="48" t="str">
        <x:v>Shared</x:v>
      </x:c>
      <x:c r="I2111" s="48" t="n">
        <x:v>0.78</x:v>
      </x:c>
      <x:c r="J2111" s="48" t="n">
        <x:v>0.4</x:v>
      </x:c>
      <x:c r="K2111" s="48" t="str">
        <x:v>Yes</x:v>
      </x:c>
      <x:c r="L2111" s="48" t="str">
        <x:v>OCR</x:v>
      </x:c>
    </x:row>
    <x:row r="2112">
      <x:c r="A2112" s="48" t="str">
        <x:v>UNI-2111</x:v>
      </x:c>
      <x:c r="B2112" s="48" t="str">
        <x:v>ORANGE</x:v>
      </x:c>
      <x:c r="C2112" s="48" t="str">
        <x:v>English</x:v>
      </x:c>
      <x:c r="D2112" s="48" t="n">
        <x:v>17</x:v>
      </x:c>
      <x:c r="E2112" s="48" t="str"/>
      <x:c r="F2112" s="48" t="str">
        <x:v>SSRIS yl ies oa Spy re</x:v>
      </x:c>
      <x:c r="G2112" s="48" t="str">
        <x:v>Obligation</x:v>
      </x:c>
      <x:c r="H2112" s="48" t="str">
        <x:v>Shared</x:v>
      </x:c>
      <x:c r="I2112" s="48" t="n">
        <x:v>0.45</x:v>
      </x:c>
      <x:c r="J2112" s="48" t="n">
        <x:v>0.4</x:v>
      </x:c>
      <x:c r="K2112" s="48" t="str">
        <x:v>Yes</x:v>
      </x:c>
      <x:c r="L2112" s="48" t="str">
        <x:v>OCR</x:v>
      </x:c>
    </x:row>
    <x:row r="2113">
      <x:c r="A2113" s="48" t="str">
        <x:v>UNI-2112</x:v>
      </x:c>
      <x:c r="B2113" s="48" t="str">
        <x:v>ORANGE</x:v>
      </x:c>
      <x:c r="C2113" s="48" t="str">
        <x:v>English</x:v>
      </x:c>
      <x:c r="D2113" s="48" t="n">
        <x:v>17</x:v>
      </x:c>
      <x:c r="E2113" s="48" t="str"/>
      <x:c r="F2113" s="48" t="str">
        <x:v>Progam 414 The Contacte sl stmt» pone he noe Reese, 1 manip tad Apt Re Te [Gcoding each stage of Sgn, pte. mart no</x:v>
      </x:c>
      <x:c r="G2113" s="48" t="str">
        <x:v>Obligation</x:v>
      </x:c>
      <x:c r="H2113" s="48" t="str">
        <x:v>Shared</x:v>
      </x:c>
      <x:c r="I2113" s="48" t="n">
        <x:v>0.45</x:v>
      </x:c>
      <x:c r="J2113" s="48" t="n">
        <x:v>0.4</x:v>
      </x:c>
      <x:c r="K2113" s="48" t="str">
        <x:v>Yes</x:v>
      </x:c>
      <x:c r="L2113" s="48" t="str">
        <x:v>OCR</x:v>
      </x:c>
    </x:row>
    <x:row r="2114">
      <x:c r="A2114" s="48" t="str">
        <x:v>UNI-2113</x:v>
      </x:c>
      <x:c r="B2114" s="48" t="str">
        <x:v>ORANGE</x:v>
      </x:c>
      <x:c r="C2114" s="48" t="str">
        <x:v>English</x:v>
      </x:c>
      <x:c r="D2114" s="48" t="n">
        <x:v>17</x:v>
      </x:c>
      <x:c r="E2114" s="48" t="str"/>
      <x:c r="F2114" s="48" t="str">
        <x:v>Sie cetrviee, encom sigan comment)</x:v>
      </x:c>
      <x:c r="G2114" s="48" t="str">
        <x:v>Obligation</x:v>
      </x:c>
      <x:c r="H2114" s="48" t="str">
        <x:v>Shared</x:v>
      </x:c>
      <x:c r="I2114" s="48" t="n">
        <x:v>0.45</x:v>
      </x:c>
      <x:c r="J2114" s="48" t="n">
        <x:v>0.4</x:v>
      </x:c>
      <x:c r="K2114" s="48" t="str">
        <x:v>Yes</x:v>
      </x:c>
      <x:c r="L2114" s="48" t="str">
        <x:v>OCR</x:v>
      </x:c>
    </x:row>
    <x:row r="2115">
      <x:c r="A2115" s="48" t="str">
        <x:v>UNI-2114</x:v>
      </x:c>
      <x:c r="B2115" s="48" t="str">
        <x:v>ORANGE</x:v>
      </x:c>
      <x:c r="C2115" s="48" t="str">
        <x:v>English</x:v>
      </x:c>
      <x:c r="D2115" s="48" t="n">
        <x:v>17</x:v>
      </x:c>
      <x:c r="E2115" s="48" t="str"/>
      <x:c r="F2115" s="48" t="str">
        <x:v>(© a ree ant ties te nf Cnn (0) te pits rcomn sins vd Sb.</x:v>
      </x:c>
      <x:c r="G2115" s="48" t="str">
        <x:v>Obligation</x:v>
      </x:c>
      <x:c r="H2115" s="48" t="str">
        <x:v>Shared</x:v>
      </x:c>
      <x:c r="I2115" s="48" t="n">
        <x:v>0.45</x:v>
      </x:c>
      <x:c r="J2115" s="48" t="n">
        <x:v>0.4</x:v>
      </x:c>
      <x:c r="K2115" s="48" t="str">
        <x:v>Yes</x:v>
      </x:c>
      <x:c r="L2115" s="48" t="str">
        <x:v>OCR</x:v>
      </x:c>
    </x:row>
    <x:row r="2116">
      <x:c r="A2116" s="48" t="str">
        <x:v>UNI-2115</x:v>
      </x:c>
      <x:c r="B2116" s="48" t="str">
        <x:v>ORANGE</x:v>
      </x:c>
      <x:c r="C2116" s="48" t="str">
        <x:v>English</x:v>
      </x:c>
      <x:c r="D2116" s="48" t="n">
        <x:v>17</x:v>
      </x:c>
      <x:c r="E2116" s="48" t="str"/>
      <x:c r="F2116" s="48" t="str">
        <x:v>5:2 od fit {Sy eraser, appenaandconent ected ie Employers acne (6 esac fa ests pid athe Ca {es tere ste i he Cae he Opa sl be deen sitcoms en se Sw se Sa “he Contr al wwe red ye Engine Rees eva mary, afoman gee Sueno he seg ict Se cea papas ar re cae ‘tle made want neat Engler open pope ft rs dot eo openness ena my enrothe Conan ee pene</x:v>
      </x:c>
      <x:c r="G2116" s="48" t="str">
        <x:v>Obligation</x:v>
      </x:c>
      <x:c r="H2116" s="48" t="str">
        <x:v>Shared</x:v>
      </x:c>
      <x:c r="I2116" s="48" t="n">
        <x:v>0.45</x:v>
      </x:c>
      <x:c r="J2116" s="48" t="n">
        <x:v>0.4</x:v>
      </x:c>
      <x:c r="K2116" s="48" t="str">
        <x:v>Yes</x:v>
      </x:c>
      <x:c r="L2116" s="48" t="str">
        <x:v>OCR</x:v>
      </x:c>
    </x:row>
    <x:row r="2117">
      <x:c r="A2117" s="48" t="str">
        <x:v>UNI-2116</x:v>
      </x:c>
      <x:c r="B2117" s="48" t="str">
        <x:v>ORANGE</x:v>
      </x:c>
      <x:c r="C2117" s="48" t="str">
        <x:v>English</x:v>
      </x:c>
      <x:c r="D2117" s="48" t="n">
        <x:v>17</x:v>
      </x:c>
      <x:c r="E2117" s="48" t="str"/>
      <x:c r="F2117" s="48" t="str">
        <x:v>Grcetbetes ereray w edore ents SO Fo</x:v>
      </x:c>
      <x:c r="G2117" s="48" t="str">
        <x:v>Obligation</x:v>
      </x:c>
      <x:c r="H2117" s="48" t="str">
        <x:v>Shared</x:v>
      </x:c>
      <x:c r="I2117" s="48" t="n">
        <x:v>0.45</x:v>
      </x:c>
      <x:c r="J2117" s="48" t="n">
        <x:v>0.4</x:v>
      </x:c>
      <x:c r="K2117" s="48" t="str">
        <x:v>Yes</x:v>
      </x:c>
      <x:c r="L2117" s="48" t="str">
        <x:v>OCR</x:v>
      </x:c>
    </x:row>
    <x:row r="2118">
      <x:c r="A2118" s="48" t="str">
        <x:v>UNI-2117</x:v>
      </x:c>
      <x:c r="B2118" s="48" t="str">
        <x:v>ORANGE</x:v>
      </x:c>
      <x:c r="C2118" s="48" t="str">
        <x:v>English</x:v>
      </x:c>
      <x:c r="D2118" s="48" t="n">
        <x:v>17</x:v>
      </x:c>
      <x:c r="E2118" s="48" t="str"/>
      <x:c r="F2118" s="48" t="str">
        <x:v>poms rege Reps 448 ou oes psa a 8 Concer a abt</x:v>
      </x:c>
      <x:c r="G2118" s="48" t="str">
        <x:v>Obligation</x:v>
      </x:c>
      <x:c r="H2118" s="48" t="str">
        <x:v>Shared</x:v>
      </x:c>
      <x:c r="I2118" s="48" t="n">
        <x:v>0.45</x:v>
      </x:c>
      <x:c r="J2118" s="48" t="n">
        <x:v>0.4</x:v>
      </x:c>
      <x:c r="K2118" s="48" t="str">
        <x:v>Yes</x:v>
      </x:c>
      <x:c r="L2118" s="48" t="str">
        <x:v>OCR</x:v>
      </x:c>
    </x:row>
    <x:row r="2119">
      <x:c r="A2119" s="48" t="str">
        <x:v>UNI-2118</x:v>
      </x:c>
      <x:c r="B2119" s="48" t="str">
        <x:v>ORANGE</x:v>
      </x:c>
      <x:c r="C2119" s="48" t="str">
        <x:v>English</x:v>
      </x:c>
      <x:c r="D2119" s="48" t="n">
        <x:v>17</x:v>
      </x:c>
      <x:c r="E2119" s="48" t="str">
        <x:v>1</x:v>
      </x:c>
      <x:c r="F2119" s="48" t="str">
        <x:v>1 Empyers Repesete a eps Th it pe al oe te</x:v>
      </x:c>
      <x:c r="G2119" s="48" t="str">
        <x:v>Heading</x:v>
      </x:c>
      <x:c r="H2119" s="48" t="str"/>
      <x:c r="I2119" s="48" t="n">
        <x:v>0.9</x:v>
      </x:c>
      <x:c r="J2119" s="48" t="n">
        <x:v>0.99</x:v>
      </x:c>
      <x:c r="K2119" s="48" t="str">
        <x:v>No</x:v>
      </x:c>
      <x:c r="L2119" s="48" t="str">
        <x:v>OCR</x:v>
      </x:c>
    </x:row>
    <x:row r="2120">
      <x:c r="A2120" s="48" t="str">
        <x:v>UNI-2119</x:v>
      </x:c>
      <x:c r="B2120" s="48" t="str">
        <x:v>ORANGE</x:v>
      </x:c>
      <x:c r="C2120" s="48" t="str">
        <x:v>English</x:v>
      </x:c>
      <x:c r="D2120" s="48" t="n">
        <x:v>17</x:v>
      </x:c>
      <x:c r="E2120" s="48" t="str"/>
      <x:c r="F2120" s="48" t="str">
        <x:v>Pil op tot ed ee kn beh afer in wach</x:v>
      </x:c>
      <x:c r="G2120" s="48" t="str">
        <x:v>Obligation</x:v>
      </x:c>
      <x:c r="H2120" s="48" t="str">
        <x:v>Shared</x:v>
      </x:c>
      <x:c r="I2120" s="48" t="n">
        <x:v>0.45</x:v>
      </x:c>
      <x:c r="J2120" s="48" t="n">
        <x:v>0.4</x:v>
      </x:c>
      <x:c r="K2120" s="48" t="str">
        <x:v>Yes</x:v>
      </x:c>
      <x:c r="L2120" s="48" t="str">
        <x:v>OCR</x:v>
      </x:c>
    </x:row>
    <x:row r="2121">
      <x:c r="A2121" s="48" t="str">
        <x:v>UNI-2120</x:v>
      </x:c>
      <x:c r="B2121" s="48" t="str">
        <x:v>ORANGE</x:v>
      </x:c>
      <x:c r="C2121" s="48" t="str">
        <x:v>English</x:v>
      </x:c>
      <x:c r="D2121" s="48" t="n">
        <x:v>17</x:v>
      </x:c>
      <x:c r="E2121" s="48" t="str"/>
      <x:c r="F2121" s="48" t="str">
        <x:v>Extn ba cree wl mnt hese</x:v>
      </x:c>
      <x:c r="G2121" s="48" t="str">
        <x:v>Obligation</x:v>
      </x:c>
      <x:c r="H2121" s="48" t="str">
        <x:v>Shared</x:v>
      </x:c>
      <x:c r="I2121" s="48" t="n">
        <x:v>0.45</x:v>
      </x:c>
      <x:c r="J2121" s="48" t="n">
        <x:v>0.4</x:v>
      </x:c>
      <x:c r="K2121" s="48" t="str">
        <x:v>Yes</x:v>
      </x:c>
      <x:c r="L2121" s="48" t="str">
        <x:v>OCR</x:v>
      </x:c>
    </x:row>
    <x:row r="2122">
      <x:c r="A2122" s="48" t="str">
        <x:v>UNI-2121</x:v>
      </x:c>
      <x:c r="B2122" s="48" t="str">
        <x:v>ORANGE</x:v>
      </x:c>
      <x:c r="C2122" s="48" t="str">
        <x:v>English</x:v>
      </x:c>
      <x:c r="D2122" s="48" t="n">
        <x:v>17</x:v>
      </x:c>
      <x:c r="E2122" s="48" t="str"/>
      <x:c r="F2122" s="48" t="str">
        <x:v>Scheie trad ote pated eaten nan Rap</x:v>
      </x:c>
      <x:c r="G2122" s="48" t="str">
        <x:v>Obligation</x:v>
      </x:c>
      <x:c r="H2122" s="48" t="str">
        <x:v>Shared</x:v>
      </x:c>
      <x:c r="I2122" s="48" t="n">
        <x:v>0.45</x:v>
      </x:c>
      <x:c r="J2122" s="48" t="n">
        <x:v>0.4</x:v>
      </x:c>
      <x:c r="K2122" s="48" t="str">
        <x:v>Yes</x:v>
      </x:c>
      <x:c r="L2122" s="48" t="str">
        <x:v>OCR</x:v>
      </x:c>
    </x:row>
    <x:row r="2123">
      <x:c r="A2123" s="48" t="str">
        <x:v>UNI-2122</x:v>
      </x:c>
      <x:c r="B2123" s="48" t="str">
        <x:v>ORANGE</x:v>
      </x:c>
      <x:c r="C2123" s="48" t="str">
        <x:v>English</x:v>
      </x:c>
      <x:c r="D2123" s="48" t="n">
        <x:v>17</x:v>
      </x:c>
      <x:c r="E2123" s="48" t="str"/>
      <x:c r="F2123" s="48" t="str">
        <x:v>‘Satu ne Comte oie ro ic se ‘Statute we compan ane nd ae ag Ont Cio</x:v>
      </x:c>
      <x:c r="G2123" s="48" t="str">
        <x:v>Obligation</x:v>
      </x:c>
      <x:c r="H2123" s="48" t="str">
        <x:v>Shared</x:v>
      </x:c>
      <x:c r="I2123" s="48" t="n">
        <x:v>0.45</x:v>
      </x:c>
      <x:c r="J2123" s="48" t="n">
        <x:v>0.4</x:v>
      </x:c>
      <x:c r="K2123" s="48" t="str">
        <x:v>Yes</x:v>
      </x:c>
      <x:c r="L2123" s="48" t="str">
        <x:v>OCR</x:v>
      </x:c>
    </x:row>
    <x:row r="2124">
      <x:c r="A2124" s="48" t="str">
        <x:v>UNI-2123</x:v>
      </x:c>
      <x:c r="B2124" s="48" t="str">
        <x:v>ORANGE</x:v>
      </x:c>
      <x:c r="C2124" s="48" t="str">
        <x:v>English</x:v>
      </x:c>
      <x:c r="D2124" s="48" t="n">
        <x:v>17</x:v>
      </x:c>
      <x:c r="E2124" s="48" t="str"/>
      <x:c r="F2124" s="48" t="str">
        <x:v>Scottie ep ie</x:v>
      </x:c>
      <x:c r="G2124" s="48" t="str">
        <x:v>Obligation</x:v>
      </x:c>
      <x:c r="H2124" s="48" t="str">
        <x:v>Shared</x:v>
      </x:c>
      <x:c r="I2124" s="48" t="n">
        <x:v>0.45</x:v>
      </x:c>
      <x:c r="J2124" s="48" t="n">
        <x:v>0.4</x:v>
      </x:c>
      <x:c r="K2124" s="48" t="str">
        <x:v>Yes</x:v>
      </x:c>
      <x:c r="L2124" s="48" t="str">
        <x:v>OCR</x:v>
      </x:c>
    </x:row>
    <x:row r="2125">
      <x:c r="A2125" s="48" t="str">
        <x:v>UNI-2124</x:v>
      </x:c>
      <x:c r="B2125" s="48" t="str">
        <x:v>ORANGE</x:v>
      </x:c>
      <x:c r="C2125" s="48" t="str">
        <x:v>English</x:v>
      </x:c>
      <x:c r="D2125" s="48" t="n">
        <x:v>17</x:v>
      </x:c>
      <x:c r="E2125" s="48" t="str"/>
      <x:c r="F2125" s="48" t="str">
        <x:v>(2) pepe aac ern pes mang apt (Eogh prcccner mancace oe Sue cmt ‘sehen oom ©» sash hf Ces Des con (6) forte mint of ch mai en Para Nee. be nae</x:v>
      </x:c>
      <x:c r="G2125" s="48" t="str">
        <x:v>Obligation</x:v>
      </x:c>
      <x:c r="H2125" s="48" t="str">
        <x:v>Shared</x:v>
      </x:c>
      <x:c r="I2125" s="48" t="n">
        <x:v>0.45</x:v>
      </x:c>
      <x:c r="J2125" s="48" t="n">
        <x:v>0.4</x:v>
      </x:c>
      <x:c r="K2125" s="48" t="str">
        <x:v>Yes</x:v>
      </x:c>
      <x:c r="L2125" s="48" t="str">
        <x:v>OCR</x:v>
      </x:c>
    </x:row>
    <x:row r="2126">
      <x:c r="A2126" s="48" t="str">
        <x:v>UNI-2125</x:v>
      </x:c>
      <x:c r="B2126" s="48" t="str">
        <x:v>ORANGE</x:v>
      </x:c>
      <x:c r="C2126" s="48" t="str">
        <x:v>English</x:v>
      </x:c>
      <x:c r="D2126" s="48" t="n">
        <x:v>18</x:v>
      </x:c>
      <x:c r="E2126" s="48" t="str"/>
      <x:c r="F2126" s="48" t="str">
        <x:v>(4) scot fpr! nd Corr’ Equipment on Si (0 cals of gay ssurne dcunes,e el a cefes o (0 sty ie aig dei fy can der a en ‘eigenen sec dpb ons nd (© compat ofa and pled progres, wih eae of ay ape ‘Stir ane became scan ith Cra a ‘hermanos han (robe ape none ach ap Caras 416 Unis eri stein Pr Ihe Cnt al pve i Cec quiet” Egupnes ces compte th Wer.</x:v>
      </x:c>
      <x:c r="G2126" s="48" t="str">
        <x:v>Obligation</x:v>
      </x:c>
      <x:c r="H2126" s="48" t="str">
        <x:v>Shared</x:v>
      </x:c>
      <x:c r="I2126" s="48" t="n">
        <x:v>0.45</x:v>
      </x:c>
      <x:c r="J2126" s="48" t="n">
        <x:v>0.4</x:v>
      </x:c>
      <x:c r="K2126" s="48" t="str">
        <x:v>Yes</x:v>
      </x:c>
      <x:c r="L2126" s="48" t="str">
        <x:v>OCR</x:v>
      </x:c>
    </x:row>
    <x:row r="2127">
      <x:c r="A2127" s="48" t="str">
        <x:v>UNI-2126</x:v>
      </x:c>
      <x:c r="B2127" s="48" t="str">
        <x:v>ORANGE</x:v>
      </x:c>
      <x:c r="C2127" s="48" t="str">
        <x:v>English</x:v>
      </x:c>
      <x:c r="D2127" s="48" t="n">
        <x:v>18</x:v>
      </x:c>
      <x:c r="E2127" s="48" t="str"/>
      <x:c r="F2127" s="48" t="str">
        <x:v>Al Crna s Eqn shal. ‘wee iongt oh tt dvb eciely ier or ‘CoametersEgupmen watt comer fe Empl Reps ‘SaeyPrecaaion 417 The Cont alcompy ith ppcae sy plain hs een xtseanpne epee Un rs Pat be Ene pve (2 fein. ating nding ad hig of he Wess 1 etic acannon a pane oer andor et</x:v>
      </x:c>
      <x:c r="G2127" s="48" t="str">
        <x:v>Obligation</x:v>
      </x:c>
      <x:c r="H2127" s="48" t="str">
        <x:v>Shared</x:v>
      </x:c>
      <x:c r="I2127" s="48" t="n">
        <x:v>0.45</x:v>
      </x:c>
      <x:c r="J2127" s="48" t="n">
        <x:v>0.4</x:v>
      </x:c>
      <x:c r="K2127" s="48" t="str">
        <x:v>Yes</x:v>
      </x:c>
      <x:c r="L2127" s="48" t="str">
        <x:v>OCR</x:v>
      </x:c>
    </x:row>
    <x:row r="2128">
      <x:c r="A2128" s="48" t="str">
        <x:v>UNI-2127</x:v>
      </x:c>
      <x:c r="B2128" s="48" t="str">
        <x:v>ORANGE</x:v>
      </x:c>
      <x:c r="C2128" s="48" t="str">
        <x:v>English</x:v>
      </x:c>
      <x:c r="D2128" s="48" t="n">
        <x:v>18</x:v>
      </x:c>
      <x:c r="E2128" s="48" t="str"/>
      <x:c r="F2128" s="48" t="str">
        <x:v>Tan teat wh</x:v>
      </x:c>
      <x:c r="G2128" s="48" t="str">
        <x:v>Obligation</x:v>
      </x:c>
      <x:c r="H2128" s="48" t="str">
        <x:v>Shared</x:v>
      </x:c>
      <x:c r="I2128" s="48" t="n">
        <x:v>0.45</x:v>
      </x:c>
      <x:c r="J2128" s="48" t="n">
        <x:v>0.4</x:v>
      </x:c>
      <x:c r="K2128" s="48" t="str">
        <x:v>Yes</x:v>
      </x:c>
      <x:c r="L2128" s="48" t="str">
        <x:v>OCR</x:v>
      </x:c>
    </x:row>
    <x:row r="2129">
      <x:c r="A2129" s="48" t="str">
        <x:v>UNI-2128</x:v>
      </x:c>
      <x:c r="B2129" s="48" t="str">
        <x:v>ORANGE</x:v>
      </x:c>
      <x:c r="C2129" s="48" t="str">
        <x:v>English</x:v>
      </x:c>
      <x:c r="D2129" s="48" t="n">
        <x:v>18</x:v>
      </x:c>
      <x:c r="E2129" s="48" t="str"/>
      <x:c r="F2129" s="48" t="str">
        <x:v>Protein the AK The Conta sae</x:v>
      </x:c>
      <x:c r="G2129" s="48" t="str">
        <x:v>Obligation</x:v>
      </x:c>
      <x:c r="H2129" s="48" t="str">
        <x:v>Shared</x:v>
      </x:c>
      <x:c r="I2129" s="48" t="n">
        <x:v>0.45</x:v>
      </x:c>
      <x:c r="J2129" s="48" t="n">
        <x:v>0.4</x:v>
      </x:c>
      <x:c r="K2129" s="48" t="str">
        <x:v>Yes</x:v>
      </x:c>
      <x:c r="L2129" s="48" t="str">
        <x:v>OCR</x:v>
      </x:c>
    </x:row>
    <x:row r="2130">
      <x:c r="A2130" s="48" t="str">
        <x:v>UNI-2129</x:v>
      </x:c>
      <x:c r="B2130" s="48" t="str">
        <x:v>ORANGE</x:v>
      </x:c>
      <x:c r="C2130" s="48" t="str">
        <x:v>English</x:v>
      </x:c>
      <x:c r="D2130" s="48" t="n">
        <x:v>18</x:v>
      </x:c>
      <x:c r="E2130" s="48" t="str"/>
      <x:c r="F2130" s="48" t="str">
        <x:v>vvoomnt nano at ee ma pr Rey (Coordi ee msn sve chug cle em, ‘he St ring te Comat er ln eced he he ne a</x:v>
      </x:c>
      <x:c r="G2130" s="48" t="str">
        <x:v>Obligation</x:v>
      </x:c>
      <x:c r="H2130" s="48" t="str">
        <x:v>Shared</x:v>
      </x:c>
      <x:c r="I2130" s="48" t="n">
        <x:v>0.45</x:v>
      </x:c>
      <x:c r="J2130" s="48" t="n">
        <x:v>0.4</x:v>
      </x:c>
      <x:c r="K2130" s="48" t="str">
        <x:v>Yes</x:v>
      </x:c>
      <x:c r="L2130" s="48" t="str">
        <x:v>OCR</x:v>
      </x:c>
    </x:row>
    <x:row r="2131">
      <x:c r="A2131" s="48" t="str">
        <x:v>UNI-2130</x:v>
      </x:c>
      <x:c r="B2131" s="48" t="str">
        <x:v>ORANGE</x:v>
      </x:c>
      <x:c r="C2131" s="48" t="str">
        <x:v>English</x:v>
      </x:c>
      <x:c r="D2131" s="48" t="n">
        <x:v>18</x:v>
      </x:c>
      <x:c r="E2131" s="48" t="str"/>
      <x:c r="F2131" s="48" t="str">
        <x:v>Engler Regent a sail cused i aes pei</x:v>
      </x:c>
      <x:c r="G2131" s="48" t="str">
        <x:v>Obligation</x:v>
      </x:c>
      <x:c r="H2131" s="48" t="str">
        <x:v>Shared</x:v>
      </x:c>
      <x:c r="I2131" s="48" t="n">
        <x:v>0.45</x:v>
      </x:c>
      <x:c r="J2131" s="48" t="n">
        <x:v>0.4</x:v>
      </x:c>
      <x:c r="K2131" s="48" t="str">
        <x:v>Yes</x:v>
      </x:c>
      <x:c r="L2131" s="48" t="str">
        <x:v>OCR</x:v>
      </x:c>
    </x:row>
    <x:row r="2132">
      <x:c r="A2132" s="48" t="str">
        <x:v>UNI-2131</x:v>
      </x:c>
      <x:c r="B2132" s="48" t="str">
        <x:v>ORANGE</x:v>
      </x:c>
      <x:c r="C2132" s="48" t="str">
        <x:v>English</x:v>
      </x:c>
      <x:c r="D2132" s="48" t="n">
        <x:v>18</x:v>
      </x:c>
      <x:c r="E2132" s="48" t="str"/>
      <x:c r="F2132" s="48" t="str">
        <x:v>ti Mae 448 The Cas hl aed rhe rn he Wen ck “natin “pe cc sande sericea mae he</x:v>
      </x:c>
      <x:c r="G2132" s="48" t="str">
        <x:v>Obligation</x:v>
      </x:c>
      <x:c r="H2132" s="48" t="str">
        <x:v>Shared</x:v>
      </x:c>
      <x:c r="I2132" s="48" t="n">
        <x:v>0.45</x:v>
      </x:c>
      <x:c r="J2132" s="48" t="n">
        <x:v>0.4</x:v>
      </x:c>
      <x:c r="K2132" s="48" t="str">
        <x:v>Yes</x:v>
      </x:c>
      <x:c r="L2132" s="48" t="str">
        <x:v>OCR</x:v>
      </x:c>
    </x:row>
    <x:row r="2133">
      <x:c r="A2133" s="48" t="str">
        <x:v>UNI-2132</x:v>
      </x:c>
      <x:c r="B2133" s="48" t="str">
        <x:v>ORANGE</x:v>
      </x:c>
      <x:c r="C2133" s="48" t="str">
        <x:v>English</x:v>
      </x:c>
      <x:c r="D2133" s="48" t="n">
        <x:v>18</x:v>
      </x:c>
      <x:c r="E2133" s="48" t="str"/>
      <x:c r="F2133" s="48" t="str">
        <x:v>Sen sch det pn in he Employers Regaine The</x:v>
      </x:c>
      <x:c r="G2133" s="48" t="str">
        <x:v>Obligation</x:v>
      </x:c>
      <x:c r="H2133" s="48" t="str">
        <x:v>Shared</x:v>
      </x:c>
      <x:c r="I2133" s="48" t="n">
        <x:v>0.45</x:v>
      </x:c>
      <x:c r="J2133" s="48" t="n">
        <x:v>0.4</x:v>
      </x:c>
      <x:c r="K2133" s="48" t="str">
        <x:v>Yes</x:v>
      </x:c>
      <x:c r="L2133" s="48" t="str">
        <x:v>OCR</x:v>
      </x:c>
    </x:row>
    <x:row r="2134">
      <x:c r="A2134" s="48" t="str">
        <x:v>UNI-2133</x:v>
      </x:c>
      <x:c r="B2134" s="48" t="str">
        <x:v>ORANGE</x:v>
      </x:c>
      <x:c r="C2134" s="48" t="str">
        <x:v>English</x:v>
      </x:c>
      <x:c r="D2134" s="48" t="n">
        <x:v>18</x:v>
      </x:c>
      <x:c r="E2134" s="48" t="str"/>
      <x:c r="F2134" s="48" t="str">
        <x:v>Courses py te Employer te pues sae be Emp</x:v>
      </x:c>
      <x:c r="G2134" s="48" t="str">
        <x:v>Obligation</x:v>
      </x:c>
      <x:c r="H2134" s="48" t="str">
        <x:v>Employer</x:v>
      </x:c>
      <x:c r="I2134" s="48" t="n">
        <x:v>0.45</x:v>
      </x:c>
      <x:c r="J2134" s="48" t="n">
        <x:v>0.68</x:v>
      </x:c>
      <x:c r="K2134" s="48" t="str">
        <x:v>Yes</x:v>
      </x:c>
      <x:c r="L2134" s="48" t="str">
        <x:v>OCR</x:v>
      </x:c>
    </x:row>
    <x:row r="2135">
      <x:c r="A2135" s="48" t="str">
        <x:v>UNI-2134</x:v>
      </x:c>
      <x:c r="B2135" s="48" t="str">
        <x:v>ORANGE</x:v>
      </x:c>
      <x:c r="C2135" s="48" t="str">
        <x:v>English</x:v>
      </x:c>
      <x:c r="D2135" s="48" t="n">
        <x:v>18</x:v>
      </x:c>
      <x:c r="E2135" s="48" t="str"/>
      <x:c r="F2135" s="48" t="str">
        <x:v>eget Te aie cto ult decminedy he ge ‘Sf sms mage amu ae smo nen</x:v>
      </x:c>
      <x:c r="G2135" s="48" t="str">
        <x:v>Obligation</x:v>
      </x:c>
      <x:c r="H2135" s="48" t="str">
        <x:v>Shared</x:v>
      </x:c>
      <x:c r="I2135" s="48" t="n">
        <x:v>0.45</x:v>
      </x:c>
      <x:c r="J2135" s="48" t="n">
        <x:v>0.4</x:v>
      </x:c>
      <x:c r="K2135" s="48" t="str">
        <x:v>Yes</x:v>
      </x:c>
      <x:c r="L2135" s="48" t="str">
        <x:v>OCR</x:v>
      </x:c>
    </x:row>
    <x:row r="2136">
      <x:c r="A2136" s="48" t="str">
        <x:v>UNI-2135</x:v>
      </x:c>
      <x:c r="B2136" s="48" t="str">
        <x:v>ORANGE</x:v>
      </x:c>
      <x:c r="C2136" s="48" t="str">
        <x:v>English</x:v>
      </x:c>
      <x:c r="D2136" s="48" t="n">
        <x:v>18</x:v>
      </x:c>
      <x:c r="E2136" s="48" t="str"/>
      <x:c r="F2136" s="48" t="str">
        <x:v>Fil Payment Cec The Conor sl tr act pose</x:v>
      </x:c>
      <x:c r="G2136" s="48" t="str">
        <x:v>Obligation</x:v>
      </x:c>
      <x:c r="H2136" s="48" t="str">
        <x:v>Shared</x:v>
      </x:c>
      <x:c r="I2136" s="48" t="n">
        <x:v>0.55</x:v>
      </x:c>
      <x:c r="J2136" s="48" t="n">
        <x:v>0.4</x:v>
      </x:c>
      <x:c r="K2136" s="48" t="str">
        <x:v>Yes</x:v>
      </x:c>
      <x:c r="L2136" s="48" t="str">
        <x:v>OCR</x:v>
      </x:c>
    </x:row>
    <x:row r="2137">
      <x:c r="A2137" s="48" t="str">
        <x:v>UNI-2136</x:v>
      </x:c>
      <x:c r="B2137" s="48" t="str">
        <x:v>ORANGE</x:v>
      </x:c>
      <x:c r="C2137" s="48" t="str">
        <x:v>English</x:v>
      </x:c>
      <x:c r="D2137" s="48" t="n">
        <x:v>18</x:v>
      </x:c>
      <x:c r="E2137" s="48" t="str"/>
      <x:c r="F2137" s="48" t="str">
        <x:v>Sy orponr sro fo sh derma td for Ne wf ie</x:v>
      </x:c>
      <x:c r="G2137" s="48" t="str">
        <x:v>Obligation</x:v>
      </x:c>
      <x:c r="H2137" s="48" t="str">
        <x:v>Shared</x:v>
      </x:c>
      <x:c r="I2137" s="48" t="n">
        <x:v>0.45</x:v>
      </x:c>
      <x:c r="J2137" s="48" t="n">
        <x:v>0.4</x:v>
      </x:c>
      <x:c r="K2137" s="48" t="str">
        <x:v>Yes</x:v>
      </x:c>
      <x:c r="L2137" s="48" t="str">
        <x:v>OCR</x:v>
      </x:c>
    </x:row>
    <x:row r="2138">
      <x:c r="A2138" s="48" t="str">
        <x:v>UNI-2137</x:v>
      </x:c>
      <x:c r="B2138" s="48" t="str">
        <x:v>ORANGE</x:v>
      </x:c>
      <x:c r="C2138" s="48" t="str">
        <x:v>English</x:v>
      </x:c>
      <x:c r="D2138" s="48" t="n">
        <x:v>18</x:v>
      </x:c>
      <x:c r="E2138" s="48" t="str"/>
      <x:c r="F2138" s="48" t="str">
        <x:v>ee step tet ena ea Su 508 np mn pee macy me “ittasyact “Tp ntecascmn can preside Une Ropu Te</x:v>
      </x:c>
      <x:c r="G2138" s="48" t="str">
        <x:v>Obligation</x:v>
      </x:c>
      <x:c r="H2138" s="48" t="str">
        <x:v>Shared</x:v>
      </x:c>
      <x:c r="I2138" s="48" t="n">
        <x:v>0.45</x:v>
      </x:c>
      <x:c r="J2138" s="48" t="n">
        <x:v>0.4</x:v>
      </x:c>
      <x:c r="K2138" s="48" t="str">
        <x:v>Yes</x:v>
      </x:c>
      <x:c r="L2138" s="48" t="str">
        <x:v>OCR</x:v>
      </x:c>
    </x:row>
    <x:row r="2139">
      <x:c r="A2139" s="48" t="str">
        <x:v>UNI-2138</x:v>
      </x:c>
      <x:c r="B2139" s="48" t="str">
        <x:v>ORANGE</x:v>
      </x:c>
      <x:c r="C2139" s="48" t="str">
        <x:v>English</x:v>
      </x:c>
      <x:c r="D2139" s="48" t="n">
        <x:v>18</x:v>
      </x:c>
      <x:c r="E2139" s="48" t="str"/>
      <x:c r="F2139" s="48" t="str">
        <x:v>Scat Per ene apt sey rs</x:v>
      </x:c>
      <x:c r="G2139" s="48" t="str">
        <x:v>Obligation</x:v>
      </x:c>
      <x:c r="H2139" s="48" t="str">
        <x:v>Shared</x:v>
      </x:c>
      <x:c r="I2139" s="48" t="n">
        <x:v>0.45</x:v>
      </x:c>
      <x:c r="J2139" s="48" t="n">
        <x:v>0.4</x:v>
      </x:c>
      <x:c r="K2139" s="48" t="str">
        <x:v>Yes</x:v>
      </x:c>
      <x:c r="L2139" s="48" t="str">
        <x:v>OCR</x:v>
      </x:c>
    </x:row>
    <x:row r="2140">
      <x:c r="A2140" s="48" t="str">
        <x:v>UNI-2139</x:v>
      </x:c>
      <x:c r="B2140" s="48" t="str">
        <x:v>ORANGE</x:v>
      </x:c>
      <x:c r="C2140" s="48" t="str">
        <x:v>English</x:v>
      </x:c>
      <x:c r="D2140" s="48" t="n">
        <x:v>18</x:v>
      </x:c>
      <x:c r="E2140" s="48" t="str"/>
      <x:c r="F2140" s="48" t="str">
        <x:v>‘Seca the ine an pce pido he Coma inom a sty et hy th ei ‘octet ls Ele ani Eyer Resa ny Shrug dat or ef th, ier Epi sal meaty ‘Set ay vgs sree he Cac Cou ‘Se Empty epesenaine ape) sal cary st th eta ‘SEdtin her tn pecs choy a marl al come ier the ce, ety tn Cowl of he CnmcarThe Com ‘hpi operon. ce, ou an ena hall eve Be</x:v>
      </x:c>
      <x:c r="G2140" s="48" t="str">
        <x:v>Obligation</x:v>
      </x:c>
      <x:c r="H2140" s="48" t="str">
        <x:v>Shared</x:v>
      </x:c>
      <x:c r="I2140" s="48" t="n">
        <x:v>0.45</x:v>
      </x:c>
      <x:c r="J2140" s="48" t="n">
        <x:v>0.4</x:v>
      </x:c>
      <x:c r="K2140" s="48" t="str">
        <x:v>Yes</x:v>
      </x:c>
      <x:c r="L2140" s="48" t="str">
        <x:v>OCR</x:v>
      </x:c>
    </x:row>
    <x:row r="2141">
      <x:c r="A2141" s="48" t="str">
        <x:v>UNI-2140</x:v>
      </x:c>
      <x:c r="B2141" s="48" t="str">
        <x:v>ORANGE</x:v>
      </x:c>
      <x:c r="C2141" s="48" t="str">
        <x:v>English</x:v>
      </x:c>
      <x:c r="D2141" s="48" t="n">
        <x:v>18</x:v>
      </x:c>
      <x:c r="E2141" s="48" t="str"/>
      <x:c r="F2141" s="48" t="str">
        <x:v>Erle ob oy sane rae a</x:v>
      </x:c>
      <x:c r="G2141" s="48" t="str">
        <x:v>Obligation</x:v>
      </x:c>
      <x:c r="H2141" s="48" t="str">
        <x:v>Shared</x:v>
      </x:c>
      <x:c r="I2141" s="48" t="n">
        <x:v>0.45</x:v>
      </x:c>
      <x:c r="J2141" s="48" t="n">
        <x:v>0.4</x:v>
      </x:c>
      <x:c r="K2141" s="48" t="str">
        <x:v>Yes</x:v>
      </x:c>
      <x:c r="L2141" s="48" t="str">
        <x:v>OCR</x:v>
      </x:c>
    </x:row>
    <x:row r="2142">
      <x:c r="A2142" s="48" t="str">
        <x:v>UNI-2141</x:v>
      </x:c>
      <x:c r="B2142" s="48" t="str">
        <x:v>ORANGE</x:v>
      </x:c>
      <x:c r="C2142" s="48" t="str">
        <x:v>English</x:v>
      </x:c>
      <x:c r="D2142" s="48" t="n">
        <x:v>19</x:v>
      </x:c>
      <x:c r="E2142" s="48" t="str"/>
      <x:c r="F2142" s="48" t="str">
        <x:v>‘he ngloe so east pee tens machinery andes</x:v>
      </x:c>
      <x:c r="G2142" s="48" t="str">
        <x:v>Obligation</x:v>
      </x:c>
      <x:c r="H2142" s="48" t="str">
        <x:v>Shared</x:v>
      </x:c>
      <x:c r="I2142" s="48" t="n">
        <x:v>0.45</x:v>
      </x:c>
      <x:c r="J2142" s="48" t="n">
        <x:v>0.4</x:v>
      </x:c>
      <x:c r="K2142" s="48" t="str">
        <x:v>Yes</x:v>
      </x:c>
      <x:c r="L2142" s="48" t="str">
        <x:v>OCR</x:v>
      </x:c>
    </x:row>
    <x:row r="2143">
      <x:c r="A2143" s="48" t="str">
        <x:v>UNI-2142</x:v>
      </x:c>
      <x:c r="B2143" s="48" t="str">
        <x:v>ORANGE</x:v>
      </x:c>
      <x:c r="C2143" s="48" t="str">
        <x:v>English</x:v>
      </x:c>
      <x:c r="D2143" s="48" t="n">
        <x:v>19</x:v>
      </x:c>
      <x:c r="E2143" s="48" t="str"/>
      <x:c r="F2143" s="48" t="str">
        <x:v>SNccrdne wi te det srugemes a care gen Ie</x:v>
      </x:c>
      <x:c r="G2143" s="48" t="str">
        <x:v>Obligation</x:v>
      </x:c>
      <x:c r="H2143" s="48" t="str">
        <x:v>Shared</x:v>
      </x:c>
      <x:c r="I2143" s="48" t="n">
        <x:v>0.45</x:v>
      </x:c>
      <x:c r="J2143" s="48" t="n">
        <x:v>0.4</x:v>
      </x:c>
      <x:c r="K2143" s="48" t="str">
        <x:v>Yes</x:v>
      </x:c>
      <x:c r="L2143" s="48" t="str">
        <x:v>OCR</x:v>
      </x:c>
    </x:row>
    <x:row r="2144">
      <x:c r="A2144" s="48" t="str">
        <x:v>UNI-2143</x:v>
      </x:c>
      <x:c r="B2144" s="48" t="str">
        <x:v>ORANGE</x:v>
      </x:c>
      <x:c r="C2144" s="48" t="str">
        <x:v>English</x:v>
      </x:c>
      <x:c r="D2144" s="48" t="n">
        <x:v>19</x:v>
      </x:c>
      <x:c r="E2144" s="48" t="str"/>
      <x:c r="F2144" s="48" t="str">
        <x:v>Engi egrets he Cette pet es Be</x:v>
      </x:c>
      <x:c r="G2144" s="48" t="str">
        <x:v>Obligation</x:v>
      </x:c>
      <x:c r="H2144" s="48" t="str">
        <x:v>Shared</x:v>
      </x:c>
      <x:c r="I2144" s="48" t="n">
        <x:v>0.45</x:v>
      </x:c>
      <x:c r="J2144" s="48" t="n">
        <x:v>0.4</x:v>
      </x:c>
      <x:c r="K2144" s="48" t="str">
        <x:v>Yes</x:v>
      </x:c>
      <x:c r="L2144" s="48" t="str">
        <x:v>OCR</x:v>
      </x:c>
    </x:row>
    <x:row r="2145">
      <x:c r="A2145" s="48" t="str">
        <x:v>UNI-2144</x:v>
      </x:c>
      <x:c r="B2145" s="48" t="str">
        <x:v>ORANGE</x:v>
      </x:c>
      <x:c r="C2145" s="48" t="str">
        <x:v>English</x:v>
      </x:c>
      <x:c r="D2145" s="48" t="n">
        <x:v>19</x:v>
      </x:c>
      <x:c r="E2145" s="48" t="str"/>
      <x:c r="F2145" s="48" t="str">
        <x:v>Se SS Ee</x:v>
      </x:c>
      <x:c r="G2145" s="48" t="str">
        <x:v>Obligation</x:v>
      </x:c>
      <x:c r="H2145" s="48" t="str">
        <x:v>Shared</x:v>
      </x:c>
      <x:c r="I2145" s="48" t="n">
        <x:v>0.45</x:v>
      </x:c>
      <x:c r="J2145" s="48" t="n">
        <x:v>0.4</x:v>
      </x:c>
      <x:c r="K2145" s="48" t="str">
        <x:v>Yes</x:v>
      </x:c>
      <x:c r="L2145" s="48" t="str">
        <x:v>OCR</x:v>
      </x:c>
    </x:row>
    <x:row r="2146">
      <x:c r="A2146" s="48" t="str">
        <x:v>UNI-2145</x:v>
      </x:c>
      <x:c r="B2146" s="48" t="str">
        <x:v>ORANGE</x:v>
      </x:c>
      <x:c r="C2146" s="48" t="str">
        <x:v>English</x:v>
      </x:c>
      <x:c r="D2146" s="48" t="n">
        <x:v>19</x:v>
      </x:c>
      <x:c r="E2146" s="48" t="str"/>
      <x:c r="F2146" s="48" t="str">
        <x:v>loi sacha cons In a Fal apn Charme of Ste 421 During erste Werks th Coma Sa ep he Si ee om Sen ee a ‘i ‘obs and Tenor Wor The Cosco shal ae ch pao he ee ‘tee wns ns can ants onthe atsaom a be Epes eps Fach be Coro shal te nies wean on Si,</x:v>
      </x:c>
      <x:c r="G2146" s="48" t="str">
        <x:v>Obligation</x:v>
      </x:c>
      <x:c r="H2146" s="48" t="str">
        <x:v>Shared</x:v>
      </x:c>
      <x:c r="I2146" s="48" t="n">
        <x:v>0.45</x:v>
      </x:c>
      <x:c r="J2146" s="48" t="n">
        <x:v>0.4</x:v>
      </x:c>
      <x:c r="K2146" s="48" t="str">
        <x:v>Yes</x:v>
      </x:c>
      <x:c r="L2146" s="48" t="str">
        <x:v>OCR</x:v>
      </x:c>
    </x:row>
    <x:row r="2147">
      <x:c r="A2147" s="48" t="str">
        <x:v>UNI-2146</x:v>
      </x:c>
      <x:c r="B2147" s="48" t="str">
        <x:v>ORANGE</x:v>
      </x:c>
      <x:c r="C2147" s="48" t="str">
        <x:v>English</x:v>
      </x:c>
      <x:c r="D2147" s="48" t="n">
        <x:v>19</x:v>
      </x:c>
      <x:c r="E2147" s="48" t="str"/>
      <x:c r="F2147" s="48" t="str">
        <x:v>Sinceapy of Cnn Pood ah Cette gupta</x:v>
      </x:c>
      <x:c r="G2147" s="48" t="str">
        <x:v>Obligation</x:v>
      </x:c>
      <x:c r="H2147" s="48" t="str">
        <x:v>Shared</x:v>
      </x:c>
      <x:c r="I2147" s="48" t="n">
        <x:v>0.45</x:v>
      </x:c>
      <x:c r="J2147" s="48" t="n">
        <x:v>0.4</x:v>
      </x:c>
      <x:c r="K2147" s="48" t="str">
        <x:v>Yes</x:v>
      </x:c>
      <x:c r="L2147" s="48" t="str">
        <x:v>OCR</x:v>
      </x:c>
    </x:row>
    <x:row r="2148">
      <x:c r="A2148" s="48" t="str">
        <x:v>UNI-2147</x:v>
      </x:c>
      <x:c r="B2148" s="48" t="str">
        <x:v>ORANGE</x:v>
      </x:c>
      <x:c r="C2148" s="48" t="str">
        <x:v>English</x:v>
      </x:c>
      <x:c r="D2148" s="48" t="n">
        <x:v>19</x:v>
      </x:c>
      <x:c r="E2148" s="48" t="str"/>
      <x:c r="F2148" s="48" t="str">
        <x:v>‘Sa'Tenory Wess a eae By hi ff pry fating bs aon wr be Conese te Coacr ais remove by 28 dys fer sa ote Performance</x:v>
      </x:c>
      <x:c r="G2148" s="48" t="str">
        <x:v>Obligation</x:v>
      </x:c>
      <x:c r="H2148" s="48" t="str">
        <x:v>Shared</x:v>
      </x:c>
      <x:c r="I2148" s="48" t="n">
        <x:v>0.45</x:v>
      </x:c>
      <x:c r="J2148" s="48" t="n">
        <x:v>0.4</x:v>
      </x:c>
      <x:c r="K2148" s="48" t="str">
        <x:v>Yes</x:v>
      </x:c>
      <x:c r="L2148" s="48" t="str">
        <x:v>OCR</x:v>
      </x:c>
    </x:row>
    <x:row r="2149">
      <x:c r="A2149" s="48" t="str">
        <x:v>UNI-2148</x:v>
      </x:c>
      <x:c r="B2149" s="48" t="str">
        <x:v>ORANGE</x:v>
      </x:c>
      <x:c r="C2149" s="48" t="str">
        <x:v>English</x:v>
      </x:c>
      <x:c r="D2149" s="48" t="n">
        <x:v>19</x:v>
      </x:c>
      <x:c r="E2149" s="48" t="str"/>
      <x:c r="F2149" s="48" t="str">
        <x:v>Can av oman Cas Eunmet pata eka,</x:v>
      </x:c>
      <x:c r="G2149" s="48" t="str">
        <x:v>Obligation</x:v>
      </x:c>
      <x:c r="H2149" s="48" t="str">
        <x:v>Shared</x:v>
      </x:c>
      <x:c r="I2149" s="48" t="n">
        <x:v>0.45</x:v>
      </x:c>
      <x:c r="J2149" s="48" t="n">
        <x:v>0.4</x:v>
      </x:c>
      <x:c r="K2149" s="48" t="str">
        <x:v>Yes</x:v>
      </x:c>
      <x:c r="L2149" s="48" t="str">
        <x:v>OCR</x:v>
      </x:c>
    </x:row>
    <x:row r="2150">
      <x:c r="A2150" s="48" t="str">
        <x:v>UNI-2149</x:v>
      </x:c>
      <x:c r="B2150" s="48" t="str">
        <x:v>ORANGE</x:v>
      </x:c>
      <x:c r="C2150" s="48" t="str">
        <x:v>English</x:v>
      </x:c>
      <x:c r="D2150" s="48" t="n">
        <x:v>19</x:v>
      </x:c>
      <x:c r="E2150" s="48" t="str"/>
      <x:c r="F2150" s="48" t="str">
        <x:v>‘Sut Rempory Wek he Empey sor hersa pneo ‘Soins Th Ener lr ened afte precede fs ‘Shreve eet he conn ced ncn she lo ‘Soran ing eS Any ae fe pce shal be yids ‘So'Guncne We ees of le ec</x:v>
      </x:c>
      <x:c r="G2150" s="48" t="str">
        <x:v>Obligation</x:v>
      </x:c>
      <x:c r="H2150" s="48" t="str">
        <x:v>Shared</x:v>
      </x:c>
      <x:c r="I2150" s="48" t="n">
        <x:v>0.45</x:v>
      </x:c>
      <x:c r="J2150" s="48" t="n">
        <x:v>0.4</x:v>
      </x:c>
      <x:c r="K2150" s="48" t="str">
        <x:v>Yes</x:v>
      </x:c>
      <x:c r="L2150" s="48" t="str">
        <x:v>OCR</x:v>
      </x:c>
    </x:row>
    <x:row r="2151">
      <x:c r="A2151" s="48" t="str">
        <x:v>UNI-2150</x:v>
      </x:c>
      <x:c r="B2151" s="48" t="str">
        <x:v>ORANGE</x:v>
      </x:c>
      <x:c r="C2151" s="48" t="str">
        <x:v>English</x:v>
      </x:c>
      <x:c r="D2151" s="48" t="n">
        <x:v>19</x:v>
      </x:c>
      <x:c r="E2151" s="48" t="str"/>
      <x:c r="F2151" s="48" t="str">
        <x:v>Employers coat he Sasoang hace sal te mene othe</x:v>
      </x:c>
      <x:c r="G2151" s="48" t="str">
        <x:v>Obligation</x:v>
      </x:c>
      <x:c r="H2151" s="48" t="str">
        <x:v>Shared</x:v>
      </x:c>
      <x:c r="I2151" s="48" t="n">
        <x:v>0.45</x:v>
      </x:c>
      <x:c r="J2151" s="48" t="n">
        <x:v>0.4</x:v>
      </x:c>
      <x:c r="K2151" s="48" t="str">
        <x:v>Yes</x:v>
      </x:c>
      <x:c r="L2151" s="48" t="str">
        <x:v>OCR</x:v>
      </x:c>
    </x:row>
    <x:row r="2152">
      <x:c r="A2152" s="48" t="str">
        <x:v>UNI-2151</x:v>
      </x:c>
      <x:c r="B2152" s="48" t="str">
        <x:v>ORANGE</x:v>
      </x:c>
      <x:c r="C2152" s="48" t="str">
        <x:v>English</x:v>
      </x:c>
      <x:c r="D2152" s="48" t="n">
        <x:v>19</x:v>
      </x:c>
      <x:c r="E2152" s="48" t="str"/>
      <x:c r="F2152" s="48" t="str">
        <x:v>Country the Eyer</x:v>
      </x:c>
      <x:c r="G2152" s="48" t="str">
        <x:v>Obligation</x:v>
      </x:c>
      <x:c r="H2152" s="48" t="str">
        <x:v>Shared</x:v>
      </x:c>
      <x:c r="I2152" s="48" t="n">
        <x:v>0.45</x:v>
      </x:c>
      <x:c r="J2152" s="48" t="n">
        <x:v>0.4</x:v>
      </x:c>
      <x:c r="K2152" s="48" t="str">
        <x:v>Yes</x:v>
      </x:c>
      <x:c r="L2152" s="48" t="str">
        <x:v>OCR</x:v>
      </x:c>
    </x:row>
    <x:row r="2153">
      <x:c r="A2153" s="48" t="str">
        <x:v>UNI-2152</x:v>
      </x:c>
      <x:c r="B2153" s="48" t="str">
        <x:v>ORANGE</x:v>
      </x:c>
      <x:c r="C2153" s="48" t="str">
        <x:v>English</x:v>
      </x:c>
      <x:c r="D2153" s="48" t="n">
        <x:v>19</x:v>
      </x:c>
      <x:c r="E2153" s="48" t="str"/>
      <x:c r="F2153" s="48" t="str">
        <x:v>Sect othe Ste 422 Unsere stdin Pa</x:v>
      </x:c>
      <x:c r="G2153" s="48" t="str">
        <x:v>Obligation</x:v>
      </x:c>
      <x:c r="H2153" s="48" t="str">
        <x:v>Shared</x:v>
      </x:c>
      <x:c r="I2153" s="48" t="n">
        <x:v>0.45</x:v>
      </x:c>
      <x:c r="J2153" s="48" t="n">
        <x:v>0.4</x:v>
      </x:c>
      <x:c r="K2153" s="48" t="str">
        <x:v>Yes</x:v>
      </x:c>
      <x:c r="L2153" s="48" t="str">
        <x:v>OCR</x:v>
      </x:c>
    </x:row>
    <x:row r="2154">
      <x:c r="A2154" s="48" t="str">
        <x:v>UNI-2153</x:v>
      </x:c>
      <x:c r="B2154" s="48" t="str">
        <x:v>ORANGE</x:v>
      </x:c>
      <x:c r="C2154" s="48" t="str">
        <x:v>English</x:v>
      </x:c>
      <x:c r="D2154" s="48" t="n">
        <x:v>19</x:v>
      </x:c>
      <x:c r="E2154" s="48" t="str"/>
      <x:c r="F2154" s="48" t="str">
        <x:v>(0) axis pres sl be ited he employes of th Cnr, ‘Sepyecs ths Stnanc a enn aed ye Ep SU ScpinerBeene” Contractors 423.</x:v>
      </x:c>
      <x:c r="G2154" s="48" t="str">
        <x:v>Obligation</x:v>
      </x:c>
      <x:c r="H2154" s="48" t="str">
        <x:v>Shared</x:v>
      </x:c>
      <x:c r="I2154" s="48" t="n">
        <x:v>0.45</x:v>
      </x:c>
      <x:c r="J2154" s="48" t="n">
        <x:v>0.4</x:v>
      </x:c>
      <x:c r="K2154" s="48" t="str">
        <x:v>Yes</x:v>
      </x:c>
      <x:c r="L2154" s="48" t="str">
        <x:v>OCR</x:v>
      </x:c>
    </x:row>
    <x:row r="2155">
      <x:c r="A2155" s="48" t="str">
        <x:v>UNI-2154</x:v>
      </x:c>
      <x:c r="B2155" s="48" t="str">
        <x:v>ORANGE</x:v>
      </x:c>
      <x:c r="C2155" s="48" t="str">
        <x:v>English</x:v>
      </x:c>
      <x:c r="D2155" s="48" t="n">
        <x:v>19</x:v>
      </x:c>
      <x:c r="E2155" s="48" t="str"/>
      <x:c r="F2155" s="48" t="str">
        <x:v>The Concer sl ses pron othe Se, to ay aon</x:v>
      </x:c>
      <x:c r="G2155" s="48" t="str">
        <x:v>Obligation</x:v>
      </x:c>
      <x:c r="H2155" s="48" t="str">
        <x:v>Shared</x:v>
      </x:c>
      <x:c r="I2155" s="48" t="n">
        <x:v>0.45</x:v>
      </x:c>
      <x:c r="J2155" s="48" t="n">
        <x:v>0.4</x:v>
      </x:c>
      <x:c r="K2155" s="48" t="str">
        <x:v>Yes</x:v>
      </x:c>
      <x:c r="L2155" s="48" t="str">
        <x:v>OCR</x:v>
      </x:c>
    </x:row>
    <x:row r="2156">
      <x:c r="A2156" s="48" t="str">
        <x:v>UNI-2155</x:v>
      </x:c>
      <x:c r="B2156" s="48" t="str">
        <x:v>ORANGE</x:v>
      </x:c>
      <x:c r="C2156" s="48" t="str">
        <x:v>English</x:v>
      </x:c>
      <x:c r="D2156" s="48" t="n">
        <x:v>19</x:v>
      </x:c>
      <x:c r="E2156" s="48" t="str"/>
      <x:c r="F2156" s="48" t="str">
        <x:v>Cperaom on Ste swish may be vib te Corte ped Ye Eppes</x:v>
      </x:c>
      <x:c r="G2156" s="48" t="str">
        <x:v>Right</x:v>
      </x:c>
      <x:c r="H2156" s="48" t="str">
        <x:v>Shared</x:v>
      </x:c>
      <x:c r="I2156" s="48" t="n">
        <x:v>0.78</x:v>
      </x:c>
      <x:c r="J2156" s="48" t="n">
        <x:v>0.4</x:v>
      </x:c>
      <x:c r="K2156" s="48" t="str">
        <x:v>Yes</x:v>
      </x:c>
      <x:c r="L2156" s="48" t="str">
        <x:v>OCR</x:v>
      </x:c>
    </x:row>
    <x:row r="2157">
      <x:c r="A2157" s="48" t="str">
        <x:v>UNI-2156</x:v>
      </x:c>
      <x:c r="B2157" s="48" t="str">
        <x:v>ORANGE</x:v>
      </x:c>
      <x:c r="C2157" s="48" t="str">
        <x:v>English</x:v>
      </x:c>
      <x:c r="D2157" s="48" t="n">
        <x:v>19</x:v>
      </x:c>
      <x:c r="E2157" s="48" t="str"/>
      <x:c r="F2157" s="48" t="str">
        <x:v>‘Spesemaive me wong se The Conc sal she al cee) ‘causes Aco he fer and epee wian the Ste snd oh ‘Sta! ean sto ean pot et ecco acco Yt 42 Aloo acd cn eee</x:v>
      </x:c>
      <x:c r="G2157" s="48" t="str">
        <x:v>Obligation</x:v>
      </x:c>
      <x:c r="H2157" s="48" t="str">
        <x:v>Shared</x:v>
      </x:c>
      <x:c r="I2157" s="48" t="n">
        <x:v>0.45</x:v>
      </x:c>
      <x:c r="J2157" s="48" t="n">
        <x:v>0.4</x:v>
      </x:c>
      <x:c r="K2157" s="48" t="str">
        <x:v>Yes</x:v>
      </x:c>
      <x:c r="L2157" s="48" t="str">
        <x:v>OCR</x:v>
      </x:c>
    </x:row>
    <x:row r="2158">
      <x:c r="A2158" s="48" t="str">
        <x:v>UNI-2157</x:v>
      </x:c>
      <x:c r="B2158" s="48" t="str">
        <x:v>ORANGE</x:v>
      </x:c>
      <x:c r="C2158" s="48" t="str">
        <x:v>English</x:v>
      </x:c>
      <x:c r="D2158" s="48" t="n">
        <x:v>19</x:v>
      </x:c>
      <x:c r="E2158" s="48" t="str"/>
      <x:c r="F2158" s="48" t="str">
        <x:v>Rs Seiad ete pry eEmpe feCorcea</x:v>
      </x:c>
      <x:c r="G2158" s="48" t="str">
        <x:v>Obligation</x:v>
      </x:c>
      <x:c r="H2158" s="48" t="str">
        <x:v>Shared</x:v>
      </x:c>
      <x:c r="I2158" s="48" t="n">
        <x:v>0.45</x:v>
      </x:c>
      <x:c r="J2158" s="48" t="n">
        <x:v>0.4</x:v>
      </x:c>
      <x:c r="K2158" s="48" t="str">
        <x:v>Yes</x:v>
      </x:c>
      <x:c r="L2158" s="48" t="str">
        <x:v>OCR</x:v>
      </x:c>
    </x:row>
    <x:row r="2159">
      <x:c r="A2159" s="48" t="str">
        <x:v>UNI-2158</x:v>
      </x:c>
      <x:c r="B2159" s="48" t="str">
        <x:v>ORANGE</x:v>
      </x:c>
      <x:c r="C2159" s="48" t="str">
        <x:v>English</x:v>
      </x:c>
      <x:c r="D2159" s="48" t="n">
        <x:v>19</x:v>
      </x:c>
      <x:c r="E2159" s="48" t="str"/>
      <x:c r="F2159" s="48" t="str">
        <x:v>‘Scnnc pecan often a the pers on vay dinghy my sch co tng Te Catcera ‘Rca open Sey of ane tg. ee pe’</x:v>
      </x:c>
      <x:c r="G2159" s="48" t="str">
        <x:v>Obligation</x:v>
      </x:c>
      <x:c r="H2159" s="48" t="str">
        <x:v>Shared</x:v>
      </x:c>
      <x:c r="I2159" s="48" t="n">
        <x:v>0.45</x:v>
      </x:c>
      <x:c r="J2159" s="48" t="n">
        <x:v>0.4</x:v>
      </x:c>
      <x:c r="K2159" s="48" t="str">
        <x:v>Yes</x:v>
      </x:c>
      <x:c r="L2159" s="48" t="str">
        <x:v>OCR</x:v>
      </x:c>
    </x:row>
    <x:row r="2160">
      <x:c r="A2160" s="48" t="str">
        <x:v>UNI-2159</x:v>
      </x:c>
      <x:c r="B2160" s="48" t="str">
        <x:v>ORANGE</x:v>
      </x:c>
      <x:c r="C2160" s="48" t="str">
        <x:v>English</x:v>
      </x:c>
      <x:c r="D2160" s="48" t="n">
        <x:v>19</x:v>
      </x:c>
      <x:c r="E2160" s="48" t="str"/>
      <x:c r="F2160" s="48" t="str">
        <x:v>Eorcenlel Shon te homecare wa</x:v>
      </x:c>
      <x:c r="G2160" s="48" t="str">
        <x:v>Obligation</x:v>
      </x:c>
      <x:c r="H2160" s="48" t="str">
        <x:v>Shared</x:v>
      </x:c>
      <x:c r="I2160" s="48" t="n">
        <x:v>0.45</x:v>
      </x:c>
      <x:c r="J2160" s="48" t="n">
        <x:v>0.4</x:v>
      </x:c>
      <x:c r="K2160" s="48" t="str">
        <x:v>Yes</x:v>
      </x:c>
      <x:c r="L2160" s="48" t="str">
        <x:v>OCR</x:v>
      </x:c>
    </x:row>
    <x:row r="2161">
      <x:c r="A2161" s="48" t="str">
        <x:v>UNI-2160</x:v>
      </x:c>
      <x:c r="B2161" s="48" t="str">
        <x:v>ORANGE</x:v>
      </x:c>
      <x:c r="C2161" s="48" t="str">
        <x:v>English</x:v>
      </x:c>
      <x:c r="D2161" s="48" t="n">
        <x:v>20</x:v>
      </x:c>
      <x:c r="E2161" s="48" t="str"/>
      <x:c r="F2161" s="48" t="str">
        <x:v>ence tn i mie nt a ole ers</x:v>
      </x:c>
      <x:c r="G2161" s="48" t="str">
        <x:v>Obligation</x:v>
      </x:c>
      <x:c r="H2161" s="48" t="str">
        <x:v>Shared</x:v>
      </x:c>
      <x:c r="I2161" s="48" t="n">
        <x:v>0.45</x:v>
      </x:c>
      <x:c r="J2161" s="48" t="n">
        <x:v>0.4</x:v>
      </x:c>
      <x:c r="K2161" s="48" t="str">
        <x:v>Yes</x:v>
      </x:c>
      <x:c r="L2161" s="48" t="str">
        <x:v>OCR</x:v>
      </x:c>
    </x:row>
    <x:row r="2162">
      <x:c r="A2162" s="48" t="str">
        <x:v>UNI-2161</x:v>
      </x:c>
      <x:c r="B2162" s="48" t="str">
        <x:v>ORANGE</x:v>
      </x:c>
      <x:c r="C2162" s="48" t="str">
        <x:v>English</x:v>
      </x:c>
      <x:c r="D2162" s="48" t="n">
        <x:v>20</x:v>
      </x:c>
      <x:c r="E2162" s="48" t="str"/>
      <x:c r="F2162" s="48" t="str">
        <x:v>Wik Eager arate sic ay nde Cot wt</x:v>
      </x:c>
      <x:c r="G2162" s="48" t="str">
        <x:v>Obligation</x:v>
      </x:c>
      <x:c r="H2162" s="48" t="str">
        <x:v>Shared</x:v>
      </x:c>
      <x:c r="I2162" s="48" t="n">
        <x:v>0.45</x:v>
      </x:c>
      <x:c r="J2162" s="48" t="n">
        <x:v>0.4</x:v>
      </x:c>
      <x:c r="K2162" s="48" t="str">
        <x:v>Yes</x:v>
      </x:c>
      <x:c r="L2162" s="48" t="str">
        <x:v>OCR</x:v>
      </x:c>
    </x:row>
    <x:row r="2163">
      <x:c r="A2163" s="48" t="str">
        <x:v>UNI-2162</x:v>
      </x:c>
      <x:c r="B2163" s="48" t="str">
        <x:v>ORANGE</x:v>
      </x:c>
      <x:c r="C2163" s="48" t="str">
        <x:v>English</x:v>
      </x:c>
      <x:c r="D2163" s="48" t="n">
        <x:v>20</x:v>
      </x:c>
      <x:c r="E2163" s="48" t="str"/>
      <x:c r="F2163" s="48" t="str">
        <x:v>te hn ey omer by apt te 6 Coa hcp of sch cee Employers Represnae Sal reed ‘Monch Chane 5 ape dete {a amy everson f tne ich the Cone eile uk Sab (she amu of ih Cot, bch hb aed Cotas Pi, shal ite Comracor acon</x:v>
      </x:c>
      <x:c r="G2163" s="48" t="str">
        <x:v>Obligation</x:v>
      </x:c>
      <x:c r="H2163" s="48" t="str">
        <x:v>Shared</x:v>
      </x:c>
      <x:c r="I2163" s="48" t="n">
        <x:v>0.45</x:v>
      </x:c>
      <x:c r="J2163" s="48" t="n">
        <x:v>0.4</x:v>
      </x:c>
      <x:c r="K2163" s="48" t="str">
        <x:v>Yes</x:v>
      </x:c>
      <x:c r="L2163" s="48" t="str">
        <x:v>OCR</x:v>
      </x:c>
    </x:row>
    <x:row r="2164">
      <x:c r="A2164" s="48" t="str">
        <x:v>UNI-2163</x:v>
      </x:c>
      <x:c r="B2164" s="48" t="str">
        <x:v>ORANGE</x:v>
      </x:c>
      <x:c r="C2164" s="48" t="str">
        <x:v>English</x:v>
      </x:c>
      <x:c r="D2164" s="48" t="n">
        <x:v>20</x:v>
      </x:c>
      <x:c r="E2164" s="48" t="str">
        <x:v>5</x:v>
      </x:c>
      <x:c r="F2164" s="48" t="str">
        <x:v>5 Design</x:v>
      </x:c>
      <x:c r="G2164" s="48" t="str">
        <x:v>Heading</x:v>
      </x:c>
      <x:c r="H2164" s="48" t="str"/>
      <x:c r="I2164" s="48" t="n">
        <x:v>0.9</x:v>
      </x:c>
      <x:c r="J2164" s="48" t="n">
        <x:v>0.99</x:v>
      </x:c>
      <x:c r="K2164" s="48" t="str">
        <x:v>No</x:v>
      </x:c>
      <x:c r="L2164" s="48" t="str">
        <x:v>OCR</x:v>
      </x:c>
    </x:row>
    <x:row r="2165">
      <x:c r="A2165" s="48" t="str">
        <x:v>UNI-2164</x:v>
      </x:c>
      <x:c r="B2165" s="48" t="str">
        <x:v>ORANGE</x:v>
      </x:c>
      <x:c r="C2165" s="48" t="str">
        <x:v>English</x:v>
      </x:c>
      <x:c r="D2165" s="48" t="n">
        <x:v>20</x:v>
      </x:c>
      <x:c r="E2165" s="48" t="str"/>
      <x:c r="F2165" s="48" t="str">
        <x:v>amr Obxiom 51 Th Conteris oie Wo</x:v>
      </x:c>
      <x:c r="G2165" s="48" t="str">
        <x:v>Obligation</x:v>
      </x:c>
      <x:c r="H2165" s="48" t="str">
        <x:v>Shared</x:v>
      </x:c>
      <x:c r="I2165" s="48" t="n">
        <x:v>0.45</x:v>
      </x:c>
      <x:c r="J2165" s="48" t="n">
        <x:v>0.4</x:v>
      </x:c>
      <x:c r="K2165" s="48" t="str">
        <x:v>Yes</x:v>
      </x:c>
      <x:c r="L2165" s="48" t="str">
        <x:v>OCR</x:v>
      </x:c>
    </x:row>
    <x:row r="2166">
      <x:c r="A2166" s="48" t="str">
        <x:v>UNI-2165</x:v>
      </x:c>
      <x:c r="B2166" s="48" t="str">
        <x:v>ORANGE</x:v>
      </x:c>
      <x:c r="C2166" s="48" t="str">
        <x:v>English</x:v>
      </x:c>
      <x:c r="D2166" s="48" t="n">
        <x:v>20</x:v>
      </x:c>
      <x:c r="E2166" s="48" t="str"/>
      <x:c r="F2166" s="48" t="str">
        <x:v>BSG pee ged pes wha nee</x:v>
      </x:c>
      <x:c r="G2166" s="48" t="str">
        <x:v>Obligation</x:v>
      </x:c>
      <x:c r="H2166" s="48" t="str">
        <x:v>Shared</x:v>
      </x:c>
      <x:c r="I2166" s="48" t="n">
        <x:v>0.45</x:v>
      </x:c>
      <x:c r="J2166" s="48" t="n">
        <x:v>0.4</x:v>
      </x:c>
      <x:c r="K2166" s="48" t="str">
        <x:v>Yes</x:v>
      </x:c>
      <x:c r="L2166" s="48" t="str">
        <x:v>OCR</x:v>
      </x:c>
    </x:row>
    <x:row r="2167">
      <x:c r="A2167" s="48" t="str">
        <x:v>UNI-2166</x:v>
      </x:c>
      <x:c r="B2167" s="48" t="str">
        <x:v>ORANGE</x:v>
      </x:c>
      <x:c r="C2167" s="48" t="str">
        <x:v>English</x:v>
      </x:c>
      <x:c r="D2167" s="48" t="n">
        <x:v>20</x:v>
      </x:c>
      <x:c r="E2167" s="48" t="str"/>
      <x:c r="F2167" s="48" t="str">
        <x:v>eins si cing bt etal te Ep cron Frente Nes ep const he Ee</x:v>
      </x:c>
      <x:c r="G2167" s="48" t="str">
        <x:v>Obligation</x:v>
      </x:c>
      <x:c r="H2167" s="48" t="str">
        <x:v>Shared</x:v>
      </x:c>
      <x:c r="I2167" s="48" t="n">
        <x:v>0.45</x:v>
      </x:c>
      <x:c r="J2167" s="48" t="n">
        <x:v>0.4</x:v>
      </x:c>
      <x:c r="K2167" s="48" t="str">
        <x:v>Yes</x:v>
      </x:c>
      <x:c r="L2167" s="48" t="str">
        <x:v>OCR</x:v>
      </x:c>
    </x:row>
    <x:row r="2168">
      <x:c r="A2168" s="48" t="str">
        <x:v>UNI-2167</x:v>
      </x:c>
      <x:c r="B2168" s="48" t="str">
        <x:v>ORANGE</x:v>
      </x:c>
      <x:c r="C2168" s="48" t="str">
        <x:v>English</x:v>
      </x:c>
      <x:c r="D2168" s="48" t="n">
        <x:v>20</x:v>
      </x:c>
      <x:c r="E2168" s="48" t="str"/>
      <x:c r="F2168" s="48" t="str">
        <x:v>Sere ce Cnet Sain sel Come</x:v>
      </x:c>
      <x:c r="G2168" s="48" t="str">
        <x:v>Obligation</x:v>
      </x:c>
      <x:c r="H2168" s="48" t="str">
        <x:v>Shared</x:v>
      </x:c>
      <x:c r="I2168" s="48" t="n">
        <x:v>0.45</x:v>
      </x:c>
      <x:c r="J2168" s="48" t="n">
        <x:v>0.4</x:v>
      </x:c>
      <x:c r="K2168" s="48" t="str">
        <x:v>Yes</x:v>
      </x:c>
      <x:c r="L2168" s="48" t="str">
        <x:v>OCR</x:v>
      </x:c>
    </x:row>
    <x:row r="2169">
      <x:c r="A2169" s="48" t="str">
        <x:v>UNI-2168</x:v>
      </x:c>
      <x:c r="B2169" s="48" t="str">
        <x:v>ORANGE</x:v>
      </x:c>
      <x:c r="C2169" s="48" t="str">
        <x:v>English</x:v>
      </x:c>
      <x:c r="D2169" s="48" t="n">
        <x:v>20</x:v>
      </x:c>
      <x:c r="E2169" s="48" t="str"/>
      <x:c r="F2169" s="48" t="str">
        <x:v>ae mane et as patie tage ona</x:v>
      </x:c>
      <x:c r="G2169" s="48" t="str">
        <x:v>Obligation</x:v>
      </x:c>
      <x:c r="H2169" s="48" t="str">
        <x:v>Shared</x:v>
      </x:c>
      <x:c r="I2169" s="48" t="n">
        <x:v>0.45</x:v>
      </x:c>
      <x:c r="J2169" s="48" t="n">
        <x:v>0.4</x:v>
      </x:c>
      <x:c r="K2169" s="48" t="str">
        <x:v>Yes</x:v>
      </x:c>
      <x:c r="L2169" s="48" t="str">
        <x:v>OCR</x:v>
      </x:c>
    </x:row>
    <x:row r="2170">
      <x:c r="A2170" s="48" t="str">
        <x:v>UNI-2169</x:v>
      </x:c>
      <x:c r="B2170" s="48" t="str">
        <x:v>ORANGE</x:v>
      </x:c>
      <x:c r="C2170" s="48" t="str">
        <x:v>English</x:v>
      </x:c>
      <x:c r="D2170" s="48" t="n">
        <x:v>20</x:v>
      </x:c>
      <x:c r="E2170" s="48" t="str"/>
      <x:c r="F2170" s="48" t="str">
        <x:v>Spon dpe toner Epa</x:v>
      </x:c>
      <x:c r="G2170" s="48" t="str">
        <x:v>Obligation</x:v>
      </x:c>
      <x:c r="H2170" s="48" t="str">
        <x:v>Shared</x:v>
      </x:c>
      <x:c r="I2170" s="48" t="n">
        <x:v>0.45</x:v>
      </x:c>
      <x:c r="J2170" s="48" t="n">
        <x:v>0.4</x:v>
      </x:c>
      <x:c r="K2170" s="48" t="str">
        <x:v>Yes</x:v>
      </x:c>
      <x:c r="L2170" s="48" t="str">
        <x:v>OCR</x:v>
      </x:c>
    </x:row>
    <x:row r="2171">
      <x:c r="A2171" s="48" t="str">
        <x:v>UNI-2170</x:v>
      </x:c>
      <x:c r="B2171" s="48" t="str">
        <x:v>ORANGE</x:v>
      </x:c>
      <x:c r="C2171" s="48" t="str">
        <x:v>English</x:v>
      </x:c>
      <x:c r="D2171" s="48" t="n">
        <x:v>20</x:v>
      </x:c>
      <x:c r="E2171" s="48" t="str"/>
      <x:c r="F2171" s="48" t="str">
        <x:v>The Conn tls hcl, ts designer an ei Suomen</x:v>
      </x:c>
      <x:c r="G2171" s="48" t="str">
        <x:v>Obligation</x:v>
      </x:c>
      <x:c r="H2171" s="48" t="str">
        <x:v>Shared</x:v>
      </x:c>
      <x:c r="I2171" s="48" t="n">
        <x:v>0.45</x:v>
      </x:c>
      <x:c r="J2171" s="48" t="n">
        <x:v>0.4</x:v>
      </x:c>
      <x:c r="K2171" s="48" t="str">
        <x:v>Yes</x:v>
      </x:c>
      <x:c r="L2171" s="48" t="str">
        <x:v>OCR</x:v>
      </x:c>
    </x:row>
    <x:row r="2172">
      <x:c r="A2172" s="48" t="str">
        <x:v>UNI-2171</x:v>
      </x:c>
      <x:c r="B2172" s="48" t="str">
        <x:v>ORANGE</x:v>
      </x:c>
      <x:c r="C2172" s="48" t="str">
        <x:v>English</x:v>
      </x:c>
      <x:c r="D2172" s="48" t="n">
        <x:v>20</x:v>
      </x:c>
      <x:c r="E2172" s="48" t="str"/>
      <x:c r="F2172" s="48" t="str">
        <x:v>ering acta mec rh ep Th Cee Contraction $2 The Contac hl pepe Cnn Dement St ‘heumens ayaa ware pi nomen places Th ers pean aoe eget ee ‘S2STop oe wept Cotten Domes whee BY</x:v>
      </x:c>
      <x:c r="G2172" s="48" t="str">
        <x:v>Obligation</x:v>
      </x:c>
      <x:c r="H2172" s="48" t="str">
        <x:v>Shared</x:v>
      </x:c>
      <x:c r="I2172" s="48" t="n">
        <x:v>0.45</x:v>
      </x:c>
      <x:c r="J2172" s="48" t="n">
        <x:v>0.4</x:v>
      </x:c>
      <x:c r="K2172" s="48" t="str">
        <x:v>Yes</x:v>
      </x:c>
      <x:c r="L2172" s="48" t="str">
        <x:v>OCR</x:v>
      </x:c>
    </x:row>
    <x:row r="2173">
      <x:c r="A2173" s="48" t="str">
        <x:v>UNI-2172</x:v>
      </x:c>
      <x:c r="B2173" s="48" t="str">
        <x:v>ORANGE</x:v>
      </x:c>
      <x:c r="C2173" s="48" t="str">
        <x:v>English</x:v>
      </x:c>
      <x:c r="D2173" s="48" t="n">
        <x:v>20</x:v>
      </x:c>
      <x:c r="E2173" s="48" t="str"/>
      <x:c r="F2173" s="48" t="str">
        <x:v>Exh he Comte Dane sal wen cme el fe</x:v>
      </x:c>
      <x:c r="G2173" s="48" t="str">
        <x:v>Obligation</x:v>
      </x:c>
      <x:c r="H2173" s="48" t="str">
        <x:v>Shared</x:v>
      </x:c>
      <x:c r="I2173" s="48" t="n">
        <x:v>0.45</x:v>
      </x:c>
      <x:c r="J2173" s="48" t="n">
        <x:v>0.4</x:v>
      </x:c>
      <x:c r="K2173" s="48" t="str">
        <x:v>Yes</x:v>
      </x:c>
      <x:c r="L2173" s="48" t="str">
        <x:v>OCR</x:v>
      </x:c>
    </x:row>
    <x:row r="2174">
      <x:c r="A2174" s="48" t="str">
        <x:v>UNI-2173</x:v>
      </x:c>
      <x:c r="B2174" s="48" t="str">
        <x:v>ORANGE</x:v>
      </x:c>
      <x:c r="C2174" s="48" t="str">
        <x:v>English</x:v>
      </x:c>
      <x:c r="D2174" s="48" t="n">
        <x:v>20</x:v>
      </x:c>
      <x:c r="E2174" s="48" t="str"/>
      <x:c r="F2174" s="48" t="str">
        <x:v>hs Ge Eph Repent recon t&gt;</x:v>
      </x:c>
      <x:c r="G2174" s="48" t="str">
        <x:v>Obligation</x:v>
      </x:c>
      <x:c r="H2174" s="48" t="str">
        <x:v>Shared</x:v>
      </x:c>
      <x:c r="I2174" s="48" t="n">
        <x:v>0.45</x:v>
      </x:c>
      <x:c r="J2174" s="48" t="n">
        <x:v>0.4</x:v>
      </x:c>
      <x:c r="K2174" s="48" t="str">
        <x:v>Yes</x:v>
      </x:c>
      <x:c r="L2174" s="48" t="str">
        <x:v>OCR</x:v>
      </x:c>
    </x:row>
    <x:row r="2175">
      <x:c r="A2175" s="48" t="str">
        <x:v>UNI-2174</x:v>
      </x:c>
      <x:c r="B2175" s="48" t="str">
        <x:v>ORANGE</x:v>
      </x:c>
      <x:c r="C2175" s="48" t="str">
        <x:v>English</x:v>
      </x:c>
      <x:c r="D2175" s="48" t="n">
        <x:v>20</x:v>
      </x:c>
      <x:c r="E2175" s="48" t="str"/>
      <x:c r="F2175" s="48" t="str">
        <x:v>Siochuse, tence eo am he pro gued fy te Empl</x:v>
      </x:c>
      <x:c r="G2175" s="48" t="str">
        <x:v>Obligation</x:v>
      </x:c>
      <x:c r="H2175" s="48" t="str">
        <x:v>Shared</x:v>
      </x:c>
      <x:c r="I2175" s="48" t="n">
        <x:v>0.45</x:v>
      </x:c>
      <x:c r="J2175" s="48" t="n">
        <x:v>0.4</x:v>
      </x:c>
      <x:c r="K2175" s="48" t="str">
        <x:v>Yes</x:v>
      </x:c>
      <x:c r="L2175" s="48" t="str">
        <x:v>OCR</x:v>
      </x:c>
    </x:row>
    <x:row r="2176">
      <x:c r="A2176" s="48" t="str">
        <x:v>UNI-2175</x:v>
      </x:c>
      <x:c r="B2176" s="48" t="str">
        <x:v>ORANGE</x:v>
      </x:c>
      <x:c r="C2176" s="48" t="str">
        <x:v>English</x:v>
      </x:c>
      <x:c r="D2176" s="48" t="n">
        <x:v>20</x:v>
      </x:c>
      <x:c r="E2176" s="48" t="str"/>
      <x:c r="F2176" s="48" t="str">
        <x:v>RBececkines sachsen erase act the pegs</x:v>
      </x:c>
      <x:c r="G2176" s="48" t="str">
        <x:v>Obligation</x:v>
      </x:c>
      <x:c r="H2176" s="48" t="str">
        <x:v>Shared</x:v>
      </x:c>
      <x:c r="I2176" s="48" t="n">
        <x:v>0.45</x:v>
      </x:c>
      <x:c r="J2176" s="48" t="n">
        <x:v>0.4</x:v>
      </x:c>
      <x:c r="K2176" s="48" t="str">
        <x:v>Yes</x:v>
      </x:c>
      <x:c r="L2176" s="48" t="str">
        <x:v>OCR</x:v>
      </x:c>
    </x:row>
    <x:row r="2177">
      <x:c r="A2177" s="48" t="str">
        <x:v>UNI-2176</x:v>
      </x:c>
      <x:c r="B2177" s="48" t="str">
        <x:v>ORANGE</x:v>
      </x:c>
      <x:c r="C2177" s="48" t="str">
        <x:v>English</x:v>
      </x:c>
      <x:c r="D2177" s="48" t="n">
        <x:v>20</x:v>
      </x:c>
      <x:c r="E2177" s="48" t="str"/>
      <x:c r="F2177" s="48" t="str">
        <x:v>‘Reseed 1 ace ote eo he ESD" kagesemane rises Connon Dximest an Se ‘ExEizir hoe ht sod ety, bah fer 2 econ Couette wi in Sb Chu, ae fr we.</x:v>
      </x:c>
      <x:c r="G2177" s="48" t="str">
        <x:v>Obligation</x:v>
      </x:c>
      <x:c r="H2177" s="48" t="str">
        <x:v>Shared</x:v>
      </x:c>
      <x:c r="I2177" s="48" t="n">
        <x:v>0.45</x:v>
      </x:c>
      <x:c r="J2177" s="48" t="n">
        <x:v>0.4</x:v>
      </x:c>
      <x:c r="K2177" s="48" t="str">
        <x:v>Yes</x:v>
      </x:c>
      <x:c r="L2177" s="48" t="str">
        <x:v>OCR</x:v>
      </x:c>
    </x:row>
    <x:row r="2178">
      <x:c r="A2178" s="48" t="str">
        <x:v>UNI-2177</x:v>
      </x:c>
      <x:c r="B2178" s="48" t="str">
        <x:v>ORANGE</x:v>
      </x:c>
      <x:c r="C2178" s="48" t="str">
        <x:v>English</x:v>
      </x:c>
      <x:c r="D2178" s="48" t="n">
        <x:v>20</x:v>
      </x:c>
      <x:c r="E2178" s="48" t="str"/>
      <x:c r="F2178" s="48" t="str">
        <x:v>We Empey [epceratne, wan sth eve pt lies he Contac Sa ah ‘Succinate com 3it Se</x:v>
      </x:c>
      <x:c r="G2178" s="48" t="str">
        <x:v>Obligation</x:v>
      </x:c>
      <x:c r="H2178" s="48" t="str">
        <x:v>Shared</x:v>
      </x:c>
      <x:c r="I2178" s="48" t="n">
        <x:v>0.45</x:v>
      </x:c>
      <x:c r="J2178" s="48" t="n">
        <x:v>0.4</x:v>
      </x:c>
      <x:c r="K2178" s="48" t="str">
        <x:v>Yes</x:v>
      </x:c>
      <x:c r="L2178" s="48" t="str">
        <x:v>OCR</x:v>
      </x:c>
    </x:row>
    <x:row r="2179">
      <x:c r="A2179" s="48" t="str">
        <x:v>UNI-2178</x:v>
      </x:c>
      <x:c r="B2179" s="48" t="str">
        <x:v>ORANGE</x:v>
      </x:c>
      <x:c r="C2179" s="48" t="str">
        <x:v>English</x:v>
      </x:c>
      <x:c r="D2179" s="48" t="n">
        <x:v>20</x:v>
      </x:c>
      <x:c r="E2179" s="48" t="str"/>
      <x:c r="F2179" s="48" t="str">
        <x:v>Eihice wins Sb Case som</x:v>
      </x:c>
      <x:c r="G2179" s="48" t="str">
        <x:v>Obligation</x:v>
      </x:c>
      <x:c r="H2179" s="48" t="str">
        <x:v>Shared</x:v>
      </x:c>
      <x:c r="I2179" s="48" t="n">
        <x:v>0.45</x:v>
      </x:c>
      <x:c r="J2179" s="48" t="n">
        <x:v>0.4</x:v>
      </x:c>
      <x:c r="K2179" s="48" t="str">
        <x:v>Yes</x:v>
      </x:c>
      <x:c r="L2179" s="48" t="str">
        <x:v>OCR</x:v>
      </x:c>
    </x:row>
    <x:row r="2180">
      <x:c r="A2180" s="48" t="str">
        <x:v>UNI-2179</x:v>
      </x:c>
      <x:c r="B2180" s="48" t="str">
        <x:v>ORANGE</x:v>
      </x:c>
      <x:c r="C2180" s="48" t="str">
        <x:v>English</x:v>
      </x:c>
      <x:c r="D2180" s="48" t="n">
        <x:v>20</x:v>
      </x:c>
      <x:c r="E2180" s="48" t="str"/>
      <x:c r="F2180" s="48" t="str">
        <x:v>och pt of he Ws ace oth ect at he pr ese of</x:v>
      </x:c>
      <x:c r="G2180" s="48" t="str">
        <x:v>Obligation</x:v>
      </x:c>
      <x:c r="H2180" s="48" t="str">
        <x:v>Shared</x:v>
      </x:c>
      <x:c r="I2180" s="48" t="n">
        <x:v>0.45</x:v>
      </x:c>
      <x:c r="J2180" s="48" t="n">
        <x:v>0.4</x:v>
      </x:c>
      <x:c r="K2180" s="48" t="str">
        <x:v>Yes</x:v>
      </x:c>
      <x:c r="L2180" s="48" t="str">
        <x:v>OCR</x:v>
      </x:c>
    </x:row>
    <x:row r="2181">
      <x:c r="A2181" s="48" t="str">
        <x:v>UNI-2180</x:v>
      </x:c>
      <x:c r="B2181" s="48" t="str">
        <x:v>ORANGE</x:v>
      </x:c>
      <x:c r="C2181" s="48" t="str">
        <x:v>English</x:v>
      </x:c>
      <x:c r="D2181" s="48" t="n">
        <x:v>20</x:v>
      </x:c>
      <x:c r="E2181" s="48" t="str"/>
      <x:c r="F2181" s="48" t="str">
        <x:v>Eopyers Rope Sl hve br aed</x:v>
      </x:c>
      <x:c r="G2181" s="48" t="str">
        <x:v>Obligation</x:v>
      </x:c>
      <x:c r="H2181" s="48" t="str">
        <x:v>Shared</x:v>
      </x:c>
      <x:c r="I2181" s="48" t="n">
        <x:v>0.45</x:v>
      </x:c>
      <x:c r="J2181" s="48" t="n">
        <x:v>0.4</x:v>
      </x:c>
      <x:c r="K2181" s="48" t="str">
        <x:v>Yes</x:v>
      </x:c>
      <x:c r="L2181" s="48" t="str">
        <x:v>OCR</x:v>
      </x:c>
    </x:row>
    <x:row r="2182">
      <x:c r="A2182" s="48" t="str">
        <x:v>UNI-2181</x:v>
      </x:c>
      <x:c r="B2182" s="48" t="str">
        <x:v>ORANGE</x:v>
      </x:c>
      <x:c r="C2182" s="48" t="str">
        <x:v>English</x:v>
      </x:c>
      <x:c r="D2182" s="48" t="n">
        <x:v>20</x:v>
      </x:c>
      <x:c r="E2182" s="48" t="str"/>
      <x:c r="F2182" s="48" t="str">
        <x:v>(o gemma eee Seeman wl akan Se Salem</x:v>
      </x:c>
      <x:c r="G2182" s="48" t="str">
        <x:v>Obligation</x:v>
      </x:c>
      <x:c r="H2182" s="48" t="str">
        <x:v>Shared</x:v>
      </x:c>
      <x:c r="I2182" s="48" t="n">
        <x:v>0.45</x:v>
      </x:c>
      <x:c r="J2182" s="48" t="n">
        <x:v>0.4</x:v>
      </x:c>
      <x:c r="K2182" s="48" t="str">
        <x:v>Yes</x:v>
      </x:c>
      <x:c r="L2182" s="48" t="str">
        <x:v>OCR</x:v>
      </x:c>
    </x:row>
    <x:row r="2183">
      <x:c r="A2183" s="48" t="str">
        <x:v>UNI-2182</x:v>
      </x:c>
      <x:c r="B2183" s="48" t="str">
        <x:v>ORANGE</x:v>
      </x:c>
      <x:c r="C2183" s="48" t="str">
        <x:v>English</x:v>
      </x:c>
      <x:c r="D2183" s="48" t="n">
        <x:v>21</x:v>
      </x:c>
      <x:c r="E2183" s="48" t="str"/>
      <x:c r="F2183" s="48" t="str">
        <x:v>(© comstion sl ein cence wit ach Conaron Dasamems (©) te Counce wesw yay Sse Sorament which as</x:v>
      </x:c>
      <x:c r="G2183" s="48" t="str">
        <x:v>Obligation</x:v>
      </x:c>
      <x:c r="H2183" s="48" t="str">
        <x:v>Shared</x:v>
      </x:c>
      <x:c r="I2183" s="48" t="n">
        <x:v>0.45</x:v>
      </x:c>
      <x:c r="J2183" s="48" t="n">
        <x:v>0.4</x:v>
      </x:c>
      <x:c r="K2183" s="48" t="str">
        <x:v>Yes</x:v>
      </x:c>
      <x:c r="L2183" s="48" t="str">
        <x:v>OCR</x:v>
      </x:c>
    </x:row>
    <x:row r="2184">
      <x:c r="A2184" s="48" t="str">
        <x:v>UNI-2183</x:v>
      </x:c>
      <x:c r="B2184" s="48" t="str">
        <x:v>ORANGE</x:v>
      </x:c>
      <x:c r="C2184" s="48" t="str">
        <x:v>English</x:v>
      </x:c>
      <x:c r="D2184" s="48" t="n">
        <x:v>21</x:v>
      </x:c>
      <x:c r="E2184" s="48" t="str"/>
      <x:c r="F2184" s="48" t="str">
        <x:v>Freon ten atad ors erin sie Cote</x:v>
      </x:c>
      <x:c r="G2184" s="48" t="str">
        <x:v>Obligation</x:v>
      </x:c>
      <x:c r="H2184" s="48" t="str">
        <x:v>Shared</x:v>
      </x:c>
      <x:c r="I2184" s="48" t="n">
        <x:v>0.45</x:v>
      </x:c>
      <x:c r="J2184" s="48" t="n">
        <x:v>0.4</x:v>
      </x:c>
      <x:c r="K2184" s="48" t="str">
        <x:v>Yes</x:v>
      </x:c>
      <x:c r="L2184" s="48" t="str">
        <x:v>OCR</x:v>
      </x:c>
    </x:row>
    <x:row r="2185">
      <x:c r="A2185" s="48" t="str">
        <x:v>UNI-2184</x:v>
      </x:c>
      <x:c r="B2185" s="48" t="str">
        <x:v>ORANGE</x:v>
      </x:c>
      <x:c r="C2185" s="48" t="str">
        <x:v>English</x:v>
      </x:c>
      <x:c r="D2185" s="48" t="n">
        <x:v>21</x:v>
      </x:c>
      <x:c r="E2185" s="48" t="str"/>
      <x:c r="F2185" s="48" t="str">
        <x:v>SSSI"Smmetaty iy be Enploers Renae, nd all ‘shepard ours oe Engler epee rpc snc oe lune Employers Repeseteierast ftes Coin Dons te met fr aig he We he Caso sh go oe</x:v>
      </x:c>
      <x:c r="G2185" s="48" t="str">
        <x:v>Obligation</x:v>
      </x:c>
      <x:c r="H2185" s="48" t="str">
        <x:v>Shared</x:v>
      </x:c>
      <x:c r="I2185" s="48" t="n">
        <x:v>0.45</x:v>
      </x:c>
      <x:c r="J2185" s="48" t="n">
        <x:v>0.4</x:v>
      </x:c>
      <x:c r="K2185" s="48" t="str">
        <x:v>Yes</x:v>
      </x:c>
      <x:c r="L2185" s="48" t="str">
        <x:v>OCR</x:v>
      </x:c>
    </x:row>
    <x:row r="2186">
      <x:c r="A2186" s="48" t="str">
        <x:v>UNI-2185</x:v>
      </x:c>
      <x:c r="B2186" s="48" t="str">
        <x:v>ORANGE</x:v>
      </x:c>
      <x:c r="C2186" s="48" t="str">
        <x:v>English</x:v>
      </x:c>
      <x:c r="D2186" s="48" t="n">
        <x:v>21</x:v>
      </x:c>
      <x:c r="E2186" s="48" t="str">
        <x:v>1</x:v>
      </x:c>
      <x:c r="F2186" s="48" t="str">
        <x:v>1 EeploereRopeoe' Sects eps Conan</x:v>
      </x:c>
      <x:c r="G2186" s="48" t="str">
        <x:v>Heading</x:v>
      </x:c>
      <x:c r="H2186" s="48" t="str"/>
      <x:c r="I2186" s="48" t="n">
        <x:v>0.9</x:v>
      </x:c>
      <x:c r="J2186" s="48" t="n">
        <x:v>0.99</x:v>
      </x:c>
      <x:c r="K2186" s="48" t="str">
        <x:v>No</x:v>
      </x:c>
      <x:c r="L2186" s="48" t="str">
        <x:v>OCR</x:v>
      </x:c>
    </x:row>
    <x:row r="2187">
      <x:c r="A2187" s="48" t="str">
        <x:v>UNI-2186</x:v>
      </x:c>
      <x:c r="B2187" s="48" t="str">
        <x:v>ORANGE</x:v>
      </x:c>
      <x:c r="C2187" s="48" t="str">
        <x:v>English</x:v>
      </x:c>
      <x:c r="D2187" s="48" t="n">
        <x:v>21</x:v>
      </x:c>
      <x:c r="E2187" s="48" t="str"/>
      <x:c r="F2187" s="48" t="str">
        <x:v>econ ‘Sat be eid by te Comat a hi co Contracts 63 The Cortes ey ad pyc pou he deen Uterine"?</x:v>
      </x:c>
      <x:c r="G2187" s="48" t="str">
        <x:v>Obligation</x:v>
      </x:c>
      <x:c r="H2187" s="48" t="str">
        <x:v>Shared</x:v>
      </x:c>
      <x:c r="I2187" s="48" t="n">
        <x:v>0.45</x:v>
      </x:c>
      <x:c r="J2187" s="48" t="n">
        <x:v>0.4</x:v>
      </x:c>
      <x:c r="K2187" s="48" t="str">
        <x:v>Yes</x:v>
      </x:c>
      <x:c r="L2187" s="48" t="str">
        <x:v>OCR</x:v>
      </x:c>
    </x:row>
    <x:row r="2188">
      <x:c r="A2188" s="48" t="str">
        <x:v>UNI-2187</x:v>
      </x:c>
      <x:c r="B2188" s="48" t="str">
        <x:v>ORANGE</x:v>
      </x:c>
      <x:c r="C2188" s="48" t="str">
        <x:v>English</x:v>
      </x:c>
      <x:c r="D2188" s="48" t="n">
        <x:v>21</x:v>
      </x:c>
      <x:c r="E2188" s="48" t="str"/>
      <x:c r="F2188" s="48" t="str">
        <x:v>2S Comin Dc exon he od Wis wa (@) telawnthe Coney. and “Thnk Sands $4 The eign he Comat Decameron sd fe compe “rd Regaatom —“* Noi th cmp mathe nse sana speciatons ttm Stu, bolle. contate aa eevinmenal eso los ‘fetch fede ng pone! fom he Wk andthe dd ‘Feotel t Employrs Regiments ae tbe Cone</x:v>
      </x:c>
      <x:c r="G2188" s="48" t="str">
        <x:v>Obligation</x:v>
      </x:c>
      <x:c r="H2188" s="48" t="str">
        <x:v>Shared</x:v>
      </x:c>
      <x:c r="I2188" s="48" t="n">
        <x:v>0.45</x:v>
      </x:c>
      <x:c r="J2188" s="48" t="n">
        <x:v>0.4</x:v>
      </x:c>
      <x:c r="K2188" s="48" t="str">
        <x:v>Yes</x:v>
      </x:c>
      <x:c r="L2188" s="48" t="str">
        <x:v>OCR</x:v>
      </x:c>
    </x:row>
    <x:row r="2189">
      <x:c r="A2189" s="48" t="str">
        <x:v>UNI-2188</x:v>
      </x:c>
      <x:c r="B2189" s="48" t="str">
        <x:v>ORANGE</x:v>
      </x:c>
      <x:c r="C2189" s="48" t="str">
        <x:v>English</x:v>
      </x:c>
      <x:c r="D2189" s="48" t="n">
        <x:v>21</x:v>
      </x:c>
      <x:c r="E2189" s="48" t="str"/>
      <x:c r="F2189" s="48" t="str">
        <x:v>Ropu ant Schauer end yon he Cent</x:v>
      </x:c>
      <x:c r="G2189" s="48" t="str">
        <x:v>Obligation</x:v>
      </x:c>
      <x:c r="H2189" s="48" t="str">
        <x:v>Shared</x:v>
      </x:c>
      <x:c r="I2189" s="48" t="n">
        <x:v>0.45</x:v>
      </x:c>
      <x:c r="J2189" s="48" t="n">
        <x:v>0.4</x:v>
      </x:c>
      <x:c r="K2189" s="48" t="str">
        <x:v>Yes</x:v>
      </x:c>
      <x:c r="L2189" s="48" t="str">
        <x:v>OCR</x:v>
      </x:c>
    </x:row>
    <x:row r="2190">
      <x:c r="A2190" s="48" t="str">
        <x:v>UNI-2189</x:v>
      </x:c>
      <x:c r="B2190" s="48" t="str">
        <x:v>ORANGE</x:v>
      </x:c>
      <x:c r="C2190" s="48" t="str">
        <x:v>English</x:v>
      </x:c>
      <x:c r="D2190" s="48" t="n">
        <x:v>21</x:v>
      </x:c>
      <x:c r="E2190" s="48" t="str"/>
      <x:c r="F2190" s="48" t="str">
        <x:v>‘tet eer math een be ree the (Sicm apc oh Be De ew sae teres bea ‘Sangean spent! seca ean uno ‘etn cane i fear fe Da, Coors abt (eens umn wt Es Rope ere ‘S'Eginer Ropes sedis atch pop te ‘ici al den ns Wren acre was Chane Samples $- The Contr stl tbe owing sae andrea nfeation 0</x:v>
      </x:c>
      <x:c r="G2190" s="48" t="str">
        <x:v>Obligation</x:v>
      </x:c>
      <x:c r="H2190" s="48" t="str">
        <x:v>Shared</x:v>
      </x:c>
      <x:c r="I2190" s="48" t="n">
        <x:v>0.45</x:v>
      </x:c>
      <x:c r="J2190" s="48" t="n">
        <x:v>0.4</x:v>
      </x:c>
      <x:c r="K2190" s="48" t="str">
        <x:v>Yes</x:v>
      </x:c>
      <x:c r="L2190" s="48" t="str">
        <x:v>OCR</x:v>
      </x:c>
    </x:row>
    <x:row r="2191">
      <x:c r="A2191" s="48" t="str">
        <x:v>UNI-2190</x:v>
      </x:c>
      <x:c r="B2191" s="48" t="str">
        <x:v>ORANGE</x:v>
      </x:c>
      <x:c r="C2191" s="48" t="str">
        <x:v>English</x:v>
      </x:c>
      <x:c r="D2191" s="48" t="n">
        <x:v>21</x:v>
      </x:c>
      <x:c r="E2191" s="48" t="str"/>
      <x:c r="F2191" s="48" t="str">
        <x:v>Degen Rapaeentee rp stretees omens</x:v>
      </x:c>
      <x:c r="G2191" s="48" t="str">
        <x:v>Obligation</x:v>
      </x:c>
      <x:c r="H2191" s="48" t="str">
        <x:v>Shared</x:v>
      </x:c>
      <x:c r="I2191" s="48" t="n">
        <x:v>0.45</x:v>
      </x:c>
      <x:c r="J2191" s="48" t="n">
        <x:v>0.4</x:v>
      </x:c>
      <x:c r="K2191" s="48" t="str">
        <x:v>Yes</x:v>
      </x:c>
      <x:c r="L2191" s="48" t="str">
        <x:v>OCR</x:v>
      </x:c>
    </x:row>
    <x:row r="2192">
      <x:c r="A2192" s="48" t="str">
        <x:v>UNI-2191</x:v>
      </x:c>
      <x:c r="B2192" s="48" t="str">
        <x:v>ORANGE</x:v>
      </x:c>
      <x:c r="C2192" s="48" t="str">
        <x:v>English</x:v>
      </x:c>
      <x:c r="D2192" s="48" t="n">
        <x:v>21</x:v>
      </x:c>
      <x:c r="E2192" s="48" t="str"/>
      <x:c r="F2192" s="48" t="str">
        <x:v>‘yd for Corte Dnsmen ried ab ne 83 (©) mattress of Mar, (4) sample i ny) ped in he ples Regret nd (© ation! somes inte by he Eppes Reps de</x:v>
      </x:c>
      <x:c r="G2192" s="48" t="str">
        <x:v>Obligation</x:v>
      </x:c>
      <x:c r="H2192" s="48" t="str">
        <x:v>Shared</x:v>
      </x:c>
      <x:c r="I2192" s="48" t="n">
        <x:v>0.45</x:v>
      </x:c>
      <x:c r="J2192" s="48" t="n">
        <x:v>0.4</x:v>
      </x:c>
      <x:c r="K2192" s="48" t="str">
        <x:v>Yes</x:v>
      </x:c>
      <x:c r="L2192" s="48" t="str">
        <x:v>OCR</x:v>
      </x:c>
    </x:row>
    <x:row r="2193">
      <x:c r="A2193" s="48" t="str">
        <x:v>UNI-2192</x:v>
      </x:c>
      <x:c r="B2193" s="48" t="str">
        <x:v>ORANGE</x:v>
      </x:c>
      <x:c r="C2193" s="48" t="str">
        <x:v>English</x:v>
      </x:c>
      <x:c r="D2193" s="48" t="n">
        <x:v>21</x:v>
      </x:c>
      <x:c r="E2193" s="48" t="str"/>
      <x:c r="F2193" s="48" t="str">
        <x:v>{ac spl sal be ae a rg a nee we inte Wor Actin Drowns $6 Tae Cote al eps ec od scat oa tl” ‘oof te aneuanof he Wake ong theta acm, ‘Scan deal ofthe we ap tee wi os reese ‘Spor a da ets Tse ces pont Sea all cine forthe pps of hs So Cae Two cp shal be ‘SiSiudloine EmpoyersRepeseamne rors th cones te ‘see Compo</x:v>
      </x:c>
      <x:c r="G2193" s="48" t="str">
        <x:v>Obligation</x:v>
      </x:c>
      <x:c r="H2193" s="48" t="str">
        <x:v>Shared</x:v>
      </x:c>
      <x:c r="I2193" s="48" t="n">
        <x:v>0.45</x:v>
      </x:c>
      <x:c r="J2193" s="48" t="n">
        <x:v>0.4</x:v>
      </x:c>
      <x:c r="K2193" s="48" t="str">
        <x:v>Yes</x:v>
      </x:c>
      <x:c r="L2193" s="48" t="str">
        <x:v>OCR</x:v>
      </x:c>
    </x:row>
    <x:row r="2194">
      <x:c r="A2194" s="48" t="str">
        <x:v>UNI-2193</x:v>
      </x:c>
      <x:c r="B2194" s="48" t="str">
        <x:v>ORANGE</x:v>
      </x:c>
      <x:c r="C2194" s="48" t="str">
        <x:v>English</x:v>
      </x:c>
      <x:c r="D2194" s="48" t="n">
        <x:v>22</x:v>
      </x:c>
      <x:c r="E2194" s="48" t="str"/>
      <x:c r="F2194" s="48" t="str">
        <x:v>1m adit, the Comasr all pee and stm the, Eplon’s et stu nrogr o eek sowing all Wek a8 ‘SESE Th aig epee he Mth proce ant sl be</x:v>
      </x:c>
      <x:c r="G2194" s="48" t="str">
        <x:v>Obligation</x:v>
      </x:c>
      <x:c r="H2194" s="48" t="str">
        <x:v>Shared</x:v>
      </x:c>
      <x:c r="I2194" s="48" t="n">
        <x:v>0.45</x:v>
      </x:c>
      <x:c r="J2194" s="48" t="n">
        <x:v>0.4</x:v>
      </x:c>
      <x:c r="K2194" s="48" t="str">
        <x:v>Yes</x:v>
      </x:c>
      <x:c r="L2194" s="48" t="str">
        <x:v>OCR</x:v>
      </x:c>
    </x:row>
    <x:row r="2195">
      <x:c r="A2195" s="48" t="str">
        <x:v>UNI-2194</x:v>
      </x:c>
      <x:c r="B2195" s="48" t="str">
        <x:v>ORANGE</x:v>
      </x:c>
      <x:c r="C2195" s="48" t="str">
        <x:v>English</x:v>
      </x:c>
      <x:c r="D2195" s="48" t="n">
        <x:v>22</x:v>
      </x:c>
      <x:c r="E2195" s="48" t="str"/>
      <x:c r="F2195" s="48" t="str">
        <x:v>Siac tone Ener keene oes mycoses</x:v>
      </x:c>
      <x:c r="G2195" s="48" t="str">
        <x:v>Obligation</x:v>
      </x:c>
      <x:c r="H2195" s="48" t="str">
        <x:v>Shared</x:v>
      </x:c>
      <x:c r="I2195" s="48" t="n">
        <x:v>0.45</x:v>
      </x:c>
      <x:c r="J2195" s="48" t="n">
        <x:v>0.4</x:v>
      </x:c>
      <x:c r="K2195" s="48" t="str">
        <x:v>Yes</x:v>
      </x:c>
      <x:c r="L2195" s="48" t="str">
        <x:v>OCR</x:v>
      </x:c>
    </x:row>
    <x:row r="2196">
      <x:c r="A2196" s="48" t="str">
        <x:v>UNI-2195</x:v>
      </x:c>
      <x:c r="B2196" s="48" t="str">
        <x:v>ORANGE</x:v>
      </x:c>
      <x:c r="C2196" s="48" t="str">
        <x:v>English</x:v>
      </x:c>
      <x:c r="D2196" s="48" t="n">
        <x:v>22</x:v>
      </x:c>
      <x:c r="E2196" s="48" t="str"/>
      <x:c r="F2196" s="48" t="str">
        <x:v>‘Sebati cote ob EnpoesRersenane 5 nh ‘Rtreming son sl she pre eae ror eso oy Tain Ove Cerin be Coa hal eit Iii uyers Repent nt mmc copy: om fl ae eal ‘Span tesco ft unable ‘CEtenion Dement pci i Enpoe Reuse Te Wes shebang ‘eponcanne Opeatnn snd 57 Photo conmencoent of he Teton Conpen, h Cota a imanars $7 fee, ool ska oe Eagle's Ropesnane. cpr and niente manana ithe Empoyer Resets an ‘nts rte Engr peste, ua, dames</x:v>
      </x:c>
      <x:c r="G2196" s="48" t="str">
        <x:v>Obligation</x:v>
      </x:c>
      <x:c r="H2196" s="48" t="str">
        <x:v>Shared</x:v>
      </x:c>
      <x:c r="I2196" s="48" t="n">
        <x:v>0.45</x:v>
      </x:c>
      <x:c r="J2196" s="48" t="n">
        <x:v>0.4</x:v>
      </x:c>
      <x:c r="K2196" s="48" t="str">
        <x:v>Yes</x:v>
      </x:c>
      <x:c r="L2196" s="48" t="str">
        <x:v>OCR</x:v>
      </x:c>
    </x:row>
    <x:row r="2197">
      <x:c r="A2197" s="48" t="str">
        <x:v>UNI-2196</x:v>
      </x:c>
      <x:c r="B2197" s="48" t="str">
        <x:v>ORANGE</x:v>
      </x:c>
      <x:c r="C2197" s="48" t="str">
        <x:v>English</x:v>
      </x:c>
      <x:c r="D2197" s="48" t="n">
        <x:v>22</x:v>
      </x:c>
      <x:c r="E2197" s="48" t="str"/>
      <x:c r="F2197" s="48" t="str">
        <x:v>SSSR Monee want er cometh compos</x:v>
      </x:c>
      <x:c r="G2197" s="48" t="str">
        <x:v>Obligation</x:v>
      </x:c>
      <x:c r="H2197" s="48" t="str">
        <x:v>Shared</x:v>
      </x:c>
      <x:c r="I2197" s="48" t="n">
        <x:v>0.45</x:v>
      </x:c>
      <x:c r="J2197" s="48" t="n">
        <x:v>0.4</x:v>
      </x:c>
      <x:c r="K2197" s="48" t="str">
        <x:v>Yes</x:v>
      </x:c>
      <x:c r="L2197" s="48" t="str">
        <x:v>OCR</x:v>
      </x:c>
    </x:row>
    <x:row r="2198">
      <x:c r="A2198" s="48" t="str">
        <x:v>UNI-2197</x:v>
      </x:c>
      <x:c r="B2198" s="48" t="str">
        <x:v>ORANGE</x:v>
      </x:c>
      <x:c r="C2198" s="48" t="str">
        <x:v>English</x:v>
      </x:c>
      <x:c r="D2198" s="48" t="n">
        <x:v>22</x:v>
      </x:c>
      <x:c r="E2198" s="48" t="str"/>
      <x:c r="F2198" s="48" t="str">
        <x:v>Wc ps tein eer onc Sb Cle 10! wt ch opr ‘nce manasa tee abe the Enpoyes Renate: wtaneeee rvs she Comes co —e reo Ris $9 The Contr al dei the pepsin a ci fining ‘amy me opted Sn copy teak or a me, er zap (@) se chsmor ceding ah ow of te dig consonance rosette (&gt; se hg eerie et eee acne ae ‘eonahiy tbe infeed om. he Conc (© te ntinger or began of ingeme wa he ol of a (Gea oe Mots fee din scion combat hy "ae py the Copa os ach ia ‘Seton sch th Comer por othe ase Bao ‘sted te Cont and te aingener (lepton of eigen) was at he aoe ‘Rae be Couto wh he Employes Reger ‘he Canaco shtbe pump nied of any cam uk hs Sab ‘Case nme apa he Emer The Coach Cs im ‘eps ore tees ch ca and ny gee eae</x:v>
      </x:c>
      <x:c r="G2198" s="48" t="str">
        <x:v>Obligation</x:v>
      </x:c>
      <x:c r="H2198" s="48" t="str">
        <x:v>Shared</x:v>
      </x:c>
      <x:c r="I2198" s="48" t="n">
        <x:v>0.45</x:v>
      </x:c>
      <x:c r="J2198" s="48" t="n">
        <x:v>0.4</x:v>
      </x:c>
      <x:c r="K2198" s="48" t="str">
        <x:v>Yes</x:v>
      </x:c>
      <x:c r="L2198" s="48" t="str">
        <x:v>OCR</x:v>
      </x:c>
    </x:row>
    <x:row r="2199">
      <x:c r="A2199" s="48" t="str">
        <x:v>UNI-2198</x:v>
      </x:c>
      <x:c r="B2199" s="48" t="str">
        <x:v>ORANGE</x:v>
      </x:c>
      <x:c r="C2199" s="48" t="str">
        <x:v>English</x:v>
      </x:c>
      <x:c r="D2199" s="48" t="n">
        <x:v>22</x:v>
      </x:c>
      <x:c r="E2199" s="48" t="str"/>
      <x:c r="F2199" s="48" t="str">
        <x:v>Sig, eng petals a Sree ee</x:v>
      </x:c>
      <x:c r="G2199" s="48" t="str">
        <x:v>Obligation</x:v>
      </x:c>
      <x:c r="H2199" s="48" t="str">
        <x:v>Shared</x:v>
      </x:c>
      <x:c r="I2199" s="48" t="n">
        <x:v>0.45</x:v>
      </x:c>
      <x:c r="J2199" s="48" t="n">
        <x:v>0.4</x:v>
      </x:c>
      <x:c r="K2199" s="48" t="str">
        <x:v>Yes</x:v>
      </x:c>
      <x:c r="L2199" s="48" t="str">
        <x:v>OCR</x:v>
      </x:c>
    </x:row>
    <x:row r="2200">
      <x:c r="A2200" s="48" t="str">
        <x:v>UNI-2199</x:v>
      </x:c>
      <x:c r="B2200" s="48" t="str">
        <x:v>ORANGE</x:v>
      </x:c>
      <x:c r="C2200" s="48" t="str">
        <x:v>English</x:v>
      </x:c>
      <x:c r="D2200" s="48" t="n">
        <x:v>22</x:v>
      </x:c>
      <x:c r="E2200" s="48" t="str"/>
      <x:c r="F2200" s="48" t="str">
        <x:v>a tn ge eset Cement</x:v>
      </x:c>
      <x:c r="G2200" s="48" t="str">
        <x:v>Obligation</x:v>
      </x:c>
      <x:c r="H2200" s="48" t="str">
        <x:v>Shared</x:v>
      </x:c>
      <x:c r="I2200" s="48" t="n">
        <x:v>0.45</x:v>
      </x:c>
      <x:c r="J2200" s="48" t="n">
        <x:v>0.4</x:v>
      </x:c>
      <x:c r="K2200" s="48" t="str">
        <x:v>Yes</x:v>
      </x:c>
      <x:c r="L2200" s="48" t="str">
        <x:v>OCR</x:v>
      </x:c>
    </x:row>
    <x:row r="2201">
      <x:c r="A2201" s="48" t="str">
        <x:v>UNI-2200</x:v>
      </x:c>
      <x:c r="B2201" s="48" t="str">
        <x:v>ORANGE</x:v>
      </x:c>
      <x:c r="C2201" s="48" t="str">
        <x:v>English</x:v>
      </x:c>
      <x:c r="D2201" s="48" t="n">
        <x:v>22</x:v>
      </x:c>
      <x:c r="E2201" s="48" t="str"/>
      <x:c r="F2201" s="48" t="str">
        <x:v>BiCeice sald ote oertbe cof of ng, tin</x:v>
      </x:c>
      <x:c r="G2201" s="48" t="str">
        <x:v>Obligation</x:v>
      </x:c>
      <x:c r="H2201" s="48" t="str">
        <x:v>Shared</x:v>
      </x:c>
      <x:c r="I2201" s="48" t="n">
        <x:v>0.45</x:v>
      </x:c>
      <x:c r="J2201" s="48" t="n">
        <x:v>0.4</x:v>
      </x:c>
      <x:c r="K2201" s="48" t="str">
        <x:v>Yes</x:v>
      </x:c>
      <x:c r="L2201" s="48" t="str">
        <x:v>OCR</x:v>
      </x:c>
    </x:row>
    <x:row r="2202">
      <x:c r="A2202" s="48" t="str">
        <x:v>UNI-2201</x:v>
      </x:c>
      <x:c r="B2202" s="48" t="str">
        <x:v>ORANGE</x:v>
      </x:c>
      <x:c r="C2202" s="48" t="str">
        <x:v>English</x:v>
      </x:c>
      <x:c r="D2202" s="48" t="n">
        <x:v>22</x:v>
      </x:c>
      <x:c r="E2202" s="48" t="str"/>
      <x:c r="F2202" s="48" t="str">
        <x:v>‘Teoma iia eal in ser ing fen ees. repo the one he Enpoye apes ceric he Coc hl</x:v>
      </x:c>
      <x:c r="G2202" s="48" t="str">
        <x:v>Obligation</x:v>
      </x:c>
      <x:c r="H2202" s="48" t="str">
        <x:v>Shared</x:v>
      </x:c>
      <x:c r="I2202" s="48" t="n">
        <x:v>0.45</x:v>
      </x:c>
      <x:c r="J2202" s="48" t="n">
        <x:v>0.4</x:v>
      </x:c>
      <x:c r="K2202" s="48" t="str">
        <x:v>Yes</x:v>
      </x:c>
      <x:c r="L2202" s="48" t="str">
        <x:v>OCR</x:v>
      </x:c>
    </x:row>
    <x:row r="2203">
      <x:c r="A2203" s="48" t="str">
        <x:v>UNI-2202</x:v>
      </x:c>
      <x:c r="B2203" s="48" t="str">
        <x:v>ORANGE</x:v>
      </x:c>
      <x:c r="C2203" s="48" t="str">
        <x:v>English</x:v>
      </x:c>
      <x:c r="D2203" s="48" t="n">
        <x:v>22</x:v>
      </x:c>
      <x:c r="E2203" s="48" t="str"/>
      <x:c r="F2203" s="48" t="str">
        <x:v>SSE wy sinaor wich mieten wl</x:v>
      </x:c>
      <x:c r="G2203" s="48" t="str">
        <x:v>Obligation</x:v>
      </x:c>
      <x:c r="H2203" s="48" t="str">
        <x:v>Shared</x:v>
      </x:c>
      <x:c r="I2203" s="48" t="n">
        <x:v>0.45</x:v>
      </x:c>
      <x:c r="J2203" s="48" t="n">
        <x:v>0.4</x:v>
      </x:c>
      <x:c r="K2203" s="48" t="str">
        <x:v>Yes</x:v>
      </x:c>
      <x:c r="L2203" s="48" t="str">
        <x:v>OCR</x:v>
      </x:c>
    </x:row>
    <x:row r="2204">
      <x:c r="A2204" s="48" t="str">
        <x:v>UNI-2203</x:v>
      </x:c>
      <x:c r="B2204" s="48" t="str">
        <x:v>ORANGE</x:v>
      </x:c>
      <x:c r="C2204" s="48" t="str">
        <x:v>English</x:v>
      </x:c>
      <x:c r="D2204" s="48" t="n">
        <x:v>22</x:v>
      </x:c>
      <x:c r="E2204" s="48" t="str"/>
      <x:c r="F2204" s="48" t="str">
        <x:v>‘Coach pene Engle sh renomble seri he Bae</x:v>
      </x:c>
      <x:c r="G2204" s="48" t="str">
        <x:v>Obligation</x:v>
      </x:c>
      <x:c r="H2204" s="48" t="str">
        <x:v>Shared</x:v>
      </x:c>
      <x:c r="I2204" s="48" t="n">
        <x:v>0.45</x:v>
      </x:c>
      <x:c r="J2204" s="48" t="n">
        <x:v>0.4</x:v>
      </x:c>
      <x:c r="K2204" s="48" t="str">
        <x:v>Yes</x:v>
      </x:c>
      <x:c r="L2204" s="48" t="str">
        <x:v>OCR</x:v>
      </x:c>
    </x:row>
    <x:row r="2205">
      <x:c r="A2205" s="48" t="str">
        <x:v>UNI-2204</x:v>
      </x:c>
      <x:c r="B2205" s="48" t="str">
        <x:v>ORANGE</x:v>
      </x:c>
      <x:c r="C2205" s="48" t="str">
        <x:v>English</x:v>
      </x:c>
      <x:c r="D2205" s="48" t="n">
        <x:v>22</x:v>
      </x:c>
      <x:c r="E2205" s="48" t="str"/>
      <x:c r="F2205" s="48" t="str">
        <x:v>Stir sen lh fos anoun hich an seamen of Be</x:v>
      </x:c>
      <x:c r="G2205" s="48" t="str">
        <x:v>Obligation</x:v>
      </x:c>
      <x:c r="H2205" s="48" t="str">
        <x:v>Shared</x:v>
      </x:c>
      <x:c r="I2205" s="48" t="n">
        <x:v>0.45</x:v>
      </x:c>
      <x:c r="J2205" s="48" t="n">
        <x:v>0.4</x:v>
      </x:c>
      <x:c r="K2205" s="48" t="str">
        <x:v>Yes</x:v>
      </x:c>
      <x:c r="L2205" s="48" t="str">
        <x:v>OCR</x:v>
      </x:c>
    </x:row>
    <x:row r="2206">
      <x:c r="A2206" s="48" t="str">
        <x:v>UNI-2205</x:v>
      </x:c>
      <x:c r="B2206" s="48" t="str">
        <x:v>ORANGE</x:v>
      </x:c>
      <x:c r="C2206" s="48" t="str">
        <x:v>English</x:v>
      </x:c>
      <x:c r="D2206" s="48" t="n">
        <x:v>22</x:v>
      </x:c>
      <x:c r="E2206" s="48" t="str"/>
      <x:c r="F2206" s="48" t="str">
        <x:v>‘eye dagen shes sn con or wh te Egle ‘SERTING cath ne ety ter ub Chase pes</x:v>
      </x:c>
      <x:c r="G2206" s="48" t="str">
        <x:v>Obligation</x:v>
      </x:c>
      <x:c r="H2206" s="48" t="str">
        <x:v>Shared</x:v>
      </x:c>
      <x:c r="I2206" s="48" t="n">
        <x:v>0.45</x:v>
      </x:c>
      <x:c r="J2206" s="48" t="n">
        <x:v>0.4</x:v>
      </x:c>
      <x:c r="K2206" s="48" t="str">
        <x:v>Yes</x:v>
      </x:c>
      <x:c r="L2206" s="48" t="str">
        <x:v>OCR</x:v>
      </x:c>
    </x:row>
    <x:row r="2207">
      <x:c r="A2207" s="48" t="str">
        <x:v>UNI-2206</x:v>
      </x:c>
      <x:c r="B2207" s="48" t="str">
        <x:v>ORANGE</x:v>
      </x:c>
      <x:c r="C2207" s="48" t="str">
        <x:v>English</x:v>
      </x:c>
      <x:c r="D2207" s="48" t="n">
        <x:v>23</x:v>
      </x:c>
      <x:c r="E2207" s="48" t="str"/>
      <x:c r="F2207" s="48" t="str">
        <x:v>The Egle at he oes a sof th Cara asst him in</x:v>
      </x:c>
      <x:c r="G2207" s="48" t="str">
        <x:v>Obligation</x:v>
      </x:c>
      <x:c r="H2207" s="48" t="str">
        <x:v>Shared</x:v>
      </x:c>
      <x:c r="I2207" s="48" t="n">
        <x:v>0.45</x:v>
      </x:c>
      <x:c r="J2207" s="48" t="n">
        <x:v>0.4</x:v>
      </x:c>
      <x:c r="K2207" s="48" t="str">
        <x:v>Yes</x:v>
      </x:c>
      <x:c r="L2207" s="48" t="str">
        <x:v>OCR</x:v>
      </x:c>
    </x:row>
    <x:row r="2208">
      <x:c r="A2208" s="48" t="str">
        <x:v>UNI-2207</x:v>
      </x:c>
      <x:c r="B2208" s="48" t="str">
        <x:v>ORANGE</x:v>
      </x:c>
      <x:c r="C2208" s="48" t="str">
        <x:v>English</x:v>
      </x:c>
      <x:c r="D2208" s="48" t="n">
        <x:v>23</x:v>
      </x:c>
      <x:c r="E2208" s="48" t="str"/>
      <x:c r="F2208" s="48" t="str">
        <x:v>Se yh onl pa tb</x:v>
      </x:c>
      <x:c r="G2208" s="48" t="str">
        <x:v>Obligation</x:v>
      </x:c>
      <x:c r="H2208" s="48" t="str">
        <x:v>Shared</x:v>
      </x:c>
      <x:c r="I2208" s="48" t="n">
        <x:v>0.45</x:v>
      </x:c>
      <x:c r="J2208" s="48" t="n">
        <x:v>0.4</x:v>
      </x:c>
      <x:c r="K2208" s="48" t="str">
        <x:v>Yes</x:v>
      </x:c>
      <x:c r="L2208" s="48" t="str">
        <x:v>OCR</x:v>
      </x:c>
    </x:row>
    <x:row r="2209">
      <x:c r="A2209" s="48" t="str">
        <x:v>UNI-2208</x:v>
      </x:c>
      <x:c r="B2209" s="48" t="str">
        <x:v>ORANGE</x:v>
      </x:c>
      <x:c r="C2209" s="48" t="str">
        <x:v>English</x:v>
      </x:c>
      <x:c r="D2209" s="48" t="n">
        <x:v>23</x:v>
      </x:c>
      <x:c r="E2209" s="48" t="str">
        <x:v>6</x:v>
      </x:c>
      <x:c r="F2209" s="48" t="str">
        <x:v>6 Staff'and Labour</x:v>
      </x:c>
      <x:c r="G2209" s="48" t="str">
        <x:v>Heading</x:v>
      </x:c>
      <x:c r="H2209" s="48" t="str"/>
      <x:c r="I2209" s="48" t="n">
        <x:v>0.9</x:v>
      </x:c>
      <x:c r="J2209" s="48" t="n">
        <x:v>0.99</x:v>
      </x:c>
      <x:c r="K2209" s="48" t="str">
        <x:v>No</x:v>
      </x:c>
      <x:c r="L2209" s="48" t="str">
        <x:v>OCR</x:v>
      </x:c>
    </x:row>
    <x:row r="2210">
      <x:c r="A2210" s="48" t="str">
        <x:v>UNI-2209</x:v>
      </x:c>
      <x:c r="B2210" s="48" t="str">
        <x:v>ORANGE</x:v>
      </x:c>
      <x:c r="C2210" s="48" t="str">
        <x:v>English</x:v>
      </x:c>
      <x:c r="D2210" s="48" t="n">
        <x:v>23</x:v>
      </x:c>
      <x:c r="E2210" s="48" t="str"/>
      <x:c r="F2210" s="48" t="str">
        <x:v>ttt 61 The Conall mae hs orn amnganent rth engage ol a ed Labour ibaa trea or py ng. eng at os Condon {Es fvourai han ons oti forthe ws ory where he work</x:v>
      </x:c>
      <x:c r="G2210" s="48" t="str">
        <x:v>Obligation</x:v>
      </x:c>
      <x:c r="H2210" s="48" t="str">
        <x:v>Shared</x:v>
      </x:c>
      <x:c r="I2210" s="48" t="n">
        <x:v>0.45</x:v>
      </x:c>
      <x:c r="J2210" s="48" t="n">
        <x:v>0.4</x:v>
      </x:c>
      <x:c r="K2210" s="48" t="str">
        <x:v>Yes</x:v>
      </x:c>
      <x:c r="L2210" s="48" t="str">
        <x:v>OCR</x:v>
      </x:c>
    </x:row>
    <x:row r="2211">
      <x:c r="A2211" s="48" t="str">
        <x:v>UNI-2210</x:v>
      </x:c>
      <x:c r="B2211" s="48" t="str">
        <x:v>ORANGE</x:v>
      </x:c>
      <x:c r="C2211" s="48" t="str">
        <x:v>English</x:v>
      </x:c>
      <x:c r="D2211" s="48" t="n">
        <x:v>23</x:v>
      </x:c>
      <x:c r="E2211" s="48" t="str"/>
      <x:c r="F2211" s="48" t="str">
        <x:v>Taieer ir cared et If cach slid mace or oats apie the</x:v>
      </x:c>
      <x:c r="G2211" s="48" t="str">
        <x:v>Obligation</x:v>
      </x:c>
      <x:c r="H2211" s="48" t="str">
        <x:v>Shared</x:v>
      </x:c>
      <x:c r="I2211" s="48" t="n">
        <x:v>0.45</x:v>
      </x:c>
      <x:c r="J2211" s="48" t="n">
        <x:v>0.4</x:v>
      </x:c>
      <x:c r="K2211" s="48" t="str">
        <x:v>Yes</x:v>
      </x:c>
      <x:c r="L2211" s="48" t="str">
        <x:v>OCR</x:v>
      </x:c>
    </x:row>
    <x:row r="2212">
      <x:c r="A2212" s="48" t="str">
        <x:v>UNI-2211</x:v>
      </x:c>
      <x:c r="B2212" s="48" t="str">
        <x:v>ORANGE</x:v>
      </x:c>
      <x:c r="C2212" s="48" t="str">
        <x:v>English</x:v>
      </x:c>
      <x:c r="D2212" s="48" t="n">
        <x:v>23</x:v>
      </x:c>
      <x:c r="E2212" s="48" t="str"/>
      <x:c r="F2212" s="48" t="str">
        <x:v>(Comme sl py tr waged ne cones nots eb ‘hn pra et of moe an cnn ster yee Me lo ty st te Come erseminthe 63.</x:v>
      </x:c>
      <x:c r="G2212" s="48" t="str">
        <x:v>Obligation</x:v>
      </x:c>
      <x:c r="H2212" s="48" t="str">
        <x:v>Shared</x:v>
      </x:c>
      <x:c r="I2212" s="48" t="n">
        <x:v>0.45</x:v>
      </x:c>
      <x:c r="J2212" s="48" t="n">
        <x:v>0.4</x:v>
      </x:c>
      <x:c r="K2212" s="48" t="str">
        <x:v>Yes</x:v>
      </x:c>
      <x:c r="L2212" s="48" t="str">
        <x:v>OCR</x:v>
      </x:c>
    </x:row>
    <x:row r="2213">
      <x:c r="A2213" s="48" t="str">
        <x:v>UNI-2212</x:v>
      </x:c>
      <x:c r="B2213" s="48" t="str">
        <x:v>ORANGE</x:v>
      </x:c>
      <x:c r="C2213" s="48" t="str">
        <x:v>English</x:v>
      </x:c>
      <x:c r="D2213" s="48" t="n">
        <x:v>23</x:v>
      </x:c>
      <x:c r="E2213" s="48" t="str"/>
      <x:c r="F2213" s="48" t="str">
        <x:v>TheContat ll at etree outs sf an bu om serccetOers mong pron ne sense athe Emperor th Enger</x:v>
      </x:c>
      <x:c r="G2213" s="48" t="str">
        <x:v>Obligation</x:v>
      </x:c>
      <x:c r="H2213" s="48" t="str">
        <x:v>Shared</x:v>
      </x:c>
      <x:c r="I2213" s="48" t="n">
        <x:v>0.45</x:v>
      </x:c>
      <x:c r="J2213" s="48" t="n">
        <x:v>0.4</x:v>
      </x:c>
      <x:c r="K2213" s="48" t="str">
        <x:v>Yes</x:v>
      </x:c>
      <x:c r="L2213" s="48" t="str">
        <x:v>OCR</x:v>
      </x:c>
    </x:row>
    <x:row r="2214">
      <x:c r="A2214" s="48" t="str">
        <x:v>UNI-2213</x:v>
      </x:c>
      <x:c r="B2214" s="48" t="str">
        <x:v>ORANGE</x:v>
      </x:c>
      <x:c r="C2214" s="48" t="str">
        <x:v>English</x:v>
      </x:c>
      <x:c r="D2214" s="48" t="n">
        <x:v>23</x:v>
      </x:c>
      <x:c r="E2214" s="48" t="str"/>
      <x:c r="F2214" s="48" t="str">
        <x:v>Reyenenave</x:v>
      </x:c>
      <x:c r="G2214" s="48" t="str">
        <x:v>Obligation</x:v>
      </x:c>
      <x:c r="H2214" s="48" t="str">
        <x:v>Shared</x:v>
      </x:c>
      <x:c r="I2214" s="48" t="n">
        <x:v>0.45</x:v>
      </x:c>
      <x:c r="J2214" s="48" t="n">
        <x:v>0.4</x:v>
      </x:c>
      <x:c r="K2214" s="48" t="str">
        <x:v>Yes</x:v>
      </x:c>
      <x:c r="L2214" s="48" t="str">
        <x:v>OCR</x:v>
      </x:c>
    </x:row>
    <x:row r="2215">
      <x:c r="A2215" s="48" t="str">
        <x:v>UNI-2214</x:v>
      </x:c>
      <x:c r="B2215" s="48" t="str">
        <x:v>ORANGE</x:v>
      </x:c>
      <x:c r="C2215" s="48" t="str">
        <x:v>English</x:v>
      </x:c>
      <x:c r="D2215" s="48" t="n">
        <x:v>23</x:v>
      </x:c>
      <x:c r="E2215" s="48" t="str"/>
      <x:c r="F2215" s="48" t="str">
        <x:v>Atour Laws 64 The Conrcr lip will he eka tapping 6s eg a Te pe nd Working Haars 6S.</x:v>
      </x:c>
      <x:c r="G2215" s="48" t="str">
        <x:v>Obligation</x:v>
      </x:c>
      <x:c r="H2215" s="48" t="str">
        <x:v>Shared</x:v>
      </x:c>
      <x:c r="I2215" s="48" t="n">
        <x:v>0.45</x:v>
      </x:c>
      <x:c r="J2215" s="48" t="n">
        <x:v>0.4</x:v>
      </x:c>
      <x:c r="K2215" s="48" t="str">
        <x:v>Yes</x:v>
      </x:c>
      <x:c r="L2215" s="48" t="str">
        <x:v>OCR</x:v>
      </x:c>
    </x:row>
    <x:row r="2216">
      <x:c r="A2216" s="48" t="str">
        <x:v>UNI-2215</x:v>
      </x:c>
      <x:c r="B2216" s="48" t="str">
        <x:v>ORANGE</x:v>
      </x:c>
      <x:c r="C2216" s="48" t="str">
        <x:v>English</x:v>
      </x:c>
      <x:c r="D2216" s="48" t="n">
        <x:v>23</x:v>
      </x:c>
      <x:c r="E2216" s="48" t="str"/>
      <x:c r="F2216" s="48" t="str">
        <x:v>No wot tal ec to he Si se eal whi as</x:v>
      </x:c>
      <x:c r="G2216" s="48" t="str">
        <x:v>Obligation</x:v>
      </x:c>
      <x:c r="H2216" s="48" t="str">
        <x:v>Shared</x:v>
      </x:c>
      <x:c r="I2216" s="48" t="n">
        <x:v>0.45</x:v>
      </x:c>
      <x:c r="J2216" s="48" t="n">
        <x:v>0.4</x:v>
      </x:c>
      <x:c r="K2216" s="48" t="str">
        <x:v>Yes</x:v>
      </x:c>
      <x:c r="L2216" s="48" t="str">
        <x:v>OCR</x:v>
      </x:c>
    </x:row>
    <x:row r="2217">
      <x:c r="A2217" s="48" t="str">
        <x:v>UNI-2216</x:v>
      </x:c>
      <x:c r="B2217" s="48" t="str">
        <x:v>ORANGE</x:v>
      </x:c>
      <x:c r="C2217" s="48" t="str">
        <x:v>English</x:v>
      </x:c>
      <x:c r="D2217" s="48" t="n">
        <x:v>23</x:v>
      </x:c>
      <x:c r="E2217" s="48" t="str"/>
      <x:c r="F2217" s="48" t="str">
        <x:v>SST agp Wa ro aay wc i fw</x:v>
      </x:c>
      <x:c r="G2217" s="48" t="str">
        <x:v>Obligation</x:v>
      </x:c>
      <x:c r="H2217" s="48" t="str">
        <x:v>Shared</x:v>
      </x:c>
      <x:c r="I2217" s="48" t="n">
        <x:v>0.45</x:v>
      </x:c>
      <x:c r="J2217" s="48" t="n">
        <x:v>0.4</x:v>
      </x:c>
      <x:c r="K2217" s="48" t="str">
        <x:v>Yes</x:v>
      </x:c>
      <x:c r="L2217" s="48" t="str">
        <x:v>OCR</x:v>
      </x:c>
    </x:row>
    <x:row r="2218">
      <x:c r="A2218" s="48" t="str">
        <x:v>UNI-2217</x:v>
      </x:c>
      <x:c r="B2218" s="48" t="str">
        <x:v>ORANGE</x:v>
      </x:c>
      <x:c r="C2218" s="48" t="str">
        <x:v>English</x:v>
      </x:c>
      <x:c r="D2218" s="48" t="n">
        <x:v>23</x:v>
      </x:c>
      <x:c r="E2218" s="48" t="str"/>
      <x:c r="F2218" s="48" t="str">
        <x:v>(te Conn 0 rides, (©) works marovbe, omc fe he sno ea open o {friesicy ot Wen mnbch a Coc sha nei Sh te Eapyers Repeat.</x:v>
      </x:c>
      <x:c r="G2218" s="48" t="str">
        <x:v>Obligation</x:v>
      </x:c>
      <x:c r="H2218" s="48" t="str">
        <x:v>Shared</x:v>
      </x:c>
      <x:c r="I2218" s="48" t="n">
        <x:v>0.45</x:v>
      </x:c>
      <x:c r="J2218" s="48" t="n">
        <x:v>0.4</x:v>
      </x:c>
      <x:c r="K2218" s="48" t="str">
        <x:v>Yes</x:v>
      </x:c>
      <x:c r="L2218" s="48" t="str">
        <x:v>OCR</x:v>
      </x:c>
    </x:row>
    <x:row r="2219">
      <x:c r="A2219" s="48" t="str">
        <x:v>UNI-2218</x:v>
      </x:c>
      <x:c r="B2219" s="48" t="str">
        <x:v>ORANGE</x:v>
      </x:c>
      <x:c r="C2219" s="48" t="str">
        <x:v>English</x:v>
      </x:c>
      <x:c r="D2219" s="48" t="n">
        <x:v>23</x:v>
      </x:c>
      <x:c r="E2219" s="48" t="str"/>
      <x:c r="F2219" s="48" t="str">
        <x:v>(6 empty Repeater is coe acts or Stata erie ini Pa te Cntr rove at mini dtatowt “recy arcommotisn sad were cis oe MS (and hes Sob (pei ate Engrs Requumen, fr he plea Elo</x:v>
      </x:c>
      <x:c r="G2219" s="48" t="str">
        <x:v>Obligation</x:v>
      </x:c>
      <x:c r="H2219" s="48" t="str">
        <x:v>Shared</x:v>
      </x:c>
      <x:c r="I2219" s="48" t="n">
        <x:v>0.45</x:v>
      </x:c>
      <x:c r="J2219" s="48" t="n">
        <x:v>0.4</x:v>
      </x:c>
      <x:c r="K2219" s="48" t="str">
        <x:v>Yes</x:v>
      </x:c>
      <x:c r="L2219" s="48" t="str">
        <x:v>OCR</x:v>
      </x:c>
    </x:row>
    <x:row r="2220">
      <x:c r="A2220" s="48" t="str">
        <x:v>UNI-2219</x:v>
      </x:c>
      <x:c r="B2220" s="48" t="str">
        <x:v>ORANGE</x:v>
      </x:c>
      <x:c r="C2220" s="48" t="str">
        <x:v>English</x:v>
      </x:c>
      <x:c r="D2220" s="48" t="n">
        <x:v>23</x:v>
      </x:c>
      <x:c r="E2220" s="48" t="str"/>
      <x:c r="F2220" s="48" t="str">
        <x:v>Spcenines poset Te Coun hal pe yf</x:v>
      </x:c>
      <x:c r="G2220" s="48" t="str">
        <x:v>Obligation</x:v>
      </x:c>
      <x:c r="H2220" s="48" t="str">
        <x:v>Shared</x:v>
      </x:c>
      <x:c r="I2220" s="48" t="n">
        <x:v>0.45</x:v>
      </x:c>
      <x:c r="J2220" s="48" t="n">
        <x:v>0.4</x:v>
      </x:c>
      <x:c r="K2220" s="48" t="str">
        <x:v>Yes</x:v>
      </x:c>
      <x:c r="L2220" s="48" t="str">
        <x:v>OCR</x:v>
      </x:c>
    </x:row>
    <x:row r="2221">
      <x:c r="A2221" s="48" t="str">
        <x:v>UNI-2220</x:v>
      </x:c>
      <x:c r="B2221" s="48" t="str">
        <x:v>ORANGE</x:v>
      </x:c>
      <x:c r="C2221" s="48" t="str">
        <x:v>English</x:v>
      </x:c>
      <x:c r="D2221" s="48" t="n">
        <x:v>23</x:v>
      </x:c>
      <x:c r="E2221" s="48" t="str"/>
      <x:c r="F2221" s="48" t="str">
        <x:v>“pues mati ay perry ope nig ae hin ‘Sur: lamin tote Ws Meath and Sey 7 Pecos al hn ye ocr sah ah ae ey {urement al eh etic, tae at ea al {icy oct pan anne see eae common ‘Simi Seem lunes so se arangernt we nae fo a ‘ecm wefe an hypne tg eter te prvetion of ‘in Ti Comoran aula prs concer ‘at ley sed wee of erm an danape Soper a</x:v>
      </x:c>
      <x:c r="G2221" s="48" t="str">
        <x:v>Obligation</x:v>
      </x:c>
      <x:c r="H2221" s="48" t="str">
        <x:v>Shared</x:v>
      </x:c>
      <x:c r="I2221" s="48" t="n">
        <x:v>0.45</x:v>
      </x:c>
      <x:c r="J2221" s="48" t="n">
        <x:v>0.4</x:v>
      </x:c>
      <x:c r="K2221" s="48" t="str">
        <x:v>Yes</x:v>
      </x:c>
      <x:c r="L2221" s="48" t="str">
        <x:v>OCR</x:v>
      </x:c>
    </x:row>
    <x:row r="2222">
      <x:c r="A2222" s="48" t="str">
        <x:v>UNI-2221</x:v>
      </x:c>
      <x:c r="B2222" s="48" t="str">
        <x:v>ORANGE</x:v>
      </x:c>
      <x:c r="C2222" s="48" t="str">
        <x:v>English</x:v>
      </x:c>
      <x:c r="D2222" s="48" t="n">
        <x:v>23</x:v>
      </x:c>
      <x:c r="E2222" s="48" t="str"/>
      <x:c r="F2222" s="48" t="str">
        <x:v>Ener Repewsuve may ease</x:v>
      </x:c>
      <x:c r="G2222" s="48" t="str">
        <x:v>Right</x:v>
      </x:c>
      <x:c r="H2222" s="48" t="str">
        <x:v>Shared</x:v>
      </x:c>
      <x:c r="I2222" s="48" t="n">
        <x:v>0.78</x:v>
      </x:c>
      <x:c r="J2222" s="48" t="n">
        <x:v>0.4</x:v>
      </x:c>
      <x:c r="K2222" s="48" t="str">
        <x:v>Yes</x:v>
      </x:c>
      <x:c r="L2222" s="48" t="str">
        <x:v>OCR</x:v>
      </x:c>
    </x:row>
    <x:row r="2223">
      <x:c r="A2223" s="48" t="str">
        <x:v>UNI-2222</x:v>
      </x:c>
      <x:c r="B2223" s="48" t="str">
        <x:v>ORANGE</x:v>
      </x:c>
      <x:c r="C2223" s="48" t="str">
        <x:v>English</x:v>
      </x:c>
      <x:c r="D2223" s="48" t="n">
        <x:v>24</x:v>
      </x:c>
      <x:c r="E2223" s="48" t="str"/>
      <x:c r="F2223" s="48" t="str">
        <x:v>‘To Coarac allege</x:v>
      </x:c>
      <x:c r="G2223" s="48" t="str">
        <x:v>Obligation</x:v>
      </x:c>
      <x:c r="H2223" s="48" t="str">
        <x:v>Shared</x:v>
      </x:c>
      <x:c r="I2223" s="48" t="n">
        <x:v>0.45</x:v>
      </x:c>
      <x:c r="J2223" s="48" t="n">
        <x:v>0.4</x:v>
      </x:c>
      <x:c r="K2223" s="48" t="str">
        <x:v>Yes</x:v>
      </x:c>
      <x:c r="L2223" s="48" t="str">
        <x:v>OCR</x:v>
      </x:c>
    </x:row>
    <x:row r="2224">
      <x:c r="A2224" s="48" t="str">
        <x:v>UNI-2223</x:v>
      </x:c>
      <x:c r="B2224" s="48" t="str">
        <x:v>ORANGE</x:v>
      </x:c>
      <x:c r="C2224" s="48" t="str">
        <x:v>English</x:v>
      </x:c>
      <x:c r="D2224" s="48" t="n">
        <x:v>24</x:v>
      </x:c>
      <x:c r="E2224" s="48" t="str"/>
      <x:c r="F2224" s="48" t="str">
        <x:v>ToS tend grea op aces, f pene on the</x:v>
      </x:c>
      <x:c r="G2224" s="48" t="str">
        <x:v>Obligation</x:v>
      </x:c>
      <x:c r="H2224" s="48" t="str">
        <x:v>Shared</x:v>
      </x:c>
      <x:c r="I2224" s="48" t="n">
        <x:v>0.45</x:v>
      </x:c>
      <x:c r="J2224" s="48" t="n">
        <x:v>0.4</x:v>
      </x:c>
      <x:c r="K2224" s="48" t="str">
        <x:v>Yes</x:v>
      </x:c>
      <x:c r="L2224" s="48" t="str">
        <x:v>OCR</x:v>
      </x:c>
    </x:row>
    <x:row r="2225">
      <x:c r="A2225" s="48" t="str">
        <x:v>UNI-2224</x:v>
      </x:c>
      <x:c r="B2225" s="48" t="str">
        <x:v>ORANGE</x:v>
      </x:c>
      <x:c r="C2225" s="48" t="str">
        <x:v>English</x:v>
      </x:c>
      <x:c r="D2225" s="48" t="n">
        <x:v>24</x:v>
      </x:c>
      <x:c r="E2225" s="48" t="str"/>
      <x:c r="F2225" s="48" t="str">
        <x:v>rE tgs hs tk an le e ory</x:v>
      </x:c>
      <x:c r="G2225" s="48" t="str">
        <x:v>Obligation</x:v>
      </x:c>
      <x:c r="H2225" s="48" t="str">
        <x:v>Shared</x:v>
      </x:c>
      <x:c r="I2225" s="48" t="n">
        <x:v>0.45</x:v>
      </x:c>
      <x:c r="J2225" s="48" t="n">
        <x:v>0.4</x:v>
      </x:c>
      <x:c r="K2225" s="48" t="str">
        <x:v>Yes</x:v>
      </x:c>
      <x:c r="L2225" s="48" t="str">
        <x:v>OCR</x:v>
      </x:c>
    </x:row>
    <x:row r="2226">
      <x:c r="A2226" s="48" t="str">
        <x:v>UNI-2225</x:v>
      </x:c>
      <x:c r="B2226" s="48" t="str">
        <x:v>ORANGE</x:v>
      </x:c>
      <x:c r="C2226" s="48" t="str">
        <x:v>English</x:v>
      </x:c>
      <x:c r="D2226" s="48" t="n">
        <x:v>24</x:v>
      </x:c>
      <x:c r="E2226" s="48" t="str"/>
      <x:c r="F2226" s="48" t="str">
        <x:v>Sc Meee septacne meee tps moh Pe</x:v>
      </x:c>
      <x:c r="G2226" s="48" t="str">
        <x:v>Obligation</x:v>
      </x:c>
      <x:c r="H2226" s="48" t="str">
        <x:v>Shared</x:v>
      </x:c>
      <x:c r="I2226" s="48" t="n">
        <x:v>0.45</x:v>
      </x:c>
      <x:c r="J2226" s="48" t="n">
        <x:v>0.4</x:v>
      </x:c>
      <x:c r="K2226" s="48" t="str">
        <x:v>Yes</x:v>
      </x:c>
      <x:c r="L2226" s="48" t="str">
        <x:v>OCR</x:v>
      </x:c>
    </x:row>
    <x:row r="2227">
      <x:c r="A2227" s="48" t="str">
        <x:v>UNI-2226</x:v>
      </x:c>
      <x:c r="B2227" s="48" t="str">
        <x:v>ORANGE</x:v>
      </x:c>
      <x:c r="C2227" s="48" t="str">
        <x:v>English</x:v>
      </x:c>
      <x:c r="D2227" s="48" t="n">
        <x:v>24</x:v>
      </x:c>
      <x:c r="E2227" s="48" t="str"/>
      <x:c r="F2227" s="48" t="str">
        <x:v>‘Coach obe Employees, ras ay secs ‘Sowa pnt srs ose, Ccamracers 4H The Cotes provi al messy opine in he ein soning, 825 Catt oe Wiis tm tn thee oe emmy ea wet ens hring agence oe operations 10 Be fein he ncn ions regu heads By</x:v>
      </x:c>
      <x:c r="G2227" s="48" t="str">
        <x:v>Obligation</x:v>
      </x:c>
      <x:c r="H2227" s="48" t="str">
        <x:v>Shared</x:v>
      </x:c>
      <x:c r="I2227" s="48" t="n">
        <x:v>0.45</x:v>
      </x:c>
      <x:c r="J2227" s="48" t="n">
        <x:v>0.4</x:v>
      </x:c>
      <x:c r="K2227" s="48" t="str">
        <x:v>Yes</x:v>
      </x:c>
      <x:c r="L2227" s="48" t="str">
        <x:v>OCR</x:v>
      </x:c>
    </x:row>
    <x:row r="2228">
      <x:c r="A2228" s="48" t="str">
        <x:v>UNI-2227</x:v>
      </x:c>
      <x:c r="B2228" s="48" t="str">
        <x:v>ORANGE</x:v>
      </x:c>
      <x:c r="C2228" s="48" t="str">
        <x:v>English</x:v>
      </x:c>
      <x:c r="D2228" s="48" t="n">
        <x:v>24</x:v>
      </x:c>
      <x:c r="E2228" s="48" t="str"/>
      <x:c r="F2228" s="48" t="str">
        <x:v>STS presnng en re hon ot</x:v>
      </x:c>
      <x:c r="G2228" s="48" t="str">
        <x:v>Obligation</x:v>
      </x:c>
      <x:c r="H2228" s="48" t="str">
        <x:v>Shared</x:v>
      </x:c>
      <x:c r="I2228" s="48" t="n">
        <x:v>0.45</x:v>
      </x:c>
      <x:c r="J2228" s="48" t="n">
        <x:v>0.4</x:v>
      </x:c>
      <x:c r="K2228" s="48" t="str">
        <x:v>Yes</x:v>
      </x:c>
      <x:c r="L2228" s="48" t="str">
        <x:v>OCR</x:v>
      </x:c>
    </x:row>
    <x:row r="2229">
      <x:c r="A2229" s="48" t="str">
        <x:v>UNI-2228</x:v>
      </x:c>
      <x:c r="B2229" s="48" t="str">
        <x:v>ORANGE</x:v>
      </x:c>
      <x:c r="C2229" s="48" t="str">
        <x:v>English</x:v>
      </x:c>
      <x:c r="D2229" s="48" t="n">
        <x:v>24</x:v>
      </x:c>
      <x:c r="E2229" s="48" t="str"/>
      <x:c r="F2229" s="48" t="str">
        <x:v>‘Si teat the Wo, ‘The Contac salen cae be cnet ey rans bo st que, ae an xprmed he eee ime fer te te smote ny prem cage on ers Cente Renna eo th Sen ‘te Empleper Repent 2 pres tney mto (&amp; tnieompers or mpieat inh perlomane W es, {o) falen conor wih ay pov te Cos,</x:v>
      </x:c>
      <x:c r="G2229" s="48" t="str">
        <x:v>Obligation</x:v>
      </x:c>
      <x:c r="H2229" s="48" t="str">
        <x:v>Shared</x:v>
      </x:c>
      <x:c r="I2229" s="48" t="n">
        <x:v>0.45</x:v>
      </x:c>
      <x:c r="J2229" s="48" t="n">
        <x:v>0.4</x:v>
      </x:c>
      <x:c r="K2229" s="48" t="str">
        <x:v>Yes</x:v>
      </x:c>
      <x:c r="L2229" s="48" t="str">
        <x:v>OCR</x:v>
      </x:c>
    </x:row>
    <x:row r="2230">
      <x:c r="A2230" s="48" t="str">
        <x:v>UNI-2229</x:v>
      </x:c>
      <x:c r="B2230" s="48" t="str">
        <x:v>ORANGE</x:v>
      </x:c>
      <x:c r="C2230" s="48" t="str">
        <x:v>English</x:v>
      </x:c>
      <x:c r="D2230" s="48" t="n">
        <x:v>24</x:v>
      </x:c>
      <x:c r="E2230" s="48" t="str"/>
      <x:c r="F2230" s="48" t="str">
        <x:v>Font fb more</x:v>
      </x:c>
      <x:c r="G2230" s="48" t="str">
        <x:v>Obligation</x:v>
      </x:c>
      <x:c r="H2230" s="48" t="str">
        <x:v>Shared</x:v>
      </x:c>
      <x:c r="I2230" s="48" t="n">
        <x:v>0.45</x:v>
      </x:c>
      <x:c r="J2230" s="48" t="n">
        <x:v>0.4</x:v>
      </x:c>
      <x:c r="K2230" s="48" t="str">
        <x:v>Yes</x:v>
      </x:c>
      <x:c r="L2230" s="48" t="str">
        <x:v>OCR</x:v>
      </x:c>
    </x:row>
    <x:row r="2231">
      <x:c r="A2231" s="48" t="str">
        <x:v>UNI-2230</x:v>
      </x:c>
      <x:c r="B2231" s="48" t="str">
        <x:v>ORANGE</x:v>
      </x:c>
      <x:c r="C2231" s="48" t="str">
        <x:v>English</x:v>
      </x:c>
      <x:c r="D2231" s="48" t="n">
        <x:v>24</x:v>
      </x:c>
      <x:c r="E2231" s="48" t="str"/>
      <x:c r="F2231" s="48" t="str">
        <x:v>tappoptan, be Cone sal ben aps orcs Be pie 2 ‘odie pce Fen. arety Couch 698 Tene ata ies hl ae can nay</x:v>
      </x:c>
      <x:c r="G2231" s="48" t="str">
        <x:v>Obligation</x:v>
      </x:c>
      <x:c r="H2231" s="48" t="str">
        <x:v>Shared</x:v>
      </x:c>
      <x:c r="I2231" s="48" t="n">
        <x:v>0.45</x:v>
      </x:c>
      <x:c r="J2231" s="48" t="n">
        <x:v>0.4</x:v>
      </x:c>
      <x:c r="K2231" s="48" t="str">
        <x:v>Yes</x:v>
      </x:c>
      <x:c r="L2231" s="48" t="str">
        <x:v>OCR</x:v>
      </x:c>
    </x:row>
    <x:row r="2232">
      <x:c r="A2232" s="48" t="str">
        <x:v>UNI-2231</x:v>
      </x:c>
      <x:c r="B2232" s="48" t="str">
        <x:v>ORANGE</x:v>
      </x:c>
      <x:c r="C2232" s="48" t="str">
        <x:v>English</x:v>
      </x:c>
      <x:c r="D2232" s="48" t="n">
        <x:v>24</x:v>
      </x:c>
      <x:c r="E2232" s="48" t="str"/>
      <x:c r="F2232" s="48" t="str">
        <x:v>TRS dow acy or am hn and</x:v>
      </x:c>
      <x:c r="G2232" s="48" t="str">
        <x:v>Obligation</x:v>
      </x:c>
      <x:c r="H2232" s="48" t="str">
        <x:v>Shared</x:v>
      </x:c>
      <x:c r="I2232" s="48" t="n">
        <x:v>0.45</x:v>
      </x:c>
      <x:c r="J2232" s="48" t="n">
        <x:v>0.4</x:v>
      </x:c>
      <x:c r="K2232" s="48" t="str">
        <x:v>Yes</x:v>
      </x:c>
      <x:c r="L2232" s="48" t="str">
        <x:v>OCR</x:v>
      </x:c>
    </x:row>
    <x:row r="2233">
      <x:c r="A2233" s="48" t="str">
        <x:v>UNI-2232</x:v>
      </x:c>
      <x:c r="B2233" s="48" t="str">
        <x:v>ORANGE</x:v>
      </x:c>
      <x:c r="C2233" s="48" t="str">
        <x:v>English</x:v>
      </x:c>
      <x:c r="D2233" s="48" t="n">
        <x:v>24</x:v>
      </x:c>
      <x:c r="E2233" s="48" t="str"/>
      <x:c r="F2233" s="48" t="str">
        <x:v>rane en recon por ed per ie ior?</x:v>
      </x:c>
      <x:c r="G2233" s="48" t="str">
        <x:v>Obligation</x:v>
      </x:c>
      <x:c r="H2233" s="48" t="str">
        <x:v>Shared</x:v>
      </x:c>
      <x:c r="I2233" s="48" t="n">
        <x:v>0.45</x:v>
      </x:c>
      <x:c r="J2233" s="48" t="n">
        <x:v>0.4</x:v>
      </x:c>
      <x:c r="K2233" s="48" t="str">
        <x:v>Yes</x:v>
      </x:c>
      <x:c r="L2233" s="48" t="str">
        <x:v>OCR</x:v>
      </x:c>
    </x:row>
    <x:row r="2234">
      <x:c r="A2234" s="48" t="str">
        <x:v>UNI-2233</x:v>
      </x:c>
      <x:c r="B2234" s="48" t="str">
        <x:v>ORANGE</x:v>
      </x:c>
      <x:c r="C2234" s="48" t="str">
        <x:v>English</x:v>
      </x:c>
      <x:c r="D2234" s="48" t="n">
        <x:v>24</x:v>
      </x:c>
      <x:c r="E2234" s="48" t="str"/>
      <x:c r="F2234" s="48" t="str">
        <x:v>(he Won gat cho Connors 63 ‘ewe</x:v>
      </x:c>
      <x:c r="G2234" s="48" t="str">
        <x:v>Obligation</x:v>
      </x:c>
      <x:c r="H2234" s="48" t="str">
        <x:v>Shared</x:v>
      </x:c>
      <x:c r="I2234" s="48" t="n">
        <x:v>0.45</x:v>
      </x:c>
      <x:c r="J2234" s="48" t="n">
        <x:v>0.4</x:v>
      </x:c>
      <x:c r="K2234" s="48" t="str">
        <x:v>Yes</x:v>
      </x:c>
      <x:c r="L2234" s="48" t="str">
        <x:v>OCR</x:v>
      </x:c>
    </x:row>
    <x:row r="2235">
      <x:c r="A2235" s="48" t="str">
        <x:v>UNI-2234</x:v>
      </x:c>
      <x:c r="B2235" s="48" t="str">
        <x:v>ORANGE</x:v>
      </x:c>
      <x:c r="C2235" s="48" t="str">
        <x:v>English</x:v>
      </x:c>
      <x:c r="D2235" s="48" t="n">
        <x:v>24</x:v>
      </x:c>
      <x:c r="E2235" s="48" t="str"/>
      <x:c r="F2235" s="48" t="str">
        <x:v>nner of 74-0 Meri esata mantic a wo Mamet 7 At fat be eed nthe mane te Cott, Wi</x:v>
      </x:c>
      <x:c r="G2235" s="48" t="str">
        <x:v>Obligation</x:v>
      </x:c>
      <x:c r="H2235" s="48" t="str">
        <x:v>Shared</x:v>
      </x:c>
      <x:c r="I2235" s="48" t="n">
        <x:v>0.45</x:v>
      </x:c>
      <x:c r="J2235" s="48" t="n">
        <x:v>0.4</x:v>
      </x:c>
      <x:c r="K2235" s="48" t="str">
        <x:v>Yes</x:v>
      </x:c>
      <x:c r="L2235" s="48" t="str">
        <x:v>OCR</x:v>
      </x:c>
    </x:row>
    <x:row r="2236">
      <x:c r="A2236" s="48" t="str">
        <x:v>UNI-2235</x:v>
      </x:c>
      <x:c r="B2236" s="48" t="str">
        <x:v>ORANGE</x:v>
      </x:c>
      <x:c r="C2236" s="48" t="str">
        <x:v>English</x:v>
      </x:c>
      <x:c r="D2236" s="48" t="n">
        <x:v>24</x:v>
      </x:c>
      <x:c r="E2236" s="48" t="str"/>
      <x:c r="F2236" s="48" t="str">
        <x:v>See austere ani ene wr he Cac wo</x:v>
      </x:c>
      <x:c r="G2236" s="48" t="str">
        <x:v>Obligation</x:v>
      </x:c>
      <x:c r="H2236" s="48" t="str">
        <x:v>Shared</x:v>
      </x:c>
      <x:c r="I2236" s="48" t="n">
        <x:v>0.45</x:v>
      </x:c>
      <x:c r="J2236" s="48" t="n">
        <x:v>0.4</x:v>
      </x:c>
      <x:c r="K2236" s="48" t="str">
        <x:v>Yes</x:v>
      </x:c>
      <x:c r="L2236" s="48" t="str">
        <x:v>OCR</x:v>
      </x:c>
    </x:row>
    <x:row r="2237">
      <x:c r="A2237" s="48" t="str">
        <x:v>UNI-2236</x:v>
      </x:c>
      <x:c r="B2237" s="48" t="str">
        <x:v>ORANGE</x:v>
      </x:c>
      <x:c r="C2237" s="48" t="str">
        <x:v>English</x:v>
      </x:c>
      <x:c r="D2237" s="48" t="n">
        <x:v>24</x:v>
      </x:c>
      <x:c r="E2237" s="48" t="str"/>
      <x:c r="F2237" s="48" t="str">
        <x:v>ans ype romani acl mac, ih ORS sane peace 0% enon Maca md in acoce ‘ogni gd praie 12. the Contac sl fe rape for proceenn. rset, hin</x:v>
      </x:c>
      <x:c r="G2237" s="48" t="str">
        <x:v>Obligation</x:v>
      </x:c>
      <x:c r="H2237" s="48" t="str">
        <x:v>Shared</x:v>
      </x:c>
      <x:c r="I2237" s="48" t="n">
        <x:v>0.45</x:v>
      </x:c>
      <x:c r="J2237" s="48" t="n">
        <x:v>0.4</x:v>
      </x:c>
      <x:c r="K2237" s="48" t="str">
        <x:v>Yes</x:v>
      </x:c>
      <x:c r="L2237" s="48" t="str">
        <x:v>OCR</x:v>
      </x:c>
    </x:row>
    <x:row r="2238">
      <x:c r="A2238" s="48" t="str">
        <x:v>UNI-2237</x:v>
      </x:c>
      <x:c r="B2238" s="48" t="str">
        <x:v>ORANGE</x:v>
      </x:c>
      <x:c r="C2238" s="48" t="str">
        <x:v>English</x:v>
      </x:c>
      <x:c r="D2238" s="48" t="n">
        <x:v>24</x:v>
      </x:c>
      <x:c r="E2238" s="48" t="str"/>
      <x:c r="F2238" s="48" t="str">
        <x:v>PR GaRT ae epngo a Pe Sari Cota spc a</x:v>
      </x:c>
      <x:c r="G2238" s="48" t="str">
        <x:v>Obligation</x:v>
      </x:c>
      <x:c r="H2238" s="48" t="str">
        <x:v>Shared</x:v>
      </x:c>
      <x:c r="I2238" s="48" t="n">
        <x:v>0.45</x:v>
      </x:c>
      <x:c r="J2238" s="48" t="n">
        <x:v>0.4</x:v>
      </x:c>
      <x:c r="K2238" s="48" t="str">
        <x:v>Yes</x:v>
      </x:c>
      <x:c r="L2238" s="48" t="str">
        <x:v>OCR</x:v>
      </x:c>
    </x:row>
    <x:row r="2239">
      <x:c r="A2239" s="48" t="str">
        <x:v>UNI-2238</x:v>
      </x:c>
      <x:c r="B2239" s="48" t="str">
        <x:v>ORANGE</x:v>
      </x:c>
      <x:c r="C2239" s="48" t="str">
        <x:v>English</x:v>
      </x:c>
      <x:c r="D2239" s="48" t="n">
        <x:v>24</x:v>
      </x:c>
      <x:c r="E2239" s="48" t="str"/>
      <x:c r="F2239" s="48" t="str">
        <x:v>Bests ream fe Wess</x:v>
      </x:c>
      <x:c r="G2239" s="48" t="str">
        <x:v>Obligation</x:v>
      </x:c>
      <x:c r="H2239" s="48" t="str">
        <x:v>Shared</x:v>
      </x:c>
      <x:c r="I2239" s="48" t="n">
        <x:v>0.45</x:v>
      </x:c>
      <x:c r="J2239" s="48" t="n">
        <x:v>0.4</x:v>
      </x:c>
      <x:c r="K2239" s="48" t="str">
        <x:v>Yes</x:v>
      </x:c>
      <x:c r="L2239" s="48" t="str">
        <x:v>OCR</x:v>
      </x:c>
    </x:row>
    <x:row r="2240">
      <x:c r="A2240" s="48" t="str">
        <x:v>UNI-2239</x:v>
      </x:c>
      <x:c r="B2240" s="48" t="str">
        <x:v>ORANGE</x:v>
      </x:c>
      <x:c r="C2240" s="48" t="str">
        <x:v>English</x:v>
      </x:c>
      <x:c r="D2240" s="48" t="n">
        <x:v>25</x:v>
      </x:c>
      <x:c r="E2240" s="48" t="str"/>
      <x:c r="F2240" s="48" t="str">
        <x:v>Inspcion 713.</x:v>
      </x:c>
      <x:c r="G2240" s="48" t="str">
        <x:v>Obligation</x:v>
      </x:c>
      <x:c r="H2240" s="48" t="str">
        <x:v>Shared</x:v>
      </x:c>
      <x:c r="I2240" s="48" t="n">
        <x:v>0.45</x:v>
      </x:c>
      <x:c r="J2240" s="48" t="n">
        <x:v>0.4</x:v>
      </x:c>
      <x:c r="K2240" s="48" t="str">
        <x:v>Yes</x:v>
      </x:c>
      <x:c r="L2240" s="48" t="str">
        <x:v>OCR</x:v>
      </x:c>
    </x:row>
    <x:row r="2241">
      <x:c r="A2241" s="48" t="str">
        <x:v>UNI-2240</x:v>
      </x:c>
      <x:c r="B2241" s="48" t="str">
        <x:v>ORANGE</x:v>
      </x:c>
      <x:c r="C2241" s="48" t="str">
        <x:v>English</x:v>
      </x:c>
      <x:c r="D2241" s="48" t="n">
        <x:v>25</x:v>
      </x:c>
      <x:c r="E2241" s="48" t="str"/>
      <x:c r="F2241" s="48" t="str">
        <x:v>The Engle nt te lovers Reps al be eit sing ‘ei cn py a hen</x:v>
      </x:c>
      <x:c r="G2241" s="48" t="str">
        <x:v>Obligation</x:v>
      </x:c>
      <x:c r="H2241" s="48" t="str">
        <x:v>Shared</x:v>
      </x:c>
      <x:c r="I2241" s="48" t="n">
        <x:v>0.45</x:v>
      </x:c>
      <x:c r="J2241" s="48" t="n">
        <x:v>0.4</x:v>
      </x:c>
      <x:c r="K2241" s="48" t="str">
        <x:v>Yes</x:v>
      </x:c>
      <x:c r="L2241" s="48" t="str">
        <x:v>OCR</x:v>
      </x:c>
    </x:row>
    <x:row r="2242">
      <x:c r="A2242" s="48" t="str">
        <x:v>UNI-2241</x:v>
      </x:c>
      <x:c r="B2242" s="48" t="str">
        <x:v>ORANGE</x:v>
      </x:c>
      <x:c r="C2242" s="48" t="str">
        <x:v>English</x:v>
      </x:c>
      <x:c r="D2242" s="48" t="n">
        <x:v>25</x:v>
      </x:c>
      <x:c r="E2242" s="48" t="str"/>
      <x:c r="F2242" s="48" t="str">
        <x:v>SSCs Sane at naa ar te ore</x:v>
      </x:c>
      <x:c r="G2242" s="48" t="str">
        <x:v>Obligation</x:v>
      </x:c>
      <x:c r="H2242" s="48" t="str">
        <x:v>Shared</x:v>
      </x:c>
      <x:c r="I2242" s="48" t="n">
        <x:v>0.45</x:v>
      </x:c>
      <x:c r="J2242" s="48" t="n">
        <x:v>0.4</x:v>
      </x:c>
      <x:c r="K2242" s="48" t="str">
        <x:v>Yes</x:v>
      </x:c>
      <x:c r="L2242" s="48" t="str">
        <x:v>OCR</x:v>
      </x:c>
    </x:row>
    <x:row r="2243">
      <x:c r="A2243" s="48" t="str">
        <x:v>UNI-2242</x:v>
      </x:c>
      <x:c r="B2243" s="48" t="str">
        <x:v>ORANGE</x:v>
      </x:c>
      <x:c r="C2243" s="48" t="str">
        <x:v>English</x:v>
      </x:c>
      <x:c r="D2243" s="48" t="n">
        <x:v>25</x:v>
      </x:c>
      <x:c r="E2243" s="48" t="str"/>
      <x:c r="F2243" s="48" t="str">
        <x:v>‘ere Te Corral gh al opty wpe ‘Saran sue anew) wo Ser shore</x:v>
      </x:c>
      <x:c r="G2243" s="48" t="str">
        <x:v>Obligation</x:v>
      </x:c>
      <x:c r="H2243" s="48" t="str">
        <x:v>Shared</x:v>
      </x:c>
      <x:c r="I2243" s="48" t="n">
        <x:v>0.45</x:v>
      </x:c>
      <x:c r="J2243" s="48" t="n">
        <x:v>0.4</x:v>
      </x:c>
      <x:c r="K2243" s="48" t="str">
        <x:v>Yes</x:v>
      </x:c>
      <x:c r="L2243" s="48" t="str">
        <x:v>OCR</x:v>
      </x:c>
    </x:row>
    <x:row r="2244">
      <x:c r="A2244" s="48" t="str">
        <x:v>UNI-2243</x:v>
      </x:c>
      <x:c r="B2244" s="48" t="str">
        <x:v>ORANGE</x:v>
      </x:c>
      <x:c r="C2244" s="48" t="str">
        <x:v>English</x:v>
      </x:c>
      <x:c r="D2244" s="48" t="n">
        <x:v>25</x:v>
      </x:c>
      <x:c r="E2244" s="48" t="str"/>
      <x:c r="F2244" s="48" t="str">
        <x:v>Season means</x:v>
      </x:c>
      <x:c r="G2244" s="48" t="str">
        <x:v>Obligation</x:v>
      </x:c>
      <x:c r="H2244" s="48" t="str">
        <x:v>Shared</x:v>
      </x:c>
      <x:c r="I2244" s="48" t="n">
        <x:v>0.45</x:v>
      </x:c>
      <x:c r="J2244" s="48" t="n">
        <x:v>0.4</x:v>
      </x:c>
      <x:c r="K2244" s="48" t="str">
        <x:v>Yes</x:v>
      </x:c>
      <x:c r="L2244" s="48" t="str">
        <x:v>OCR</x:v>
      </x:c>
    </x:row>
    <x:row r="2245">
      <x:c r="A2245" s="48" t="str">
        <x:v>UNI-2244</x:v>
      </x:c>
      <x:c r="B2245" s="48" t="str">
        <x:v>ORANGE</x:v>
      </x:c>
      <x:c r="C2245" s="48" t="str">
        <x:v>English</x:v>
      </x:c>
      <x:c r="D2245" s="48" t="n">
        <x:v>25</x:v>
      </x:c>
      <x:c r="E2245" s="48" t="str"/>
      <x:c r="F2245" s="48" t="str">
        <x:v>Teco ote ease ee as</x:v>
      </x:c>
      <x:c r="G2245" s="48" t="str">
        <x:v>Obligation</x:v>
      </x:c>
      <x:c r="H2245" s="48" t="str">
        <x:v>Shared</x:v>
      </x:c>
      <x:c r="I2245" s="48" t="n">
        <x:v>0.45</x:v>
      </x:c>
      <x:c r="J2245" s="48" t="n">
        <x:v>0.4</x:v>
      </x:c>
      <x:c r="K2245" s="48" t="str">
        <x:v>Yes</x:v>
      </x:c>
      <x:c r="L2245" s="48" t="str">
        <x:v>OCR</x:v>
      </x:c>
    </x:row>
    <x:row r="2246">
      <x:c r="A2246" s="48" t="str">
        <x:v>UNI-2245</x:v>
      </x:c>
      <x:c r="B2246" s="48" t="str">
        <x:v>ORANGE</x:v>
      </x:c>
      <x:c r="C2246" s="48" t="str">
        <x:v>English</x:v>
      </x:c>
      <x:c r="D2246" s="48" t="n">
        <x:v>25</x:v>
      </x:c>
      <x:c r="E2246" s="48" t="str"/>
      <x:c r="F2246" s="48" t="str">
        <x:v>Soaeatmernes:</x:v>
      </x:c>
      <x:c r="G2246" s="48" t="str">
        <x:v>Obligation</x:v>
      </x:c>
      <x:c r="H2246" s="48" t="str">
        <x:v>Shared</x:v>
      </x:c>
      <x:c r="I2246" s="48" t="n">
        <x:v>0.45</x:v>
      </x:c>
      <x:c r="J2246" s="48" t="n">
        <x:v>0.4</x:v>
      </x:c>
      <x:c r="K2246" s="48" t="str">
        <x:v>Yes</x:v>
      </x:c>
      <x:c r="L2246" s="48" t="str">
        <x:v>OCR</x:v>
      </x:c>
    </x:row>
    <x:row r="2247">
      <x:c r="A2247" s="48" t="str">
        <x:v>UNI-2246</x:v>
      </x:c>
      <x:c r="B2247" s="48" t="str">
        <x:v>ORANGE</x:v>
      </x:c>
      <x:c r="C2247" s="48" t="str">
        <x:v>English</x:v>
      </x:c>
      <x:c r="D2247" s="48" t="n">
        <x:v>25</x:v>
      </x:c>
      <x:c r="E2247" s="48" t="str"/>
      <x:c r="F2247" s="48" t="str">
        <x:v>Sie eer nee</x:v>
      </x:c>
      <x:c r="G2247" s="48" t="str">
        <x:v>Obligation</x:v>
      </x:c>
      <x:c r="H2247" s="48" t="str">
        <x:v>Shared</x:v>
      </x:c>
      <x:c r="I2247" s="48" t="n">
        <x:v>0.45</x:v>
      </x:c>
      <x:c r="J2247" s="48" t="n">
        <x:v>0.4</x:v>
      </x:c>
      <x:c r="K2247" s="48" t="str">
        <x:v>Yes</x:v>
      </x:c>
      <x:c r="L2247" s="48" t="str">
        <x:v>OCR</x:v>
      </x:c>
    </x:row>
    <x:row r="2248">
      <x:c r="A2248" s="48" t="str">
        <x:v>UNI-2247</x:v>
      </x:c>
      <x:c r="B2248" s="48" t="str">
        <x:v>ORANGE</x:v>
      </x:c>
      <x:c r="C2248" s="48" t="str">
        <x:v>English</x:v>
      </x:c>
      <x:c r="D2248" s="48" t="n">
        <x:v>25</x:v>
      </x:c>
      <x:c r="E2248" s="48" t="str"/>
      <x:c r="F2248" s="48" t="str">
        <x:v>aaa eed steeseeemio ee 24 Force mong mn</x:v>
      </x:c>
      <x:c r="G2248" s="48" t="str">
        <x:v>Obligation</x:v>
      </x:c>
      <x:c r="H2248" s="48" t="str">
        <x:v>Shared</x:v>
      </x:c>
      <x:c r="I2248" s="48" t="n">
        <x:v>0.45</x:v>
      </x:c>
      <x:c r="J2248" s="48" t="n">
        <x:v>0.4</x:v>
      </x:c>
      <x:c r="K2248" s="48" t="str">
        <x:v>Yes</x:v>
      </x:c>
      <x:c r="L2248" s="48" t="str">
        <x:v>OCR</x:v>
      </x:c>
    </x:row>
    <x:row r="2249">
      <x:c r="A2249" s="48" t="str">
        <x:v>UNI-2248</x:v>
      </x:c>
      <x:c r="B2249" s="48" t="str">
        <x:v>ORANGE</x:v>
      </x:c>
      <x:c r="C2249" s="48" t="str">
        <x:v>English</x:v>
      </x:c>
      <x:c r="D2249" s="48" t="n">
        <x:v>25</x:v>
      </x:c>
      <x:c r="E2249" s="48" t="str"/>
      <x:c r="F2249" s="48" t="str">
        <x:v>‘ovie ice say suid ad ejrenced sai aya Be es =a eee pert mieten bers seers piece bem seen cae</x:v>
      </x:c>
      <x:c r="G2249" s="48" t="str">
        <x:v>Obligation</x:v>
      </x:c>
      <x:c r="H2249" s="48" t="str">
        <x:v>Shared</x:v>
      </x:c>
      <x:c r="I2249" s="48" t="n">
        <x:v>0.45</x:v>
      </x:c>
      <x:c r="J2249" s="48" t="n">
        <x:v>0.4</x:v>
      </x:c>
      <x:c r="K2249" s="48" t="str">
        <x:v>Yes</x:v>
      </x:c>
      <x:c r="L2249" s="48" t="str">
        <x:v>OCR</x:v>
      </x:c>
    </x:row>
    <x:row r="2250">
      <x:c r="A2250" s="48" t="str">
        <x:v>UNI-2249</x:v>
      </x:c>
      <x:c r="B2250" s="48" t="str">
        <x:v>ORANGE</x:v>
      </x:c>
      <x:c r="C2250" s="48" t="str">
        <x:v>English</x:v>
      </x:c>
      <x:c r="D2250" s="48" t="n">
        <x:v>25</x:v>
      </x:c>
      <x:c r="E2250" s="48" t="str"/>
      <x:c r="F2250" s="48" t="str">
        <x:v>SS mcoreiee silo</x:v>
      </x:c>
      <x:c r="G2250" s="48" t="str">
        <x:v>Obligation</x:v>
      </x:c>
      <x:c r="H2250" s="48" t="str">
        <x:v>Shared</x:v>
      </x:c>
      <x:c r="I2250" s="48" t="n">
        <x:v>0.45</x:v>
      </x:c>
      <x:c r="J2250" s="48" t="n">
        <x:v>0.4</x:v>
      </x:c>
      <x:c r="K2250" s="48" t="str">
        <x:v>Yes</x:v>
      </x:c>
      <x:c r="L2250" s="48" t="str">
        <x:v>OCR</x:v>
      </x:c>
    </x:row>
    <x:row r="2251">
      <x:c r="A2251" s="48" t="str">
        <x:v>UNI-2250</x:v>
      </x:c>
      <x:c r="B2251" s="48" t="str">
        <x:v>ORANGE</x:v>
      </x:c>
      <x:c r="C2251" s="48" t="str">
        <x:v>English</x:v>
      </x:c>
      <x:c r="D2251" s="48" t="n">
        <x:v>25</x:v>
      </x:c>
      <x:c r="E2251" s="48" t="str"/>
      <x:c r="F2251" s="48" t="str">
        <x:v>Se ee eee ‘Senpad he lnlover Rescate send he Comte Sri essere hi ht ele.</x:v>
      </x:c>
      <x:c r="G2251" s="48" t="str">
        <x:v>Obligation</x:v>
      </x:c>
      <x:c r="H2251" s="48" t="str">
        <x:v>Shared</x:v>
      </x:c>
      <x:c r="I2251" s="48" t="n">
        <x:v>0.45</x:v>
      </x:c>
      <x:c r="J2251" s="48" t="n">
        <x:v>0.4</x:v>
      </x:c>
      <x:c r="K2251" s="48" t="str">
        <x:v>Yes</x:v>
      </x:c>
      <x:c r="L2251" s="48" t="str">
        <x:v>OCR</x:v>
      </x:c>
    </x:row>
    <x:row r="2252">
      <x:c r="A2252" s="48" t="str">
        <x:v>UNI-2251</x:v>
      </x:c>
      <x:c r="B2252" s="48" t="str">
        <x:v>ORANGE</x:v>
      </x:c>
      <x:c r="C2252" s="48" t="str">
        <x:v>English</x:v>
      </x:c>
      <x:c r="D2252" s="48" t="n">
        <x:v>25</x:v>
      </x:c>
      <x:c r="E2252" s="48" t="str"/>
      <x:c r="F2252" s="48" t="str">
        <x:v>Repcton 1S em a rat of ingen, earn Feng he Eres 1 he Eppes Reeser such Pat, Maia, dip fled yal enery poeple pr nye a {Si W sch vpn an sg ase the Enger ce ‘Stata es, sch ot sl be maven fm he Come by te ‘Employer may te ected Empey ns ho ‘cle de Connor ‘Ownenip of ast 74 Fach tof Mat and Mari sa bec rope enor a Sna'auetas"* uhuherers te caierf e oing mes</x:v>
      </x:c>
      <x:c r="G2252" s="48" t="str">
        <x:v>Right</x:v>
      </x:c>
      <x:c r="H2252" s="48" t="str">
        <x:v>Employer</x:v>
      </x:c>
      <x:c r="I2252" s="48" t="n">
        <x:v>0.78</x:v>
      </x:c>
      <x:c r="J2252" s="48" t="n">
        <x:v>0.92</x:v>
      </x:c>
      <x:c r="K2252" s="48" t="str">
        <x:v>No</x:v>
      </x:c>
      <x:c r="L2252" s="48" t="str">
        <x:v>OCR</x:v>
      </x:c>
    </x:row>
    <x:row r="2253">
      <x:c r="A2253" s="48" t="str">
        <x:v>UNI-2252</x:v>
      </x:c>
      <x:c r="B2253" s="48" t="str">
        <x:v>ORANGE</x:v>
      </x:c>
      <x:c r="C2253" s="48" t="str">
        <x:v>English</x:v>
      </x:c>
      <x:c r="D2253" s="48" t="n">
        <x:v>26</x:v>
      </x:c>
      <x:c r="E2253" s="48" t="str"/>
      <x:c r="F2253" s="48" t="str">
        <x:v>(0 sen ident Site (©) wh by vie of Sub Cae $9, he Cntr Boe etl</x:v>
      </x:c>
      <x:c r="G2253" s="48" t="str">
        <x:v>Obligation</x:v>
      </x:c>
      <x:c r="H2253" s="48" t="str">
        <x:v>Shared</x:v>
      </x:c>
      <x:c r="I2253" s="48" t="n">
        <x:v>0.45</x:v>
      </x:c>
      <x:c r="J2253" s="48" t="n">
        <x:v>0.4</x:v>
      </x:c>
      <x:c r="K2253" s="48" t="str">
        <x:v>Yes</x:v>
      </x:c>
      <x:c r="L2253" s="48" t="str">
        <x:v>OCR</x:v>
      </x:c>
    </x:row>
    <x:row r="2254">
      <x:c r="A2254" s="48" t="str">
        <x:v>UNI-2253</x:v>
      </x:c>
      <x:c r="B2254" s="48" t="str">
        <x:v>ORANGE</x:v>
      </x:c>
      <x:c r="C2254" s="48" t="str">
        <x:v>English</x:v>
      </x:c>
      <x:c r="D2254" s="48" t="n">
        <x:v>26</x:v>
      </x:c>
      <x:c r="E2254" s="48" t="str"/>
      <x:c r="F2254" s="48" t="str">
        <x:v>Commencement of AL The Corr al comment devp and xcaion of be Was at sce</x:v>
      </x:c>
      <x:c r="G2254" s="48" t="str">
        <x:v>Obligation</x:v>
      </x:c>
      <x:c r="H2254" s="48" t="str">
        <x:v>Shared</x:v>
      </x:c>
      <x:c r="I2254" s="48" t="n">
        <x:v>0.45</x:v>
      </x:c>
      <x:c r="J2254" s="48" t="n">
        <x:v>0.4</x:v>
      </x:c>
      <x:c r="K2254" s="48" t="str">
        <x:v>Yes</x:v>
      </x:c>
      <x:c r="L2254" s="48" t="str">
        <x:v>OCR</x:v>
      </x:c>
    </x:row>
    <x:row r="2255">
      <x:c r="A2255" s="48" t="str">
        <x:v>UNI-2254</x:v>
      </x:c>
      <x:c r="B2255" s="48" t="str">
        <x:v>ORANGE</x:v>
      </x:c>
      <x:c r="C2255" s="48" t="str">
        <x:v>English</x:v>
      </x:c>
      <x:c r="D2255" s="48" t="n">
        <x:v>26</x:v>
      </x:c>
      <x:c r="E2255" s="48" t="str"/>
      <x:c r="F2255" s="48" t="str">
        <x:v>St iremuy poe tr th cyto ace oh ef</x:v>
      </x:c>
      <x:c r="G2255" s="48" t="str">
        <x:v>Obligation</x:v>
      </x:c>
      <x:c r="H2255" s="48" t="str">
        <x:v>Shared</x:v>
      </x:c>
      <x:c r="I2255" s="48" t="n">
        <x:v>0.45</x:v>
      </x:c>
      <x:c r="J2255" s="48" t="n">
        <x:v>0.4</x:v>
      </x:c>
      <x:c r="K2255" s="48" t="str">
        <x:v>Yes</x:v>
      </x:c>
      <x:c r="L2255" s="48" t="str">
        <x:v>OCR</x:v>
      </x:c>
    </x:row>
    <x:row r="2256">
      <x:c r="A2256" s="48" t="str">
        <x:v>UNI-2255</x:v>
      </x:c>
      <x:c r="B2256" s="48" t="str">
        <x:v>ORANGE</x:v>
      </x:c>
      <x:c r="C2256" s="48" t="str">
        <x:v>English</x:v>
      </x:c>
      <x:c r="D2256" s="48" t="n">
        <x:v>26</x:v>
      </x:c>
      <x:c r="E2256" s="48" t="str"/>
      <x:c r="F2256" s="48" t="str">
        <x:v>EC Nel tas ae Eine Setar amen a oe</x:v>
      </x:c>
      <x:c r="G2256" s="48" t="str">
        <x:v>Obligation</x:v>
      </x:c>
      <x:c r="H2256" s="48" t="str">
        <x:v>Shared</x:v>
      </x:c>
      <x:c r="I2256" s="48" t="n">
        <x:v>0.45</x:v>
      </x:c>
      <x:c r="J2256" s="48" t="n">
        <x:v>0.4</x:v>
      </x:c>
      <x:c r="K2256" s="48" t="str">
        <x:v>Yes</x:v>
      </x:c>
      <x:c r="L2256" s="48" t="str">
        <x:v>OCR</x:v>
      </x:c>
    </x:row>
    <x:row r="2257">
      <x:c r="A2257" s="48" t="str">
        <x:v>UNI-2256</x:v>
      </x:c>
      <x:c r="B2257" s="48" t="str">
        <x:v>ORANGE</x:v>
      </x:c>
      <x:c r="C2257" s="48" t="str">
        <x:v>English</x:v>
      </x:c>
      <x:c r="D2257" s="48" t="n">
        <x:v>26</x:v>
      </x:c>
      <x:c r="E2257" s="48" t="str"/>
      <x:c r="F2257" s="48" t="str">
        <x:v>rose wah Woss wi ie epeaien and ho ay, sl</x:v>
      </x:c>
      <x:c r="G2257" s="48" t="str">
        <x:v>Obligation</x:v>
      </x:c>
      <x:c r="H2257" s="48" t="str">
        <x:v>Shared</x:v>
      </x:c>
      <x:c r="I2257" s="48" t="n">
        <x:v>0.45</x:v>
      </x:c>
      <x:c r="J2257" s="48" t="n">
        <x:v>0.4</x:v>
      </x:c>
      <x:c r="K2257" s="48" t="str">
        <x:v>Yes</x:v>
      </x:c>
      <x:c r="L2257" s="48" t="str">
        <x:v>OCR</x:v>
      </x:c>
    </x:row>
    <x:row r="2258">
      <x:c r="A2258" s="48" t="str">
        <x:v>UNI-2257</x:v>
      </x:c>
      <x:c r="B2258" s="48" t="str">
        <x:v>ORANGE</x:v>
      </x:c>
      <x:c r="C2258" s="48" t="str">
        <x:v>English</x:v>
      </x:c>
      <x:c r="D2258" s="48" t="n">
        <x:v>26</x:v>
      </x:c>
      <x:c r="E2258" s="48" t="str"/>
      <x:c r="F2258" s="48" t="str">
        <x:v>Srrpcton</x:v>
      </x:c>
      <x:c r="G2258" s="48" t="str">
        <x:v>Obligation</x:v>
      </x:c>
      <x:c r="H2258" s="48" t="str">
        <x:v>Shared</x:v>
      </x:c>
      <x:c r="I2258" s="48" t="n">
        <x:v>0.45</x:v>
      </x:c>
      <x:c r="J2258" s="48" t="n">
        <x:v>0.4</x:v>
      </x:c>
      <x:c r="K2258" s="48" t="str">
        <x:v>Yes</x:v>
      </x:c>
      <x:c r="L2258" s="48" t="str">
        <x:v>OCR</x:v>
      </x:c>
    </x:row>
    <x:row r="2259">
      <x:c r="A2259" s="48" t="str">
        <x:v>UNI-2258</x:v>
      </x:c>
      <x:c r="B2259" s="48" t="str">
        <x:v>ORANGE</x:v>
      </x:c>
      <x:c r="C2259" s="48" t="str">
        <x:v>English</x:v>
      </x:c>
      <x:c r="D2259" s="48" t="n">
        <x:v>26</x:v>
      </x:c>
      <x:c r="E2259" s="48" t="str"/>
      <x:c r="F2259" s="48" t="str">
        <x:v>“Tamer 42 Then of e Wak and ah Scion ay ale cempeed ad sat compuana 7 pd Yenc Cones win Teer Ceo rth senso Te 3 The Conran my spy fe cto be Tn for Copenh erCompltion "rns ne curb sir Tine fr Crt ay he (0 in nn ne te ie Co apd (0) ce ieee eed nb Ce 19.9, (6) cae of ey gga eect eens fee ker Sab ‘ite of ae Coon usr te Curt tt oped it (anya, ingen prvi ye Empeer eC ge se oe payers naps oS ening son plea! in any even wna 2 ya he stat fe ‘em ping ey, opti any wee eed he ‘Goma sad‘ tots cae The Caer ital toe" ‘cormgorry rer maybe tour fe bu ay span, ‘Sher ont Sas or ater bean scl he Eger ‘epee an a er reer enemy Berea ye</x:v>
      </x:c>
      <x:c r="G2259" s="48" t="str">
        <x:v>Obligation</x:v>
      </x:c>
      <x:c r="H2259" s="48" t="str">
        <x:v>Shared</x:v>
      </x:c>
      <x:c r="I2259" s="48" t="n">
        <x:v>0.45</x:v>
      </x:c>
      <x:c r="J2259" s="48" t="n">
        <x:v>0.4</x:v>
      </x:c>
      <x:c r="K2259" s="48" t="str">
        <x:v>Yes</x:v>
      </x:c>
      <x:c r="L2259" s="48" t="str">
        <x:v>OCR</x:v>
      </x:c>
    </x:row>
    <x:row r="2260">
      <x:c r="A2260" s="48" t="str">
        <x:v>UNI-2259</x:v>
      </x:c>
      <x:c r="B2260" s="48" t="str">
        <x:v>ORANGE</x:v>
      </x:c>
      <x:c r="C2260" s="48" t="str">
        <x:v>English</x:v>
      </x:c>
      <x:c r="D2260" s="48" t="n">
        <x:v>26</x:v>
      </x:c>
      <x:c r="E2260" s="48" t="str"/>
      <x:c r="F2260" s="48" t="str">
        <x:v>Enger Repesinve Te Cnc shal pom I oer</x:v>
      </x:c>
      <x:c r="G2260" s="48" t="str">
        <x:v>Obligation</x:v>
      </x:c>
      <x:c r="H2260" s="48" t="str">
        <x:v>Shared</x:v>
      </x:c>
      <x:c r="I2260" s="48" t="n">
        <x:v>0.45</x:v>
      </x:c>
      <x:c r="J2260" s="48" t="n">
        <x:v>0.4</x:v>
      </x:c>
      <x:c r="K2260" s="48" t="str">
        <x:v>Yes</x:v>
      </x:c>
      <x:c r="L2260" s="48" t="str">
        <x:v>OCR</x:v>
      </x:c>
    </x:row>
    <x:row r="2261">
      <x:c r="A2261" s="48" t="str">
        <x:v>UNI-2260</x:v>
      </x:c>
      <x:c r="B2261" s="48" t="str">
        <x:v>ORANGE</x:v>
      </x:c>
      <x:c r="C2261" s="48" t="str">
        <x:v>English</x:v>
      </x:c>
      <x:c r="D2261" s="48" t="n">
        <x:v>26</x:v>
      </x:c>
      <x:c r="E2261" s="48" t="str"/>
      <x:c r="F2261" s="48" t="str">
        <x:v>Epes ming ache a hl pe nr</x:v>
      </x:c>
      <x:c r="G2261" s="48" t="str">
        <x:v>Obligation</x:v>
      </x:c>
      <x:c r="H2261" s="48" t="str">
        <x:v>Shared</x:v>
      </x:c>
      <x:c r="I2261" s="48" t="n">
        <x:v>0.45</x:v>
      </x:c>
      <x:c r="J2261" s="48" t="n">
        <x:v>0.4</x:v>
      </x:c>
      <x:c r="K2261" s="48" t="str">
        <x:v>Yes</x:v>
      </x:c>
      <x:c r="L2261" s="48" t="str">
        <x:v>OCR</x:v>
      </x:c>
    </x:row>
    <x:row r="2262">
      <x:c r="A2262" s="48" t="str">
        <x:v>UNI-2261</x:v>
      </x:c>
      <x:c r="B2262" s="48" t="str">
        <x:v>ORANGE</x:v>
      </x:c>
      <x:c r="C2262" s="48" t="str">
        <x:v>English</x:v>
      </x:c>
      <x:c r="D2262" s="48" t="n">
        <x:v>26</x:v>
      </x:c>
      <x:c r="E2262" s="48" t="str"/>
      <x:c r="F2262" s="48" t="str">
        <x:v>Win 2 aah yf ch lay sch oer pid a ay be ered ty ts enpoyers Renmin), be Coney Sa sab al</x:v>
      </x:c>
      <x:c r="G2262" s="48" t="str">
        <x:v>Obligation</x:v>
      </x:c>
      <x:c r="H2262" s="48" t="str">
        <x:v>Shared</x:v>
      </x:c>
      <x:c r="I2262" s="48" t="n">
        <x:v>0.45</x:v>
      </x:c>
      <x:c r="J2262" s="48" t="n">
        <x:v>0.4</x:v>
      </x:c>
      <x:c r="K2262" s="48" t="str">
        <x:v>Yes</x:v>
      </x:c>
      <x:c r="L2262" s="48" t="str">
        <x:v>OCR</x:v>
      </x:c>
    </x:row>
    <x:row r="2263">
      <x:c r="A2263" s="48" t="str">
        <x:v>UNI-2262</x:v>
      </x:c>
      <x:c r="B2263" s="48" t="str">
        <x:v>ORANGE</x:v>
      </x:c>
      <x:c r="C2263" s="48" t="str">
        <x:v>English</x:v>
      </x:c>
      <x:c r="D2263" s="48" t="n">
        <x:v>27</x:v>
      </x:c>
      <x:c r="E2263" s="48" t="str"/>
      <x:c r="F2263" s="48" t="str">
        <x:v>“Te Epler Repsemtne shall proceed acon with Su ‘Ghoe So ae stems citer epeciely or eemyecaveac ‘Stef dine Compo tay dee Ener?</x:v>
      </x:c>
      <x:c r="G2263" s="48" t="str">
        <x:v>Obligation</x:v>
      </x:c>
      <x:c r="H2263" s="48" t="str">
        <x:v>Shared</x:v>
      </x:c>
      <x:c r="I2263" s="48" t="n">
        <x:v>0.88</x:v>
      </x:c>
      <x:c r="J2263" s="48" t="n">
        <x:v>0.4</x:v>
      </x:c>
      <x:c r="K2263" s="48" t="str">
        <x:v>Yes</x:v>
      </x:c>
      <x:c r="L2263" s="48" t="str">
        <x:v>OCR</x:v>
      </x:c>
    </x:row>
    <x:row r="2264">
      <x:c r="A2264" s="48" t="str">
        <x:v>UNI-2263</x:v>
      </x:c>
      <x:c r="B2264" s="48" t="str">
        <x:v>ORANGE</x:v>
      </x:c>
      <x:c r="C2264" s="48" t="str">
        <x:v>English</x:v>
      </x:c>
      <x:c r="D2264" s="48" t="n">
        <x:v>27</x:v>
      </x:c>
      <x:c r="E2264" s="48" t="str"/>
      <x:c r="F2264" s="48" t="str">
        <x:v>Ser Ate aaceteene ry hes anelag</x:v>
      </x:c>
      <x:c r="G2264" s="48" t="str">
        <x:v>Obligation</x:v>
      </x:c>
      <x:c r="H2264" s="48" t="str">
        <x:v>Shared</x:v>
      </x:c>
      <x:c r="I2264" s="48" t="n">
        <x:v>0.45</x:v>
      </x:c>
      <x:c r="J2264" s="48" t="n">
        <x:v>0.4</x:v>
      </x:c>
      <x:c r="K2264" s="48" t="str">
        <x:v>Yes</x:v>
      </x:c>
      <x:c r="L2264" s="48" t="str">
        <x:v>OCR</x:v>
      </x:c>
    </x:row>
    <x:row r="2265">
      <x:c r="A2265" s="48" t="str">
        <x:v>UNI-2264</x:v>
      </x:c>
      <x:c r="B2265" s="48" t="str">
        <x:v>ORANGE</x:v>
      </x:c>
      <x:c r="C2265" s="48" t="str">
        <x:v>English</x:v>
      </x:c>
      <x:c r="D2265" s="48" t="n">
        <x:v>27</x:v>
      </x:c>
      <x:c r="E2265" s="48" t="str"/>
      <x:c r="F2265" s="48" t="str">
        <x:v>‘sais ome, he Employers Recess ‘Cermastnand may eset Sal hot Sees eal xcs naps Comedy 4M along coins sy, ames: ‘ators Gh Comcast foe te pce i oun by th ‘Siva gay cova pe arene Cot (0) sh nati dey, ged reve he Cone ad {© thereulig dele Wot wat at ye He Ue ree ‘omin aneude Sub Ce ato Progr RSW ny i, he Cura al rope fl eid he ‘ican Sabino hcp at i lnk. ‘5 Courter ssl seat the Empayers Reprocve evel ogame ting mo aco te pang comes, The Cora eS ct ep ac ep opm meee te heaped pepmnso eave comer wih Fine ot</x:v>
      </x:c>
      <x:c r="G2265" s="48" t="str">
        <x:v>Right</x:v>
      </x:c>
      <x:c r="H2265" s="48" t="str">
        <x:v>Shared</x:v>
      </x:c>
      <x:c r="I2265" s="48" t="n">
        <x:v>0.78</x:v>
      </x:c>
      <x:c r="J2265" s="48" t="n">
        <x:v>0.4</x:v>
      </x:c>
      <x:c r="K2265" s="48" t="str">
        <x:v>Yes</x:v>
      </x:c>
      <x:c r="L2265" s="48" t="str">
        <x:v>OCR</x:v>
      </x:c>
    </x:row>
    <x:row r="2266">
      <x:c r="A2266" s="48" t="str">
        <x:v>UNI-2265</x:v>
      </x:c>
      <x:c r="B2266" s="48" t="str">
        <x:v>ORANGE</x:v>
      </x:c>
      <x:c r="C2266" s="48" t="str">
        <x:v>English</x:v>
      </x:c>
      <x:c r="D2266" s="48" t="n">
        <x:v>27</x:v>
      </x:c>
      <x:c r="E2266" s="48" t="str"/>
      <x:c r="F2266" s="48" t="str">
        <x:v>am spite Coc mang a ne ‘eve Coc eye yb ddd ye</x:v>
      </x:c>
      <x:c r="G2266" s="48" t="str">
        <x:v>Obligation</x:v>
      </x:c>
      <x:c r="H2266" s="48" t="str">
        <x:v>Shared</x:v>
      </x:c>
      <x:c r="I2266" s="48" t="n">
        <x:v>0.45</x:v>
      </x:c>
      <x:c r="J2266" s="48" t="n">
        <x:v>0.4</x:v>
      </x:c>
      <x:c r="K2266" s="48" t="str">
        <x:v>Yes</x:v>
      </x:c>
      <x:c r="L2266" s="48" t="str">
        <x:v>OCR</x:v>
      </x:c>
    </x:row>
    <x:row r="2267">
      <x:c r="A2267" s="48" t="str">
        <x:v>UNI-2266</x:v>
      </x:c>
      <x:c r="B2267" s="48" t="str">
        <x:v>ORANGE</x:v>
      </x:c>
      <x:c r="C2267" s="48" t="str">
        <x:v>English</x:v>
      </x:c>
      <x:c r="D2267" s="48" t="n">
        <x:v>27</x:v>
      </x:c>
      <x:c r="E2267" s="48" t="str"/>
      <x:c r="F2267" s="48" t="str">
        <x:v>Ely fmm ond obec oh Ceca,</x:v>
      </x:c>
      <x:c r="G2267" s="48" t="str">
        <x:v>Obligation</x:v>
      </x:c>
      <x:c r="H2267" s="48" t="str">
        <x:v>Shared</x:v>
      </x:c>
      <x:c r="I2267" s="48" t="n">
        <x:v>0.45</x:v>
      </x:c>
      <x:c r="J2267" s="48" t="n">
        <x:v>0.4</x:v>
      </x:c>
      <x:c r="K2267" s="48" t="str">
        <x:v>Yes</x:v>
      </x:c>
      <x:c r="L2267" s="48" t="str">
        <x:v>OCR</x:v>
      </x:c>
    </x:row>
    <x:row r="2268">
      <x:c r="A2268" s="48" t="str">
        <x:v>UNI-2267</x:v>
      </x:c>
      <x:c r="B2268" s="48" t="str">
        <x:v>ORANGE</x:v>
      </x:c>
      <x:c r="C2268" s="48" t="str">
        <x:v>English</x:v>
      </x:c>
      <x:c r="D2268" s="48" t="n">
        <x:v>27</x:v>
      </x:c>
      <x:c r="E2268" s="48" t="str"/>
      <x:c r="F2268" s="48" t="str">
        <x:v>Ligeiaed Damages 86 ihe Cones 0 comply wit Sub-CaseK2 the Cte sal oy fhe Doky othe ingyen ae he Agena ee wd “amar ck stant which sam al ee ony woes om</x:v>
      </x:c>
      <x:c r="G2268" s="48" t="str">
        <x:v>Obligation</x:v>
      </x:c>
      <x:c r="H2268" s="48" t="str">
        <x:v>Shared</x:v>
      </x:c>
      <x:c r="I2268" s="48" t="n">
        <x:v>0.45</x:v>
      </x:c>
      <x:c r="J2268" s="48" t="n">
        <x:v>0.4</x:v>
      </x:c>
      <x:c r="K2268" s="48" t="str">
        <x:v>Yes</x:v>
      </x:c>
      <x:c r="L2268" s="48" t="str">
        <x:v>OCR</x:v>
      </x:c>
    </x:row>
    <x:row r="2269">
      <x:c r="A2269" s="48" t="str">
        <x:v>UNI-2268</x:v>
      </x:c>
      <x:c r="B2269" s="48" t="str">
        <x:v>ORANGE</x:v>
      </x:c>
      <x:c r="C2269" s="48" t="str">
        <x:v>English</x:v>
      </x:c>
      <x:c r="D2269" s="48" t="n">
        <x:v>27</x:v>
      </x:c>
      <x:c r="E2269" s="48" t="str"/>
      <x:c r="F2269" s="48" t="str">
        <x:v>Cea uh deta fer ener aye part of ey ehh Sal Cpe</x:v>
      </x:c>
      <x:c r="G2269" s="48" t="str">
        <x:v>Obligation</x:v>
      </x:c>
      <x:c r="H2269" s="48" t="str">
        <x:v>Shared</x:v>
      </x:c>
      <x:c r="I2269" s="48" t="n">
        <x:v>0.45</x:v>
      </x:c>
      <x:c r="J2269" s="48" t="n">
        <x:v>0.4</x:v>
      </x:c>
      <x:c r="K2269" s="48" t="str">
        <x:v>Yes</x:v>
      </x:c>
      <x:c r="L2269" s="48" t="str">
        <x:v>OCR</x:v>
      </x:c>
    </x:row>
    <x:row r="2270">
      <x:c r="A2270" s="48" t="str">
        <x:v>UNI-2269</x:v>
      </x:c>
      <x:c r="B2270" s="48" t="str">
        <x:v>ORANGE</x:v>
      </x:c>
      <x:c r="C2270" s="48" t="str">
        <x:v>English</x:v>
      </x:c>
      <x:c r="D2270" s="48" t="n">
        <x:v>27</x:v>
      </x:c>
      <x:c r="E2270" s="48" t="str"/>
      <x:c r="F2270" s="48" t="str">
        <x:v>fetecn he crn Tine fr Compson sah ae ed ne Taking ‘Ore Cees tte tl pen al meee he et 6 aps spendin enn ee ‘Te Empey wit pee tay oe met eon dt ihc mano sch oat ny mens tcf ‘Gracin Inthe rem ancien tne Do aed nS</x:v>
      </x:c>
      <x:c r="G2270" s="48" t="str">
        <x:v>Obligation</x:v>
      </x:c>
      <x:c r="H2270" s="48" t="str">
        <x:v>Shared</x:v>
      </x:c>
      <x:c r="I2270" s="48" t="n">
        <x:v>0.45</x:v>
      </x:c>
      <x:c r="J2270" s="48" t="n">
        <x:v>0.4</x:v>
      </x:c>
      <x:c r="K2270" s="48" t="str">
        <x:v>Yes</x:v>
      </x:c>
      <x:c r="L2270" s="48" t="str">
        <x:v>OCR</x:v>
      </x:c>
    </x:row>
    <x:row r="2271">
      <x:c r="A2271" s="48" t="str">
        <x:v>UNI-2270</x:v>
      </x:c>
      <x:c r="B2271" s="48" t="str">
        <x:v>ORANGE</x:v>
      </x:c>
      <x:c r="C2271" s="48" t="str">
        <x:v>English</x:v>
      </x:c>
      <x:c r="D2271" s="48" t="n">
        <x:v>27</x:v>
      </x:c>
      <x:c r="E2271" s="48" t="str"/>
      <x:c r="F2271" s="48" t="str">
        <x:v>Son esther anaes</x:v>
      </x:c>
      <x:c r="G2271" s="48" t="str">
        <x:v>Obligation</x:v>
      </x:c>
      <x:c r="H2271" s="48" t="str">
        <x:v>Shared</x:v>
      </x:c>
      <x:c r="I2271" s="48" t="n">
        <x:v>0.45</x:v>
      </x:c>
      <x:c r="J2271" s="48" t="n">
        <x:v>0.4</x:v>
      </x:c>
      <x:c r="K2271" s="48" t="str">
        <x:v>Yes</x:v>
      </x:c>
      <x:c r="L2271" s="48" t="str">
        <x:v>OCR</x:v>
      </x:c>
    </x:row>
    <x:row r="2272">
      <x:c r="A2272" s="48" t="str">
        <x:v>UNI-2271</x:v>
      </x:c>
      <x:c r="B2272" s="48" t="str">
        <x:v>ORANGE</x:v>
      </x:c>
      <x:c r="C2272" s="48" t="str">
        <x:v>English</x:v>
      </x:c>
      <x:c r="D2272" s="48" t="n">
        <x:v>27</x:v>
      </x:c>
      <x:c r="E2272" s="48" t="str"/>
      <x:c r="F2272" s="48" t="str">
        <x:v>Seaham anenannpmncnaare</x:v>
      </x:c>
      <x:c r="G2272" s="48" t="str">
        <x:v>Obligation</x:v>
      </x:c>
      <x:c r="H2272" s="48" t="str">
        <x:v>Shared</x:v>
      </x:c>
      <x:c r="I2272" s="48" t="n">
        <x:v>0.45</x:v>
      </x:c>
      <x:c r="J2272" s="48" t="n">
        <x:v>0.4</x:v>
      </x:c>
      <x:c r="K2272" s="48" t="str">
        <x:v>Yes</x:v>
      </x:c>
      <x:c r="L2272" s="48" t="str">
        <x:v>OCR</x:v>
      </x:c>
    </x:row>
    <x:row r="2273">
      <x:c r="A2273" s="48" t="str">
        <x:v>UNI-2272</x:v>
      </x:c>
      <x:c r="B2273" s="48" t="str">
        <x:v>ORANGE</x:v>
      </x:c>
      <x:c r="C2273" s="48" t="str">
        <x:v>English</x:v>
      </x:c>
      <x:c r="D2273" s="48" t="n">
        <x:v>27</x:v>
      </x:c>
      <x:c r="E2273" s="48" t="str"/>
      <x:c r="F2273" s="48" t="str">
        <x:v>Eeiarceeneeceae</x:v>
      </x:c>
      <x:c r="G2273" s="48" t="str">
        <x:v>Obligation</x:v>
      </x:c>
      <x:c r="H2273" s="48" t="str">
        <x:v>Shared</x:v>
      </x:c>
      <x:c r="I2273" s="48" t="n">
        <x:v>0.45</x:v>
      </x:c>
      <x:c r="J2273" s="48" t="n">
        <x:v>0.4</x:v>
      </x:c>
      <x:c r="K2273" s="48" t="str">
        <x:v>Yes</x:v>
      </x:c>
      <x:c r="L2273" s="48" t="str">
        <x:v>OCR</x:v>
      </x:c>
    </x:row>
    <x:row r="2274">
      <x:c r="A2274" s="48" t="str">
        <x:v>UNI-2273</x:v>
      </x:c>
      <x:c r="B2274" s="48" t="str">
        <x:v>ORANGE</x:v>
      </x:c>
      <x:c r="C2274" s="48" t="str">
        <x:v>English</x:v>
      </x:c>
      <x:c r="D2274" s="48" t="n">
        <x:v>27</x:v>
      </x:c>
      <x:c r="E2274" s="48" t="str"/>
      <x:c r="F2274" s="48" t="str">
        <x:v>Ean Rea mars eee aS</x:v>
      </x:c>
      <x:c r="G2274" s="48" t="str">
        <x:v>Obligation</x:v>
      </x:c>
      <x:c r="H2274" s="48" t="str">
        <x:v>Shared</x:v>
      </x:c>
      <x:c r="I2274" s="48" t="n">
        <x:v>0.45</x:v>
      </x:c>
      <x:c r="J2274" s="48" t="n">
        <x:v>0.4</x:v>
      </x:c>
      <x:c r="K2274" s="48" t="str">
        <x:v>Yes</x:v>
      </x:c>
      <x:c r="L2274" s="48" t="str">
        <x:v>OCR</x:v>
      </x:c>
    </x:row>
    <x:row r="2275">
      <x:c r="A2275" s="48" t="str">
        <x:v>UNI-2274</x:v>
      </x:c>
      <x:c r="B2275" s="48" t="str">
        <x:v>ORANGE</x:v>
      </x:c>
      <x:c r="C2275" s="48" t="str">
        <x:v>English</x:v>
      </x:c>
      <x:c r="D2275" s="48" t="n">
        <x:v>27</x:v>
      </x:c>
      <x:c r="E2275" s="48" t="str"/>
      <x:c r="F2275" s="48" t="str">
        <x:v>Soy Setar acres</x:v>
      </x:c>
      <x:c r="G2275" s="48" t="str">
        <x:v>Obligation</x:v>
      </x:c>
      <x:c r="H2275" s="48" t="str">
        <x:v>Shared</x:v>
      </x:c>
      <x:c r="I2275" s="48" t="n">
        <x:v>0.45</x:v>
      </x:c>
      <x:c r="J2275" s="48" t="n">
        <x:v>0.4</x:v>
      </x:c>
      <x:c r="K2275" s="48" t="str">
        <x:v>Yes</x:v>
      </x:c>
      <x:c r="L2275" s="48" t="str">
        <x:v>OCR</x:v>
      </x:c>
    </x:row>
    <x:row r="2276">
      <x:c r="A2276" s="48" t="str">
        <x:v>UNI-2275</x:v>
      </x:c>
      <x:c r="B2276" s="48" t="str">
        <x:v>ORANGE</x:v>
      </x:c>
      <x:c r="C2276" s="48" t="str">
        <x:v>English</x:v>
      </x:c>
      <x:c r="D2276" s="48" t="n">
        <x:v>27</x:v>
      </x:c>
      <x:c r="E2276" s="48" t="str"/>
      <x:c r="F2276" s="48" t="str">
        <x:v>ee pa eet hy teenies 7 rte ee ie ees brie maaenacnce ease</x:v>
      </x:c>
      <x:c r="G2276" s="48" t="str">
        <x:v>Obligation</x:v>
      </x:c>
      <x:c r="H2276" s="48" t="str">
        <x:v>Shared</x:v>
      </x:c>
      <x:c r="I2276" s="48" t="n">
        <x:v>0.45</x:v>
      </x:c>
      <x:c r="J2276" s="48" t="n">
        <x:v>0.4</x:v>
      </x:c>
      <x:c r="K2276" s="48" t="str">
        <x:v>Yes</x:v>
      </x:c>
      <x:c r="L2276" s="48" t="str">
        <x:v>OCR</x:v>
      </x:c>
    </x:row>
    <x:row r="2277">
      <x:c r="A2277" s="48" t="str">
        <x:v>UNI-2276</x:v>
      </x:c>
      <x:c r="B2277" s="48" t="str">
        <x:v>ORANGE</x:v>
      </x:c>
      <x:c r="C2277" s="48" t="str">
        <x:v>English</x:v>
      </x:c>
      <x:c r="D2277" s="48" t="n">
        <x:v>29</x:v>
      </x:c>
      <x:c r="E2277" s="48" t="str"/>
      <x:c r="F2277" s="48" t="str">
        <x:v>Ccomcnrs 34 Tae Como sa ay wt Tn Copii ‘Oniosion "Che wd SubC Yaar pong he nan acne Sia Sand $7.</x:v>
      </x:c>
      <x:c r="G2277" s="48" t="str">
        <x:v>Obligation</x:v>
      </x:c>
      <x:c r="H2277" s="48" t="str">
        <x:v>Shared</x:v>
      </x:c>
      <x:c r="I2277" s="48" t="n">
        <x:v>0.45</x:v>
      </x:c>
      <x:c r="J2277" s="48" t="n">
        <x:v>0.4</x:v>
      </x:c>
      <x:c r="K2277" s="48" t="str">
        <x:v>Yes</x:v>
      </x:c>
      <x:c r="L2277" s="48" t="str">
        <x:v>OCR</x:v>
      </x:c>
    </x:row>
    <x:row r="2278">
      <x:c r="A2278" s="48" t="str">
        <x:v>UNI-2277</x:v>
      </x:c>
      <x:c r="B2278" s="48" t="str">
        <x:v>ORANGE</x:v>
      </x:c>
      <x:c r="C2278" s="48" t="str">
        <x:v>English</x:v>
      </x:c>
      <x:c r="D2278" s="48" t="n">
        <x:v>29</x:v>
      </x:c>
      <x:c r="E2278" s="48" t="str"/>
      <x:c r="F2278" s="48" t="str">
        <x:v>The Comer al pe othe Ene Reps 2 isnot fhe dae she hi he Comacorwil "ads ocay stfu a Compeson Une ors spel eh Te ‘Secrets sin 1 uae eon yy athe</x:v>
      </x:c>
      <x:c r="G2278" s="48" t="str">
        <x:v>Obligation</x:v>
      </x:c>
      <x:c r="H2278" s="48" t="str">
        <x:v>Shared</x:v>
      </x:c>
      <x:c r="I2278" s="48" t="n">
        <x:v>0.45</x:v>
      </x:c>
      <x:c r="J2278" s="48" t="n">
        <x:v>0.4</x:v>
      </x:c>
      <x:c r="K2278" s="48" t="str">
        <x:v>Yes</x:v>
      </x:c>
      <x:c r="L2278" s="48" t="str">
        <x:v>OCR</x:v>
      </x:c>
    </x:row>
    <x:row r="2279">
      <x:c r="A2279" s="48" t="str">
        <x:v>UNI-2278</x:v>
      </x:c>
      <x:c r="B2279" s="48" t="str">
        <x:v>ORANGE</x:v>
      </x:c>
      <x:c r="C2279" s="48" t="str">
        <x:v>English</x:v>
      </x:c>
      <x:c r="D2279" s="48" t="n">
        <x:v>29</x:v>
      </x:c>
      <x:c r="E2279" s="48" t="str"/>
      <x:c r="F2279" s="48" t="str">
        <x:v>Empoer Reeenae Sal st</x:v>
      </x:c>
      <x:c r="G2279" s="48" t="str">
        <x:v>Obligation</x:v>
      </x:c>
      <x:c r="H2279" s="48" t="str">
        <x:v>Shared</x:v>
      </x:c>
      <x:c r="I2279" s="48" t="n">
        <x:v>0.45</x:v>
      </x:c>
      <x:c r="J2279" s="48" t="n">
        <x:v>0.4</x:v>
      </x:c>
      <x:c r="K2279" s="48" t="str">
        <x:v>Yes</x:v>
      </x:c>
      <x:c r="L2279" s="48" t="str">
        <x:v>OCR</x:v>
      </x:c>
    </x:row>
    <x:row r="2280">
      <x:c r="A2280" s="48" t="str">
        <x:v>UNI-2279</x:v>
      </x:c>
      <x:c r="B2280" s="48" t="str">
        <x:v>ORANGE</x:v>
      </x:c>
      <x:c r="C2280" s="48" t="str">
        <x:v>English</x:v>
      </x:c>
      <x:c r="D2280" s="48" t="n">
        <x:v>29</x:v>
      </x:c>
      <x:c r="E2280" s="48" t="str"/>
      <x:c r="F2280" s="48" t="str">
        <x:v>te coming the wats of he Tes cn Congo, the Empoe’s ews le swans forth fl yh fe Wak by ‘Sit Wr a Setion tne pase owen Contin, be Cane ‘Ripon employes Repent nthe poe tha ere ‘pt fe eae ach Toe Dauged Tots 92 ihe Teo Camplion a ring wally dened by the Conan the {tnpyersRepstane may ty nce more eC ea nt ‘Soh Tess win day er hes of ch ie The Conca a ‘Sry nc Teton uch or ne wan apr te Cte fy fiand ot wch hl ge eo Bmpr Reporte 1d Cvracor ary eT Copenh 2 dy the</x:v>
      </x:c>
      <x:c r="G2280" s="48" t="str">
        <x:v>Right</x:v>
      </x:c>
      <x:c r="H2280" s="48" t="str">
        <x:v>Shared</x:v>
      </x:c>
      <x:c r="I2280" s="48" t="n">
        <x:v>0.78</x:v>
      </x:c>
      <x:c r="J2280" s="48" t="n">
        <x:v>0.4</x:v>
      </x:c>
      <x:c r="K2280" s="48" t="str">
        <x:v>Yes</x:v>
      </x:c>
      <x:c r="L2280" s="48" t="str">
        <x:v>OCR</x:v>
      </x:c>
    </x:row>
    <x:row r="2281">
      <x:c r="A2281" s="48" t="str">
        <x:v>UNI-2280</x:v>
      </x:c>
      <x:c r="B2281" s="48" t="str">
        <x:v>ORANGE</x:v>
      </x:c>
      <x:c r="C2281" s="48" t="str">
        <x:v>English</x:v>
      </x:c>
      <x:c r="D2281" s="48" t="n">
        <x:v>29</x:v>
      </x:c>
      <x:c r="E2281" s="48" t="str"/>
      <x:c r="F2281" s="48" t="str">
        <x:v>Enpyer Repsese may hm pce wa ach Teh Ale Fee</x:v>
      </x:c>
      <x:c r="G2281" s="48" t="str">
        <x:v>Right</x:v>
      </x:c>
      <x:c r="H2281" s="48" t="str">
        <x:v>Shared</x:v>
      </x:c>
      <x:c r="I2281" s="48" t="n">
        <x:v>0.78</x:v>
      </x:c>
      <x:c r="J2281" s="48" t="n">
        <x:v>0.4</x:v>
      </x:c>
      <x:c r="K2281" s="48" t="str">
        <x:v>Yes</x:v>
      </x:c>
      <x:c r="L2281" s="48" t="str">
        <x:v>OCR</x:v>
      </x:c>
    </x:row>
    <x:row r="2282">
      <x:c r="A2282" s="48" t="str">
        <x:v>UNI-2281</x:v>
      </x:c>
      <x:c r="B2282" s="48" t="str">
        <x:v>ORANGE</x:v>
      </x:c>
      <x:c r="C2282" s="48" t="str">
        <x:v>English</x:v>
      </x:c>
      <x:c r="D2282" s="48" t="n">
        <x:v>29</x:v>
      </x:c>
      <x:c r="E2282" s="48" t="str"/>
      <x:c r="F2282" s="48" t="str">
        <x:v>‘Sra eat yc Emplper Hepes sl batt ak com ‘Be Couraor These Tats Cpe ha hen be ceed thane ten (Shemini pours oe Clore uso ch oes a iced sae [eteing 4.3 ie Wns Sion pase he Teo Compaen, Sub Cae 75</x:v>
      </x:c>
      <x:c r="G2282" s="48" t="str">
        <x:v>Obligation</x:v>
      </x:c>
      <x:c r="H2282" s="48" t="str">
        <x:v>Shared</x:v>
      </x:c>
      <x:c r="I2282" s="48" t="n">
        <x:v>0.45</x:v>
      </x:c>
      <x:c r="J2282" s="48" t="n">
        <x:v>0.4</x:v>
      </x:c>
      <x:c r="K2282" s="48" t="str">
        <x:v>Yes</x:v>
      </x:c>
      <x:c r="L2282" s="48" t="str">
        <x:v>OCR</x:v>
      </x:c>
    </x:row>
    <x:row r="2283">
      <x:c r="A2283" s="48" t="str">
        <x:v>UNI-2282</x:v>
      </x:c>
      <x:c r="B2283" s="48" t="str">
        <x:v>ORANGE</x:v>
      </x:c>
      <x:c r="C2283" s="48" t="str">
        <x:v>English</x:v>
      </x:c>
      <x:c r="D2283" s="48" t="n">
        <x:v>29</x:v>
      </x:c>
      <x:c r="E2283" s="48" t="str"/>
      <x:c r="F2283" s="48" t="str">
        <x:v>Cy ae oe</x:v>
      </x:c>
      <x:c r="G2283" s="48" t="str">
        <x:v>Obligation</x:v>
      </x:c>
      <x:c r="H2283" s="48" t="str">
        <x:v>Shared</x:v>
      </x:c>
      <x:c r="I2283" s="48" t="n">
        <x:v>0.45</x:v>
      </x:c>
      <x:c r="J2283" s="48" t="n">
        <x:v>0.4</x:v>
      </x:c>
      <x:c r="K2283" s="48" t="str">
        <x:v>Yes</x:v>
      </x:c>
      <x:c r="L2283" s="48" t="str">
        <x:v>OCR</x:v>
      </x:c>
    </x:row>
    <x:row r="2284">
      <x:c r="A2284" s="48" t="str">
        <x:v>UNI-2283</x:v>
      </x:c>
      <x:c r="B2284" s="48" t="str">
        <x:v>ORANGE</x:v>
      </x:c>
      <x:c r="C2284" s="48" t="str">
        <x:v>English</x:v>
      </x:c>
      <x:c r="D2284" s="48" t="n">
        <x:v>29</x:v>
      </x:c>
      <x:c r="E2284" s="48" t="str"/>
      <x:c r="F2284" s="48" t="str">
        <x:v>‘pene ne he ane fem an coda, Falterots Pam 94 he Works Sto. pss the Ton Content dr ‘ess cn Compltion Ssphne 9S Se Emplnes Repesettie al ented (oy ees npn of Toon Coon tC 35 (0) het he Wess Sen a he ee ay te) i wich een th {Soper a ae te anes he Conca poe ‘one Cae 10° (ae aig Over Conia te Eminem te Conc ‘Me sles te eoceby ch anon a bag oe Empge ‘te Cota (lie fc re nel Cato ‘Sutthn proces inact ii oe obligates dete Cone</x:v>
      </x:c>
      <x:c r="G2284" s="48" t="str">
        <x:v>Obligation</x:v>
      </x:c>
      <x:c r="H2284" s="48" t="str">
        <x:v>Shared</x:v>
      </x:c>
      <x:c r="I2284" s="48" t="n">
        <x:v>0.45</x:v>
      </x:c>
      <x:c r="J2284" s="48" t="n">
        <x:v>0.4</x:v>
      </x:c>
      <x:c r="K2284" s="48" t="str">
        <x:v>Yes</x:v>
      </x:c>
      <x:c r="L2284" s="48" t="str">
        <x:v>OCR</x:v>
      </x:c>
    </x:row>
    <x:row r="2285">
      <x:c r="A2285" s="48" t="str">
        <x:v>UNI-2284</x:v>
      </x:c>
      <x:c r="B2285" s="48" t="str">
        <x:v>ORANGE</x:v>
      </x:c>
      <x:c r="C2285" s="48" t="str">
        <x:v>English</x:v>
      </x:c>
      <x:c r="D2285" s="48" t="n">
        <x:v>29</x:v>
      </x:c>
      <x:c r="E2285" s="48" t="str">
        <x:v>10</x:v>
      </x:c>
      <x:c r="F2285" s="48" t="str">
        <x:v>10 Employer's Taking Over</x:v>
      </x:c>
      <x:c r="G2285" s="48" t="str">
        <x:v>Heading</x:v>
      </x:c>
      <x:c r="H2285" s="48" t="str"/>
      <x:c r="I2285" s="48" t="n">
        <x:v>0.9</x:v>
      </x:c>
      <x:c r="J2285" s="48" t="n">
        <x:v>0.99</x:v>
      </x:c>
      <x:c r="K2285" s="48" t="str">
        <x:v>No</x:v>
      </x:c>
      <x:c r="L2285" s="48" t="str">
        <x:v>OCR</x:v>
      </x:c>
    </x:row>
    <x:row r="2286">
      <x:c r="A2286" s="48" t="str">
        <x:v>UNI-2285</x:v>
      </x:c>
      <x:c r="B2286" s="48" t="str">
        <x:v>ORANGE</x:v>
      </x:c>
      <x:c r="C2286" s="48" t="str">
        <x:v>English</x:v>
      </x:c>
      <x:c r="D2286" s="48" t="n">
        <x:v>29</x:v>
      </x:c>
      <x:c r="E2286" s="48" t="str"/>
      <x:c r="F2286" s="48" t="str">
        <x:v>‘Thine VAL Exe a din S.C 9.4 te Won shal be ken oe he ‘Cente '*" Elgort hy hve fen compe crane ih he Coa (ene dscbed foo pnp) bbw. he ped he ese</x:v>
      </x:c>
      <x:c r="G2286" s="48" t="str">
        <x:v>Obligation</x:v>
      </x:c>
      <x:c r="H2286" s="48" t="str">
        <x:v>Shared</x:v>
      </x:c>
      <x:c r="I2286" s="48" t="n">
        <x:v>0.45</x:v>
      </x:c>
      <x:c r="J2286" s="48" t="n">
        <x:v>0.4</x:v>
      </x:c>
      <x:c r="K2286" s="48" t="str">
        <x:v>Yes</x:v>
      </x:c>
      <x:c r="L2286" s="48" t="str">
        <x:v>OCR</x:v>
      </x:c>
    </x:row>
    <x:row r="2287">
      <x:c r="A2287" s="48" t="str">
        <x:v>UNI-2286</x:v>
      </x:c>
      <x:c r="B2287" s="48" t="str">
        <x:v>ORANGE</x:v>
      </x:c>
      <x:c r="C2287" s="48" t="str">
        <x:v>English</x:v>
      </x:c>
      <x:c r="D2287" s="48" t="n">
        <x:v>30</x:v>
      </x:c>
      <x:c r="E2287" s="48" t="str"/>
      <x:c r="F2287" s="48" t="str">
        <x:v>(2 ee Taig Over Corfe 4 te Cnc sting te dtc</x:v>
      </x:c>
      <x:c r="G2287" s="48" t="str">
        <x:v>Obligation</x:v>
      </x:c>
      <x:c r="H2287" s="48" t="str">
        <x:v>Shared</x:v>
      </x:c>
      <x:c r="I2287" s="48" t="n">
        <x:v>0.45</x:v>
      </x:c>
      <x:c r="J2287" s="48" t="n">
        <x:v>0.4</x:v>
      </x:c>
      <x:c r="K2287" s="48" t="str">
        <x:v>Yes</x:v>
      </x:c>
      <x:c r="L2287" s="48" t="str">
        <x:v>OCR</x:v>
      </x:c>
    </x:row>
    <x:row r="2288">
      <x:c r="A2288" s="48" t="str">
        <x:v>UNI-2287</x:v>
      </x:c>
      <x:c r="B2288" s="48" t="str">
        <x:v>ORANGE</x:v>
      </x:c>
      <x:c r="C2288" s="48" t="str">
        <x:v>English</x:v>
      </x:c>
      <x:c r="D2288" s="48" t="n">
        <x:v>30</x:v>
      </x:c>
      <x:c r="E2288" s="48" t="str"/>
      <x:c r="F2288" s="48" t="str">
        <x:v>Stine ws w Smee emp cece at</x:v>
      </x:c>
      <x:c r="G2288" s="48" t="str">
        <x:v>Obligation</x:v>
      </x:c>
      <x:c r="H2288" s="48" t="str">
        <x:v>Shared</x:v>
      </x:c>
      <x:c r="I2288" s="48" t="n">
        <x:v>0.45</x:v>
      </x:c>
      <x:c r="J2288" s="48" t="n">
        <x:v>0.4</x:v>
      </x:c>
      <x:c r="K2288" s="48" t="str">
        <x:v>Yes</x:v>
      </x:c>
      <x:c r="L2288" s="48" t="str">
        <x:v>OCR</x:v>
      </x:c>
    </x:row>
    <x:row r="2289">
      <x:c r="A2289" s="48" t="str">
        <x:v>UNI-2288</x:v>
      </x:c>
      <x:c r="B2289" s="48" t="str">
        <x:v>ORANGE</x:v>
      </x:c>
      <x:c r="C2289" s="48" t="str">
        <x:v>English</x:v>
      </x:c>
      <x:c r="D2289" s="48" t="n">
        <x:v>30</x:v>
      </x:c>
      <x:c r="E2289" s="48" t="str"/>
      <x:c r="F2289" s="48" t="str">
        <x:v>Paetsch end pron) cig pen te</x:v>
      </x:c>
      <x:c r="G2289" s="48" t="str">
        <x:v>Obligation</x:v>
      </x:c>
      <x:c r="H2289" s="48" t="str">
        <x:v>Shared</x:v>
      </x:c>
      <x:c r="I2289" s="48" t="n">
        <x:v>0.45</x:v>
      </x:c>
      <x:c r="J2289" s="48" t="n">
        <x:v>0.4</x:v>
      </x:c>
      <x:c r="K2289" s="48" t="str">
        <x:v>Yes</x:v>
      </x:c>
      <x:c r="L2289" s="48" t="str">
        <x:v>OCR</x:v>
      </x:c>
    </x:row>
    <x:row r="2290">
      <x:c r="A2290" s="48" t="str">
        <x:v>UNI-2289</x:v>
      </x:c>
      <x:c r="B2290" s="48" t="str">
        <x:v>ORANGE</x:v>
      </x:c>
      <x:c r="C2290" s="48" t="str">
        <x:v>English</x:v>
      </x:c>
      <x:c r="D2290" s="48" t="n">
        <x:v>30</x:v>
      </x:c>
      <x:c r="E2290" s="48" t="str"/>
      <x:c r="F2290" s="48" t="str">
        <x:v>ocr Compinon (0) set eyo. sig hi ann and speying wk reed SA Sec ie Coma cml Taking Over Cree | ‘cae Coma shal ceca seh or Bere Big» fre ac nr eC 1 te Epler Repeinie a eter Wise he Thing Over Ecgufneara tie Cama vate stan 3</x:v>
      </x:c>
      <x:c r="G2290" s="48" t="str">
        <x:v>Obligation</x:v>
      </x:c>
      <x:c r="H2290" s="48" t="str">
        <x:v>Shared</x:v>
      </x:c>
      <x:c r="I2290" s="48" t="n">
        <x:v>0.45</x:v>
      </x:c>
      <x:c r="J2290" s="48" t="n">
        <x:v>0.4</x:v>
      </x:c>
      <x:c r="K2290" s="48" t="str">
        <x:v>Yes</x:v>
      </x:c>
      <x:c r="L2290" s="48" t="str">
        <x:v>OCR</x:v>
      </x:c>
    </x:row>
    <x:row r="2291">
      <x:c r="A2291" s="48" t="str">
        <x:v>UNI-2290</x:v>
      </x:c>
      <x:c r="B2291" s="48" t="str">
        <x:v>ORANGE</x:v>
      </x:c>
      <x:c r="C2291" s="48" t="str">
        <x:v>English</x:v>
      </x:c>
      <x:c r="D2291" s="48" t="n">
        <x:v>30</x:v>
      </x:c>
      <x:c r="E2291" s="48" t="str"/>
      <x:c r="F2291" s="48" t="str">
        <x:v>Sie Gnu he lng Over Cre Sai be em Tone es</x:v>
      </x:c>
      <x:c r="G2291" s="48" t="str">
        <x:v>Obligation</x:v>
      </x:c>
      <x:c r="H2291" s="48" t="str">
        <x:v>Shared</x:v>
      </x:c>
      <x:c r="I2291" s="48" t="n">
        <x:v>0.45</x:v>
      </x:c>
      <x:c r="J2291" s="48" t="n">
        <x:v>0.4</x:v>
      </x:c>
      <x:c r="K2291" s="48" t="str">
        <x:v>Yes</x:v>
      </x:c>
      <x:c r="L2291" s="48" t="str">
        <x:v>OCR</x:v>
      </x:c>
    </x:row>
    <x:row r="2292">
      <x:c r="A2292" s="48" t="str">
        <x:v>UNI-2291</x:v>
      </x:c>
      <x:c r="B2292" s="48" t="str">
        <x:v>ORANGE</x:v>
      </x:c>
      <x:c r="C2292" s="48" t="str">
        <x:v>English</x:v>
      </x:c>
      <x:c r="D2292" s="48" t="n">
        <x:v>30</x:v>
      </x:c>
      <x:c r="E2292" s="48" t="str"/>
      <x:c r="F2292" s="48" t="str">
        <x:v>‘eo nt dy th pe sey The Emphyer 142 The Epler te aty ft of he Was ees the Emon Mpc hs act's novos Conn ech pa.</x:v>
      </x:c>
      <x:c r="G2292" s="48" t="str">
        <x:v>Obligation</x:v>
      </x:c>
      <x:c r="H2292" s="48" t="str">
        <x:v>Shared</x:v>
      </x:c>
      <x:c r="I2292" s="48" t="n">
        <x:v>0.45</x:v>
      </x:c>
      <x:c r="J2292" s="48" t="n">
        <x:v>0.4</x:v>
      </x:c>
      <x:c r="K2292" s="48" t="str">
        <x:v>Yes</x:v>
      </x:c>
      <x:c r="L2292" s="48" t="str">
        <x:v>OCR</x:v>
      </x:c>
    </x:row>
    <x:row r="2293">
      <x:c r="A2293" s="48" t="str">
        <x:v>UNI-2292</x:v>
      </x:c>
      <x:c r="B2293" s="48" t="str">
        <x:v>ORANGE</x:v>
      </x:c>
      <x:c r="C2293" s="48" t="str">
        <x:v>English</x:v>
      </x:c>
      <x:c r="D2293" s="48" t="n">
        <x:v>30</x:v>
      </x:c>
      <x:c r="E2293" s="48" t="str"/>
      <x:c r="F2293" s="48" t="str">
        <x:v>Tg ‘vee Coca a ben ed fer my pao te Wks Ctr than 3 ‘Scan he hpi maps dey em f he renin of ‘SS ws ana th Sco of whch os prt al fr ay pido ‘Saya he en sh Tang Ove Cee ee he</x:v>
      </x:c>
      <x:c r="G2293" s="48" t="str">
        <x:v>Obligation</x:v>
      </x:c>
      <x:c r="H2293" s="48" t="str">
        <x:v>Shared</x:v>
      </x:c>
      <x:c r="I2293" s="48" t="n">
        <x:v>0.45</x:v>
      </x:c>
      <x:c r="J2293" s="48" t="n">
        <x:v>0.4</x:v>
      </x:c>
      <x:c r="K2293" s="48" t="str">
        <x:v>Yes</x:v>
      </x:c>
      <x:c r="L2293" s="48" t="str">
        <x:v>OCR</x:v>
      </x:c>
    </x:row>
    <x:row r="2294">
      <x:c r="A2294" s="48" t="str">
        <x:v>UNI-2293</x:v>
      </x:c>
      <x:c r="B2294" s="48" t="str">
        <x:v>ORANGE</x:v>
      </x:c>
      <x:c r="C2294" s="48" t="str">
        <x:v>English</x:v>
      </x:c>
      <x:c r="D2294" s="48" t="n">
        <x:v>30</x:v>
      </x:c>
      <x:c r="E2294" s="48" t="str"/>
      <x:c r="F2294" s="48" t="str">
        <x:v>Gets rte may oh vs abcd ye</x:v>
      </x:c>
      <x:c r="G2294" s="48" t="str">
        <x:v>Right</x:v>
      </x:c>
      <x:c r="H2294" s="48" t="str">
        <x:v>Shared</x:v>
      </x:c>
      <x:c r="I2294" s="48" t="n">
        <x:v>0.78</x:v>
      </x:c>
      <x:c r="J2294" s="48" t="n">
        <x:v>0.4</x:v>
      </x:c>
      <x:c r="K2294" s="48" t="str">
        <x:v>Yes</x:v>
      </x:c>
      <x:c r="L2294" s="48" t="str">
        <x:v>OCR</x:v>
      </x:c>
    </x:row>
    <x:row r="2295">
      <x:c r="A2295" s="48" t="str">
        <x:v>UNI-2294</x:v>
      </x:c>
      <x:c r="B2295" s="48" t="str">
        <x:v>ORANGE</x:v>
      </x:c>
      <x:c r="C2295" s="48" t="str">
        <x:v>English</x:v>
      </x:c>
      <x:c r="D2295" s="48" t="n">
        <x:v>30</x:v>
      </x:c>
      <x:c r="E2295" s="48" t="str"/>
      <x:c r="F2295" s="48" t="str">
        <x:v>EMO oti ft npn hn pe af</x:v>
      </x:c>
      <x:c r="G2295" s="48" t="str">
        <x:v>Obligation</x:v>
      </x:c>
      <x:c r="H2295" s="48" t="str">
        <x:v>Shared</x:v>
      </x:c>
      <x:c r="I2295" s="48" t="n">
        <x:v>0.45</x:v>
      </x:c>
      <x:c r="J2295" s="48" t="n">
        <x:v>0.4</x:v>
      </x:c>
      <x:c r="K2295" s="48" t="str">
        <x:v>Yes</x:v>
      </x:c>
      <x:c r="L2295" s="48" t="str">
        <x:v>OCR</x:v>
      </x:c>
    </x:row>
    <x:row r="2296">
      <x:c r="A2296" s="48" t="str">
        <x:v>UNI-2295</x:v>
      </x:c>
      <x:c r="B2296" s="48" t="str">
        <x:v>ORANGE</x:v>
      </x:c>
      <x:c r="C2296" s="48" t="str">
        <x:v>English</x:v>
      </x:c>
      <x:c r="D2296" s="48" t="n">
        <x:v>30</x:v>
      </x:c>
      <x:c r="E2296" s="48" t="str"/>
      <x:c r="F2296" s="48" t="str">
        <x:v>ocean Shae ha ch</x:v>
      </x:c>
      <x:c r="G2296" s="48" t="str">
        <x:v>Obligation</x:v>
      </x:c>
      <x:c r="H2296" s="48" t="str">
        <x:v>Shared</x:v>
      </x:c>
      <x:c r="I2296" s="48" t="n">
        <x:v>0.45</x:v>
      </x:c>
      <x:c r="J2296" s="48" t="n">
        <x:v>0.4</x:v>
      </x:c>
      <x:c r="K2296" s="48" t="str">
        <x:v>Yes</x:v>
      </x:c>
      <x:c r="L2296" s="48" t="str">
        <x:v>OCR</x:v>
      </x:c>
    </x:row>
    <x:row r="2297">
      <x:c r="A2297" s="48" t="str">
        <x:v>UNI-2296</x:v>
      </x:c>
      <x:c r="B2297" s="48" t="str">
        <x:v>ORANGE</x:v>
      </x:c>
      <x:c r="C2297" s="48" t="str">
        <x:v>English</x:v>
      </x:c>
      <x:c r="D2297" s="48" t="n">
        <x:v>30</x:v>
      </x:c>
      <x:c r="E2297" s="48" t="str"/>
      <x:c r="F2297" s="48" t="str">
        <x:v>WC e Employer des we ay prof he Won fore the Taking Over</x:v>
      </x:c>
      <x:c r="G2297" s="48" t="str">
        <x:v>Obligation</x:v>
      </x:c>
      <x:c r="H2297" s="48" t="str">
        <x:v>Employer</x:v>
      </x:c>
      <x:c r="I2297" s="48" t="n">
        <x:v>0.45</x:v>
      </x:c>
      <x:c r="J2297" s="48" t="n">
        <x:v>0.68</x:v>
      </x:c>
      <x:c r="K2297" s="48" t="str">
        <x:v>Yes</x:v>
      </x:c>
      <x:c r="L2297" s="48" t="str">
        <x:v>OCR</x:v>
      </x:c>
    </x:row>
    <x:row r="2298">
      <x:c r="A2298" s="48" t="str">
        <x:v>UNI-2297</x:v>
      </x:c>
      <x:c r="B2298" s="48" t="str">
        <x:v>ORANGE</x:v>
      </x:c>
      <x:c r="C2298" s="48" t="str">
        <x:v>English</x:v>
      </x:c>
      <x:c r="D2298" s="48" t="n">
        <x:v>30</x:v>
      </x:c>
      <x:c r="E2298" s="48" t="str"/>
      <x:c r="F2298" s="48" t="str">
        <x:v>(Cnet (te por whch asl ee he eth ee (0) the Epes Rete sl, shen este by the Cone,</x:v>
      </x:c>
      <x:c r="G2298" s="48" t="str">
        <x:v>Obligation</x:v>
      </x:c>
      <x:c r="H2298" s="48" t="str">
        <x:v>Shared</x:v>
      </x:c>
      <x:c r="I2298" s="48" t="n">
        <x:v>0.45</x:v>
      </x:c>
      <x:c r="J2298" s="48" t="n">
        <x:v>0.4</x:v>
      </x:c>
      <x:c r="K2298" s="48" t="str">
        <x:v>Yes</x:v>
      </x:c>
      <x:c r="L2298" s="48" t="str">
        <x:v>OCR</x:v>
      </x:c>
    </x:row>
    <x:row r="2299">
      <x:c r="A2299" s="48" t="str">
        <x:v>UNI-2298</x:v>
      </x:c>
      <x:c r="B2299" s="48" t="str">
        <x:v>ORANGE</x:v>
      </x:c>
      <x:c r="C2299" s="48" t="str">
        <x:v>English</x:v>
      </x:c>
      <x:c r="D2299" s="48" t="n">
        <x:v>30</x:v>
      </x:c>
      <x:c r="E2299" s="48" t="str"/>
      <x:c r="F2299" s="48" t="str">
        <x:v>Soe fay Ove Cree see oo</x:v>
      </x:c>
      <x:c r="G2299" s="48" t="str">
        <x:v>Obligation</x:v>
      </x:c>
      <x:c r="H2299" s="48" t="str">
        <x:v>Shared</x:v>
      </x:c>
      <x:c r="I2299" s="48" t="n">
        <x:v>0.45</x:v>
      </x:c>
      <x:c r="J2299" s="48" t="n">
        <x:v>0.4</x:v>
      </x:c>
      <x:c r="K2299" s="48" t="str">
        <x:v>Yes</x:v>
      </x:c>
      <x:c r="L2299" s="48" t="str">
        <x:v>OCR</x:v>
      </x:c>
    </x:row>
    <x:row r="2300">
      <x:c r="A2300" s="48" t="str">
        <x:v>UNI-2299</x:v>
      </x:c>
      <x:c r="B2300" s="48" t="str">
        <x:v>ORANGE</x:v>
      </x:c>
      <x:c r="C2300" s="48" t="str">
        <x:v>English</x:v>
      </x:c>
      <x:c r="D2300" s="48" t="n">
        <x:v>30</x:v>
      </x:c>
      <x:c r="E2300" s="48" t="str"/>
      <x:c r="F2300" s="48" t="str">
        <x:v>‘ehcp paste Epp ~ ‘Aer einer Rpt ha ed Taking Over Cin fo ‘prof the Wake te Concer sl be gene els oppouney SEGA Me auy be menany1 ct ay osteng Ts ‘Cet nt Coco tl cary ot mach Tom Cnn</x:v>
      </x:c>
      <x:c r="G2300" s="48" t="str">
        <x:v>Obligation</x:v>
      </x:c>
      <x:c r="H2300" s="48" t="str">
        <x:v>Shared</x:v>
      </x:c>
      <x:c r="I2300" s="48" t="n">
        <x:v>0.45</x:v>
      </x:c>
      <x:c r="J2300" s="48" t="n">
        <x:v>0.4</x:v>
      </x:c>
      <x:c r="K2300" s="48" t="str">
        <x:v>Yes</x:v>
      </x:c>
      <x:c r="L2300" s="48" t="str">
        <x:v>OCR</x:v>
      </x:c>
    </x:row>
    <x:row r="2301">
      <x:c r="A2301" s="48" t="str">
        <x:v>UNI-2300</x:v>
      </x:c>
      <x:c r="B2301" s="48" t="str">
        <x:v>ORANGE</x:v>
      </x:c>
      <x:c r="C2301" s="48" t="str">
        <x:v>English</x:v>
      </x:c>
      <x:c r="D2301" s="48" t="n">
        <x:v>30</x:v>
      </x:c>
      <x:c r="E2301" s="48" t="str"/>
      <x:c r="F2301" s="48" t="str">
        <x:v>Stone pal beet ep ft Conc Pd</x:v>
      </x:c>
      <x:c r="G2301" s="48" t="str">
        <x:v>Obligation</x:v>
      </x:c>
      <x:c r="H2301" s="48" t="str">
        <x:v>Shared</x:v>
      </x:c>
      <x:c r="I2301" s="48" t="n">
        <x:v>0.45</x:v>
      </x:c>
      <x:c r="J2301" s="48" t="n">
        <x:v>0.4</x:v>
      </x:c>
      <x:c r="K2301" s="48" t="str">
        <x:v>Yes</x:v>
      </x:c>
      <x:c r="L2301" s="48" t="str">
        <x:v>OCR</x:v>
      </x:c>
    </x:row>
    <x:row r="2302">
      <x:c r="A2302" s="48" t="str">
        <x:v>UNI-2301</x:v>
      </x:c>
      <x:c r="B2302" s="48" t="str">
        <x:v>ORANGE</x:v>
      </x:c>
      <x:c r="C2302" s="48" t="str">
        <x:v>English</x:v>
      </x:c>
      <x:c r="D2302" s="48" t="n">
        <x:v>30</x:v>
      </x:c>
      <x:c r="E2302" s="48" t="str"/>
      <x:c r="F2302" s="48" t="str">
        <x:v>merece wih 143i Corer irs om crying te Tes Compe « ‘natenCansuina "San fr ehh he Engler (or aber coun employed by</x:v>
      </x:c>
      <x:c r="G2302" s="48" t="str">
        <x:v>Obligation</x:v>
      </x:c>
      <x:c r="H2302" s="48" t="str">
        <x:v>Shared</x:v>
      </x:c>
      <x:c r="I2302" s="48" t="n">
        <x:v>0.45</x:v>
      </x:c>
      <x:c r="J2302" s="48" t="n">
        <x:v>0.4</x:v>
      </x:c>
      <x:c r="K2302" s="48" t="str">
        <x:v>Yes</x:v>
      </x:c>
      <x:c r="L2302" s="48" t="str">
        <x:v>OCR</x:v>
      </x:c>
    </x:row>
    <x:row r="2303">
      <x:c r="A2303" s="48" t="str">
        <x:v>UNI-2302</x:v>
      </x:c>
      <x:c r="B2303" s="48" t="str">
        <x:v>ORANGE</x:v>
      </x:c>
      <x:c r="C2303" s="48" t="str">
        <x:v>English</x:v>
      </x:c>
      <x:c r="D2303" s="48" t="n">
        <x:v>31</x:v>
      </x:c>
      <x:c r="E2303" s="48" t="str"/>
      <x:c r="F2303" s="48" t="str">
        <x:v>Een rapnsble he npr sal bedankt</x:v>
      </x:c>
      <x:c r="G2303" s="48" t="str">
        <x:v>Obligation</x:v>
      </x:c>
      <x:c r="H2303" s="48" t="str">
        <x:v>Shared</x:v>
      </x:c>
      <x:c r="I2303" s="48" t="n">
        <x:v>0.45</x:v>
      </x:c>
      <x:c r="J2303" s="48" t="n">
        <x:v>0.4</x:v>
      </x:c>
      <x:c r="K2303" s="48" t="str">
        <x:v>Yes</x:v>
      </x:c>
      <x:c r="L2303" s="48" t="str">
        <x:v>OCR</x:v>
      </x:c>
    </x:row>
    <x:row r="2304">
      <x:c r="A2304" s="48" t="str">
        <x:v>UNI-2303</x:v>
      </x:c>
      <x:c r="B2304" s="48" t="str">
        <x:v>ORANGE</x:v>
      </x:c>
      <x:c r="C2304" s="48" t="str">
        <x:v>English</x:v>
      </x:c>
      <x:c r="D2304" s="48" t="n">
        <x:v>31</x:v>
      </x:c>
      <x:c r="E2304" s="48" t="str"/>
      <x:c r="F2304" s="48" t="str">
        <x:v>‘Nort or Sects csc abe ae wen Tens Compa</x:v>
      </x:c>
      <x:c r="G2304" s="48" t="str">
        <x:v>Obligation</x:v>
      </x:c>
      <x:c r="H2304" s="48" t="str">
        <x:v>Shared</x:v>
      </x:c>
      <x:c r="I2304" s="48" t="n">
        <x:v>0.45</x:v>
      </x:c>
      <x:c r="J2304" s="48" t="n">
        <x:v>0.4</x:v>
      </x:c>
      <x:c r="K2304" s="48" t="str">
        <x:v>Yes</x:v>
      </x:c>
      <x:c r="L2304" s="48" t="str">
        <x:v>OCR</x:v>
      </x:c>
    </x:row>
    <x:row r="2305">
      <x:c r="A2305" s="48" t="str">
        <x:v>UNI-2304</x:v>
      </x:c>
      <x:c r="B2305" s="48" t="str">
        <x:v>ORANGE</x:v>
      </x:c>
      <x:c r="C2305" s="48" t="str">
        <x:v>English</x:v>
      </x:c>
      <x:c r="D2305" s="48" t="n">
        <x:v>31</x:v>
      </x:c>
      <x:c r="E2305" s="48" t="str"/>
      <x:c r="F2305" s="48" t="str">
        <x:v>Wine snp Ova Soe ety alae toes coy</x:v>
      </x:c>
      <x:c r="G2305" s="48" t="str">
        <x:v>Obligation</x:v>
      </x:c>
      <x:c r="H2305" s="48" t="str">
        <x:v>Shared</x:v>
      </x:c>
      <x:c r="I2305" s="48" t="n">
        <x:v>0.45</x:v>
      </x:c>
      <x:c r="J2305" s="48" t="n">
        <x:v>0.4</x:v>
      </x:c>
      <x:c r="K2305" s="48" t="str">
        <x:v>Yes</x:v>
      </x:c>
      <x:c r="L2305" s="48" t="str">
        <x:v>OCR</x:v>
      </x:c>
    </x:row>
    <x:row r="2306">
      <x:c r="A2306" s="48" t="str">
        <x:v>UNI-2305</x:v>
      </x:c>
      <x:c r="B2306" s="48" t="str">
        <x:v>ORANGE</x:v>
      </x:c>
      <x:c r="C2306" s="48" t="str">
        <x:v>English</x:v>
      </x:c>
      <x:c r="D2306" s="48" t="n">
        <x:v>31</x:v>
      </x:c>
      <x:c r="E2306" s="48" t="str"/>
      <x:c r="F2306" s="48" t="str">
        <x:v>{ae Tea en Capon w Soo pata, blr the exp he</x:v>
      </x:c>
      <x:c r="G2306" s="48" t="str">
        <x:v>Obligation</x:v>
      </x:c>
      <x:c r="H2306" s="48" t="str">
        <x:v>Shared</x:v>
      </x:c>
      <x:c r="I2306" s="48" t="n">
        <x:v>0.45</x:v>
      </x:c>
      <x:c r="J2306" s="48" t="n">
        <x:v>0.4</x:v>
      </x:c>
      <x:c r="K2306" s="48" t="str">
        <x:v>Yes</x:v>
      </x:c>
      <x:c r="L2306" s="48" t="str">
        <x:v>OCR</x:v>
      </x:c>
    </x:row>
    <x:row r="2307">
      <x:c r="A2307" s="48" t="str">
        <x:v>UNI-2306</x:v>
      </x:c>
      <x:c r="B2307" s="48" t="str">
        <x:v>ORANGE</x:v>
      </x:c>
      <x:c r="C2307" s="48" t="str">
        <x:v>English</x:v>
      </x:c>
      <x:c r="D2307" s="48" t="n">
        <x:v>31</x:v>
      </x:c>
      <x:c r="E2307" s="48" t="str"/>
      <x:c r="F2307" s="48" t="str">
        <x:v>Sitar ceartenreneas tee</x:v>
      </x:c>
      <x:c r="G2307" s="48" t="str">
        <x:v>Obligation</x:v>
      </x:c>
      <x:c r="H2307" s="48" t="str">
        <x:v>Shared</x:v>
      </x:c>
      <x:c r="I2307" s="48" t="n">
        <x:v>0.45</x:v>
      </x:c>
      <x:c r="J2307" s="48" t="n">
        <x:v>0.4</x:v>
      </x:c>
      <x:c r="K2307" s="48" t="str">
        <x:v>Yes</x:v>
      </x:c>
      <x:c r="L2307" s="48" t="str">
        <x:v>OCR</x:v>
      </x:c>
    </x:row>
    <x:row r="2308">
      <x:c r="A2308" s="48" t="str">
        <x:v>UNI-2307</x:v>
      </x:c>
      <x:c r="B2308" s="48" t="str">
        <x:v>ORANGE</x:v>
      </x:c>
      <x:c r="C2308" s="48" t="str">
        <x:v>English</x:v>
      </x:c>
      <x:c r="D2308" s="48" t="n">
        <x:v>31</x:v>
      </x:c>
      <x:c r="E2308" s="48" t="str"/>
      <x:c r="F2308" s="48" t="str">
        <x:v>meeestiomoh ie eetemers ‘Cone Price 7</x:v>
      </x:c>
      <x:c r="G2308" s="48" t="str">
        <x:v>Obligation</x:v>
      </x:c>
      <x:c r="H2308" s="48" t="str">
        <x:v>Shared</x:v>
      </x:c>
      <x:c r="I2308" s="48" t="n">
        <x:v>0.45</x:v>
      </x:c>
      <x:c r="J2308" s="48" t="n">
        <x:v>0.4</x:v>
      </x:c>
      <x:c r="K2308" s="48" t="str">
        <x:v>Yes</x:v>
      </x:c>
      <x:c r="L2308" s="48" t="str">
        <x:v>OCR</x:v>
      </x:c>
    </x:row>
    <x:row r="2309">
      <x:c r="A2309" s="48" t="str">
        <x:v>UNI-2308</x:v>
      </x:c>
      <x:c r="B2309" s="48" t="str">
        <x:v>ORANGE</x:v>
      </x:c>
      <x:c r="C2309" s="48" t="str">
        <x:v>English</x:v>
      </x:c>
      <x:c r="D2309" s="48" t="n">
        <x:v>31</x:v>
      </x:c>
      <x:c r="E2309" s="48" t="str"/>
      <x:c r="F2309" s="48" t="str">
        <x:v>LL Tests after Completion</x:v>
      </x:c>
      <x:c r="G2309" s="48" t="str">
        <x:v>Obligation</x:v>
      </x:c>
      <x:c r="H2309" s="48" t="str">
        <x:v>Shared</x:v>
      </x:c>
      <x:c r="I2309" s="48" t="n">
        <x:v>0.45</x:v>
      </x:c>
      <x:c r="J2309" s="48" t="n">
        <x:v>0.4</x:v>
      </x:c>
      <x:c r="K2309" s="48" t="str">
        <x:v>Yes</x:v>
      </x:c>
      <x:c r="L2309" s="48" t="str">
        <x:v>OCR</x:v>
      </x:c>
    </x:row>
    <x:row r="2310">
      <x:c r="A2310" s="48" t="str">
        <x:v>UNI-2309</x:v>
      </x:c>
      <x:c r="B2310" s="48" t="str">
        <x:v>ORANGE</x:v>
      </x:c>
      <x:c r="C2310" s="48" t="str">
        <x:v>English</x:v>
      </x:c>
      <x:c r="D2310" s="48" t="n">
        <x:v>31</x:v>
      </x:c>
      <x:c r="E2310" s="48" t="str"/>
      <x:c r="F2310" s="48" t="str">
        <x:v>Ampler LL Ti ter Compton a pce aC hi Cae a</x:v>
      </x:c>
      <x:c r="G2310" s="48" t="str">
        <x:v>Obligation</x:v>
      </x:c>
      <x:c r="H2310" s="48" t="str">
        <x:v>Shared</x:v>
      </x:c>
      <x:c r="I2310" s="48" t="n">
        <x:v>0.45</x:v>
      </x:c>
      <x:c r="J2310" s="48" t="n">
        <x:v>0.4</x:v>
      </x:c>
      <x:c r="K2310" s="48" t="str">
        <x:v>Yes</x:v>
      </x:c>
      <x:c r="L2310" s="48" t="str">
        <x:v>OCR</x:v>
      </x:c>
    </x:row>
    <x:row r="2311">
      <x:c r="A2311" s="48" t="str">
        <x:v>UNI-2310</x:v>
      </x:c>
      <x:c r="B2311" s="48" t="str">
        <x:v>ORANGE</x:v>
      </x:c>
      <x:c r="C2311" s="48" t="str">
        <x:v>English</x:v>
      </x:c>
      <x:c r="D2311" s="48" t="n">
        <x:v>31</x:v>
      </x:c>
      <x:c r="E2311" s="48" t="str"/>
      <x:c r="F2311" s="48" t="str">
        <x:v>Gilead" lc here uscd in fae pone ae nce br mas, cry, wat ad all cy oth oa i ‘Genin nase St maa poe y Cotter dt</x:v>
      </x:c>
      <x:c r="G2311" s="48" t="str">
        <x:v>Obligation</x:v>
      </x:c>
      <x:c r="H2311" s="48" t="str">
        <x:v>Shared</x:v>
      </x:c>
      <x:c r="I2311" s="48" t="n">
        <x:v>0.45</x:v>
      </x:c>
      <x:c r="J2311" s="48" t="n">
        <x:v>0.4</x:v>
      </x:c>
      <x:c r="K2311" s="48" t="str">
        <x:v>Yes</x:v>
      </x:c>
      <x:c r="L2311" s="48" t="str">
        <x:v>OCR</x:v>
      </x:c>
    </x:row>
    <x:row r="2312">
      <x:c r="A2312" s="48" t="str">
        <x:v>UNI-2311</x:v>
      </x:c>
      <x:c r="B2312" s="48" t="str">
        <x:v>ORANGE</x:v>
      </x:c>
      <x:c r="C2312" s="48" t="str">
        <x:v>English</x:v>
      </x:c>
      <x:c r="D2312" s="48" t="n">
        <x:v>31</x:v>
      </x:c>
      <x:c r="E2312" s="48" t="str"/>
      <x:c r="F2312" s="48" t="str">
        <x:v>Sse sn ac pi te Comm ay bee ae</x:v>
      </x:c>
      <x:c r="G2312" s="48" t="str">
        <x:v>Obligation</x:v>
      </x:c>
      <x:c r="H2312" s="48" t="str">
        <x:v>Shared</x:v>
      </x:c>
      <x:c r="I2312" s="48" t="n">
        <x:v>0.45</x:v>
      </x:c>
      <x:c r="J2312" s="48" t="n">
        <x:v>0.4</x:v>
      </x:c>
      <x:c r="K2312" s="48" t="str">
        <x:v>Yes</x:v>
      </x:c>
      <x:c r="L2312" s="48" t="str">
        <x:v>OCR</x:v>
      </x:c>
    </x:row>
    <x:row r="2313">
      <x:c r="A2313" s="48" t="str">
        <x:v>UNI-2312</x:v>
      </x:c>
      <x:c r="B2313" s="48" t="str">
        <x:v>ORANGE</x:v>
      </x:c>
      <x:c r="C2313" s="48" t="str">
        <x:v>English</x:v>
      </x:c>
      <x:c r="D2313" s="48" t="n">
        <x:v>31</x:v>
      </x:c>
      <x:c r="E2313" s="48" t="str"/>
      <x:c r="F2313" s="48" t="str">
        <x:v>‘he Ta sf Compton sl ced on emly [seal aero oS tavern en ne he Epe ‘Re Enpesape he Com 3 em eae Sher whi e an ser Compcn st cad Un ern se, “ivtes uteri ten 1a ne ey ‘Etanscdty ic Eee Whe Cnet st cd ca cragcd be npn’ siy pce eine Tse Coron eh ‘Sir t'cema hn tena othe Com prec,</x:v>
      </x:c>
      <x:c r="G2313" s="48" t="str">
        <x:v>Obligation</x:v>
      </x:c>
      <x:c r="H2313" s="48" t="str">
        <x:v>Shared</x:v>
      </x:c>
      <x:c r="I2313" s="48" t="n">
        <x:v>0.45</x:v>
      </x:c>
      <x:c r="J2313" s="48" t="n">
        <x:v>0.4</x:v>
      </x:c>
      <x:c r="K2313" s="48" t="str">
        <x:v>Yes</x:v>
      </x:c>
      <x:c r="L2313" s="48" t="str">
        <x:v>OCR</x:v>
      </x:c>
    </x:row>
    <x:row r="2314">
      <x:c r="A2314" s="48" t="str">
        <x:v>UNI-2313</x:v>
      </x:c>
      <x:c r="B2314" s="48" t="str">
        <x:v>ORANGE</x:v>
      </x:c>
      <x:c r="C2314" s="48" t="str">
        <x:v>English</x:v>
      </x:c>
      <x:c r="D2314" s="48" t="n">
        <x:v>31</x:v>
      </x:c>
      <x:c r="E2314" s="48" t="str"/>
      <x:c r="F2314" s="48" t="str">
        <x:v>Fake To altloks</x:v>
      </x:c>
      <x:c r="G2314" s="48" t="str">
        <x:v>Obligation</x:v>
      </x:c>
      <x:c r="H2314" s="48" t="str">
        <x:v>Shared</x:v>
      </x:c>
      <x:c r="I2314" s="48" t="n">
        <x:v>0.45</x:v>
      </x:c>
      <x:c r="J2314" s="48" t="n">
        <x:v>0.4</x:v>
      </x:c>
      <x:c r="K2314" s="48" t="str">
        <x:v>Yes</x:v>
      </x:c>
      <x:c r="L2314" s="48" t="str">
        <x:v>OCR</x:v>
      </x:c>
    </x:row>
    <x:row r="2315">
      <x:c r="A2315" s="48" t="str">
        <x:v>UNI-2314</x:v>
      </x:c>
      <x:c r="B2315" s="48" t="str">
        <x:v>ORANGE</x:v>
      </x:c>
      <x:c r="C2315" s="48" t="str">
        <x:v>English</x:v>
      </x:c>
      <x:c r="D2315" s="48" t="n">
        <x:v>31</x:v>
      </x:c>
      <x:c r="E2315" s="48" t="str"/>
      <x:c r="F2315" s="48" t="str">
        <x:v>‘Ther oth Ts Comptia comp anes {ener a he Cra Ay eo elf es ae mplon wach on esrb shown bed teh pr we fh odin shat be tc no ou nena aa Deed Yo 12 the Concer nc ato Co sk fy ene ey byte Empl ng ot th Tense Cpt, ch Con pt anc pt sl be Sse he Eng Reps ‘Seri pin Sub Clane 33 fl Wn Yo</x:v>
      </x:c>
      <x:c r="G2315" s="48" t="str">
        <x:v>Obligation</x:v>
      </x:c>
      <x:c r="H2315" s="48" t="str">
        <x:v>Shared</x:v>
      </x:c>
      <x:c r="I2315" s="48" t="n">
        <x:v>0.45</x:v>
      </x:c>
      <x:c r="J2315" s="48" t="n">
        <x:v>0.4</x:v>
      </x:c>
      <x:c r="K2315" s="48" t="str">
        <x:v>Yes</x:v>
      </x:c>
      <x:c r="L2315" s="48" t="str">
        <x:v>OCR</x:v>
      </x:c>
    </x:row>
    <x:row r="2316">
      <x:c r="A2316" s="48" t="str">
        <x:v>UNI-2315</x:v>
      </x:c>
      <x:c r="B2316" s="48" t="str">
        <x:v>ORANGE</x:v>
      </x:c>
      <x:c r="C2316" s="48" t="str">
        <x:v>English</x:v>
      </x:c>
      <x:c r="D2316" s="48" t="n">
        <x:v>31</x:v>
      </x:c>
      <x:c r="E2316" s="48" t="str"/>
      <x:c r="F2316" s="48" t="str">
        <x:v>Somact he</x:v>
      </x:c>
      <x:c r="G2316" s="48" t="str">
        <x:v>Obligation</x:v>
      </x:c>
      <x:c r="H2316" s="48" t="str">
        <x:v>Shared</x:v>
      </x:c>
      <x:c r="I2316" s="48" t="n">
        <x:v>0.45</x:v>
      </x:c>
      <x:c r="J2316" s="48" t="n">
        <x:v>0.4</x:v>
      </x:c>
      <x:c r="K2316" s="48" t="str">
        <x:v>Yes</x:v>
      </x:c>
      <x:c r="L2316" s="48" t="str">
        <x:v>OCR</x:v>
      </x:c>
    </x:row>
    <x:row r="2317">
      <x:c r="A2317" s="48" t="str">
        <x:v>UNI-2316</x:v>
      </x:c>
      <x:c r="B2317" s="48" t="str">
        <x:v>ORANGE</x:v>
      </x:c>
      <x:c r="C2317" s="48" t="str">
        <x:v>English</x:v>
      </x:c>
      <x:c r="D2317" s="48" t="n">
        <x:v>31</x:v>
      </x:c>
      <x:c r="E2317" s="48" t="str"/>
      <x:c r="F2317" s="48" t="str">
        <x:v>if ress oat eC. es afer Completion on te</x:v>
      </x:c>
      <x:c r="G2317" s="48" t="str">
        <x:v>Obligation</x:v>
      </x:c>
      <x:c r="H2317" s="48" t="str">
        <x:v>Shared</x:v>
      </x:c>
      <x:c r="I2317" s="48" t="n">
        <x:v>0.45</x:v>
      </x:c>
      <x:c r="J2317" s="48" t="n">
        <x:v>0.4</x:v>
      </x:c>
      <x:c r="K2317" s="48" t="str">
        <x:v>Yes</x:v>
      </x:c>
      <x:c r="L2317" s="48" t="str">
        <x:v>OCR</x:v>
      </x:c>
    </x:row>
    <x:row r="2318">
      <x:c r="A2318" s="48" t="str">
        <x:v>UNI-2317</x:v>
      </x:c>
      <x:c r="B2318" s="48" t="str">
        <x:v>ORANGE</x:v>
      </x:c>
      <x:c r="C2318" s="48" t="str">
        <x:v>English</x:v>
      </x:c>
      <x:c r="D2318" s="48" t="n">
        <x:v>31</x:v>
      </x:c>
      <x:c r="E2318" s="48" t="str"/>
      <x:c r="F2318" s="48" t="str">
        <x:v>Moss ay Sess cab congo rig te Cent Ped</x:v>
      </x:c>
      <x:c r="G2318" s="48" t="str">
        <x:v>Obligation</x:v>
      </x:c>
      <x:c r="H2318" s="48" t="str">
        <x:v>Shared</x:v>
      </x:c>
      <x:c r="I2318" s="48" t="n">
        <x:v>0.45</x:v>
      </x:c>
      <x:c r="J2318" s="48" t="n">
        <x:v>0.4</x:v>
      </x:c>
      <x:c r="K2318" s="48" t="str">
        <x:v>Yes</x:v>
      </x:c>
      <x:c r="L2318" s="48" t="str">
        <x:v>OCR</x:v>
      </x:c>
    </x:row>
    <x:row r="2319">
      <x:c r="A2319" s="48" t="str">
        <x:v>UNI-2318</x:v>
      </x:c>
      <x:c r="B2319" s="48" t="str">
        <x:v>ORANGE</x:v>
      </x:c>
      <x:c r="C2319" s="48" t="str">
        <x:v>English</x:v>
      </x:c>
      <x:c r="D2319" s="48" t="n">
        <x:v>31</x:v>
      </x:c>
      <x:c r="E2319" s="48" t="str"/>
      <x:c r="F2319" s="48" t="str">
        <x:v>‘ihe psd ape py the Eyer Cnt) ben te Was ‘Sse mlb occ pes ss ae empce Reesig 13 Ws, Sen. to use Tes fer Cnn. spon (the Contr ny ree aed Ts ae Tes ae Comptin ‘Syd wr oops eh same ee cod SL2Uae ad itaig el fs ol of 9 Conran une ‘Employer mcr aoa co ch ec sal be weve {ry Eales) — s</x:v>
      </x:c>
      <x:c r="G2319" s="48" t="str">
        <x:v>Obligation</x:v>
      </x:c>
      <x:c r="H2319" s="48" t="str">
        <x:v>Employer</x:v>
      </x:c>
      <x:c r="I2319" s="48" t="n">
        <x:v>0.45</x:v>
      </x:c>
      <x:c r="J2319" s="48" t="n">
        <x:v>0.68</x:v>
      </x:c>
      <x:c r="K2319" s="48" t="str">
        <x:v>Yes</x:v>
      </x:c>
      <x:c r="L2319" s="48" t="str">
        <x:v>OCR</x:v>
      </x:c>
    </x:row>
    <x:row r="2320">
      <x:c r="A2320" s="48" t="str">
        <x:v>UNI-2319</x:v>
      </x:c>
      <x:c r="B2320" s="48" t="str">
        <x:v>ORANGE</x:v>
      </x:c>
      <x:c r="C2320" s="48" t="str">
        <x:v>English</x:v>
      </x:c>
      <x:c r="D2320" s="48" t="n">
        <x:v>32</x:v>
      </x:c>
      <x:c r="E2320" s="48" t="str"/>
      <x:c r="F2320" s="48" t="str">
        <x:v>rare Pan A i ftwing conto ym:</x:v>
      </x:c>
      <x:c r="G2320" s="48" t="str">
        <x:v>Obligation</x:v>
      </x:c>
      <x:c r="H2320" s="48" t="str">
        <x:v>Shared</x:v>
      </x:c>
      <x:c r="I2320" s="48" t="n">
        <x:v>0.45</x:v>
      </x:c>
      <x:c r="J2320" s="48" t="n">
        <x:v>0.4</x:v>
      </x:c>
      <x:c r="K2320" s="48" t="str">
        <x:v>Yes</x:v>
      </x:c>
      <x:c r="L2320" s="48" t="str">
        <x:v>OCR</x:v>
      </x:c>
    </x:row>
    <x:row r="2321">
      <x:c r="A2321" s="48" t="str">
        <x:v>UNI-2320</x:v>
      </x:c>
      <x:c r="B2321" s="48" t="str">
        <x:v>ORANGE</x:v>
      </x:c>
      <x:c r="C2321" s="48" t="str">
        <x:v>English</x:v>
      </x:c>
      <x:c r="D2321" s="48" t="n">
        <x:v>32</x:v>
      </x:c>
      <x:c r="E2321" s="48" t="str"/>
      <x:c r="F2321" s="48" t="str">
        <x:v>Tater) he Wns Scena say rao Tester Competin</x:v>
      </x:c>
      <x:c r="G2321" s="48" t="str">
        <x:v>Obligation</x:v>
      </x:c>
      <x:c r="H2321" s="48" t="str">
        <x:v>Shared</x:v>
      </x:c>
      <x:c r="I2321" s="48" t="n">
        <x:v>0.45</x:v>
      </x:c>
      <x:c r="J2321" s="48" t="n">
        <x:v>0.4</x:v>
      </x:c>
      <x:c r="K2321" s="48" t="str">
        <x:v>Yes</x:v>
      </x:c>
      <x:c r="L2321" s="48" t="str">
        <x:v>OCR</x:v>
      </x:c>
    </x:row>
    <x:row r="2322">
      <x:c r="A2322" s="48" t="str">
        <x:v>UNI-2321</x:v>
      </x:c>
      <x:c r="B2322" s="48" t="str">
        <x:v>ORANGE</x:v>
      </x:c>
      <x:c r="C2322" s="48" t="str">
        <x:v>English</x:v>
      </x:c>
      <x:c r="D2322" s="48" t="n">
        <x:v>32</x:v>
      </x:c>
      <x:c r="E2322" s="48" t="str"/>
      <x:c r="F2322" s="48" t="str">
        <x:v>cesta (3 ea sam pti ete nage fc chr ta ‘eelsegS Ss etn Ape Ter. and @ weCanrncr pays achiev sath Egle ing the Coni pon hun Wek oh Senn abe deme ohne pact wa Te ae</x:v>
      </x:c>
      <x:c r="G2322" s="48" t="str">
        <x:v>Obligation</x:v>
      </x:c>
      <x:c r="H2322" s="48" t="str">
        <x:v>Shared</x:v>
      </x:c>
      <x:c r="I2322" s="48" t="n">
        <x:v>0.45</x:v>
      </x:c>
      <x:c r="J2322" s="48" t="n">
        <x:v>0.4</x:v>
      </x:c>
      <x:c r="K2322" s="48" t="str">
        <x:v>Yes</x:v>
      </x:c>
      <x:c r="L2322" s="48" t="str">
        <x:v>OCR</x:v>
      </x:c>
    </x:row>
    <x:row r="2323">
      <x:c r="A2323" s="48" t="str">
        <x:v>UNI-2322</x:v>
      </x:c>
      <x:c r="B2323" s="48" t="str">
        <x:v>ORANGE</x:v>
      </x:c>
      <x:c r="C2323" s="48" t="str">
        <x:v>English</x:v>
      </x:c>
      <x:c r="D2323" s="48" t="n">
        <x:v>32</x:v>
      </x:c>
      <x:c r="E2323" s="48" t="str"/>
      <x:c r="F2323" s="48" t="str">
        <x:v>Seatac eapnte cme yon oe</x:v>
      </x:c>
      <x:c r="G2323" s="48" t="str">
        <x:v>Obligation</x:v>
      </x:c>
      <x:c r="H2323" s="48" t="str">
        <x:v>Shared</x:v>
      </x:c>
      <x:c r="I2323" s="48" t="n">
        <x:v>0.45</x:v>
      </x:c>
      <x:c r="J2323" s="48" t="n">
        <x:v>0.4</x:v>
      </x:c>
      <x:c r="K2323" s="48" t="str">
        <x:v>Yes</x:v>
      </x:c>
      <x:c r="L2323" s="48" t="str">
        <x:v>OCR</x:v>
      </x:c>
    </x:row>
    <x:row r="2324">
      <x:c r="A2324" s="48" t="str">
        <x:v>UNI-2323</x:v>
      </x:c>
      <x:c r="B2324" s="48" t="str">
        <x:v>ORANGE</x:v>
      </x:c>
      <x:c r="C2324" s="48" t="str">
        <x:v>English</x:v>
      </x:c>
      <x:c r="D2324" s="48" t="n">
        <x:v>32</x:v>
      </x:c>
      <x:c r="E2324" s="48" t="str"/>
      <x:c r="F2324" s="48" t="str">
        <x:v>ee ern sch ajo eieso 0b a wl&amp; i svt be Emly sch event. te Contact Sal ee tna te enc malin. das ch cert nef tig tte to 0b he Eons Fens weve te per Repent fa Be 2 "Goa Peat e Care tl eee at aaa ews Scion st coe may lb Semed sepa och aber Comptia</x:v>
      </x:c>
      <x:c r="G2324" s="48" t="str">
        <x:v>Right</x:v>
      </x:c>
      <x:c r="H2324" s="48" t="str">
        <x:v>Shared</x:v>
      </x:c>
      <x:c r="I2324" s="48" t="n">
        <x:v>0.78</x:v>
      </x:c>
      <x:c r="J2324" s="48" t="n">
        <x:v>0.4</x:v>
      </x:c>
      <x:c r="K2324" s="48" t="str">
        <x:v>Yes</x:v>
      </x:c>
      <x:c r="L2324" s="48" t="str">
        <x:v>OCR</x:v>
      </x:c>
    </x:row>
    <x:row r="2325">
      <x:c r="A2325" s="48" t="str">
        <x:v>UNI-2324</x:v>
      </x:c>
      <x:c r="B2325" s="48" t="str">
        <x:v>ORANGE</x:v>
      </x:c>
      <x:c r="C2325" s="48" t="str">
        <x:v>English</x:v>
      </x:c>
      <x:c r="D2325" s="48" t="n">
        <x:v>32</x:v>
      </x:c>
      <x:c r="E2325" s="48" t="str"/>
      <x:c r="F2325" s="48" t="str">
        <x:v>Writs Clonaor cas err ont me ay wae ey</x:v>
      </x:c>
      <x:c r="G2325" s="48" t="str">
        <x:v>Obligation</x:v>
      </x:c>
      <x:c r="H2325" s="48" t="str">
        <x:v>Shared</x:v>
      </x:c>
      <x:c r="I2325" s="48" t="n">
        <x:v>0.45</x:v>
      </x:c>
      <x:c r="J2325" s="48" t="n">
        <x:v>0.4</x:v>
      </x:c>
      <x:c r="K2325" s="48" t="str">
        <x:v>Yes</x:v>
      </x:c>
      <x:c r="L2325" s="48" t="str">
        <x:v>OCR</x:v>
      </x:c>
    </x:row>
    <x:row r="2326">
      <x:c r="A2326" s="48" t="str">
        <x:v>UNI-2325</x:v>
      </x:c>
      <x:c r="B2326" s="48" t="str">
        <x:v>ORANGE</x:v>
      </x:c>
      <x:c r="C2326" s="48" t="str">
        <x:v>English</x:v>
      </x:c>
      <x:c r="D2326" s="48" t="n">
        <x:v>32</x:v>
      </x:c>
      <x:c r="E2326" s="48" t="str"/>
      <x:c r="F2326" s="48" t="str">
        <x:v>a ny misao Pn by Coir a ata a cia of taro ps8 We afer Compo o tte seem ene Cone Sal ae ‘SIUC Gp rena pot, cab ch ly.</x:v>
      </x:c>
      <x:c r="G2326" s="48" t="str">
        <x:v>Obligation</x:v>
      </x:c>
      <x:c r="H2326" s="48" t="str">
        <x:v>Shared</x:v>
      </x:c>
      <x:c r="I2326" s="48" t="n">
        <x:v>0.45</x:v>
      </x:c>
      <x:c r="J2326" s="48" t="n">
        <x:v>0.4</x:v>
      </x:c>
      <x:c r="K2326" s="48" t="str">
        <x:v>Yes</x:v>
      </x:c>
      <x:c r="L2326" s="48" t="str">
        <x:v>OCR</x:v>
      </x:c>
    </x:row>
    <x:row r="2327">
      <x:c r="A2327" s="48" t="str">
        <x:v>UNI-2326</x:v>
      </x:c>
      <x:c r="B2327" s="48" t="str">
        <x:v>ORANGE</x:v>
      </x:c>
      <x:c r="C2327" s="48" t="str">
        <x:v>English</x:v>
      </x:c>
      <x:c r="D2327" s="48" t="n">
        <x:v>32</x:v>
      </x:c>
      <x:c r="E2327" s="48" t="str"/>
      <x:c r="F2327" s="48" t="str">
        <x:v>Compton 121 xe ht he Coma Doce a te Wh a en he owe tnea, "ce ry Be Co net on ip) oat sarin Werk Sea beep) Cent Pei he Conc a</x:v>
      </x:c>
      <x:c r="G2327" s="48" t="str">
        <x:v>Obligation</x:v>
      </x:c>
      <x:c r="H2327" s="48" t="str">
        <x:v>Shared</x:v>
      </x:c>
      <x:c r="I2327" s="48" t="n">
        <x:v>0.45</x:v>
      </x:c>
      <x:c r="J2327" s="48" t="n">
        <x:v>0.4</x:v>
      </x:c>
      <x:c r="K2327" s="48" t="str">
        <x:v>Yes</x:v>
      </x:c>
      <x:c r="L2327" s="48" t="str">
        <x:v>OCR</x:v>
      </x:c>
    </x:row>
    <x:row r="2328">
      <x:c r="A2328" s="48" t="str">
        <x:v>UNI-2327</x:v>
      </x:c>
      <x:c r="B2328" s="48" t="str">
        <x:v>ORANGE</x:v>
      </x:c>
      <x:c r="C2328" s="48" t="str">
        <x:v>English</x:v>
      </x:c>
      <x:c r="D2328" s="48" t="n">
        <x:v>32</x:v>
      </x:c>
      <x:c r="E2328" s="48" t="str"/>
      <x:c r="F2328" s="48" t="str">
        <x:v>Deed a) came ay ork wich tango he dae nl i Taig</x:v>
      </x:c>
      <x:c r="G2328" s="48" t="str">
        <x:v>Obligation</x:v>
      </x:c>
      <x:c r="H2328" s="48" t="str">
        <x:v>Shared</x:v>
      </x:c>
      <x:c r="I2328" s="48" t="n">
        <x:v>0.45</x:v>
      </x:c>
      <x:c r="J2328" s="48" t="n">
        <x:v>0.4</x:v>
      </x:c>
      <x:c r="K2328" s="48" t="str">
        <x:v>Yes</x:v>
      </x:c>
      <x:c r="L2328" s="48" t="str">
        <x:v>OCR</x:v>
      </x:c>
    </x:row>
    <x:row r="2329">
      <x:c r="A2329" s="48" t="str">
        <x:v>UNI-2328</x:v>
      </x:c>
      <x:c r="B2329" s="48" t="str">
        <x:v>ORANGE</x:v>
      </x:c>
      <x:c r="C2329" s="48" t="str">
        <x:v>English</x:v>
      </x:c>
      <x:c r="D2329" s="48" t="n">
        <x:v>32</x:v>
      </x:c>
      <x:c r="E2329" s="48" t="str"/>
      <x:c r="F2329" s="48" t="str">
        <x:v>(o) coco a wtf amen, seme ec</x:v>
      </x:c>
      <x:c r="G2329" s="48" t="str">
        <x:v>Obligation</x:v>
      </x:c>
      <x:c r="H2329" s="48" t="str">
        <x:v>Shared</x:v>
      </x:c>
      <x:c r="I2329" s="48" t="n">
        <x:v>0.45</x:v>
      </x:c>
      <x:c r="J2329" s="48" t="n">
        <x:v>0.4</x:v>
      </x:c>
      <x:c r="K2329" s="48" t="str">
        <x:v>Yes</x:v>
      </x:c>
      <x:c r="L2329" s="48" t="str">
        <x:v>OCR</x:v>
      </x:c>
    </x:row>
    <x:row r="2330">
      <x:c r="A2330" s="48" t="str">
        <x:v>UNI-2329</x:v>
      </x:c>
      <x:c r="B2330" s="48" t="str">
        <x:v>ORANGE</x:v>
      </x:c>
      <x:c r="C2330" s="48" t="str">
        <x:v>English</x:v>
      </x:c>
      <x:c r="D2330" s="48" t="n">
        <x:v>32</x:v>
      </x:c>
      <x:c r="E2330" s="48" t="str"/>
      <x:c r="F2330" s="48" t="str">
        <x:v>Sem be immed byte yer we Be phe</x:v>
      </x:c>
      <x:c r="G2330" s="48" t="str">
        <x:v>Obligation</x:v>
      </x:c>
      <x:c r="H2330" s="48" t="str">
        <x:v>Shared</x:v>
      </x:c>
      <x:c r="I2330" s="48" t="n">
        <x:v>0.45</x:v>
      </x:c>
      <x:c r="J2330" s="48" t="n">
        <x:v>0.4</x:v>
      </x:c>
      <x:c r="K2330" s="48" t="str">
        <x:v>Yes</x:v>
      </x:c>
      <x:c r="L2330" s="48" t="str">
        <x:v>OCR</x:v>
      </x:c>
    </x:row>
    <x:row r="2331">
      <x:c r="A2331" s="48" t="str">
        <x:v>UNI-2330</x:v>
      </x:c>
      <x:c r="B2331" s="48" t="str">
        <x:v>ORANGE</x:v>
      </x:c>
      <x:c r="C2331" s="48" t="str">
        <x:v>English</x:v>
      </x:c>
      <x:c r="D2331" s="48" t="n">
        <x:v>32</x:v>
      </x:c>
      <x:c r="E2331" s="48" t="str"/>
      <x:c r="F2331" s="48" t="str">
        <x:v>Fepsinivedghe Co Peod</x:v>
      </x:c>
      <x:c r="G2331" s="48" t="str">
        <x:v>Obligation</x:v>
      </x:c>
      <x:c r="H2331" s="48" t="str">
        <x:v>Shared</x:v>
      </x:c>
      <x:c r="I2331" s="48" t="n">
        <x:v>0.45</x:v>
      </x:c>
      <x:c r="J2331" s="48" t="n">
        <x:v>0.4</x:v>
      </x:c>
      <x:c r="K2331" s="48" t="str">
        <x:v>Yes</x:v>
      </x:c>
      <x:c r="L2331" s="48" t="str">
        <x:v>OCR</x:v>
      </x:c>
    </x:row>
    <x:row r="2332">
      <x:c r="A2332" s="48" t="str">
        <x:v>UNI-2331</x:v>
      </x:c>
      <x:c r="B2332" s="48" t="str">
        <x:v>ORANGE</x:v>
      </x:c>
      <x:c r="C2332" s="48" t="str">
        <x:v>English</x:v>
      </x:c>
      <x:c r="D2332" s="48" t="n">
        <x:v>32</x:v>
      </x:c>
      <x:c r="E2332" s="48" t="str"/>
      <x:c r="F2332" s="48" t="str">
        <x:v>tay sh defen ppen or damage wes, Ele oe Emp genase ay he Cao wing Awe fol wn $b Cate 12.) le xs yt Coa ‘Sen cei he neces) ch nor i: (@) Be gn e Wes, (ta, Mews of weskmarhip ot big accortace wit Cost af Reeling 122 ihe (eae be Coc copy why of te ogo och cnt ary aber cae be ple epee Me eeepc serpy an sch seen 9 ns eo cones SubClane 163 Sallapyy eh wer</x:v>
      </x:c>
      <x:c r="G2332" s="48" t="str">
        <x:v>Obligation</x:v>
      </x:c>
      <x:c r="H2332" s="48" t="str">
        <x:v>Shared</x:v>
      </x:c>
      <x:c r="I2332" s="48" t="n">
        <x:v>0.45</x:v>
      </x:c>
      <x:c r="J2332" s="48" t="n">
        <x:v>0.4</x:v>
      </x:c>
      <x:c r="K2332" s="48" t="str">
        <x:v>Yes</x:v>
      </x:c>
      <x:c r="L2332" s="48" t="str">
        <x:v>OCR</x:v>
      </x:c>
    </x:row>
    <x:row r="2333">
      <x:c r="A2333" s="48" t="str">
        <x:v>UNI-2332</x:v>
      </x:c>
      <x:c r="B2333" s="48" t="str">
        <x:v>ORANGE</x:v>
      </x:c>
      <x:c r="C2333" s="48" t="str">
        <x:v>English</x:v>
      </x:c>
      <x:c r="D2333" s="48" t="n">
        <x:v>33</x:v>
      </x:c>
      <x:c r="E2333" s="48" t="str"/>
      <x:c r="F2333" s="48" t="str">
        <x:v>Extension 123.</x:v>
      </x:c>
      <x:c r="G2333" s="48" t="str">
        <x:v>Obligation</x:v>
      </x:c>
      <x:c r="H2333" s="48" t="str">
        <x:v>Shared</x:v>
      </x:c>
      <x:c r="I2333" s="48" t="n">
        <x:v>0.45</x:v>
      </x:c>
      <x:c r="J2333" s="48" t="n">
        <x:v>0.4</x:v>
      </x:c>
      <x:c r="K2333" s="48" t="str">
        <x:v>Yes</x:v>
      </x:c>
      <x:c r="L2333" s="48" t="str">
        <x:v>OCR</x:v>
      </x:c>
    </x:row>
    <x:row r="2334">
      <x:c r="A2334" s="48" t="str">
        <x:v>UNI-2333</x:v>
      </x:c>
      <x:c r="B2334" s="48" t="str">
        <x:v>ORANGE</x:v>
      </x:c>
      <x:c r="C2334" s="48" t="str">
        <x:v>English</x:v>
      </x:c>
      <x:c r="D2334" s="48" t="n">
        <x:v>33</x:v>
      </x:c>
      <x:c r="E2334" s="48" t="str"/>
      <x:c r="F2334" s="48" t="str">
        <x:v>Te Cot Pes sh e etn ty 4 elo oil the a of ane contrat Pod" gar te oan we uke ing whch be Was Seat em Pla cana ew eh oss ly eed</x:v>
      </x:c>
      <x:c r="G2334" s="48" t="str">
        <x:v>Obligation</x:v>
      </x:c>
      <x:c r="H2334" s="48" t="str">
        <x:v>Shared</x:v>
      </x:c>
      <x:c r="I2334" s="48" t="n">
        <x:v>0.45</x:v>
      </x:c>
      <x:c r="J2334" s="48" t="n">
        <x:v>0.4</x:v>
      </x:c>
      <x:c r="K2334" s="48" t="str">
        <x:v>Yes</x:v>
      </x:c>
      <x:c r="L2334" s="48" t="str">
        <x:v>OCR</x:v>
      </x:c>
    </x:row>
    <x:row r="2335">
      <x:c r="A2335" s="48" t="str">
        <x:v>UNI-2334</x:v>
      </x:c>
      <x:c r="B2335" s="48" t="str">
        <x:v>ORANGE</x:v>
      </x:c>
      <x:c r="C2335" s="48" t="str">
        <x:v>English</x:v>
      </x:c>
      <x:c r="D2335" s="48" t="n">
        <x:v>33</x:v>
      </x:c>
      <x:c r="E2335" s="48" t="str"/>
      <x:c r="F2335" s="48" t="str">
        <x:v>Spice nace iarge epee Coun Pie sa oe</x:v>
      </x:c>
      <x:c r="G2335" s="48" t="str">
        <x:v>Obligation</x:v>
      </x:c>
      <x:c r="H2335" s="48" t="str">
        <x:v>Shared</x:v>
      </x:c>
      <x:c r="I2335" s="48" t="n">
        <x:v>0.45</x:v>
      </x:c>
      <x:c r="J2335" s="48" t="n">
        <x:v>0.4</x:v>
      </x:c>
      <x:c r="K2335" s="48" t="str">
        <x:v>Yes</x:v>
      </x:c>
      <x:c r="L2335" s="48" t="str">
        <x:v>OCR</x:v>
      </x:c>
    </x:row>
    <x:row r="2336">
      <x:c r="A2336" s="48" t="str">
        <x:v>UNI-2335</x:v>
      </x:c>
      <x:c r="B2336" s="48" t="str">
        <x:v>ORANGE</x:v>
      </x:c>
      <x:c r="C2336" s="48" t="str">
        <x:v>English</x:v>
      </x:c>
      <x:c r="D2336" s="48" t="n">
        <x:v>33</x:v>
      </x:c>
      <x:c r="E2336" s="48" t="str"/>
      <x:c r="F2336" s="48" t="str">
        <x:v>‘hon mae sa</x:v>
      </x:c>
      <x:c r="G2336" s="48" t="str">
        <x:v>Obligation</x:v>
      </x:c>
      <x:c r="H2336" s="48" t="str">
        <x:v>Shared</x:v>
      </x:c>
      <x:c r="I2336" s="48" t="n">
        <x:v>0.45</x:v>
      </x:c>
      <x:c r="J2336" s="48" t="n">
        <x:v>0.4</x:v>
      </x:c>
      <x:c r="K2336" s="48" t="str">
        <x:v>Yes</x:v>
      </x:c>
      <x:c r="L2336" s="48" t="str">
        <x:v>OCR</x:v>
      </x:c>
    </x:row>
    <x:row r="2337">
      <x:c r="A2337" s="48" t="str">
        <x:v>UNI-2336</x:v>
      </x:c>
      <x:c r="B2337" s="48" t="str">
        <x:v>ORANGE</x:v>
      </x:c>
      <x:c r="C2337" s="48" t="str">
        <x:v>English</x:v>
      </x:c>
      <x:c r="D2337" s="48" t="n">
        <x:v>33</x:v>
      </x:c>
      <x:c r="E2337" s="48" t="str"/>
      <x:c r="F2337" s="48" t="str">
        <x:v>We vey of Plat ner Maer fo of Pha onan of</x:v>
      </x:c>
      <x:c r="G2337" s="48" t="str">
        <x:v>Obligation</x:v>
      </x:c>
      <x:c r="H2337" s="48" t="str">
        <x:v>Shared</x:v>
      </x:c>
      <x:c r="I2337" s="48" t="n">
        <x:v>0.45</x:v>
      </x:c>
      <x:c r="J2337" s="48" t="n">
        <x:v>0.4</x:v>
      </x:c>
      <x:c r="K2337" s="48" t="str">
        <x:v>Yes</x:v>
      </x:c>
      <x:c r="L2337" s="48" t="str">
        <x:v>OCR</x:v>
      </x:c>
    </x:row>
    <x:row r="2338">
      <x:c r="A2338" s="48" t="str">
        <x:v>UNI-2337</x:v>
      </x:c>
      <x:c r="B2338" s="48" t="str">
        <x:v>ORANGE</x:v>
      </x:c>
      <x:c r="C2338" s="48" t="str">
        <x:v>English</x:v>
      </x:c>
      <x:c r="D2338" s="48" t="n">
        <x:v>33</x:v>
      </x:c>
      <x:c r="E2338" s="48" t="str"/>
      <x:c r="F2338" s="48" t="str">
        <x:v>Mca Sar en supeded ser SunClane 87 he Conacor’s ‘pt ner hs SbCl al nt ap ay tects trap ‘Scum ore fee ear er te Pt lt Meals wks ‘Shere fave bn ele ected a kn oer Fate Remedy 124 he Contam dfx er dang ihn areas ee (remy edt ape pt Cnr ase ae a chase ie Gri i ey hee a yc a cuenyenecacce (a) cay ont nv af oye. rename an at he ‘Gidactrs van costs Concer tas hve no wpe {er wee con poe care ye Epler ner</x:v>
      </x:c>
      <x:c r="G2338" s="48" t="str">
        <x:v>Obligation</x:v>
      </x:c>
      <x:c r="H2338" s="48" t="str">
        <x:v>Shared</x:v>
      </x:c>
      <x:c r="I2338" s="48" t="n">
        <x:v>0.45</x:v>
      </x:c>
      <x:c r="J2338" s="48" t="n">
        <x:v>0.4</x:v>
      </x:c>
      <x:c r="K2338" s="48" t="str">
        <x:v>Yes</x:v>
      </x:c>
      <x:c r="L2338" s="48" t="str">
        <x:v>OCR</x:v>
      </x:c>
    </x:row>
    <x:row r="2339">
      <x:c r="A2339" s="48" t="str">
        <x:v>UNI-2338</x:v>
      </x:c>
      <x:c r="B2339" s="48" t="str">
        <x:v>ORANGE</x:v>
      </x:c>
      <x:c r="C2339" s="48" t="str">
        <x:v>English</x:v>
      </x:c>
      <x:c r="D2339" s="48" t="n">
        <x:v>33</x:v>
      </x:c>
      <x:c r="E2339" s="48" t="str"/>
      <x:c r="F2339" s="48" t="str">
        <x:v>ns (©) seg te Engloers Repoematne 1 deemine aa cety © ‘Sombie reco the Conte reo (6) 9 detest samage a he Epes te epi ‘uniy be wa of be bare of he Worse parts of Be Wah ‘Smite Cent eect ef wh prof he Ws come bo</x:v>
      </x:c>
      <x:c r="G2339" s="48" t="str">
        <x:v>Obligation</x:v>
      </x:c>
      <x:c r="H2339" s="48" t="str">
        <x:v>Shared</x:v>
      </x:c>
      <x:c r="I2339" s="48" t="n">
        <x:v>0.45</x:v>
      </x:c>
      <x:c r="J2339" s="48" t="n">
        <x:v>0.4</x:v>
      </x:c>
      <x:c r="K2339" s="48" t="str">
        <x:v>Yes</x:v>
      </x:c>
      <x:c r="L2339" s="48" t="str">
        <x:v>OCR</x:v>
      </x:c>
    </x:row>
    <x:row r="2340">
      <x:c r="A2340" s="48" t="str">
        <x:v>UNI-2339</x:v>
      </x:c>
      <x:c r="B2340" s="48" t="str">
        <x:v>ORANGE</x:v>
      </x:c>
      <x:c r="C2340" s="48" t="str">
        <x:v>English</x:v>
      </x:c>
      <x:c r="D2340" s="48" t="n">
        <x:v>33</x:v>
      </x:c>
      <x:c r="E2340" s="48" t="str"/>
      <x:c r="F2340" s="48" t="str">
        <x:v>Pott te ment Enya ten fe aie eve a</x:v>
      </x:c>
      <x:c r="G2340" s="48" t="str">
        <x:v>Obligation</x:v>
      </x:c>
      <x:c r="H2340" s="48" t="str">
        <x:v>Shared</x:v>
      </x:c>
      <x:c r="I2340" s="48" t="n">
        <x:v>0.45</x:v>
      </x:c>
      <x:c r="J2340" s="48" t="n">
        <x:v>0.4</x:v>
      </x:c>
      <x:c r="K2340" s="48" t="str">
        <x:v>Yes</x:v>
      </x:c>
      <x:c r="L2340" s="48" t="str">
        <x:v>OCR</x:v>
      </x:c>
    </x:row>
    <x:row r="2341">
      <x:c r="A2341" s="48" t="str">
        <x:v>UNI-2340</x:v>
      </x:c>
      <x:c r="B2341" s="48" t="str">
        <x:v>ORANGE</x:v>
      </x:c>
      <x:c r="C2341" s="48" t="str">
        <x:v>English</x:v>
      </x:c>
      <x:c r="D2341" s="48" t="n">
        <x:v>33</x:v>
      </x:c>
      <x:c r="E2341" s="48" t="str"/>
      <x:c r="F2341" s="48" t="str">
        <x:v>‘Gi ian cs foe Works eee i cof sing</x:v>
      </x:c>
      <x:c r="G2341" s="48" t="str">
        <x:v>Obligation</x:v>
      </x:c>
      <x:c r="H2341" s="48" t="str">
        <x:v>Shared</x:v>
      </x:c>
      <x:c r="I2341" s="48" t="n">
        <x:v>0.45</x:v>
      </x:c>
      <x:c r="J2341" s="48" t="n">
        <x:v>0.4</x:v>
      </x:c>
      <x:c r="K2341" s="48" t="str">
        <x:v>Yes</x:v>
      </x:c>
      <x:c r="L2341" s="48" t="str">
        <x:v>OCR</x:v>
      </x:c>
    </x:row>
    <x:row r="2342">
      <x:c r="A2342" s="48" t="str">
        <x:v>UNI-2341</x:v>
      </x:c>
      <x:c r="B2342" s="48" t="str">
        <x:v>ORANGE</x:v>
      </x:c>
      <x:c r="C2342" s="48" t="str">
        <x:v>English</x:v>
      </x:c>
      <x:c r="D2342" s="48" t="n">
        <x:v>33</x:v>
      </x:c>
      <x:c r="E2342" s="48" t="str"/>
      <x:c r="F2342" s="48" t="str">
        <x:v>SE LEne Siac he St an aad Meno</x:v>
      </x:c>
      <x:c r="G2342" s="48" t="str">
        <x:v>Obligation</x:v>
      </x:c>
      <x:c r="H2342" s="48" t="str">
        <x:v>Shared</x:v>
      </x:c>
      <x:c r="I2342" s="48" t="n">
        <x:v>0.45</x:v>
      </x:c>
      <x:c r="J2342" s="48" t="n">
        <x:v>0.4</x:v>
      </x:c>
      <x:c r="K2342" s="48" t="str">
        <x:v>Yes</x:v>
      </x:c>
      <x:c r="L2342" s="48" t="str">
        <x:v>OCR</x:v>
      </x:c>
    </x:row>
    <x:row r="2343">
      <x:c r="A2343" s="48" t="str">
        <x:v>UNI-2342</x:v>
      </x:c>
      <x:c r="B2343" s="48" t="str">
        <x:v>ORANGE</x:v>
      </x:c>
      <x:c r="C2343" s="48" t="str">
        <x:v>English</x:v>
      </x:c>
      <x:c r="D2343" s="48" t="n">
        <x:v>33</x:v>
      </x:c>
      <x:c r="E2343" s="48" t="str"/>
      <x:c r="F2343" s="48" t="str">
        <x:v>(Cater So&gt;-Clase181 shal mo 8.</x:v>
      </x:c>
      <x:c r="G2343" s="48" t="str">
        <x:v>Obligation</x:v>
      </x:c>
      <x:c r="H2343" s="48" t="str">
        <x:v>Shared</x:v>
      </x:c>
      <x:c r="I2343" s="48" t="n">
        <x:v>0.45</x:v>
      </x:c>
      <x:c r="J2343" s="48" t="n">
        <x:v>0.4</x:v>
      </x:c>
      <x:c r="K2343" s="48" t="str">
        <x:v>Yes</x:v>
      </x:c>
      <x:c r="L2343" s="48" t="str">
        <x:v>OCR</x:v>
      </x:c>
    </x:row>
    <x:row r="2344">
      <x:c r="A2344" s="48" t="str">
        <x:v>UNI-2343</x:v>
      </x:c>
      <x:c r="B2344" s="48" t="str">
        <x:v>ORANGE</x:v>
      </x:c>
      <x:c r="C2344" s="48" t="str">
        <x:v>English</x:v>
      </x:c>
      <x:c r="D2344" s="48" t="n">
        <x:v>33</x:v>
      </x:c>
      <x:c r="E2344" s="48" t="str"/>
      <x:c r="F2344" s="48" t="str">
        <x:v>Reminald 2S ie dfs dag ah ht itcaet be ened edo he Deve Work | Sete Cun aya ert of Employer Rye is impaer rane fmt Soe repro et ep By pn ‘Noe sh ic tose dame urbe Tet 126 he meng fay defect or damage sath a may alt te elena the Were Egoye year at Tess oom "Taher Capon oboe fe pu tothe vent ey Te ‘yuo ll be made sue nn 3 ys ae be deo ame {Steet ech Ta shalt ied out nce wit Case 98 (ase I ast ae my ight Ae 127 nt eran ain on Cnr hl he "goss ot pts ofthe Works a cso th orig ‘ean be Woks tet as ny emis ih es ‘Sty rare by epatatin spre fr orange Marks Contac y 128 The Contr sa ei byte Eglo Reese sec ‘Sera '7% sn ay sft ner te incon fe oes Reese nish ern oe fer we Corer ae th Cont of So) ‘ech pene por, sh te lo Cat Pcs, an ”</x:v>
      </x:c>
      <x:c r="G2344" s="48" t="str">
        <x:v>Right</x:v>
      </x:c>
      <x:c r="H2344" s="48" t="str">
        <x:v>Employer</x:v>
      </x:c>
      <x:c r="I2344" s="48" t="n">
        <x:v>0.78</x:v>
      </x:c>
      <x:c r="J2344" s="48" t="n">
        <x:v>0.68</x:v>
      </x:c>
      <x:c r="K2344" s="48" t="str">
        <x:v>Yes</x:v>
      </x:c>
      <x:c r="L2344" s="48" t="str">
        <x:v>OCR</x:v>
      </x:c>
    </x:row>
    <x:row r="2345">
      <x:c r="A2345" s="48" t="str">
        <x:v>UNI-2344</x:v>
      </x:c>
      <x:c r="B2345" s="48" t="str">
        <x:v>ORANGE</x:v>
      </x:c>
      <x:c r="C2345" s="48" t="str">
        <x:v>English</x:v>
      </x:c>
      <x:c r="D2345" s="48" t="n">
        <x:v>34</x:v>
      </x:c>
      <x:c r="E2345" s="48" t="str"/>
      <x:c r="F2345" s="48" t="str">
        <x:v>strmnce 129° The Cott sa stb comico el he Prat “Counce |”?</x:v>
      </x:c>
      <x:c r="G2345" s="48" t="str">
        <x:v>Obligation</x:v>
      </x:c>
      <x:c r="H2345" s="48" t="str">
        <x:v>Shared</x:v>
      </x:c>
      <x:c r="I2345" s="48" t="n">
        <x:v>0.45</x:v>
      </x:c>
      <x:c r="J2345" s="48" t="n">
        <x:v>0.4</x:v>
      </x:c>
      <x:c r="K2345" s="48" t="str">
        <x:v>Yes</x:v>
      </x:c>
      <x:c r="L2345" s="48" t="str">
        <x:v>OCR</x:v>
      </x:c>
    </x:row>
    <x:row r="2346">
      <x:c r="A2346" s="48" t="str">
        <x:v>UNI-2345</x:v>
      </x:c>
      <x:c r="B2346" s="48" t="str">
        <x:v>ORANGE</x:v>
      </x:c>
      <x:c r="C2346" s="48" t="str">
        <x:v>English</x:v>
      </x:c>
      <x:c r="D2346" s="48" t="n">
        <x:v>34</x:v>
      </x:c>
      <x:c r="E2346" s="48" t="str"/>
      <x:c r="F2346" s="48" t="str">
        <x:v>Crna ten pede Employes Rese a cle ©</x:v>
      </x:c>
      <x:c r="G2346" s="48" t="str">
        <x:v>Obligation</x:v>
      </x:c>
      <x:c r="H2346" s="48" t="str">
        <x:v>Shared</x:v>
      </x:c>
      <x:c r="I2346" s="48" t="n">
        <x:v>0.45</x:v>
      </x:c>
      <x:c r="J2346" s="48" t="n">
        <x:v>0.4</x:v>
      </x:c>
      <x:c r="K2346" s="48" t="str">
        <x:v>Yes</x:v>
      </x:c>
      <x:c r="L2346" s="48" t="str">
        <x:v>OCR</x:v>
      </x:c>
    </x:row>
    <x:row r="2347">
      <x:c r="A2347" s="48" t="str">
        <x:v>UNI-2346</x:v>
      </x:c>
      <x:c r="B2347" s="48" t="str">
        <x:v>ORANGE</x:v>
      </x:c>
      <x:c r="C2347" s="48" t="str">
        <x:v>English</x:v>
      </x:c>
      <x:c r="D2347" s="48" t="n">
        <x:v>34</x:v>
      </x:c>
      <x:c r="E2347" s="48" t="str"/>
      <x:c r="F2347" s="48" t="str">
        <x:v>Sorte ae ce whee Comer compos</x:v>
      </x:c>
      <x:c r="G2347" s="48" t="str">
        <x:v>Obligation</x:v>
      </x:c>
      <x:c r="H2347" s="48" t="str">
        <x:v>Shared</x:v>
      </x:c>
      <x:c r="I2347" s="48" t="n">
        <x:v>0.45</x:v>
      </x:c>
      <x:c r="J2347" s="48" t="n">
        <x:v>0.4</x:v>
      </x:c>
      <x:c r="K2347" s="48" t="str">
        <x:v>Yes</x:v>
      </x:c>
      <x:c r="L2347" s="48" t="str">
        <x:v>OCR</x:v>
      </x:c>
    </x:row>
    <x:row r="2348">
      <x:c r="A2348" s="48" t="str">
        <x:v>UNI-2347</x:v>
      </x:c>
      <x:c r="B2348" s="48" t="str">
        <x:v>ORANGE</x:v>
      </x:c>
      <x:c r="C2348" s="48" t="str">
        <x:v>English</x:v>
      </x:c>
      <x:c r="D2348" s="48" t="n">
        <x:v>34</x:v>
      </x:c>
      <x:c r="E2348" s="48" t="str"/>
      <x:c r="F2348" s="48" t="str">
        <x:v>‘Sicaton wth Empey’ st ‘The Pefrnace Cerf abe ne by he EnloersRepesate</x:v>
      </x:c>
      <x:c r="G2348" s="48" t="str">
        <x:v>Obligation</x:v>
      </x:c>
      <x:c r="H2348" s="48" t="str">
        <x:v>Shared</x:v>
      </x:c>
      <x:c r="I2348" s="48" t="n">
        <x:v>0.45</x:v>
      </x:c>
      <x:c r="J2348" s="48" t="n">
        <x:v>0.4</x:v>
      </x:c>
      <x:c r="K2348" s="48" t="str">
        <x:v>Yes</x:v>
      </x:c>
      <x:c r="L2348" s="48" t="str">
        <x:v>OCR</x:v>
      </x:c>
    </x:row>
    <x:row r="2349">
      <x:c r="A2349" s="48" t="str">
        <x:v>UNI-2348</x:v>
      </x:c>
      <x:c r="B2349" s="48" t="str">
        <x:v>ORANGE</x:v>
      </x:c>
      <x:c r="C2349" s="48" t="str">
        <x:v>English</x:v>
      </x:c>
      <x:c r="D2349" s="48" t="n">
        <x:v>34</x:v>
      </x:c>
      <x:c r="E2349" s="48" t="str"/>
      <x:c r="F2349" s="48" t="str">
        <x:v>Tec SeC iets ater oft Cott endosomes</x:v>
      </x:c>
      <x:c r="G2349" s="48" t="str">
        <x:v>Obligation</x:v>
      </x:c>
      <x:c r="H2349" s="48" t="str">
        <x:v>Shared</x:v>
      </x:c>
      <x:c r="I2349" s="48" t="n">
        <x:v>0.45</x:v>
      </x:c>
      <x:c r="J2349" s="48" t="n">
        <x:v>0.4</x:v>
      </x:c>
      <x:c r="K2349" s="48" t="str">
        <x:v>Yes</x:v>
      </x:c>
      <x:c r="L2349" s="48" t="str">
        <x:v>OCR</x:v>
      </x:c>
    </x:row>
    <x:row r="2350">
      <x:c r="A2350" s="48" t="str">
        <x:v>UNI-2349</x:v>
      </x:c>
      <x:c r="B2350" s="48" t="str">
        <x:v>ORANGE</x:v>
      </x:c>
      <x:c r="C2350" s="48" t="str">
        <x:v>English</x:v>
      </x:c>
      <x:c r="D2350" s="48" t="n">
        <x:v>34</x:v>
      </x:c>
      <x:c r="E2350" s="48" t="str"/>
      <x:c r="F2350" s="48" t="str">
        <x:v>SEED ‘Cetr hs pried ae Cera Doce a ‘Stew ae Woes sci eing a ee ‘nite Prfrmanse Creal dered consi pos oh ‘ic tc eo en ty aan schemas erm a a me: ore pron of emia ‘TES Tek aio i Ct a Seed oerain nfo, 13.</x:v>
      </x:c>
      <x:c r="G2350" s="48" t="str">
        <x:v>Obligation</x:v>
      </x:c>
      <x:c r="H2350" s="48" t="str">
        <x:v>Shared</x:v>
      </x:c>
      <x:c r="I2350" s="48" t="n">
        <x:v>0.45</x:v>
      </x:c>
      <x:c r="J2350" s="48" t="n">
        <x:v>0.4</x:v>
      </x:c>
      <x:c r="K2350" s="48" t="str">
        <x:v>Yes</x:v>
      </x:c>
      <x:c r="L2350" s="48" t="str">
        <x:v>OCR</x:v>
      </x:c>
    </x:row>
    <x:row r="2351">
      <x:c r="A2351" s="48" t="str">
        <x:v>UNI-2350</x:v>
      </x:c>
      <x:c r="B2351" s="48" t="str">
        <x:v>ORANGE</x:v>
      </x:c>
      <x:c r="C2351" s="48" t="str">
        <x:v>English</x:v>
      </x:c>
      <x:c r="D2351" s="48" t="n">
        <x:v>34</x:v>
      </x:c>
      <x:c r="E2351" s="48" t="str"/>
      <x:c r="F2351" s="48" t="str">
        <x:v>Contract Price and Payment “The Contract Pree IAI Unsorted in Pa (a) pope one Wn sl ed ap atm te ©) th oma sil tba tangent cof 4, Son fa fe ate Cec sed (ertbeoss exe nbn 11 (a) any quis wich my be tot a Seed ony tied ‘Shain art green the al and cot gis oe</x:v>
      </x:c>
      <x:c r="G2351" s="48" t="str">
        <x:v>Obligation</x:v>
      </x:c>
      <x:c r="H2351" s="48" t="str">
        <x:v>Shared</x:v>
      </x:c>
      <x:c r="I2351" s="48" t="n">
        <x:v>0.55</x:v>
      </x:c>
      <x:c r="J2351" s="48" t="n">
        <x:v>0.4</x:v>
      </x:c>
      <x:c r="K2351" s="48" t="str">
        <x:v>Yes</x:v>
      </x:c>
      <x:c r="L2351" s="48" t="str">
        <x:v>OCR</x:v>
      </x:c>
    </x:row>
    <x:row r="2352">
      <x:c r="A2352" s="48" t="str">
        <x:v>UNI-2351</x:v>
      </x:c>
      <x:c r="B2352" s="48" t="str">
        <x:v>ORANGE</x:v>
      </x:c>
      <x:c r="C2352" s="48" t="str">
        <x:v>English</x:v>
      </x:c>
      <x:c r="D2352" s="48" t="n">
        <x:v>34</x:v>
      </x:c>
      <x:c r="E2352" s="48" t="str"/>
      <x:c r="F2352" s="48" t="str">
        <x:v>Sets STS ees aie ees</x:v>
      </x:c>
      <x:c r="G2352" s="48" t="str">
        <x:v>Obligation</x:v>
      </x:c>
      <x:c r="H2352" s="48" t="str">
        <x:v>Shared</x:v>
      </x:c>
      <x:c r="I2352" s="48" t="n">
        <x:v>0.45</x:v>
      </x:c>
      <x:c r="J2352" s="48" t="n">
        <x:v>0.4</x:v>
      </x:c>
      <x:c r="K2352" s="48" t="str">
        <x:v>Yes</x:v>
      </x:c>
      <x:c r="L2352" s="48" t="str">
        <x:v>OCR</x:v>
      </x:c>
    </x:row>
    <x:row r="2353">
      <x:c r="A2353" s="48" t="str">
        <x:v>UNI-2352</x:v>
      </x:c>
      <x:c r="B2353" s="48" t="str">
        <x:v>ORANGE</x:v>
      </x:c>
      <x:c r="C2353" s="48" t="str">
        <x:v>English</x:v>
      </x:c>
      <x:c r="D2353" s="48" t="n">
        <x:v>34</x:v>
      </x:c>
      <x:c r="E2353" s="48" t="str"/>
      <x:c r="F2353" s="48" t="str">
        <x:v>{ee Comoe (e) any quien, pcs oe yen pr wt quay wich may be en Sony el ee us te any pt oe Wins is oe ad cng oui spld crwrk ha kos rman aon sl 2 sae Pa Advance Payments 132 ‘The Epler wil meets fe aban pymen be Concer</x:v>
      </x:c>
      <x:c r="G2353" s="48" t="str">
        <x:v>Right</x:v>
      </x:c>
      <x:c r="H2353" s="48" t="str">
        <x:v>Shared</x:v>
      </x:c>
      <x:c r="I2353" s="48" t="n">
        <x:v>0.78</x:v>
      </x:c>
      <x:c r="J2353" s="48" t="n">
        <x:v>0.4</x:v>
      </x:c>
      <x:c r="K2353" s="48" t="str">
        <x:v>Yes</x:v>
      </x:c>
      <x:c r="L2353" s="48" t="str">
        <x:v>OCR</x:v>
      </x:c>
    </x:row>
    <x:row r="2354">
      <x:c r="A2354" s="48" t="str">
        <x:v>UNI-2353</x:v>
      </x:c>
      <x:c r="B2354" s="48" t="str">
        <x:v>ORANGE</x:v>
      </x:c>
      <x:c r="C2354" s="48" t="str">
        <x:v>English</x:v>
      </x:c>
      <x:c r="D2354" s="48" t="n">
        <x:v>34</x:v>
      </x:c>
      <x:c r="E2354" s="48" t="str"/>
      <x:c r="F2354" s="48" t="str">
        <x:v>Me eos aden The tule mck ave pape a</x:v>
      </x:c>
      <x:c r="G2354" s="48" t="str">
        <x:v>Obligation</x:v>
      </x:c>
      <x:c r="H2354" s="48" t="str">
        <x:v>Shared</x:v>
      </x:c>
      <x:c r="I2354" s="48" t="n">
        <x:v>0.45</x:v>
      </x:c>
      <x:c r="J2354" s="48" t="n">
        <x:v>0.4</x:v>
      </x:c>
      <x:c r="K2354" s="48" t="str">
        <x:v>Yes</x:v>
      </x:c>
      <x:c r="L2354" s="48" t="str">
        <x:v>OCR</x:v>
      </x:c>
    </x:row>
    <x:row r="2355">
      <x:c r="A2355" s="48" t="str">
        <x:v>UNI-2354</x:v>
      </x:c>
      <x:c r="B2355" s="48" t="str">
        <x:v>ORANGE</x:v>
      </x:c>
      <x:c r="C2355" s="48" t="str">
        <x:v>English</x:v>
      </x:c>
      <x:c r="D2355" s="48" t="n">
        <x:v>34</x:v>
      </x:c>
      <x:c r="E2355" s="48" t="str"/>
      <x:c r="F2355" s="48" t="str">
        <x:v>mean timing fic mc han oes ad 8 ‘pet Tener, uae ne peo of crea in hh</x:v>
      </x:c>
      <x:c r="G2355" s="48" t="str">
        <x:v>Obligation</x:v>
      </x:c>
      <x:c r="H2355" s="48" t="str">
        <x:v>Shared</x:v>
      </x:c>
      <x:c r="I2355" s="48" t="n">
        <x:v>0.45</x:v>
      </x:c>
      <x:c r="J2355" s="48" t="n">
        <x:v>0.4</x:v>
      </x:c>
      <x:c r="K2355" s="48" t="str">
        <x:v>Yes</x:v>
      </x:c>
      <x:c r="L2355" s="48" t="str">
        <x:v>OCR</x:v>
      </x:c>
    </x:row>
    <x:row r="2356">
      <x:c r="A2356" s="48" t="str">
        <x:v>UNI-2355</x:v>
      </x:c>
      <x:c r="B2356" s="48" t="str">
        <x:v>ORANGE</x:v>
      </x:c>
      <x:c r="C2356" s="48" t="str">
        <x:v>English</x:v>
      </x:c>
      <x:c r="D2356" s="48" t="n">
        <x:v>34</x:v>
      </x:c>
      <x:c r="E2356" s="48" t="str"/>
      <x:c r="F2356" s="48" t="str">
        <x:v>Siertonecs pyle The apne Ree sal ac a</x:v>
      </x:c>
      <x:c r="G2356" s="48" t="str">
        <x:v>Obligation</x:v>
      </x:c>
      <x:c r="H2356" s="48" t="str">
        <x:v>Shared</x:v>
      </x:c>
      <x:c r="I2356" s="48" t="n">
        <x:v>0.45</x:v>
      </x:c>
      <x:c r="J2356" s="48" t="n">
        <x:v>0.4</x:v>
      </x:c>
      <x:c r="K2356" s="48" t="str">
        <x:v>Yes</x:v>
      </x:c>
      <x:c r="L2356" s="48" t="str">
        <x:v>OCR</x:v>
      </x:c>
    </x:row>
    <x:row r="2357">
      <x:c r="A2357" s="48" t="str">
        <x:v>UNI-2356</x:v>
      </x:c>
      <x:c r="B2357" s="48" t="str">
        <x:v>ORANGE</x:v>
      </x:c>
      <x:c r="C2357" s="48" t="str">
        <x:v>English</x:v>
      </x:c>
      <x:c r="D2357" s="48" t="n">
        <x:v>35</x:v>
      </x:c>
      <x:c r="E2357" s="48" t="str"/>
      <x:c r="F2357" s="48" t="str">
        <x:v>“Te avn payment ale psd gh peep edt inci</x:v>
      </x:c>
      <x:c r="G2357" s="48" t="str">
        <x:v>Obligation</x:v>
      </x:c>
      <x:c r="H2357" s="48" t="str">
        <x:v>Shared</x:v>
      </x:c>
      <x:c r="I2357" s="48" t="n">
        <x:v>0.55</x:v>
      </x:c>
      <x:c r="J2357" s="48" t="n">
        <x:v>0.4</x:v>
      </x:c>
      <x:c r="K2357" s="48" t="str">
        <x:v>Yes</x:v>
      </x:c>
      <x:c r="L2357" s="48" t="str">
        <x:v>OCR</x:v>
      </x:c>
    </x:row>
    <x:row r="2358">
      <x:c r="A2358" s="48" t="str">
        <x:v>UNI-2357</x:v>
      </x:c>
      <x:c r="B2358" s="48" t="str">
        <x:v>ORANGE</x:v>
      </x:c>
      <x:c r="C2358" s="48" t="str">
        <x:v>English</x:v>
      </x:c>
      <x:c r="D2358" s="48" t="n">
        <x:v>35</x:v>
      </x:c>
      <x:c r="E2358" s="48" t="str"/>
      <x:c r="F2358" s="48" t="str">
        <x:v>Pamet Coinc cenfeb e EmpyerReraceave a merce</x:v>
      </x:c>
      <x:c r="G2358" s="48" t="str">
        <x:v>Obligation</x:v>
      </x:c>
      <x:c r="H2358" s="48" t="str">
        <x:v>Shared</x:v>
      </x:c>
      <x:c r="I2358" s="48" t="n">
        <x:v>0.45</x:v>
      </x:c>
      <x:c r="J2358" s="48" t="n">
        <x:v>0.4</x:v>
      </x:c>
      <x:c r="K2358" s="48" t="str">
        <x:v>Yes</x:v>
      </x:c>
      <x:c r="L2358" s="48" t="str">
        <x:v>OCR</x:v>
      </x:c>
    </x:row>
    <x:row r="2359">
      <x:c r="A2359" s="48" t="str">
        <x:v>UNI-2358</x:v>
      </x:c>
      <x:c r="B2359" s="48" t="str">
        <x:v>ORANGE</x:v>
      </x:c>
      <x:c r="C2359" s="48" t="str">
        <x:v>English</x:v>
      </x:c>
      <x:c r="D2359" s="48" t="n">
        <x:v>35</x:v>
      </x:c>
      <x:c r="E2359" s="48" t="str"/>
      <x:c r="F2359" s="48" t="str">
        <x:v>‘savan Ce Ulow thr penta astaedin e Apn Ten (Gd commence nthe Eee aye Ceahane ‘Seta ti pene be ron eh hee Coona cee rvs Sens ‘Sen icin PCs ening the nce ‘roma sd econ sf aye tenn ne pea</x:v>
      </x:c>
      <x:c r="G2359" s="48" t="str">
        <x:v>Obligation</x:v>
      </x:c>
      <x:c r="H2359" s="48" t="str">
        <x:v>Shared</x:v>
      </x:c>
      <x:c r="I2359" s="48" t="n">
        <x:v>0.45</x:v>
      </x:c>
      <x:c r="J2359" s="48" t="n">
        <x:v>0.4</x:v>
      </x:c>
      <x:c r="K2359" s="48" t="str">
        <x:v>Yes</x:v>
      </x:c>
      <x:c r="L2359" s="48" t="str">
        <x:v>OCR</x:v>
      </x:c>
    </x:row>
    <x:row r="2360">
      <x:c r="A2360" s="48" t="str">
        <x:v>UNI-2359</x:v>
      </x:c>
      <x:c r="B2360" s="48" t="str">
        <x:v>ORANGE</x:v>
      </x:c>
      <x:c r="C2360" s="48" t="str">
        <x:v>English</x:v>
      </x:c>
      <x:c r="D2360" s="48" t="n">
        <x:v>35</x:v>
      </x:c>
      <x:c r="E2360" s="48" t="str"/>
      <x:c r="F2360" s="48" t="str">
        <x:v>Epes oe ea pc ee</x:v>
      </x:c>
      <x:c r="G2360" s="48" t="str">
        <x:v>Obligation</x:v>
      </x:c>
      <x:c r="H2360" s="48" t="str">
        <x:v>Shared</x:v>
      </x:c>
      <x:c r="I2360" s="48" t="n">
        <x:v>0.45</x:v>
      </x:c>
      <x:c r="J2360" s="48" t="n">
        <x:v>0.4</x:v>
      </x:c>
      <x:c r="K2360" s="48" t="str">
        <x:v>Yes</x:v>
      </x:c>
      <x:c r="L2360" s="48" t="str">
        <x:v>OCR</x:v>
      </x:c>
    </x:row>
    <x:row r="2361">
      <x:c r="A2361" s="48" t="str">
        <x:v>UNI-2360</x:v>
      </x:c>
      <x:c r="B2361" s="48" t="str">
        <x:v>ORANGE</x:v>
      </x:c>
      <x:c r="C2361" s="48" t="str">
        <x:v>English</x:v>
      </x:c>
      <x:c r="D2361" s="48" t="n">
        <x:v>35</x:v>
      </x:c>
      <x:c r="E2361" s="48" t="str"/>
      <x:c r="F2361" s="48" t="str">
        <x:v>te advent an ten pa pore a fe Ting (ver Canoe fre Wa oy poem ser Cis 1.</x:v>
      </x:c>
      <x:c r="G2361" s="48" t="str">
        <x:v>Obligation</x:v>
      </x:c>
      <x:c r="H2361" s="48" t="str">
        <x:v>Shared</x:v>
      </x:c>
      <x:c r="I2361" s="48" t="n">
        <x:v>0.45</x:v>
      </x:c>
      <x:c r="J2361" s="48" t="n">
        <x:v>0.4</x:v>
      </x:c>
      <x:c r="K2361" s="48" t="str">
        <x:v>Yes</x:v>
      </x:c>
      <x:c r="L2361" s="48" t="str">
        <x:v>OCR</x:v>
      </x:c>
    </x:row>
    <x:row r="2362">
      <x:c r="A2362" s="48" t="str">
        <x:v>UNI-2361</x:v>
      </x:c>
      <x:c r="B2362" s="48" t="str">
        <x:v>ORANGE</x:v>
      </x:c>
      <x:c r="C2362" s="48" t="str">
        <x:v>English</x:v>
      </x:c>
      <x:c r="D2362" s="48" t="n">
        <x:v>35</x:v>
      </x:c>
      <x:c r="E2362" s="48" t="str"/>
      <x:c r="F2362" s="48" t="str">
        <x:v>He (ecw may tl he we er nce es utig al notin toe eal py by he Cnc te Eno pein ie 123 The Cour ll st a saeet i copies to the Flyer eyrsetan are el of cash so tf spond the ‘Cerne ——_‘Enjuyers Repscuave showing ie oma to which fe Coat ‘Sse mi be pr tig een ‘Win Sub-Cinme LIS, The stmemeet allen the Taming so</x:v>
      </x:c>
      <x:c r="G2362" s="48" t="str">
        <x:v>Right</x:v>
      </x:c>
      <x:c r="H2362" s="48" t="str">
        <x:v>Shared</x:v>
      </x:c>
      <x:c r="I2362" s="48" t="n">
        <x:v>0.78</x:v>
      </x:c>
      <x:c r="J2362" s="48" t="n">
        <x:v>0.4</x:v>
      </x:c>
      <x:c r="K2362" s="48" t="str">
        <x:v>Yes</x:v>
      </x:c>
      <x:c r="L2362" s="48" t="str">
        <x:v>OCR</x:v>
      </x:c>
    </x:row>
    <x:row r="2363">
      <x:c r="A2363" s="48" t="str">
        <x:v>UNI-2362</x:v>
      </x:c>
      <x:c r="B2363" s="48" t="str">
        <x:v>ORANGE</x:v>
      </x:c>
      <x:c r="C2363" s="48" t="str">
        <x:v>English</x:v>
      </x:c>
      <x:c r="D2363" s="48" t="n">
        <x:v>35</x:v>
      </x:c>
      <x:c r="E2363" s="48" t="str"/>
      <x:c r="F2363" s="48" t="str">
        <x:v>Upton wich sa egret oes in wach he</x:v>
      </x:c>
      <x:c r="G2363" s="48" t="str">
        <x:v>Obligation</x:v>
      </x:c>
      <x:c r="H2363" s="48" t="str">
        <x:v>Shared</x:v>
      </x:c>
      <x:c r="I2363" s="48" t="n">
        <x:v>0.45</x:v>
      </x:c>
      <x:c r="J2363" s="48" t="n">
        <x:v>0.4</x:v>
      </x:c>
      <x:c r="K2363" s="48" t="str">
        <x:v>Yes</x:v>
      </x:c>
      <x:c r="L2363" s="48" t="str">
        <x:v>OCR</x:v>
      </x:c>
    </x:row>
    <x:row r="2364">
      <x:c r="A2364" s="48" t="str">
        <x:v>UNI-2363</x:v>
      </x:c>
      <x:c r="B2364" s="48" t="str">
        <x:v>ORANGE</x:v>
      </x:c>
      <x:c r="C2364" s="48" t="str">
        <x:v>English</x:v>
      </x:c>
      <x:c r="D2364" s="48" t="n">
        <x:v>35</x:v>
      </x:c>
      <x:c r="E2364" s="48" t="str"/>
      <x:c r="F2364" s="48" t="str">
        <x:v>‘Soa ies aie gee (0) teste coat al fe Conran Docent pried nd ‘Se Works esa pec th mon (xg ans et ‘etningsae dexed ab parappi Blo (0) any anos to be aed a Stic or ange i epaton ‘Sac ih Se Gave 18 (6) any amet o be Sled ft reo, eee oping the emigre aed in be pent Teer elf he ‘Rove am he monty te Enger aces te ie fain My) stent Apel Ted (4 any sous 0 be ned ddd for he aan payments ‘Spoon score win Sab-Case 133 (o) any amos oe ale and deel or Pat and Musial io ‘Sloe ur Su Choe 33 (© any eer sions eden ih may ane become ein ‘State hte Cent Ging det Case 3, ete ns sueChe Ao te tein of hae ceri al previ nein Pen</x:v>
      </x:c>
      <x:c r="G2364" s="48" t="str">
        <x:v>Right</x:v>
      </x:c>
      <x:c r="H2364" s="48" t="str">
        <x:v>Shared</x:v>
      </x:c>
      <x:c r="I2364" s="48" t="n">
        <x:v>0.78</x:v>
      </x:c>
      <x:c r="J2364" s="48" t="n">
        <x:v>0.4</x:v>
      </x:c>
      <x:c r="K2364" s="48" t="str">
        <x:v>Yes</x:v>
      </x:c>
      <x:c r="L2364" s="48" t="str">
        <x:v>OCR</x:v>
      </x:c>
    </x:row>
    <x:row r="2365">
      <x:c r="A2365" s="48" t="str">
        <x:v>UNI-2364</x:v>
      </x:c>
      <x:c r="B2365" s="48" t="str">
        <x:v>ORANGE</x:v>
      </x:c>
      <x:c r="C2365" s="48" t="str">
        <x:v>English</x:v>
      </x:c>
      <x:c r="D2365" s="48" t="n">
        <x:v>35</x:v>
      </x:c>
      <x:c r="E2365" s="48" t="str"/>
      <x:c r="F2365" s="48" t="str">
        <x:v>Stade of BAe Cnc ince Sle of Pymets ching he ine</x:v>
      </x:c>
      <x:c r="G2365" s="48" t="str">
        <x:v>Obligation</x:v>
      </x:c>
      <x:c r="H2365" s="48" t="str">
        <x:v>Shared</x:v>
      </x:c>
      <x:c r="I2365" s="48" t="n">
        <x:v>0.45</x:v>
      </x:c>
      <x:c r="J2365" s="48" t="n">
        <x:v>0.4</x:v>
      </x:c>
      <x:c r="K2365" s="48" t="str">
        <x:v>Yes</x:v>
      </x:c>
      <x:c r="L2365" s="48" t="str">
        <x:v>OCR</x:v>
      </x:c>
    </x:row>
    <x:row r="2366">
      <x:c r="A2366" s="48" t="str">
        <x:v>UNI-2365</x:v>
      </x:c>
      <x:c r="B2366" s="48" t="str">
        <x:v>ORANGE</x:v>
      </x:c>
      <x:c r="C2366" s="48" t="str">
        <x:v>English</x:v>
      </x:c>
      <x:c r="D2366" s="48" t="n">
        <x:v>35</x:v>
      </x:c>
      <x:c r="E2366" s="48" t="str"/>
      <x:c r="F2366" s="48" t="str">
        <x:v>‘Pamens the Cru Pc il eps esl ers Sed</x:v>
      </x:c>
      <x:c r="G2366" s="48" t="str">
        <x:v>Obligation</x:v>
      </x:c>
      <x:c r="H2366" s="48" t="str">
        <x:v>Shared</x:v>
      </x:c>
      <x:c r="I2366" s="48" t="n">
        <x:v>0.45</x:v>
      </x:c>
      <x:c r="J2366" s="48" t="n">
        <x:v>0.4</x:v>
      </x:c>
      <x:c r="K2366" s="48" t="str">
        <x:v>Yes</x:v>
      </x:c>
      <x:c r="L2366" s="48" t="str">
        <x:v>OCR</x:v>
      </x:c>
    </x:row>
    <x:row r="2367">
      <x:c r="A2367" s="48" t="str">
        <x:v>UNI-2366</x:v>
      </x:c>
      <x:c r="B2367" s="48" t="str">
        <x:v>ORANGE</x:v>
      </x:c>
      <x:c r="C2367" s="48" t="str">
        <x:v>English</x:v>
      </x:c>
      <x:c r="D2367" s="48" t="n">
        <x:v>35</x:v>
      </x:c>
      <x:c r="E2367" s="48" t="str"/>
      <x:c r="F2367" s="48" t="str">
        <x:v>(a) the intinets ge in ch Seed hl be wo deen te ‘Simca fa pans apa) of Sb Cae 133 (6) Sicha 135 salt and</x:v>
      </x:c>
      <x:c r="G2367" s="48" t="str">
        <x:v>Obligation</x:v>
      </x:c>
      <x:c r="H2367" s="48" t="str">
        <x:v>Shared</x:v>
      </x:c>
      <x:c r="I2367" s="48" t="n">
        <x:v>0.45</x:v>
      </x:c>
      <x:c r="J2367" s="48" t="n">
        <x:v>0.4</x:v>
      </x:c>
      <x:c r="K2367" s="48" t="str">
        <x:v>Yes</x:v>
      </x:c>
      <x:c r="L2367" s="48" t="str">
        <x:v>OCR</x:v>
      </x:c>
    </x:row>
    <x:row r="2368">
      <x:c r="A2368" s="48" t="str">
        <x:v>UNI-2367</x:v>
      </x:c>
      <x:c r="B2368" s="48" t="str">
        <x:v>ORANGE</x:v>
      </x:c>
      <x:c r="C2368" s="48" t="str">
        <x:v>English</x:v>
      </x:c>
      <x:c r="D2368" s="48" t="n">
        <x:v>36</x:v>
      </x:c>
      <x:c r="E2368" s="48" t="str"/>
      <x:c r="F2368" s="48" t="str">
        <x:v>(6) ie pment inne nt defied by reece tthe ate rope chcted renege Nahe bpoers Repeat {TOV ened ood ch Sd ch amen sl mae</x:v>
      </x:c>
      <x:c r="G2368" s="48" t="str">
        <x:v>Obligation</x:v>
      </x:c>
      <x:c r="H2368" s="48" t="str">
        <x:v>Shared</x:v>
      </x:c>
      <x:c r="I2368" s="48" t="n">
        <x:v>0.45</x:v>
      </x:c>
      <x:c r="J2368" s="48" t="n">
        <x:v>0.4</x:v>
      </x:c>
      <x:c r="K2368" s="48" t="str">
        <x:v>Yes</x:v>
      </x:c>
      <x:c r="L2368" s="48" t="str">
        <x:v>OCR</x:v>
      </x:c>
    </x:row>
    <x:row r="2369">
      <x:c r="A2369" s="48" t="str">
        <x:v>UNI-2368</x:v>
      </x:c>
      <x:c r="B2369" s="48" t="str">
        <x:v>ORANGE</x:v>
      </x:c>
      <x:c r="C2369" s="48" t="str">
        <x:v>English</x:v>
      </x:c>
      <x:c r="D2369" s="48" t="n">
        <x:v>36</x:v>
      </x:c>
      <x:c r="E2369" s="48" t="str"/>
      <x:c r="F2369" s="48" t="str">
        <x:v>PLSSHE SG sno Sonne sn ye</x:v>
      </x:c>
      <x:c r="G2369" s="48" t="str">
        <x:v>Obligation</x:v>
      </x:c>
      <x:c r="H2369" s="48" t="str">
        <x:v>Shared</x:v>
      </x:c>
      <x:c r="I2369" s="48" t="n">
        <x:v>0.45</x:v>
      </x:c>
      <x:c r="J2369" s="48" t="n">
        <x:v>0.4</x:v>
      </x:c>
      <x:c r="K2369" s="48" t="str">
        <x:v>Yes</x:v>
      </x:c>
      <x:c r="L2369" s="48" t="str">
        <x:v>OCR</x:v>
      </x:c>
    </x:row>
    <x:row r="2370">
      <x:c r="A2370" s="48" t="str">
        <x:v>UNI-2369</x:v>
      </x:c>
      <x:c r="B2370" s="48" t="str">
        <x:v>ORANGE</x:v>
      </x:c>
      <x:c r="C2370" s="48" t="str">
        <x:v>English</x:v>
      </x:c>
      <x:c r="D2370" s="48" t="n">
        <x:v>36</x:v>
      </x:c>
      <x:c r="E2370" s="48" t="str"/>
      <x:c r="F2370" s="48" t="str">
        <x:v>‘cSt curttchchthe uu prog send es nt</x:v>
      </x:c>
      <x:c r="G2370" s="48" t="str">
        <x:v>Obligation</x:v>
      </x:c>
      <x:c r="H2370" s="48" t="str">
        <x:v>Shared</x:v>
      </x:c>
      <x:c r="I2370" s="48" t="n">
        <x:v>0.45</x:v>
      </x:c>
      <x:c r="J2370" s="48" t="n">
        <x:v>0.4</x:v>
      </x:c>
      <x:c r="K2370" s="48" t="str">
        <x:v>Yes</x:v>
      </x:c>
      <x:c r="L2370" s="48" t="str">
        <x:v>OCR</x:v>
      </x:c>
    </x:row>
    <x:row r="2371">
      <x:c r="A2371" s="48" t="str">
        <x:v>UNI-2370</x:v>
      </x:c>
      <x:c r="B2371" s="48" t="str">
        <x:v>ORANGE</x:v>
      </x:c>
      <x:c r="C2371" s="48" t="str">
        <x:v>English</x:v>
      </x:c>
      <x:c r="D2371" s="48" t="n">
        <x:v>36</x:v>
      </x:c>
      <x:c r="E2371" s="48" t="str"/>
      <x:c r="F2371" s="48" t="str">
        <x:v>Sch nse Be Sebel ner ed</x:v>
      </x:c>
      <x:c r="G2371" s="48" t="str">
        <x:v>Obligation</x:v>
      </x:c>
      <x:c r="H2371" s="48" t="str">
        <x:v>Shared</x:v>
      </x:c>
      <x:c r="I2371" s="48" t="n">
        <x:v>0.45</x:v>
      </x:c>
      <x:c r="J2371" s="48" t="n">
        <x:v>0.4</x:v>
      </x:c>
      <x:c r="K2371" s="48" t="str">
        <x:v>Yes</x:v>
      </x:c>
      <x:c r="L2371" s="48" t="str">
        <x:v>OCR</x:v>
      </x:c>
    </x:row>
    <x:row r="2372">
      <x:c r="A2372" s="48" t="str">
        <x:v>UNI-2371</x:v>
      </x:c>
      <x:c r="B2372" s="48" t="str">
        <x:v>ORANGE</x:v>
      </x:c>
      <x:c r="C2372" s="48" t="str">
        <x:v>English</x:v>
      </x:c>
      <x:c r="D2372" s="48" t="n">
        <x:v>36</x:v>
      </x:c>
      <x:c r="E2372" s="48" t="str"/>
      <x:c r="F2372" s="48" t="str">
        <x:v>nt sn atria 185 Sth.</x:v>
      </x:c>
      <x:c r="G2372" s="48" t="str">
        <x:v>Obligation</x:v>
      </x:c>
      <x:c r="H2372" s="48" t="str">
        <x:v>Shared</x:v>
      </x:c>
      <x:c r="I2372" s="48" t="n">
        <x:v>0.45</x:v>
      </x:c>
      <x:c r="J2372" s="48" t="n">
        <x:v>0.4</x:v>
      </x:c>
      <x:c r="K2372" s="48" t="str">
        <x:v>Yes</x:v>
      </x:c>
      <x:c r="L2372" s="48" t="str">
        <x:v>OCR</x:v>
      </x:c>
    </x:row>
    <x:row r="2373">
      <x:c r="A2373" s="48" t="str">
        <x:v>UNI-2372</x:v>
      </x:c>
      <x:c r="B2373" s="48" t="str">
        <x:v>ORANGE</x:v>
      </x:c>
      <x:c r="C2373" s="48" t="str">
        <x:v>English</x:v>
      </x:c>
      <x:c r="D2373" s="48" t="n">
        <x:v>36</x:v>
      </x:c>
      <x:c r="E2373" s="48" t="str"/>
      <x:c r="F2373" s="48" t="str">
        <x:v>Ce pi Ingen Pye Crit ain</x:v>
      </x:c>
      <x:c r="G2373" s="48" t="str">
        <x:v>Obligation</x:v>
      </x:c>
      <x:c r="H2373" s="48" t="str">
        <x:v>Shared</x:v>
      </x:c>
      <x:c r="I2373" s="48" t="n">
        <x:v>0.45</x:v>
      </x:c>
      <x:c r="J2373" s="48" t="n">
        <x:v>0.4</x:v>
      </x:c>
      <x:c r="K2373" s="48" t="str">
        <x:v>Yes</x:v>
      </x:c>
      <x:c r="L2373" s="48" t="str">
        <x:v>OCR</x:v>
      </x:c>
    </x:row>
    <x:row r="2374">
      <x:c r="A2374" s="48" t="str">
        <x:v>UNI-2373</x:v>
      </x:c>
      <x:c r="B2374" s="48" t="str">
        <x:v>ORANGE</x:v>
      </x:c>
      <x:c r="C2374" s="48" t="str">
        <x:v>English</x:v>
      </x:c>
      <x:c r="D2374" s="48" t="n">
        <x:v>36</x:v>
      </x:c>
      <x:c r="E2374" s="48" t="str"/>
      <x:c r="F2374" s="48" t="str">
        <x:v>Me SETLaTeekmrtne mopar shen ty te</x:v>
      </x:c>
      <x:c r="G2374" s="48" t="str">
        <x:v>Obligation</x:v>
      </x:c>
      <x:c r="H2374" s="48" t="str">
        <x:v>Shared</x:v>
      </x:c>
      <x:c r="I2374" s="48" t="n">
        <x:v>0.45</x:v>
      </x:c>
      <x:c r="J2374" s="48" t="n">
        <x:v>0.4</x:v>
      </x:c>
      <x:c r="K2374" s="48" t="str">
        <x:v>Yes</x:v>
      </x:c>
      <x:c r="L2374" s="48" t="str">
        <x:v>OCR</x:v>
      </x:c>
    </x:row>
    <x:row r="2375">
      <x:c r="A2375" s="48" t="str">
        <x:v>UNI-2374</x:v>
      </x:c>
      <x:c r="B2375" s="48" t="str">
        <x:v>ORANGE</x:v>
      </x:c>
      <x:c r="C2375" s="48" t="str">
        <x:v>English</x:v>
      </x:c>
      <x:c r="D2375" s="48" t="n">
        <x:v>36</x:v>
      </x:c>
      <x:c r="E2375" s="48" t="str"/>
      <x:c r="F2375" s="48" t="str">
        <x:v>‘Ser ioponted be Fema ons The Employer’ Repth | ‘Sol Sie cnc ita oon nas fling {2m hin hi te oe he nr Payment Cerin le</x:v>
      </x:c>
      <x:c r="G2375" s="48" t="str">
        <x:v>Obligation</x:v>
      </x:c>
      <x:c r="H2375" s="48" t="str">
        <x:v>Employer</x:v>
      </x:c>
      <x:c r="I2375" s="48" t="n">
        <x:v>0.55</x:v>
      </x:c>
      <x:c r="J2375" s="48" t="n">
        <x:v>0.68</x:v>
      </x:c>
      <x:c r="K2375" s="48" t="str">
        <x:v>Yes</x:v>
      </x:c>
      <x:c r="L2375" s="48" t="str">
        <x:v>OCR</x:v>
      </x:c>
    </x:row>
    <x:row r="2376">
      <x:c r="A2376" s="48" t="str">
        <x:v>UNI-2375</x:v>
      </x:c>
      <x:c r="B2376" s="48" t="str">
        <x:v>ORANGE</x:v>
      </x:c>
      <x:c r="C2376" s="48" t="str">
        <x:v>English</x:v>
      </x:c>
      <x:c r="D2376" s="48" t="n">
        <x:v>36</x:v>
      </x:c>
      <x:c r="E2376" s="48" t="str"/>
      <x:c r="F2376" s="48" t="str">
        <x:v>Themon oe Employers Repesetane</x:v>
      </x:c>
      <x:c r="G2376" s="48" t="str">
        <x:v>Obligation</x:v>
      </x:c>
      <x:c r="H2376" s="48" t="str">
        <x:v>Shared</x:v>
      </x:c>
      <x:c r="I2376" s="48" t="n">
        <x:v>0.45</x:v>
      </x:c>
      <x:c r="J2376" s="48" t="n">
        <x:v>0.4</x:v>
      </x:c>
      <x:c r="K2376" s="48" t="str">
        <x:v>Yes</x:v>
      </x:c>
      <x:c r="L2376" s="48" t="str">
        <x:v>OCR</x:v>
      </x:c>
    </x:row>
    <x:row r="2377">
      <x:c r="A2377" s="48" t="str">
        <x:v>UNI-2376</x:v>
      </x:c>
      <x:c r="B2377" s="48" t="str">
        <x:v>ORANGE</x:v>
      </x:c>
      <x:c r="C2377" s="48" t="str">
        <x:v>English</x:v>
      </x:c>
      <x:c r="D2377" s="48" t="n">
        <x:v>36</x:v>
      </x:c>
      <x:c r="E2377" s="48" t="str"/>
      <x:c r="F2377" s="48" t="str">
        <x:v>(@) he Pata Mas ae comico with na reer ned om She and poems ss age posates (6) he mre ee ements, eit ade</x:v>
      </x:c>
      <x:c r="G2377" s="48" t="str">
        <x:v>Obligation</x:v>
      </x:c>
      <x:c r="H2377" s="48" t="str">
        <x:v>Shared</x:v>
      </x:c>
      <x:c r="I2377" s="48" t="n">
        <x:v>0.45</x:v>
      </x:c>
      <x:c r="J2377" s="48" t="n">
        <x:v>0.4</x:v>
      </x:c>
      <x:c r="K2377" s="48" t="str">
        <x:v>Yes</x:v>
      </x:c>
      <x:c r="L2377" s="48" t="str">
        <x:v>OCR</x:v>
      </x:c>
    </x:row>
    <x:row r="2378">
      <x:c r="A2378" s="48" t="str">
        <x:v>UNI-2377</x:v>
      </x:c>
      <x:c r="B2378" s="48" t="str">
        <x:v>ORANGE</x:v>
      </x:c>
      <x:c r="C2378" s="48" t="str">
        <x:v>English</x:v>
      </x:c>
      <x:c r="D2378" s="48" t="n">
        <x:v>36</x:v>
      </x:c>
      <x:c r="E2378" s="48" t="str"/>
      <x:c r="F2378" s="48" t="str">
        <x:v>Svein Sa we Lap nse apponed ye Emp</x:v>
      </x:c>
      <x:c r="G2378" s="48" t="str">
        <x:v>Obligation</x:v>
      </x:c>
      <x:c r="H2378" s="48" t="str">
        <x:v>Shared</x:v>
      </x:c>
      <x:c r="I2378" s="48" t="n">
        <x:v>0.45</x:v>
      </x:c>
      <x:c r="J2378" s="48" t="n">
        <x:v>0.4</x:v>
      </x:c>
      <x:c r="K2378" s="48" t="str">
        <x:v>Yes</x:v>
      </x:c>
      <x:c r="L2378" s="48" t="str">
        <x:v>OCR</x:v>
      </x:c>
    </x:row>
    <x:row r="2379">
      <x:c r="A2379" s="48" t="str">
        <x:v>UNI-2378</x:v>
      </x:c>
      <x:c r="B2379" s="48" t="str">
        <x:v>ORANGE</x:v>
      </x:c>
      <x:c r="C2379" s="48" t="str">
        <x:v>English</x:v>
      </x:c>
      <x:c r="D2379" s="48" t="n">
        <x:v>36</x:v>
      </x:c>
      <x:c r="E2379" s="48" t="str"/>
      <x:c r="F2379" s="48" t="str">
        <x:v>eps sa sch cee seer pectin</x:v>
      </x:c>
      <x:c r="G2379" s="48" t="str">
        <x:v>Obligation</x:v>
      </x:c>
      <x:c r="H2379" s="48" t="str">
        <x:v>Shared</x:v>
      </x:c>
      <x:c r="I2379" s="48" t="n">
        <x:v>0.45</x:v>
      </x:c>
      <x:c r="J2379" s="48" t="n">
        <x:v>0.4</x:v>
      </x:c>
      <x:c r="K2379" s="48" t="str">
        <x:v>Yes</x:v>
      </x:c>
      <x:c r="L2379" s="48" t="str">
        <x:v>OCR</x:v>
      </x:c>
    </x:row>
    <x:row r="2380">
      <x:c r="A2380" s="48" t="str">
        <x:v>UNI-2379</x:v>
      </x:c>
      <x:c r="B2380" s="48" t="str">
        <x:v>ORANGE</x:v>
      </x:c>
      <x:c r="C2380" s="48" t="str">
        <x:v>English</x:v>
      </x:c>
      <x:c r="D2380" s="48" t="n">
        <x:v>36</x:v>
      </x:c>
      <x:c r="E2380" s="48" t="str"/>
      <x:c r="F2380" s="48" t="str">
        <x:v>Else Reese</x:v>
      </x:c>
      <x:c r="G2380" s="48" t="str">
        <x:v>Obligation</x:v>
      </x:c>
      <x:c r="H2380" s="48" t="str">
        <x:v>Shared</x:v>
      </x:c>
      <x:c r="I2380" s="48" t="n">
        <x:v>0.45</x:v>
      </x:c>
      <x:c r="J2380" s="48" t="n">
        <x:v>0.4</x:v>
      </x:c>
      <x:c r="K2380" s="48" t="str">
        <x:v>Yes</x:v>
      </x:c>
      <x:c r="L2380" s="48" t="str">
        <x:v>OCR</x:v>
      </x:c>
    </x:row>
    <x:row r="2381">
      <x:c r="A2381" s="48" t="str">
        <x:v>UNI-2380</x:v>
      </x:c>
      <x:c r="B2381" s="48" t="str">
        <x:v>ORANGE</x:v>
      </x:c>
      <x:c r="C2381" s="48" t="str">
        <x:v>English</x:v>
      </x:c>
      <x:c r="D2381" s="48" t="n">
        <x:v>36</x:v>
      </x:c>
      <x:c r="E2381" s="48" t="str"/>
      <x:c r="F2381" s="48" t="str">
        <x:v>Since the Pan an Maras eS, tpt th mach</x:v>
      </x:c>
      <x:c r="G2381" s="48" t="str">
        <x:v>Obligation</x:v>
      </x:c>
      <x:c r="H2381" s="48" t="str">
        <x:v>Shared</x:v>
      </x:c>
      <x:c r="I2381" s="48" t="n">
        <x:v>0.45</x:v>
      </x:c>
      <x:c r="J2381" s="48" t="n">
        <x:v>0.4</x:v>
      </x:c>
      <x:c r="K2381" s="48" t="str">
        <x:v>Yes</x:v>
      </x:c>
      <x:c r="L2381" s="48" t="str">
        <x:v>OCR</x:v>
      </x:c>
    </x:row>
    <x:row r="2382">
      <x:c r="A2382" s="48" t="str">
        <x:v>UNI-2381</x:v>
      </x:c>
      <x:c r="B2382" s="48" t="str">
        <x:v>ORANGE</x:v>
      </x:c>
      <x:c r="C2382" s="48" t="str">
        <x:v>English</x:v>
      </x:c>
      <x:c r="D2382" s="48" t="n">
        <x:v>36</x:v>
      </x:c>
      <x:c r="E2382" s="48" t="str"/>
      <x:c r="F2382" s="48" t="str">
        <x:v>‘Soom a may be mga! er he ups of eening Sh (0) the Pat snd Mri eh tel te Ape Ted (0) te ton anon ceri al the equate ofc [rc of he cnt of he Pst a Maras dened to he Si</x:v>
      </x:c>
      <x:c r="G2382" s="48" t="str">
        <x:v>Right</x:v>
      </x:c>
      <x:c r="H2382" s="48" t="str">
        <x:v>Shared</x:v>
      </x:c>
      <x:c r="I2382" s="48" t="n">
        <x:v>0.78</x:v>
      </x:c>
      <x:c r="J2382" s="48" t="n">
        <x:v>0.4</x:v>
      </x:c>
      <x:c r="K2382" s="48" t="str">
        <x:v>Yes</x:v>
      </x:c>
      <x:c r="L2382" s="48" t="str">
        <x:v>OCR</x:v>
      </x:c>
    </x:row>
    <x:row r="2383">
      <x:c r="A2383" s="48" t="str">
        <x:v>UNI-2382</x:v>
      </x:c>
      <x:c r="B2383" s="48" t="str">
        <x:v>ORANGE</x:v>
      </x:c>
      <x:c r="C2383" s="48" t="str">
        <x:v>English</x:v>
      </x:c>
      <x:c r="D2383" s="48" t="n">
        <x:v>36</x:v>
      </x:c>
      <x:c r="E2383" s="48" t="str"/>
      <x:c r="F2383" s="48" t="str">
        <x:v>Emcee Eopiers Repeat afer reve fe</x:v>
      </x:c>
      <x:c r="G2383" s="48" t="str">
        <x:v>Obligation</x:v>
      </x:c>
      <x:c r="H2383" s="48" t="str">
        <x:v>Shared</x:v>
      </x:c>
      <x:c r="I2383" s="48" t="n">
        <x:v>0.45</x:v>
      </x:c>
      <x:c r="J2383" s="48" t="n">
        <x:v>0.4</x:v>
      </x:c>
      <x:c r="K2383" s="48" t="str">
        <x:v>Yes</x:v>
      </x:c>
      <x:c r="L2383" s="48" t="str">
        <x:v>OCR</x:v>
      </x:c>
    </x:row>
    <x:row r="2384">
      <x:c r="A2384" s="48" t="str">
        <x:v>UNI-2383</x:v>
      </x:c>
      <x:c r="B2384" s="48" t="str">
        <x:v>ORANGE</x:v>
      </x:c>
      <x:c r="C2384" s="48" t="str">
        <x:v>English</x:v>
      </x:c>
      <x:c r="D2384" s="48" t="n">
        <x:v>36</x:v>
      </x:c>
      <x:c r="E2384" s="48" t="str"/>
      <x:c r="F2384" s="48" t="str">
        <x:v>‘Score ed ra ten, ing cat of 8 Spore he Epp epnaie: (ete ama te Shion fy Pat Mer ncaa (earns fr ch anand eto se deem yh ‘ment sl evenly become du forthe wean en of Pa itera pn he certo he ema Wed inte cae oem th cress sal een whch he ‘iki tr te epecne uw o Pan Maura Ba ten nid</x:v>
      </x:c>
      <x:c r="G2384" s="48" t="str">
        <x:v>Obligation</x:v>
      </x:c>
      <x:c r="H2384" s="48" t="str">
        <x:v>Shared</x:v>
      </x:c>
      <x:c r="I2384" s="48" t="n">
        <x:v>0.45</x:v>
      </x:c>
      <x:c r="J2384" s="48" t="n">
        <x:v>0.4</x:v>
      </x:c>
      <x:c r="K2384" s="48" t="str">
        <x:v>Yes</x:v>
      </x:c>
      <x:c r="L2384" s="48" t="str">
        <x:v>OCR</x:v>
      </x:c>
    </x:row>
    <x:row r="2385">
      <x:c r="A2385" s="48" t="str">
        <x:v>UNI-2384</x:v>
      </x:c>
      <x:c r="B2385" s="48" t="str">
        <x:v>ORANGE</x:v>
      </x:c>
      <x:c r="C2385" s="48" t="str">
        <x:v>English</x:v>
      </x:c>
      <x:c r="D2385" s="48" t="n">
        <x:v>38</x:v>
      </x:c>
      <x:c r="E2385" s="48" t="str"/>
      <x:c r="F2385" s="48" t="str">
        <x:v>penne ft Cora ne ca ote Ree Ney</x:v>
      </x:c>
      <x:c r="G2385" s="48" t="str">
        <x:v>Obligation</x:v>
      </x:c>
      <x:c r="H2385" s="48" t="str">
        <x:v>Shared</x:v>
      </x:c>
      <x:c r="I2385" s="48" t="n">
        <x:v>0.45</x:v>
      </x:c>
      <x:c r="J2385" s="48" t="n">
        <x:v>0.4</x:v>
      </x:c>
      <x:c r="K2385" s="48" t="str">
        <x:v>Yes</x:v>
      </x:c>
      <x:c r="L2385" s="48" t="str">
        <x:v>OCR</x:v>
      </x:c>
    </x:row>
    <x:row r="2386">
      <x:c r="A2386" s="48" t="str">
        <x:v>UNI-2385</x:v>
      </x:c>
      <x:c r="B2386" s="48" t="str">
        <x:v>ORANGE</x:v>
      </x:c>
      <x:c r="C2386" s="48" t="str">
        <x:v>English</x:v>
      </x:c>
      <x:c r="D2386" s="48" t="n">
        <x:v>38</x:v>
      </x:c>
      <x:c r="E2386" s="48" t="str"/>
      <x:c r="F2386" s="48" t="str">
        <x:v>Se eer tuts eo mh ectd</x:v>
      </x:c>
      <x:c r="G2386" s="48" t="str">
        <x:v>Obligation</x:v>
      </x:c>
      <x:c r="H2386" s="48" t="str">
        <x:v>Shared</x:v>
      </x:c>
      <x:c r="I2386" s="48" t="n">
        <x:v>0.45</x:v>
      </x:c>
      <x:c r="J2386" s="48" t="n">
        <x:v>0.4</x:v>
      </x:c>
      <x:c r="K2386" s="48" t="str">
        <x:v>Yes</x:v>
      </x:c>
      <x:c r="L2386" s="48" t="str">
        <x:v>OCR</x:v>
      </x:c>
    </x:row>
    <x:row r="2387">
      <x:c r="A2387" s="48" t="str">
        <x:v>UNI-2386</x:v>
      </x:c>
      <x:c r="B2387" s="48" t="str">
        <x:v>ORANGE</x:v>
      </x:c>
      <x:c r="C2387" s="48" t="str">
        <x:v>English</x:v>
      </x:c>
      <x:c r="D2387" s="48" t="n">
        <x:v>38</x:v>
      </x:c>
      <x:c r="E2387" s="48" t="str"/>
      <x:c r="F2387" s="48" t="str">
        <x:v>‘a enue plo ch wo of me</x:v>
      </x:c>
      <x:c r="G2387" s="48" t="str">
        <x:v>Obligation</x:v>
      </x:c>
      <x:c r="H2387" s="48" t="str">
        <x:v>Shared</x:v>
      </x:c>
      <x:c r="I2387" s="48" t="n">
        <x:v>0.45</x:v>
      </x:c>
      <x:c r="J2387" s="48" t="n">
        <x:v>0.4</x:v>
      </x:c>
      <x:c r="K2387" s="48" t="str">
        <x:v>Yes</x:v>
      </x:c>
      <x:c r="L2387" s="48" t="str">
        <x:v>OCR</x:v>
      </x:c>
    </x:row>
    <x:row r="2388">
      <x:c r="A2388" s="48" t="str">
        <x:v>UNI-2387</x:v>
      </x:c>
      <x:c r="B2388" s="48" t="str">
        <x:v>ORANGE</x:v>
      </x:c>
      <x:c r="C2388" s="48" t="str">
        <x:v>English</x:v>
      </x:c>
      <x:c r="D2388" s="48" t="n">
        <x:v>38</x:v>
      </x:c>
      <x:c r="E2388" s="48" t="str"/>
      <x:c r="F2388" s="48" t="str">
        <x:v>SAE toy Muy rete sos oe</x:v>
      </x:c>
      <x:c r="G2388" s="48" t="str">
        <x:v>Obligation</x:v>
      </x:c>
      <x:c r="H2388" s="48" t="str">
        <x:v>Shared</x:v>
      </x:c>
      <x:c r="I2388" s="48" t="n">
        <x:v>0.45</x:v>
      </x:c>
      <x:c r="J2388" s="48" t="n">
        <x:v>0.4</x:v>
      </x:c>
      <x:c r="K2388" s="48" t="str">
        <x:v>Yes</x:v>
      </x:c>
      <x:c r="L2388" s="48" t="str">
        <x:v>OCR</x:v>
      </x:c>
    </x:row>
    <x:row r="2389">
      <x:c r="A2389" s="48" t="str">
        <x:v>UNI-2388</x:v>
      </x:c>
      <x:c r="B2389" s="48" t="str">
        <x:v>ORANGE</x:v>
      </x:c>
      <x:c r="C2389" s="48" t="str">
        <x:v>English</x:v>
      </x:c>
      <x:c r="D2389" s="48" t="n">
        <x:v>38</x:v>
      </x:c>
      <x:c r="E2389" s="48" t="str"/>
      <x:c r="F2389" s="48" t="str">
        <x:v>‘msuag ite excel ‘Setment at 1840 Net rsh 4 aye afer he a of he Ting Over Cniee e “Coopetca ‘Nutt Conran shal ub oe pve Repent, ope os semen compan with seeing documents ig</x:v>
      </x:c>
      <x:c r="G2389" s="48" t="str">
        <x:v>Obligation</x:v>
      </x:c>
      <x:c r="H2389" s="48" t="str">
        <x:v>Shared</x:v>
      </x:c>
      <x:c r="I2389" s="48" t="n">
        <x:v>0.45</x:v>
      </x:c>
      <x:c r="J2389" s="48" t="n">
        <x:v>0.4</x:v>
      </x:c>
      <x:c r="K2389" s="48" t="str">
        <x:v>Yes</x:v>
      </x:c>
      <x:c r="L2389" s="48" t="str">
        <x:v>OCR</x:v>
      </x:c>
    </x:row>
    <x:row r="2390">
      <x:c r="A2390" s="48" t="str">
        <x:v>UNI-2389</x:v>
      </x:c>
      <x:c r="B2390" s="48" t="str">
        <x:v>ORANGE</x:v>
      </x:c>
      <x:c r="C2390" s="48" t="str">
        <x:v>English</x:v>
      </x:c>
      <x:c r="D2390" s="48" t="n">
        <x:v>38</x:v>
      </x:c>
      <x:c r="E2390" s="48" t="str"/>
      <x:c r="F2390" s="48" t="str">
        <x:v>Sg Serpe Eines Ripon oe</x:v>
      </x:c>
      <x:c r="G2390" s="48" t="str">
        <x:v>Obligation</x:v>
      </x:c>
      <x:c r="H2390" s="48" t="str">
        <x:v>Shared</x:v>
      </x:c>
      <x:c r="I2390" s="48" t="n">
        <x:v>0.45</x:v>
      </x:c>
      <x:c r="J2390" s="48" t="n">
        <x:v>0.4</x:v>
      </x:c>
      <x:c r="K2390" s="48" t="str">
        <x:v>Yes</x:v>
      </x:c>
      <x:c r="L2390" s="48" t="str">
        <x:v>OCR</x:v>
      </x:c>
    </x:row>
    <x:row r="2391">
      <x:c r="A2391" s="48" t="str">
        <x:v>UNI-2390</x:v>
      </x:c>
      <x:c r="B2391" s="48" t="str">
        <x:v>ORANGE</x:v>
      </x:c>
      <x:c r="C2391" s="48" t="str">
        <x:v>English</x:v>
      </x:c>
      <x:c r="D2391" s="48" t="n">
        <x:v>38</x:v>
      </x:c>
      <x:c r="E2391" s="48" t="str"/>
      <x:c r="F2391" s="48" t="str">
        <x:v>{a eal va of al wok den sconce wh he Cnt wp 0 (eae ath Tin Over Cee (0) any eer ss wih Be Comrce coi ad (©) mcainat of nouns ich be Coarse cases wil bce do ‘Shim ner Coc ‘The essed ans sll be showy Seay in ach seen {op he qn pect Sa pen Appleton for 1411 Nox Ir tn $6 yy te of te Pema Cee, "tPaymeat Conacrsal stothe Empyrs epsnae wc of sat "Ceamxe ——fal'aacoeat wa supprny canes showing i a He # Om rnc ye Empe Repose (a) tear fa er doe cena wie Coa at (0) se ter suns which he Conran ed hi we ‘Resor owoaerete</x:v>
      </x:c>
      <x:c r="G2391" s="48" t="str">
        <x:v>Obligation</x:v>
      </x:c>
      <x:c r="H2391" s="48" t="str">
        <x:v>Shared</x:v>
      </x:c>
      <x:c r="I2391" s="48" t="n">
        <x:v>0.45</x:v>
      </x:c>
      <x:c r="J2391" s="48" t="n">
        <x:v>0.4</x:v>
      </x:c>
      <x:c r="K2391" s="48" t="str">
        <x:v>Yes</x:v>
      </x:c>
      <x:c r="L2391" s="48" t="str">
        <x:v>OCR</x:v>
      </x:c>
    </x:row>
    <x:row r="2392">
      <x:c r="A2392" s="48" t="str">
        <x:v>UNI-2391</x:v>
      </x:c>
      <x:c r="B2392" s="48" t="str">
        <x:v>ORANGE</x:v>
      </x:c>
      <x:c r="C2392" s="48" t="str">
        <x:v>English</x:v>
      </x:c>
      <x:c r="D2392" s="48" t="n">
        <x:v>38</x:v>
      </x:c>
      <x:c r="E2392" s="48" t="str"/>
      <x:c r="F2392" s="48" t="str">
        <x:v>AUGER tassios ai ah ta re ron</x:v>
      </x:c>
      <x:c r="G2392" s="48" t="str">
        <x:v>Obligation</x:v>
      </x:c>
      <x:c r="H2392" s="48" t="str">
        <x:v>Shared</x:v>
      </x:c>
      <x:c r="I2392" s="48" t="n">
        <x:v>0.45</x:v>
      </x:c>
      <x:c r="J2392" s="48" t="n">
        <x:v>0.4</x:v>
      </x:c>
      <x:c r="K2392" s="48" t="str">
        <x:v>Yes</x:v>
      </x:c>
      <x:c r="L2392" s="48" t="str">
        <x:v>OCR</x:v>
      </x:c>
    </x:row>
    <x:row r="2393">
      <x:c r="A2393" s="48" t="str">
        <x:v>UNI-2392</x:v>
      </x:c>
      <x:c r="B2393" s="48" t="str">
        <x:v>ORANGE</x:v>
      </x:c>
      <x:c r="C2393" s="48" t="str">
        <x:v>English</x:v>
      </x:c>
      <x:c r="D2393" s="48" t="n">
        <x:v>38</x:v>
      </x:c>
      <x:c r="E2393" s="48" t="str"/>
      <x:c r="F2393" s="48" t="str">
        <x:v>ine Copter Ropes ay racy ree md sal make sh {hte a sma raged beeen heh Cone sl ‘menue sed aba othe er Reese he lato</x:v>
      </x:c>
      <x:c r="G2393" s="48" t="str">
        <x:v>Obligation</x:v>
      </x:c>
      <x:c r="H2393" s="48" t="str">
        <x:v>Shared</x:v>
      </x:c>
      <x:c r="I2393" s="48" t="n">
        <x:v>0.45</x:v>
      </x:c>
      <x:c r="J2393" s="48" t="n">
        <x:v>0.4</x:v>
      </x:c>
      <x:c r="K2393" s="48" t="str">
        <x:v>Yes</x:v>
      </x:c>
      <x:c r="L2393" s="48" t="str">
        <x:v>OCR</x:v>
      </x:c>
    </x:row>
    <x:row r="2394">
      <x:c r="A2394" s="48" t="str">
        <x:v>UNI-2393</x:v>
      </x:c>
      <x:c r="B2394" s="48" t="str">
        <x:v>ORANGE</x:v>
      </x:c>
      <x:c r="C2394" s="48" t="str">
        <x:v>English</x:v>
      </x:c>
      <x:c r="D2394" s="48" t="n">
        <x:v>38</x:v>
      </x:c>
      <x:c r="E2394" s="48" t="str"/>
      <x:c r="F2394" s="48" t="str">
        <x:v>Sea id pnp face Coston ene fom we Pes)</x:v>
      </x:c>
      <x:c r="G2394" s="48" t="str">
        <x:v>Obligation</x:v>
      </x:c>
      <x:c r="H2394" s="48" t="str">
        <x:v>Shared</x:v>
      </x:c>
      <x:c r="I2394" s="48" t="n">
        <x:v>0.45</x:v>
      </x:c>
      <x:c r="J2394" s="48" t="n">
        <x:v>0.4</x:v>
      </x:c>
      <x:c r="K2394" s="48" t="str">
        <x:v>Yes</x:v>
      </x:c>
      <x:c r="L2394" s="48" t="str">
        <x:v>OCR</x:v>
      </x:c>
    </x:row>
    <x:row r="2395">
      <x:c r="A2395" s="48" t="str">
        <x:v>UNI-2394</x:v>
      </x:c>
      <x:c r="B2395" s="48" t="str">
        <x:v>ORANGE</x:v>
      </x:c>
      <x:c r="C2395" s="48" t="str">
        <x:v>English</x:v>
      </x:c>
      <x:c r="D2395" s="48" t="n">
        <x:v>38</x:v>
      </x:c>
      <x:c r="E2395" s="48" t="str"/>
      <x:c r="F2395" s="48" t="str">
        <x:v>1, flowing Sicssons beveen te Employers Repescsive sa te ‘Case lt any gene de fa ere ach ey be ap ‘Site tem hsm eset ar dog es, he Ba eps sal ave she Empleo te Common ah</x:v>
      </x:c>
      <x:c r="G2395" s="48" t="str">
        <x:v>Obligation</x:v>
      </x:c>
      <x:c r="H2395" s="48" t="str">
        <x:v>Shared</x:v>
      </x:c>
      <x:c r="I2395" s="48" t="n">
        <x:v>0.45</x:v>
      </x:c>
      <x:c r="J2395" s="48" t="n">
        <x:v>0.4</x:v>
      </x:c>
      <x:c r="K2395" s="48" t="str">
        <x:v>Yes</x:v>
      </x:c>
      <x:c r="L2395" s="48" t="str">
        <x:v>OCR</x:v>
      </x:c>
    </x:row>
    <x:row r="2396">
      <x:c r="A2396" s="48" t="str">
        <x:v>UNI-2395</x:v>
      </x:c>
      <x:c r="B2396" s="48" t="str">
        <x:v>ORANGE</x:v>
      </x:c>
      <x:c r="C2396" s="48" t="str">
        <x:v>English</x:v>
      </x:c>
      <x:c r="D2396" s="48" t="n">
        <x:v>38</x:v>
      </x:c>
      <x:c r="E2396" s="48" t="str"/>
      <x:c r="F2396" s="48" t="str">
        <x:v>Inman apm Cees or se are a al ste wich</x:v>
      </x:c>
      <x:c r="G2396" s="48" t="str">
        <x:v>Obligation</x:v>
      </x:c>
      <x:c r="H2396" s="48" t="str">
        <x:v>Shared</x:v>
      </x:c>
      <x:c r="I2396" s="48" t="n">
        <x:v>0.45</x:v>
      </x:c>
      <x:c r="J2396" s="48" t="n">
        <x:v>0.4</x:v>
      </x:c>
      <x:c r="K2396" s="48" t="str">
        <x:v>Yes</x:v>
      </x:c>
      <x:c r="L2396" s="48" t="str">
        <x:v>OCR</x:v>
      </x:c>
    </x:row>
    <x:row r="2397">
      <x:c r="A2397" s="48" t="str">
        <x:v>UNI-2396</x:v>
      </x:c>
      <x:c r="B2397" s="48" t="str">
        <x:v>ORANGE</x:v>
      </x:c>
      <x:c r="C2397" s="48" t="str">
        <x:v>English</x:v>
      </x:c>
      <x:c r="D2397" s="48" t="n">
        <x:v>38</x:v>
      </x:c>
      <x:c r="E2397" s="48" t="str"/>
      <x:c r="F2397" s="48" t="str">
        <x:v>fein dpa.</x:v>
      </x:c>
      <x:c r="G2397" s="48" t="str">
        <x:v>Obligation</x:v>
      </x:c>
      <x:c r="H2397" s="48" t="str">
        <x:v>Shared</x:v>
      </x:c>
      <x:c r="I2397" s="48" t="n">
        <x:v>0.45</x:v>
      </x:c>
      <x:c r="J2397" s="48" t="n">
        <x:v>0.4</x:v>
      </x:c>
      <x:c r="K2397" s="48" t="str">
        <x:v>Yes</x:v>
      </x:c>
      <x:c r="L2397" s="48" t="str">
        <x:v>OCR</x:v>
      </x:c>
    </x:row>
    <x:row r="2398">
      <x:c r="A2398" s="48" t="str">
        <x:v>UNI-2397</x:v>
      </x:c>
      <x:c r="B2398" s="48" t="str">
        <x:v>ORANGE</x:v>
      </x:c>
      <x:c r="C2398" s="48" t="str">
        <x:v>English</x:v>
      </x:c>
      <x:c r="D2398" s="48" t="n">
        <x:v>38</x:v>
      </x:c>
      <x:c r="E2398" s="48" t="str"/>
      <x:c r="F2398" s="48" t="str">
        <x:v>Te dupa ma hb ode Cane 20</x:v>
      </x:c>
      <x:c r="G2398" s="48" t="str">
        <x:v>Obligation</x:v>
      </x:c>
      <x:c r="H2398" s="48" t="str">
        <x:v>Shared</x:v>
      </x:c>
      <x:c r="I2398" s="48" t="n">
        <x:v>0.45</x:v>
      </x:c>
      <x:c r="J2398" s="48" t="n">
        <x:v>0.4</x:v>
      </x:c>
      <x:c r="K2398" s="48" t="str">
        <x:v>Yes</x:v>
      </x:c>
      <x:c r="L2398" s="48" t="str">
        <x:v>OCR</x:v>
      </x:c>
    </x:row>
    <x:row r="2399">
      <x:c r="A2399" s="48" t="str">
        <x:v>UNI-2398</x:v>
      </x:c>
      <x:c r="B2399" s="48" t="str">
        <x:v>ORANGE</x:v>
      </x:c>
      <x:c r="C2399" s="48" t="str">
        <x:v>English</x:v>
      </x:c>
      <x:c r="D2399" s="48" t="n">
        <x:v>38</x:v>
      </x:c>
      <x:c r="E2399" s="48" t="str"/>
      <x:c r="F2399" s="48" t="str">
        <x:v>ELM al erp Eph i</x:v>
      </x:c>
      <x:c r="G2399" s="48" t="str">
        <x:v>Obligation</x:v>
      </x:c>
      <x:c r="H2399" s="48" t="str">
        <x:v>Shared</x:v>
      </x:c>
      <x:c r="I2399" s="48" t="n">
        <x:v>0.45</x:v>
      </x:c>
      <x:c r="J2399" s="48" t="n">
        <x:v>0.4</x:v>
      </x:c>
      <x:c r="K2399" s="48" t="str">
        <x:v>Yes</x:v>
      </x:c>
      <x:c r="L2399" s="48" t="str">
        <x:v>OCR</x:v>
      </x:c>
    </x:row>
    <x:row r="2400">
      <x:c r="A2400" s="48" t="str">
        <x:v>UNI-2399</x:v>
      </x:c>
      <x:c r="B2400" s="48" t="str">
        <x:v>ORANGE</x:v>
      </x:c>
      <x:c r="C2400" s="48" t="str">
        <x:v>English</x:v>
      </x:c>
      <x:c r="D2400" s="48" t="n">
        <x:v>38</x:v>
      </x:c>
      <x:c r="E2400" s="48" t="str"/>
      <x:c r="F2400" s="48" t="str">
        <x:v>SDE’ Rec) il Sotonen ewer wa</x:v>
      </x:c>
      <x:c r="G2400" s="48" t="str">
        <x:v>Obligation</x:v>
      </x:c>
      <x:c r="H2400" s="48" t="str">
        <x:v>Shared</x:v>
      </x:c>
      <x:c r="I2400" s="48" t="n">
        <x:v>0.45</x:v>
      </x:c>
      <x:c r="J2400" s="48" t="n">
        <x:v>0.4</x:v>
      </x:c>
      <x:c r="K2400" s="48" t="str">
        <x:v>Yes</x:v>
      </x:c>
      <x:c r="L2400" s="48" t="str">
        <x:v>OCR</x:v>
      </x:c>
    </x:row>
    <x:row r="2401">
      <x:c r="A2401" s="48" t="str">
        <x:v>UNI-2400</x:v>
      </x:c>
      <x:c r="B2401" s="48" t="str">
        <x:v>ORANGE</x:v>
      </x:c>
      <x:c r="C2401" s="48" t="str">
        <x:v>English</x:v>
      </x:c>
      <x:c r="D2401" s="48" t="n">
        <x:v>38</x:v>
      </x:c>
      <x:c r="E2401" s="48" t="str"/>
      <x:c r="F2401" s="48" t="str">
        <x:v>‘nace oe dopo Dicharge 1312 When stig the Fal Senet, he Comace labs wae |</x:v>
      </x:c>
      <x:c r="G2401" s="48" t="str">
        <x:v>Obligation</x:v>
      </x:c>
      <x:c r="H2401" s="48" t="str">
        <x:v>Shared</x:v>
      </x:c>
      <x:c r="I2401" s="48" t="n">
        <x:v>0.45</x:v>
      </x:c>
      <x:c r="J2401" s="48" t="n">
        <x:v>0.4</x:v>
      </x:c>
      <x:c r="K2401" s="48" t="str">
        <x:v>Yes</x:v>
      </x:c>
      <x:c r="L2401" s="48" t="str">
        <x:v>OCR</x:v>
      </x:c>
    </x:row>
    <x:row r="2402">
      <x:c r="A2402" s="48" t="str">
        <x:v>UNI-2401</x:v>
      </x:c>
      <x:c r="B2402" s="48" t="str">
        <x:v>ORANGE</x:v>
      </x:c>
      <x:c r="C2402" s="48" t="str">
        <x:v>English</x:v>
      </x:c>
      <x:c r="D2402" s="48" t="n">
        <x:v>38</x:v>
      </x:c>
      <x:c r="E2402" s="48" t="str"/>
      <x:c r="F2402" s="48" t="str">
        <x:v>Shing ge lot in ele pes</x:v>
      </x:c>
      <x:c r="G2402" s="48" t="str">
        <x:v>Obligation</x:v>
      </x:c>
      <x:c r="H2402" s="48" t="str">
        <x:v>Shared</x:v>
      </x:c>
      <x:c r="I2402" s="48" t="n">
        <x:v>0.45</x:v>
      </x:c>
      <x:c r="J2402" s="48" t="n">
        <x:v>0.4</x:v>
      </x:c>
      <x:c r="K2402" s="48" t="str">
        <x:v>Yes</x:v>
      </x:c>
      <x:c r="L2402" s="48" t="str">
        <x:v>OCR</x:v>
      </x:c>
    </x:row>
    <x:row r="2403">
      <x:c r="A2403" s="48" t="str">
        <x:v>UNI-2402</x:v>
      </x:c>
      <x:c r="B2403" s="48" t="str">
        <x:v>ORANGE</x:v>
      </x:c>
      <x:c r="C2403" s="48" t="str">
        <x:v>English</x:v>
      </x:c>
      <x:c r="D2403" s="48" t="n">
        <x:v>38</x:v>
      </x:c>
      <x:c r="E2403" s="48" t="str"/>
      <x:c r="F2403" s="48" t="str">
        <x:v>Seeger sc trl tc elect oer emer oe</x:v>
      </x:c>
      <x:c r="G2403" s="48" t="str">
        <x:v>Obligation</x:v>
      </x:c>
      <x:c r="H2403" s="48" t="str">
        <x:v>Shared</x:v>
      </x:c>
      <x:c r="I2403" s="48" t="n">
        <x:v>0.45</x:v>
      </x:c>
      <x:c r="J2403" s="48" t="n">
        <x:v>0.4</x:v>
      </x:c>
      <x:c r="K2403" s="48" t="str">
        <x:v>Yes</x:v>
      </x:c>
      <x:c r="L2403" s="48" t="str">
        <x:v>OCR</x:v>
      </x:c>
    </x:row>
    <x:row r="2404">
      <x:c r="A2404" s="48" t="str">
        <x:v>UNI-2403</x:v>
      </x:c>
      <x:c r="B2404" s="48" t="str">
        <x:v>ORANGE</x:v>
      </x:c>
      <x:c r="C2404" s="48" t="str">
        <x:v>English</x:v>
      </x:c>
      <x:c r="D2404" s="48" t="n">
        <x:v>38</x:v>
      </x:c>
      <x:c r="E2404" s="48" t="str"/>
      <x:c r="F2404" s="48" t="str">
        <x:v>Phymest Corba os ten de aed the proce ‘Sy mew Suh Cme barb edo he Cnc</x:v>
      </x:c>
      <x:c r="G2404" s="48" t="str">
        <x:v>Obligation</x:v>
      </x:c>
      <x:c r="H2404" s="48" t="str">
        <x:v>Shared</x:v>
      </x:c>
      <x:c r="I2404" s="48" t="n">
        <x:v>0.45</x:v>
      </x:c>
      <x:c r="J2404" s="48" t="n">
        <x:v>0.4</x:v>
      </x:c>
      <x:c r="K2404" s="48" t="str">
        <x:v>Yes</x:v>
      </x:c>
      <x:c r="L2404" s="48" t="str">
        <x:v>OCR</x:v>
      </x:c>
    </x:row>
    <x:row r="2405">
      <x:c r="A2405" s="48" t="str">
        <x:v>UNI-2404</x:v>
      </x:c>
      <x:c r="B2405" s="48" t="str">
        <x:v>ORANGE</x:v>
      </x:c>
      <x:c r="C2405" s="48" t="str">
        <x:v>English</x:v>
      </x:c>
      <x:c r="D2405" s="48" t="n">
        <x:v>39</x:v>
      </x:c>
      <x:c r="E2405" s="48" t="str"/>
      <x:c r="F2405" s="48" t="str">
        <x:v>ue onal 1813</x:v>
      </x:c>
      <x:c r="G2405" s="48" t="str">
        <x:v>Obligation</x:v>
      </x:c>
      <x:c r="H2405" s="48" t="str">
        <x:v>Shared</x:v>
      </x:c>
      <x:c r="I2405" s="48" t="n">
        <x:v>0.45</x:v>
      </x:c>
      <x:c r="J2405" s="48" t="n">
        <x:v>0.4</x:v>
      </x:c>
      <x:c r="K2405" s="48" t="str">
        <x:v>Yes</x:v>
      </x:c>
      <x:c r="L2405" s="48" t="str">
        <x:v>OCR</x:v>
      </x:c>
    </x:row>
    <x:row r="2406">
      <x:c r="A2406" s="48" t="str">
        <x:v>UNI-2405</x:v>
      </x:c>
      <x:c r="B2406" s="48" t="str">
        <x:v>ORANGE</x:v>
      </x:c>
      <x:c r="C2406" s="48" t="str">
        <x:v>English</x:v>
      </x:c>
      <x:c r="D2406" s="48" t="n">
        <x:v>39</x:v>
      </x:c>
      <x:c r="E2406" s="48" t="str"/>
      <x:c r="F2406" s="48" t="str">
        <x:v>Payment Crone</x:v>
      </x:c>
      <x:c r="G2406" s="48" t="str">
        <x:v>Obligation</x:v>
      </x:c>
      <x:c r="H2406" s="48" t="str">
        <x:v>Shared</x:v>
      </x:c>
      <x:c r="I2406" s="48" t="n">
        <x:v>0.55</x:v>
      </x:c>
      <x:c r="J2406" s="48" t="n">
        <x:v>0.4</x:v>
      </x:c>
      <x:c r="K2406" s="48" t="str">
        <x:v>Yes</x:v>
      </x:c>
      <x:c r="L2406" s="48" t="str">
        <x:v>OCR</x:v>
      </x:c>
    </x:row>
    <x:row r="2407">
      <x:c r="A2407" s="48" t="str">
        <x:v>UNI-2406</x:v>
      </x:c>
      <x:c r="B2407" s="48" t="str">
        <x:v>ORANGE</x:v>
      </x:c>
      <x:c r="C2407" s="48" t="str">
        <x:v>English</x:v>
      </x:c>
      <x:c r="D2407" s="48" t="n">
        <x:v>39</x:v>
      </x:c>
      <x:c r="E2407" s="48" t="str"/>
      <x:c r="F2407" s="48" t="str">
        <x:v>eatin a 18.8 mpi as Cott o 1818</x:v>
      </x:c>
      <x:c r="G2407" s="48" t="str">
        <x:v>Obligation</x:v>
      </x:c>
      <x:c r="H2407" s="48" t="str">
        <x:v>Shared</x:v>
      </x:c>
      <x:c r="I2407" s="48" t="n">
        <x:v>0.45</x:v>
      </x:c>
      <x:c r="J2407" s="48" t="n">
        <x:v>0.4</x:v>
      </x:c>
      <x:c r="K2407" s="48" t="str">
        <x:v>Yes</x:v>
      </x:c>
      <x:c r="L2407" s="48" t="str">
        <x:v>OCR</x:v>
      </x:c>
    </x:row>
    <x:row r="2408">
      <x:c r="A2408" s="48" t="str">
        <x:v>UNI-2407</x:v>
      </x:c>
      <x:c r="B2408" s="48" t="str">
        <x:v>ORANGE</x:v>
      </x:c>
      <x:c r="C2408" s="48" t="str">
        <x:v>English</x:v>
      </x:c>
      <x:c r="D2408" s="48" t="n">
        <x:v>39</x:v>
      </x:c>
      <x:c r="E2408" s="48" t="str"/>
      <x:c r="F2408" s="48" t="str">
        <x:v>Paymentein Foren</x:v>
      </x:c>
      <x:c r="G2408" s="48" t="str">
        <x:v>Obligation</x:v>
      </x:c>
      <x:c r="H2408" s="48" t="str">
        <x:v>Shared</x:v>
      </x:c>
      <x:c r="I2408" s="48" t="n">
        <x:v>0.45</x:v>
      </x:c>
      <x:c r="J2408" s="48" t="n">
        <x:v>0.4</x:v>
      </x:c>
      <x:c r="K2408" s="48" t="str">
        <x:v>Yes</x:v>
      </x:c>
      <x:c r="L2408" s="48" t="str">
        <x:v>OCR</x:v>
      </x:c>
    </x:row>
    <x:row r="2409">
      <x:c r="A2409" s="48" t="str">
        <x:v>UNI-2408</x:v>
      </x:c>
      <x:c r="B2409" s="48" t="str">
        <x:v>ORANGE</x:v>
      </x:c>
      <x:c r="C2409" s="48" t="str">
        <x:v>English</x:v>
      </x:c>
      <x:c r="D2409" s="48" t="n">
        <x:v>39</x:v>
      </x:c>
      <x:c r="E2409" s="48" t="str"/>
      <x:c r="F2409" s="48" t="str">
        <x:v>‘Coren Changes 16 "eine ‘Te Emer epee hl he pie ih py oe ‘Goch Pp Cente in ays stg</x:v>
      </x:c>
      <x:c r="G2409" s="48" t="str">
        <x:v>Obligation</x:v>
      </x:c>
      <x:c r="H2409" s="48" t="str">
        <x:v>Shared</x:v>
      </x:c>
      <x:c r="I2409" s="48" t="n">
        <x:v>0.45</x:v>
      </x:c>
      <x:c r="J2409" s="48" t="n">
        <x:v>0.4</x:v>
      </x:c>
      <x:c r="K2409" s="48" t="str">
        <x:v>Yes</x:v>
      </x:c>
      <x:c r="L2409" s="48" t="str">
        <x:v>OCR</x:v>
      </x:c>
    </x:row>
    <x:row r="2410">
      <x:c r="A2410" s="48" t="str">
        <x:v>UNI-2409</x:v>
      </x:c>
      <x:c r="B2410" s="48" t="str">
        <x:v>ORANGE</x:v>
      </x:c>
      <x:c r="C2410" s="48" t="str">
        <x:v>English</x:v>
      </x:c>
      <x:c r="D2410" s="48" t="n">
        <x:v>39</x:v>
      </x:c>
      <x:c r="E2410" s="48" t="str"/>
      <x:c r="F2410" s="48" t="str">
        <x:v>Faucet Sh os -Goes</x:v>
      </x:c>
      <x:c r="G2410" s="48" t="str">
        <x:v>Obligation</x:v>
      </x:c>
      <x:c r="H2410" s="48" t="str">
        <x:v>Shared</x:v>
      </x:c>
      <x:c r="I2410" s="48" t="n">
        <x:v>0.45</x:v>
      </x:c>
      <x:c r="J2410" s="48" t="n">
        <x:v>0.4</x:v>
      </x:c>
      <x:c r="K2410" s="48" t="str">
        <x:v>Yes</x:v>
      </x:c>
      <x:c r="L2410" s="48" t="str">
        <x:v>OCR</x:v>
      </x:c>
    </x:row>
    <x:row r="2411">
      <x:c r="A2411" s="48" t="str">
        <x:v>UNI-2410</x:v>
      </x:c>
      <x:c r="B2411" s="48" t="str">
        <x:v>ORANGE</x:v>
      </x:c>
      <x:c r="C2411" s="48" t="str">
        <x:v>English</x:v>
      </x:c>
      <x:c r="D2411" s="48" t="n">
        <x:v>39</x:v>
      </x:c>
      <x:c r="E2411" s="48" t="str"/>
      <x:c r="F2411" s="48" t="str">
        <x:v>(© ee chi yd (0 str rig cd te Eng smo vey ly</x:v>
      </x:c>
      <x:c r="G2411" s="48" t="str">
        <x:v>Obligation</x:v>
      </x:c>
      <x:c r="H2411" s="48" t="str">
        <x:v>Shared</x:v>
      </x:c>
      <x:c r="I2411" s="48" t="n">
        <x:v>0.45</x:v>
      </x:c>
      <x:c r="J2411" s="48" t="n">
        <x:v>0.4</x:v>
      </x:c>
      <x:c r="K2411" s="48" t="str">
        <x:v>Yes</x:v>
      </x:c>
      <x:c r="L2411" s="48" t="str">
        <x:v>OCR</x:v>
      </x:c>
    </x:row>
    <x:row r="2412">
      <x:c r="A2412" s="48" t="str">
        <x:v>UNI-2411</x:v>
      </x:c>
      <x:c r="B2412" s="48" t="str">
        <x:v>ORANGE</x:v>
      </x:c>
      <x:c r="C2412" s="48" t="str">
        <x:v>English</x:v>
      </x:c>
      <x:c r="D2412" s="48" t="n">
        <x:v>39</x:v>
      </x:c>
      <x:c r="E2412" s="48" t="str"/>
      <x:c r="F2412" s="48" t="str">
        <x:v>Sepdpeta ase echt Bape ater oe</x:v>
      </x:c>
      <x:c r="G2412" s="48" t="str">
        <x:v>Obligation</x:v>
      </x:c>
      <x:c r="H2412" s="48" t="str">
        <x:v>Shared</x:v>
      </x:c>
      <x:c r="I2412" s="48" t="n">
        <x:v>0.45</x:v>
      </x:c>
      <x:c r="J2412" s="48" t="n">
        <x:v>0.4</x:v>
      </x:c>
      <x:c r="K2412" s="48" t="str">
        <x:v>Yes</x:v>
      </x:c>
      <x:c r="L2412" s="48" t="str">
        <x:v>OCR</x:v>
      </x:c>
    </x:row>
    <x:row r="2413">
      <x:c r="A2413" s="48" t="str">
        <x:v>UNI-2412</x:v>
      </x:c>
      <x:c r="B2413" s="48" t="str">
        <x:v>ORANGE</x:v>
      </x:c>
      <x:c r="C2413" s="48" t="str">
        <x:v>English</x:v>
      </x:c>
      <x:c r="D2413" s="48" t="n">
        <x:v>39</x:v>
      </x:c>
      <x:c r="E2413" s="48" t="str"/>
      <x:c r="F2413" s="48" t="str">
        <x:v>Sarah Chas he sy Sr Emp</x:v>
      </x:c>
      <x:c r="G2413" s="48" t="str">
        <x:v>Obligation</x:v>
      </x:c>
      <x:c r="H2413" s="48" t="str">
        <x:v>Shared</x:v>
      </x:c>
      <x:c r="I2413" s="48" t="n">
        <x:v>0.45</x:v>
      </x:c>
      <x:c r="J2413" s="48" t="n">
        <x:v>0.4</x:v>
      </x:c>
      <x:c r="K2413" s="48" t="str">
        <x:v>Yes</x:v>
      </x:c>
      <x:c r="L2413" s="48" t="str">
        <x:v>OCR</x:v>
      </x:c>
    </x:row>
    <x:row r="2414">
      <x:c r="A2414" s="48" t="str">
        <x:v>UNI-2413</x:v>
      </x:c>
      <x:c r="B2414" s="48" t="str">
        <x:v>ORANGE</x:v>
      </x:c>
      <x:c r="C2414" s="48" t="str">
        <x:v>English</x:v>
      </x:c>
      <x:c r="D2414" s="48" t="n">
        <x:v>39</x:v>
      </x:c>
      <x:c r="E2414" s="48" t="str"/>
      <x:c r="F2414" s="48" t="str">
        <x:v>Tit an te Crore Eyecare</x:v>
      </x:c>
      <x:c r="G2414" s="48" t="str">
        <x:v>Obligation</x:v>
      </x:c>
      <x:c r="H2414" s="48" t="str">
        <x:v>Shared</x:v>
      </x:c>
      <x:c r="I2414" s="48" t="n">
        <x:v>0.45</x:v>
      </x:c>
      <x:c r="J2414" s="48" t="n">
        <x:v>0.4</x:v>
      </x:c>
      <x:c r="K2414" s="48" t="str">
        <x:v>Yes</x:v>
      </x:c>
      <x:c r="L2414" s="48" t="str">
        <x:v>OCR</x:v>
      </x:c>
    </x:row>
    <x:row r="2415">
      <x:c r="A2415" s="48" t="str">
        <x:v>UNI-2414</x:v>
      </x:c>
      <x:c r="B2415" s="48" t="str">
        <x:v>ORANGE</x:v>
      </x:c>
      <x:c r="C2415" s="48" t="str">
        <x:v>English</x:v>
      </x:c>
      <x:c r="D2415" s="48" t="n">
        <x:v>39</x:v>
      </x:c>
      <x:c r="E2415" s="48" t="str"/>
      <x:c r="F2415" s="48" t="str">
        <x:v>te Commer st oid rs Pye Ceca cere {tonne piers Reema al ees</x:v>
      </x:c>
      <x:c r="G2415" s="48" t="str">
        <x:v>Obligation</x:v>
      </x:c>
      <x:c r="H2415" s="48" t="str">
        <x:v>Shared</x:v>
      </x:c>
      <x:c r="I2415" s="48" t="n">
        <x:v>0.45</x:v>
      </x:c>
      <x:c r="J2415" s="48" t="n">
        <x:v>0.4</x:v>
      </x:c>
      <x:c r="K2415" s="48" t="str">
        <x:v>Yes</x:v>
      </x:c>
      <x:c r="L2415" s="48" t="str">
        <x:v>OCR</x:v>
      </x:c>
    </x:row>
    <x:row r="2416">
      <x:c r="A2416" s="48" t="str">
        <x:v>UNI-2415</x:v>
      </x:c>
      <x:c r="B2416" s="48" t="str">
        <x:v>ORANGE</x:v>
      </x:c>
      <x:c r="C2416" s="48" t="str">
        <x:v>English</x:v>
      </x:c>
      <x:c r="D2416" s="48" t="n">
        <x:v>39</x:v>
      </x:c>
      <x:c r="E2416" s="48" t="str"/>
      <x:c r="F2416" s="48" t="str">
        <x:v>Se ee eres</x:v>
      </x:c>
      <x:c r="G2416" s="48" t="str">
        <x:v>Obligation</x:v>
      </x:c>
      <x:c r="H2416" s="48" t="str">
        <x:v>Shared</x:v>
      </x:c>
      <x:c r="I2416" s="48" t="n">
        <x:v>0.45</x:v>
      </x:c>
      <x:c r="J2416" s="48" t="n">
        <x:v>0.4</x:v>
      </x:c>
      <x:c r="K2416" s="48" t="str">
        <x:v>Yes</x:v>
      </x:c>
      <x:c r="L2416" s="48" t="str">
        <x:v>OCR</x:v>
      </x:c>
    </x:row>
    <x:row r="2417">
      <x:c r="A2417" s="48" t="str">
        <x:v>UNI-2416</x:v>
      </x:c>
      <x:c r="B2417" s="48" t="str">
        <x:v>ORANGE</x:v>
      </x:c>
      <x:c r="C2417" s="48" t="str">
        <x:v>English</x:v>
      </x:c>
      <x:c r="D2417" s="48" t="n">
        <x:v>39</x:v>
      </x:c>
      <x:c r="E2417" s="48" t="str"/>
      <x:c r="F2417" s="48" t="str">
        <x:v>snp 3 dye rps Nena a a Pak</x:v>
      </x:c>
      <x:c r="G2417" s="48" t="str">
        <x:v>Obligation</x:v>
      </x:c>
      <x:c r="H2417" s="48" t="str">
        <x:v>Shared</x:v>
      </x:c>
      <x:c r="I2417" s="48" t="n">
        <x:v>0.45</x:v>
      </x:c>
      <x:c r="J2417" s="48" t="n">
        <x:v>0.4</x:v>
      </x:c>
      <x:c r="K2417" s="48" t="str">
        <x:v>Yes</x:v>
      </x:c>
      <x:c r="L2417" s="48" t="str">
        <x:v>OCR</x:v>
      </x:c>
    </x:row>
    <x:row r="2418">
      <x:c r="A2418" s="48" t="str">
        <x:v>UNI-2417</x:v>
      </x:c>
      <x:c r="B2418" s="48" t="str">
        <x:v>ORANGE</x:v>
      </x:c>
      <x:c r="C2418" s="48" t="str">
        <x:v>English</x:v>
      </x:c>
      <x:c r="D2418" s="48" t="n">
        <x:v>39</x:v>
      </x:c>
      <x:c r="E2418" s="48" t="str"/>
      <x:c r="F2418" s="48" t="str">
        <x:v>Pome Coon roca anoet coon we</x:v>
      </x:c>
      <x:c r="G2418" s="48" t="str">
        <x:v>Obligation</x:v>
      </x:c>
      <x:c r="H2418" s="48" t="str">
        <x:v>Shared</x:v>
      </x:c>
      <x:c r="I2418" s="48" t="n">
        <x:v>0.45</x:v>
      </x:c>
      <x:c r="J2418" s="48" t="n">
        <x:v>0.4</x:v>
      </x:c>
      <x:c r="K2418" s="48" t="str">
        <x:v>Yes</x:v>
      </x:c>
      <x:c r="L2418" s="48" t="str">
        <x:v>OCR</x:v>
      </x:c>
    </x:row>
    <x:row r="2419">
      <x:c r="A2419" s="48" t="str">
        <x:v>UNI-2418</x:v>
      </x:c>
      <x:c r="B2419" s="48" t="str">
        <x:v>ORANGE</x:v>
      </x:c>
      <x:c r="C2419" s="48" t="str">
        <x:v>English</x:v>
      </x:c>
      <x:c r="D2419" s="48" t="n">
        <x:v>39</x:v>
      </x:c>
      <x:c r="E2419" s="48" t="str"/>
      <x:c r="F2419" s="48" t="str">
        <x:v>“he Ele slate ie fe Cnc i ay ma ing</x:v>
      </x:c>
      <x:c r="G2419" s="48" t="str">
        <x:v>Obligation</x:v>
      </x:c>
      <x:c r="H2419" s="48" t="str">
        <x:v>Shared</x:v>
      </x:c>
      <x:c r="I2419" s="48" t="n">
        <x:v>0.45</x:v>
      </x:c>
      <x:c r="J2419" s="48" t="n">
        <x:v>0.4</x:v>
      </x:c>
      <x:c r="K2419" s="48" t="str">
        <x:v>Yes</x:v>
      </x:c>
      <x:c r="L2419" s="48" t="str">
        <x:v>OCR</x:v>
      </x:c>
    </x:row>
    <x:row r="2420">
      <x:c r="A2420" s="48" t="str">
        <x:v>UNI-2419</x:v>
      </x:c>
      <x:c r="B2420" s="48" t="str">
        <x:v>ORANGE</x:v>
      </x:c>
      <x:c r="C2420" s="48" t="str">
        <x:v>English</x:v>
      </x:c>
      <x:c r="D2420" s="48" t="n">
        <x:v>39</x:v>
      </x:c>
      <x:c r="E2420" s="48" t="str"/>
      <x:c r="F2420" s="48" t="str">
        <x:v>The tie ett cmesae be Sener cmon We</x:v>
      </x:c>
      <x:c r="G2420" s="48" t="str">
        <x:v>Obligation</x:v>
      </x:c>
      <x:c r="H2420" s="48" t="str">
        <x:v>Shared</x:v>
      </x:c>
      <x:c r="I2420" s="48" t="n">
        <x:v>0.45</x:v>
      </x:c>
      <x:c r="J2420" s="48" t="n">
        <x:v>0.4</x:v>
      </x:c>
      <x:c r="K2420" s="48" t="str">
        <x:v>Yes</x:v>
      </x:c>
      <x:c r="L2420" s="48" t="str">
        <x:v>OCR</x:v>
      </x:c>
    </x:row>
    <x:row r="2421">
      <x:c r="A2421" s="48" t="str">
        <x:v>UNI-2420</x:v>
      </x:c>
      <x:c r="B2421" s="48" t="str">
        <x:v>ORANGE</x:v>
      </x:c>
      <x:c r="C2421" s="48" t="str">
        <x:v>English</x:v>
      </x:c>
      <x:c r="D2421" s="48" t="n">
        <x:v>39</x:v>
      </x:c>
      <x:c r="E2421" s="48" t="str"/>
      <x:c r="F2421" s="48" t="str">
        <x:v>Sha Cnt in mt na Sie</x:v>
      </x:c>
      <x:c r="G2421" s="48" t="str">
        <x:v>Obligation</x:v>
      </x:c>
      <x:c r="H2421" s="48" t="str">
        <x:v>Shared</x:v>
      </x:c>
      <x:c r="I2421" s="48" t="n">
        <x:v>0.45</x:v>
      </x:c>
      <x:c r="J2421" s="48" t="n">
        <x:v>0.4</x:v>
      </x:c>
      <x:c r="K2421" s="48" t="str">
        <x:v>Yes</x:v>
      </x:c>
      <x:c r="L2421" s="48" t="str">
        <x:v>OCR</x:v>
      </x:c>
    </x:row>
    <x:row r="2422">
      <x:c r="A2422" s="48" t="str">
        <x:v>UNI-2421</x:v>
      </x:c>
      <x:c r="B2422" s="48" t="str">
        <x:v>ORANGE</x:v>
      </x:c>
      <x:c r="C2422" s="48" t="str">
        <x:v>English</x:v>
      </x:c>
      <x:c r="D2422" s="48" t="n">
        <x:v>39</x:v>
      </x:c>
      <x:c r="E2422" s="48" t="str"/>
      <x:c r="F2422" s="48" t="str">
        <x:v>‘slut ne a oe ty rb of Tag Or Enka te ok) 8 nen a comp ced Seb tte Coes is expe a Coen nyt ne en ‘Sieben enn creme ots te Cand</x:v>
      </x:c>
      <x:c r="G2422" s="48" t="str">
        <x:v>Obligation</x:v>
      </x:c>
      <x:c r="H2422" s="48" t="str">
        <x:v>Shared</x:v>
      </x:c>
      <x:c r="I2422" s="48" t="n">
        <x:v>0.45</x:v>
      </x:c>
      <x:c r="J2422" s="48" t="n">
        <x:v>0.4</x:v>
      </x:c>
      <x:c r="K2422" s="48" t="str">
        <x:v>Yes</x:v>
      </x:c>
      <x:c r="L2422" s="48" t="str">
        <x:v>OCR</x:v>
      </x:c>
    </x:row>
    <x:row r="2423">
      <x:c r="A2423" s="48" t="str">
        <x:v>UNI-2422</x:v>
      </x:c>
      <x:c r="B2423" s="48" t="str">
        <x:v>ORANGE</x:v>
      </x:c>
      <x:c r="C2423" s="48" t="str">
        <x:v>English</x:v>
      </x:c>
      <x:c r="D2423" s="48" t="n">
        <x:v>39</x:v>
      </x:c>
      <x:c r="E2423" s="48" t="str"/>
      <x:c r="F2423" s="48" t="str">
        <x:v>Fee Concer d eae cra chap oe ag</x:v>
      </x:c>
      <x:c r="G2423" s="48" t="str">
        <x:v>Obligation</x:v>
      </x:c>
      <x:c r="H2423" s="48" t="str">
        <x:v>Shared</x:v>
      </x:c>
      <x:c r="I2423" s="48" t="n">
        <x:v>0.45</x:v>
      </x:c>
      <x:c r="J2423" s="48" t="n">
        <x:v>0.4</x:v>
      </x:c>
      <x:c r="K2423" s="48" t="str">
        <x:v>Yes</x:v>
      </x:c>
      <x:c r="L2423" s="48" t="str">
        <x:v>OCR</x:v>
      </x:c>
    </x:row>
    <x:row r="2424">
      <x:c r="A2424" s="48" t="str">
        <x:v>UNI-2423</x:v>
      </x:c>
      <x:c r="B2424" s="48" t="str">
        <x:v>ORANGE</x:v>
      </x:c>
      <x:c r="C2424" s="48" t="str">
        <x:v>English</x:v>
      </x:c>
      <x:c r="D2424" s="48" t="n">
        <x:v>39</x:v>
      </x:c>
      <x:c r="E2424" s="48" t="str"/>
      <x:c r="F2424" s="48" t="str">
        <x:v>A ppl tt he pen oT eo</x:v>
      </x:c>
      <x:c r="G2424" s="48" t="str">
        <x:v>Obligation</x:v>
      </x:c>
      <x:c r="H2424" s="48" t="str">
        <x:v>Shared</x:v>
      </x:c>
      <x:c r="I2424" s="48" t="n">
        <x:v>0.45</x:v>
      </x:c>
      <x:c r="J2424" s="48" t="n">
        <x:v>0.4</x:v>
      </x:c>
      <x:c r="K2424" s="48" t="str">
        <x:v>Yes</x:v>
      </x:c>
      <x:c r="L2424" s="48" t="str">
        <x:v>OCR</x:v>
      </x:c>
    </x:row>
    <x:row r="2425">
      <x:c r="A2425" s="48" t="str">
        <x:v>UNI-2424</x:v>
      </x:c>
      <x:c r="B2425" s="48" t="str">
        <x:v>ORANGE</x:v>
      </x:c>
      <x:c r="C2425" s="48" t="str">
        <x:v>English</x:v>
      </x:c>
      <x:c r="D2425" s="48" t="n">
        <x:v>39</x:v>
      </x:c>
      <x:c r="E2425" s="48" t="str"/>
      <x:c r="F2425" s="48" t="str">
        <x:v>Soar el Say a eae aaa be</x:v>
      </x:c>
      <x:c r="G2425" s="48" t="str">
        <x:v>Obligation</x:v>
      </x:c>
      <x:c r="H2425" s="48" t="str">
        <x:v>Shared</x:v>
      </x:c>
      <x:c r="I2425" s="48" t="n">
        <x:v>0.45</x:v>
      </x:c>
      <x:c r="J2425" s="48" t="n">
        <x:v>0.4</x:v>
      </x:c>
      <x:c r="K2425" s="48" t="str">
        <x:v>Yes</x:v>
      </x:c>
      <x:c r="L2425" s="48" t="str">
        <x:v>OCR</x:v>
      </x:c>
    </x:row>
    <x:row r="2426">
      <x:c r="A2426" s="48" t="str">
        <x:v>UNI-2425</x:v>
      </x:c>
      <x:c r="B2426" s="48" t="str">
        <x:v>ORANGE</x:v>
      </x:c>
      <x:c r="C2426" s="48" t="str">
        <x:v>English</x:v>
      </x:c>
      <x:c r="D2426" s="48" t="n">
        <x:v>39</x:v>
      </x:c>
      <x:c r="E2426" s="48" t="str"/>
      <x:c r="F2426" s="48" t="str">
        <x:v>Score Dr mio he con! he</x:v>
      </x:c>
      <x:c r="G2426" s="48" t="str">
        <x:v>Obligation</x:v>
      </x:c>
      <x:c r="H2426" s="48" t="str">
        <x:v>Shared</x:v>
      </x:c>
      <x:c r="I2426" s="48" t="n">
        <x:v>0.45</x:v>
      </x:c>
      <x:c r="J2426" s="48" t="n">
        <x:v>0.4</x:v>
      </x:c>
      <x:c r="K2426" s="48" t="str">
        <x:v>Yes</x:v>
      </x:c>
      <x:c r="L2426" s="48" t="str">
        <x:v>OCR</x:v>
      </x:c>
    </x:row>
    <x:row r="2427">
      <x:c r="A2427" s="48" t="str">
        <x:v>UNI-2426</x:v>
      </x:c>
      <x:c r="B2427" s="48" t="str">
        <x:v>ORANGE</x:v>
      </x:c>
      <x:c r="C2427" s="48" t="str">
        <x:v>English</x:v>
      </x:c>
      <x:c r="D2427" s="48" t="n">
        <x:v>39</x:v>
      </x:c>
      <x:c r="E2427" s="48" t="str"/>
      <x:c r="F2427" s="48" t="str">
        <x:v>‘The Com ie salle ad te selene we</x:v>
      </x:c>
      <x:c r="G2427" s="48" t="str">
        <x:v>Obligation</x:v>
      </x:c>
      <x:c r="H2427" s="48" t="str">
        <x:v>Shared</x:v>
      </x:c>
      <x:c r="I2427" s="48" t="n">
        <x:v>0.45</x:v>
      </x:c>
      <x:c r="J2427" s="48" t="n">
        <x:v>0.4</x:v>
      </x:c>
      <x:c r="K2427" s="48" t="str">
        <x:v>Yes</x:v>
      </x:c>
      <x:c r="L2427" s="48" t="str">
        <x:v>OCR</x:v>
      </x:c>
    </x:row>
    <x:row r="2428">
      <x:c r="A2428" s="48" t="str">
        <x:v>UNI-2427</x:v>
      </x:c>
      <x:c r="B2428" s="48" t="str">
        <x:v>ORANGE</x:v>
      </x:c>
      <x:c r="C2428" s="48" t="str">
        <x:v>English</x:v>
      </x:c>
      <x:c r="D2428" s="48" t="n">
        <x:v>39</x:v>
      </x:c>
      <x:c r="E2428" s="48" t="str"/>
      <x:c r="F2428" s="48" t="str">
        <x:v>Pepe hence eaapete Gah naires Be</x:v>
      </x:c>
      <x:c r="G2428" s="48" t="str">
        <x:v>Obligation</x:v>
      </x:c>
      <x:c r="H2428" s="48" t="str">
        <x:v>Shared</x:v>
      </x:c>
      <x:c r="I2428" s="48" t="n">
        <x:v>0.45</x:v>
      </x:c>
      <x:c r="J2428" s="48" t="n">
        <x:v>0.4</x:v>
      </x:c>
      <x:c r="K2428" s="48" t="str">
        <x:v>Yes</x:v>
      </x:c>
      <x:c r="L2428" s="48" t="str">
        <x:v>OCR</x:v>
      </x:c>
    </x:row>
    <x:row r="2429">
      <x:c r="A2429" s="48" t="str">
        <x:v>UNI-2428</x:v>
      </x:c>
      <x:c r="B2429" s="48" t="str">
        <x:v>ORANGE</x:v>
      </x:c>
      <x:c r="C2429" s="48" t="str">
        <x:v>English</x:v>
      </x:c>
      <x:c r="D2429" s="48" t="n">
        <x:v>39</x:v>
      </x:c>
      <x:c r="E2429" s="48" t="str"/>
      <x:c r="F2429" s="48" t="str">
        <x:v>‘Bee Scoala y's epitroyiowhe ‘cela eg cre tC free hs gas</x:v>
      </x:c>
      <x:c r="G2429" s="48" t="str">
        <x:v>Obligation</x:v>
      </x:c>
      <x:c r="H2429" s="48" t="str">
        <x:v>Shared</x:v>
      </x:c>
      <x:c r="I2429" s="48" t="n">
        <x:v>0.45</x:v>
      </x:c>
      <x:c r="J2429" s="48" t="n">
        <x:v>0.4</x:v>
      </x:c>
      <x:c r="K2429" s="48" t="str">
        <x:v>Yes</x:v>
      </x:c>
      <x:c r="L2429" s="48" t="str">
        <x:v>OCR</x:v>
      </x:c>
    </x:row>
    <x:row r="2430">
      <x:c r="A2430" s="48" t="str">
        <x:v>UNI-2429</x:v>
      </x:c>
      <x:c r="B2430" s="48" t="str">
        <x:v>ORANGE</x:v>
      </x:c>
      <x:c r="C2430" s="48" t="str">
        <x:v>English</x:v>
      </x:c>
      <x:c r="D2430" s="48" t="n">
        <x:v>39</x:v>
      </x:c>
      <x:c r="E2430" s="48" t="str"/>
      <x:c r="F2430" s="48" t="str">
        <x:v>Wie Comer f r wil ) iy sndt, ni)</x:v>
      </x:c>
      <x:c r="G2430" s="48" t="str">
        <x:v>Obligation</x:v>
      </x:c>
      <x:c r="H2430" s="48" t="str">
        <x:v>Shared</x:v>
      </x:c>
      <x:c r="I2430" s="48" t="n">
        <x:v>0.45</x:v>
      </x:c>
      <x:c r="J2430" s="48" t="n">
        <x:v>0.4</x:v>
      </x:c>
      <x:c r="K2430" s="48" t="str">
        <x:v>Yes</x:v>
      </x:c>
      <x:c r="L2430" s="48" t="str">
        <x:v>OCR</x:v>
      </x:c>
    </x:row>
    <x:row r="2431">
      <x:c r="A2431" s="48" t="str">
        <x:v>UNI-2430</x:v>
      </x:c>
      <x:c r="B2431" s="48" t="str">
        <x:v>ORANGE</x:v>
      </x:c>
      <x:c r="C2431" s="48" t="str">
        <x:v>English</x:v>
      </x:c>
      <x:c r="D2431" s="48" t="n">
        <x:v>39</x:v>
      </x:c>
      <x:c r="E2431" s="48" t="str"/>
      <x:c r="F2431" s="48" t="str">
        <x:v>‘tic ng ng eto Bae ic Goes at pena he apne peste Aer fe, of aah mace A Ener Repecne a ed</x:v>
      </x:c>
      <x:c r="G2431" s="48" t="str">
        <x:v>Obligation</x:v>
      </x:c>
      <x:c r="H2431" s="48" t="str">
        <x:v>Shared</x:v>
      </x:c>
      <x:c r="I2431" s="48" t="n">
        <x:v>0.45</x:v>
      </x:c>
      <x:c r="J2431" s="48" t="n">
        <x:v>0.4</x:v>
      </x:c>
      <x:c r="K2431" s="48" t="str">
        <x:v>Yes</x:v>
      </x:c>
      <x:c r="L2431" s="48" t="str">
        <x:v>OCR</x:v>
      </x:c>
    </x:row>
    <x:row r="2432">
      <x:c r="A2432" s="48" t="str">
        <x:v>UNI-2431</x:v>
      </x:c>
      <x:c r="B2432" s="48" t="str">
        <x:v>ORANGE</x:v>
      </x:c>
      <x:c r="C2432" s="48" t="str">
        <x:v>English</x:v>
      </x:c>
      <x:c r="D2432" s="48" t="n">
        <x:v>39</x:v>
      </x:c>
      <x:c r="E2432" s="48" t="str"/>
      <x:c r="F2432" s="48" t="str">
        <x:v>Siete svchae soaps orseemane</x:v>
      </x:c>
      <x:c r="G2432" s="48" t="str">
        <x:v>Obligation</x:v>
      </x:c>
      <x:c r="H2432" s="48" t="str">
        <x:v>Shared</x:v>
      </x:c>
      <x:c r="I2432" s="48" t="n">
        <x:v>0.45</x:v>
      </x:c>
      <x:c r="J2432" s="48" t="n">
        <x:v>0.4</x:v>
      </x:c>
      <x:c r="K2432" s="48" t="str">
        <x:v>Yes</x:v>
      </x:c>
      <x:c r="L2432" s="48" t="str">
        <x:v>OCR</x:v>
      </x:c>
    </x:row>
    <x:row r="2433">
      <x:c r="A2433" s="48" t="str">
        <x:v>UNI-2432</x:v>
      </x:c>
      <x:c r="B2433" s="48" t="str">
        <x:v>ORANGE</x:v>
      </x:c>
      <x:c r="C2433" s="48" t="str">
        <x:v>English</x:v>
      </x:c>
      <x:c r="D2433" s="48" t="n">
        <x:v>39</x:v>
      </x:c>
      <x:c r="E2433" s="48" t="str"/>
      <x:c r="F2433" s="48" t="str">
        <x:v>(© ey coin fn he Coarr il krSautias (0 amo oh Ct ich sh ed te Coat Ps sn sh ity Come aor — s</x:v>
      </x:c>
      <x:c r="G2433" s="48" t="str">
        <x:v>Obligation</x:v>
      </x:c>
      <x:c r="H2433" s="48" t="str">
        <x:v>Shared</x:v>
      </x:c>
      <x:c r="I2433" s="48" t="n">
        <x:v>0.45</x:v>
      </x:c>
      <x:c r="J2433" s="48" t="n">
        <x:v>0.4</x:v>
      </x:c>
      <x:c r="K2433" s="48" t="str">
        <x:v>Yes</x:v>
      </x:c>
      <x:c r="L2433" s="48" t="str">
        <x:v>OCR</x:v>
      </x:c>
    </x:row>
    <x:row r="2434">
      <x:c r="A2434" s="48" t="str">
        <x:v>UNI-2433</x:v>
      </x:c>
      <x:c r="B2434" s="48" t="str">
        <x:v>ORANGE</x:v>
      </x:c>
      <x:c r="C2434" s="48" t="str">
        <x:v>English</x:v>
      </x:c>
      <x:c r="D2434" s="48" t="n">
        <x:v>40</x:v>
      </x:c>
      <x:c r="E2434" s="48" t="str">
        <x:v>14</x:v>
      </x:c>
      <x:c r="F2434" s="48" t="str">
        <x:v>14 Variations</x:v>
      </x:c>
      <x:c r="G2434" s="48" t="str">
        <x:v>Heading</x:v>
      </x:c>
      <x:c r="H2434" s="48" t="str"/>
      <x:c r="I2434" s="48" t="n">
        <x:v>0.9</x:v>
      </x:c>
      <x:c r="J2434" s="48" t="n">
        <x:v>0.99</x:v>
      </x:c>
      <x:c r="K2434" s="48" t="str">
        <x:v>No</x:v>
      </x:c>
      <x:c r="L2434" s="48" t="str">
        <x:v>OCR</x:v>
      </x:c>
    </x:row>
    <x:row r="2435">
      <x:c r="A2435" s="48" t="str">
        <x:v>UNI-2434</x:v>
      </x:c>
      <x:c r="B2435" s="48" t="str">
        <x:v>ORANGE</x:v>
      </x:c>
      <x:c r="C2435" s="48" t="str">
        <x:v>English</x:v>
      </x:c>
      <x:c r="D2435" s="48" t="n">
        <x:v>40</x:v>
      </x:c>
      <x:c r="E2435" s="48" t="str"/>
      <x:c r="F2435" s="48" t="str">
        <x:v>ight vary 141 Vrs nye i by he Employers Ree 2 my une</x:v>
      </x:c>
      <x:c r="G2435" s="48" t="str">
        <x:v>Obligation</x:v>
      </x:c>
      <x:c r="H2435" s="48" t="str">
        <x:v>Shared</x:v>
      </x:c>
      <x:c r="I2435" s="48" t="n">
        <x:v>0.45</x:v>
      </x:c>
      <x:c r="J2435" s="48" t="n">
        <x:v>0.4</x:v>
      </x:c>
      <x:c r="K2435" s="48" t="str">
        <x:v>Yes</x:v>
      </x:c>
      <x:c r="L2435" s="48" t="str">
        <x:v>OCR</x:v>
      </x:c>
    </x:row>
    <x:row r="2436">
      <x:c r="A2436" s="48" t="str">
        <x:v>UNI-2435</x:v>
      </x:c>
      <x:c r="B2436" s="48" t="str">
        <x:v>ORANGE</x:v>
      </x:c>
      <x:c r="C2436" s="48" t="str">
        <x:v>English</x:v>
      </x:c>
      <x:c r="D2436" s="48" t="n">
        <x:v>40</x:v>
      </x:c>
      <x:c r="E2436" s="48" t="str"/>
      <x:c r="F2436" s="48" t="str">
        <x:v>SRC Za naacin or by aes or</x:v>
      </x:c>
      <x:c r="G2436" s="48" t="str">
        <x:v>Obligation</x:v>
      </x:c>
      <x:c r="H2436" s="48" t="str">
        <x:v>Shared</x:v>
      </x:c>
      <x:c r="I2436" s="48" t="n">
        <x:v>0.45</x:v>
      </x:c>
      <x:c r="J2436" s="48" t="n">
        <x:v>0.4</x:v>
      </x:c>
      <x:c r="K2436" s="48" t="str">
        <x:v>Yes</x:v>
      </x:c>
      <x:c r="L2436" s="48" t="str">
        <x:v>OCR</x:v>
      </x:c>
    </x:row>
    <x:row r="2437">
      <x:c r="A2437" s="48" t="str">
        <x:v>UNI-2436</x:v>
      </x:c>
      <x:c r="B2437" s="48" t="str">
        <x:v>ORANGE</x:v>
      </x:c>
      <x:c r="C2437" s="48" t="str">
        <x:v>English</x:v>
      </x:c>
      <x:c r="D2437" s="48" t="n">
        <x:v>40</x:v>
      </x:c>
      <x:c r="E2437" s="48" t="str"/>
      <x:c r="F2437" s="48" t="str">
        <x:v>ne Cons cope he Eager Reporte eee (Stents onsen ese ac aed i</x:v>
      </x:c>
      <x:c r="G2437" s="48" t="str">
        <x:v>Obligation</x:v>
      </x:c>
      <x:c r="H2437" s="48" t="str">
        <x:v>Shared</x:v>
      </x:c>
      <x:c r="I2437" s="48" t="n">
        <x:v>0.45</x:v>
      </x:c>
      <x:c r="J2437" s="48" t="n">
        <x:v>0.4</x:v>
      </x:c>
      <x:c r="K2437" s="48" t="str">
        <x:v>Yes</x:v>
      </x:c>
      <x:c r="L2437" s="48" t="str">
        <x:v>OCR</x:v>
      </x:c>
    </x:row>
    <x:row r="2438">
      <x:c r="A2438" s="48" t="str">
        <x:v>UNI-2437</x:v>
      </x:c>
      <x:c r="B2438" s="48" t="str">
        <x:v>ORANGE</x:v>
      </x:c>
      <x:c r="C2438" s="48" t="str">
        <x:v>English</x:v>
      </x:c>
      <x:c r="D2438" s="48" t="n">
        <x:v>40</x:v>
      </x:c>
      <x:c r="E2438" s="48" t="str"/>
      <x:c r="F2438" s="48" t="str">
        <x:v>Ca Rae intl fete Cos ce cig</x:v>
      </x:c>
      <x:c r="G2438" s="48" t="str">
        <x:v>Obligation</x:v>
      </x:c>
      <x:c r="H2438" s="48" t="str">
        <x:v>Shared</x:v>
      </x:c>
      <x:c r="I2438" s="48" t="n">
        <x:v>0.45</x:v>
      </x:c>
      <x:c r="J2438" s="48" t="n">
        <x:v>0.4</x:v>
      </x:c>
      <x:c r="K2438" s="48" t="str">
        <x:v>Yes</x:v>
      </x:c>
      <x:c r="L2438" s="48" t="str">
        <x:v>OCR</x:v>
      </x:c>
    </x:row>
    <x:row r="2439">
      <x:c r="A2439" s="48" t="str">
        <x:v>UNI-2438</x:v>
      </x:c>
      <x:c r="B2439" s="48" t="str">
        <x:v>ORANGE</x:v>
      </x:c>
      <x:c r="C2439" s="48" t="str">
        <x:v>English</x:v>
      </x:c>
      <x:c r="D2439" s="48" t="n">
        <x:v>40</x:v>
      </x:c>
      <x:c r="E2439" s="48" t="str"/>
      <x:c r="F2439" s="48" t="str">
        <x:v>“he Conner sl nt aero aio mation oft Works cet woh he Empiers Repesnttne oxime aprons 2</x:v>
      </x:c>
      <x:c r="G2439" s="48" t="str">
        <x:v>Obligation</x:v>
      </x:c>
      <x:c r="H2439" s="48" t="str">
        <x:v>Shared</x:v>
      </x:c>
      <x:c r="I2439" s="48" t="n">
        <x:v>0.45</x:v>
      </x:c>
      <x:c r="J2439" s="48" t="n">
        <x:v>0.4</x:v>
      </x:c>
      <x:c r="K2439" s="48" t="str">
        <x:v>Yes</x:v>
      </x:c>
      <x:c r="L2439" s="48" t="str">
        <x:v>OCR</x:v>
      </x:c>
    </x:row>
    <x:row r="2440">
      <x:c r="A2440" s="48" t="str">
        <x:v>UNI-2439</x:v>
      </x:c>
      <x:c r="B2440" s="48" t="str">
        <x:v>ORANGE</x:v>
      </x:c>
      <x:c r="C2440" s="48" t="str">
        <x:v>English</x:v>
      </x:c>
      <x:c r="D2440" s="48" t="n">
        <x:v>40</x:v>
      </x:c>
      <x:c r="E2440" s="48" t="str"/>
      <x:c r="F2440" s="48" t="str">
        <x:v>SMe Patera Gcamee ce Mons mt ce wa</x:v>
      </x:c>
      <x:c r="G2440" s="48" t="str">
        <x:v>Obligation</x:v>
      </x:c>
      <x:c r="H2440" s="48" t="str">
        <x:v>Shared</x:v>
      </x:c>
      <x:c r="I2440" s="48" t="n">
        <x:v>0.45</x:v>
      </x:c>
      <x:c r="J2440" s="48" t="n">
        <x:v>0.4</x:v>
      </x:c>
      <x:c r="K2440" s="48" t="str">
        <x:v>Yes</x:v>
      </x:c>
      <x:c r="L2440" s="48" t="str">
        <x:v>OCR</x:v>
      </x:c>
    </x:row>
    <x:row r="2441">
      <x:c r="A2441" s="48" t="str">
        <x:v>UNI-2440</x:v>
      </x:c>
      <x:c r="B2441" s="48" t="str">
        <x:v>ORANGE</x:v>
      </x:c>
      <x:c r="C2441" s="48" t="str">
        <x:v>English</x:v>
      </x:c>
      <x:c r="D2441" s="48" t="n">
        <x:v>40</x:v>
      </x:c>
      <x:c r="E2441" s="48" t="str"/>
      <x:c r="F2441" s="48" t="str">
        <x:v>Scat tha toss roe</x:v>
      </x:c>
      <x:c r="G2441" s="48" t="str">
        <x:v>Obligation</x:v>
      </x:c>
      <x:c r="H2441" s="48" t="str">
        <x:v>Shared</x:v>
      </x:c>
      <x:c r="I2441" s="48" t="n">
        <x:v>0.45</x:v>
      </x:c>
      <x:c r="J2441" s="48" t="n">
        <x:v>0.4</x:v>
      </x:c>
      <x:c r="K2441" s="48" t="str">
        <x:v>Yes</x:v>
      </x:c>
      <x:c r="L2441" s="48" t="str">
        <x:v>OCR</x:v>
      </x:c>
    </x:row>
    <x:row r="2442">
      <x:c r="A2442" s="48" t="str">
        <x:v>UNI-2441</x:v>
      </x:c>
      <x:c r="B2442" s="48" t="str">
        <x:v>ORANGE</x:v>
      </x:c>
      <x:c r="C2442" s="48" t="str">
        <x:v>English</x:v>
      </x:c>
      <x:c r="D2442" s="48" t="n">
        <x:v>40</x:v>
      </x:c>
      <x:c r="E2442" s="48" t="str"/>
      <x:c r="F2442" s="48" t="str">
        <x:v>“Te Conc ay aye si he se Represent</x:v>
      </x:c>
      <x:c r="G2442" s="48" t="str">
        <x:v>Obligation</x:v>
      </x:c>
      <x:c r="H2442" s="48" t="str">
        <x:v>Shared</x:v>
      </x:c>
      <x:c r="I2442" s="48" t="n">
        <x:v>0.45</x:v>
      </x:c>
      <x:c r="J2442" s="48" t="n">
        <x:v>0.4</x:v>
      </x:c>
      <x:c r="K2442" s="48" t="str">
        <x:v>Yes</x:v>
      </x:c>
      <x:c r="L2442" s="48" t="str">
        <x:v>OCR</x:v>
      </x:c>
    </x:row>
    <x:row r="2443">
      <x:c r="A2443" s="48" t="str">
        <x:v>UNI-2442</x:v>
      </x:c>
      <x:c r="B2443" s="48" t="str">
        <x:v>ORANGE</x:v>
      </x:c>
      <x:c r="C2443" s="48" t="str">
        <x:v>English</x:v>
      </x:c>
      <x:c r="D2443" s="48" t="n">
        <x:v>40</x:v>
      </x:c>
      <x:c r="E2443" s="48" t="str"/>
      <x:c r="F2443" s="48" t="str">
        <x:v>TraSopa hich te Comms’ epic wal athe ot of</x:v>
      </x:c>
      <x:c r="G2443" s="48" t="str">
        <x:v>Obligation</x:v>
      </x:c>
      <x:c r="H2443" s="48" t="str">
        <x:v>Shared</x:v>
      </x:c>
      <x:c r="I2443" s="48" t="n">
        <x:v>0.45</x:v>
      </x:c>
      <x:c r="J2443" s="48" t="n">
        <x:v>0.4</x:v>
      </x:c>
      <x:c r="K2443" s="48" t="str">
        <x:v>Yes</x:v>
      </x:c>
      <x:c r="L2443" s="48" t="str">
        <x:v>OCR</x:v>
      </x:c>
    </x:row>
    <x:row r="2444">
      <x:c r="A2444" s="48" t="str">
        <x:v>UNI-2443</x:v>
      </x:c>
      <x:c r="B2444" s="48" t="str">
        <x:v>ORANGE</x:v>
      </x:c>
      <x:c r="C2444" s="48" t="str">
        <x:v>English</x:v>
      </x:c>
      <x:c r="D2444" s="48" t="n">
        <x:v>40</x:v>
      </x:c>
      <x:c r="E2444" s="48" t="str"/>
      <x:c r="F2444" s="48" t="str">
        <x:v>TRE RP unig oeig Roms, ingen eo</x:v>
      </x:c>
      <x:c r="G2444" s="48" t="str">
        <x:v>Obligation</x:v>
      </x:c>
      <x:c r="H2444" s="48" t="str">
        <x:v>Shared</x:v>
      </x:c>
      <x:c r="I2444" s="48" t="n">
        <x:v>0.45</x:v>
      </x:c>
      <x:c r="J2444" s="48" t="n">
        <x:v>0.4</x:v>
      </x:c>
      <x:c r="K2444" s="48" t="str">
        <x:v>Yes</x:v>
      </x:c>
      <x:c r="L2444" s="48" t="str">
        <x:v>OCR</x:v>
      </x:c>
    </x:row>
    <x:row r="2445">
      <x:c r="A2445" s="48" t="str">
        <x:v>UNI-2444</x:v>
      </x:c>
      <x:c r="B2445" s="48" t="str">
        <x:v>ORANGE</x:v>
      </x:c>
      <x:c r="C2445" s="48" t="str">
        <x:v>English</x:v>
      </x:c>
      <x:c r="D2445" s="48" t="n">
        <x:v>40</x:v>
      </x:c>
      <x:c r="E2445" s="48" t="str"/>
      <x:c r="F2445" s="48" t="str">
        <x:v>SESE Stoner ae Somes Wor rw bef fc</x:v>
      </x:c>
      <x:c r="G2445" s="48" t="str">
        <x:v>Obligation</x:v>
      </x:c>
      <x:c r="H2445" s="48" t="str">
        <x:v>Shared</x:v>
      </x:c>
      <x:c r="I2445" s="48" t="n">
        <x:v>0.45</x:v>
      </x:c>
      <x:c r="J2445" s="48" t="n">
        <x:v>0.4</x:v>
      </x:c>
      <x:c r="K2445" s="48" t="str">
        <x:v>Yes</x:v>
      </x:c>
      <x:c r="L2445" s="48" t="str">
        <x:v>OCR</x:v>
      </x:c>
    </x:row>
    <x:row r="2446">
      <x:c r="A2446" s="48" t="str">
        <x:v>UNI-2445</x:v>
      </x:c>
      <x:c r="B2446" s="48" t="str">
        <x:v>ORANGE</x:v>
      </x:c>
      <x:c r="C2446" s="48" t="str">
        <x:v>English</x:v>
      </x:c>
      <x:c r="D2446" s="48" t="n">
        <x:v>40</x:v>
      </x:c>
      <x:c r="E2446" s="48" t="str"/>
      <x:c r="F2446" s="48" t="str">
        <x:v>Seager My ck pol ae presale con of he orc</x:v>
      </x:c>
      <x:c r="G2446" s="48" t="str">
        <x:v>Obligation</x:v>
      </x:c>
      <x:c r="H2446" s="48" t="str">
        <x:v>Shared</x:v>
      </x:c>
      <x:c r="I2446" s="48" t="n">
        <x:v>0.45</x:v>
      </x:c>
      <x:c r="J2446" s="48" t="n">
        <x:v>0.4</x:v>
      </x:c>
      <x:c r="K2446" s="48" t="str">
        <x:v>Yes</x:v>
      </x:c>
      <x:c r="L2446" s="48" t="str">
        <x:v>OCR</x:v>
      </x:c>
    </x:row>
    <x:row r="2447">
      <x:c r="A2447" s="48" t="str">
        <x:v>UNI-2446</x:v>
      </x:c>
      <x:c r="B2447" s="48" t="str">
        <x:v>ORANGE</x:v>
      </x:c>
      <x:c r="C2447" s="48" t="str">
        <x:v>English</x:v>
      </x:c>
      <x:c r="D2447" s="48" t="n">
        <x:v>40</x:v>
      </x:c>
      <x:c r="E2447" s="48" t="str"/>
      <x:c r="F2447" s="48" t="str">
        <x:v>‘SAAR cht eo ain Sob Chse 183 iin Pde 143 ie lr Reems mt ener mtn» (a) a desriptin of poesia andor work te psemed a ogame tren, (oye Conran’ propel (ay teeny mations we ‘fopanme nant sw&gt;-Caee 418m (6) the Comacer’ yoo fr abjouet ob Cnt Pi Tine or</x:v>
      </x:c>
      <x:c r="G2447" s="48" t="str">
        <x:v>Obligation</x:v>
      </x:c>
      <x:c r="H2447" s="48" t="str">
        <x:v>Shared</x:v>
      </x:c>
      <x:c r="I2447" s="48" t="n">
        <x:v>0.45</x:v>
      </x:c>
      <x:c r="J2447" s="48" t="n">
        <x:v>0.4</x:v>
      </x:c>
      <x:c r="K2447" s="48" t="str">
        <x:v>Yes</x:v>
      </x:c>
      <x:c r="L2447" s="48" t="str">
        <x:v>OCR</x:v>
      </x:c>
    </x:row>
    <x:row r="2448">
      <x:c r="A2448" s="48" t="str">
        <x:v>UNI-2447</x:v>
      </x:c>
      <x:c r="B2448" s="48" t="str">
        <x:v>ORANGE</x:v>
      </x:c>
      <x:c r="C2448" s="48" t="str">
        <x:v>English</x:v>
      </x:c>
      <x:c r="D2448" s="48" t="n">
        <x:v>40</x:v>
      </x:c>
      <x:c r="E2448" s="48" t="str"/>
      <x:c r="F2448" s="48" t="str">
        <x:v>ue Engrg 142 ne odie the Coa ‘tmnt’ Reoscttne hl tom pale ser et ‘Mente pc repr recone omen Tite Bopiners Repsratie israc ee appro 2 Von.</x:v>
      </x:c>
      <x:c r="G2448" s="48" t="str">
        <x:v>Obligation</x:v>
      </x:c>
      <x:c r="H2448" s="48" t="str">
        <x:v>Shared</x:v>
      </x:c>
      <x:c r="I2448" s="48" t="n">
        <x:v>0.45</x:v>
      </x:c>
      <x:c r="J2448" s="48" t="n">
        <x:v>0.4</x:v>
      </x:c>
      <x:c r="K2448" s="48" t="str">
        <x:v>Yes</x:v>
      </x:c>
      <x:c r="L2448" s="48" t="str">
        <x:v>OCR</x:v>
      </x:c>
    </x:row>
    <x:row r="2449">
      <x:c r="A2449" s="48" t="str">
        <x:v>UNI-2448</x:v>
      </x:c>
      <x:c r="B2449" s="48" t="str">
        <x:v>ORANGE</x:v>
      </x:c>
      <x:c r="C2449" s="48" t="str">
        <x:v>English</x:v>
      </x:c>
      <x:c r="D2449" s="48" t="n">
        <x:v>40</x:v>
      </x:c>
      <x:c r="E2449" s="48" t="str"/>
      <x:c r="F2449" s="48" t="str">
        <x:v>Pett win Suh Cane wap dere ass</x:v>
      </x:c>
      <x:c r="G2449" s="48" t="str">
        <x:v>Obligation</x:v>
      </x:c>
      <x:c r="H2449" s="48" t="str">
        <x:v>Shared</x:v>
      </x:c>
      <x:c r="I2449" s="48" t="n">
        <x:v>0.45</x:v>
      </x:c>
      <x:c r="J2449" s="48" t="n">
        <x:v>0.4</x:v>
      </x:c>
      <x:c r="K2449" s="48" t="str">
        <x:v>Yes</x:v>
      </x:c>
      <x:c r="L2449" s="48" t="str">
        <x:v>OCR</x:v>
      </x:c>
    </x:row>
    <x:row r="2450">
      <x:c r="A2450" s="48" t="str">
        <x:v>UNI-2449</x:v>
      </x:c>
      <x:c r="B2450" s="48" t="str">
        <x:v>ORANGE</x:v>
      </x:c>
      <x:c r="C2450" s="48" t="str">
        <x:v>English</x:v>
      </x:c>
      <x:c r="D2450" s="48" t="n">
        <x:v>40</x:v>
      </x:c>
      <x:c r="E2450" s="48" t="str"/>
      <x:c r="F2450" s="48" t="str">
        <x:v>in Gna ce Time fr Compton and Scelle of Faye, ‘Cate Cont tu seo eae se ae ne Conn cbos exer Sab Cane 142 ape tie Cone roves or pment Cott Pc mie tha te tin 4 ram 4 oe Com ape pes aed tc ss a</x:v>
      </x:c>
      <x:c r="G2450" s="48" t="str">
        <x:v>Obligation</x:v>
      </x:c>
      <x:c r="H2450" s="48" t="str">
        <x:v>Shared</x:v>
      </x:c>
      <x:c r="I2450" s="48" t="n">
        <x:v>0.45</x:v>
      </x:c>
      <x:c r="J2450" s="48" t="n">
        <x:v>0.4</x:v>
      </x:c>
      <x:c r="K2450" s="48" t="str">
        <x:v>Yes</x:v>
      </x:c>
      <x:c r="L2450" s="48" t="str">
        <x:v>OCR</x:v>
      </x:c>
    </x:row>
    <x:row r="2451">
      <x:c r="A2451" s="48" t="str">
        <x:v>UNI-2450</x:v>
      </x:c>
      <x:c r="B2451" s="48" t="str">
        <x:v>ORANGE</x:v>
      </x:c>
      <x:c r="C2451" s="48" t="str">
        <x:v>English</x:v>
      </x:c>
      <x:c r="D2451" s="48" t="n">
        <x:v>40</x:v>
      </x:c>
      <x:c r="E2451" s="48" t="str"/>
      <x:c r="F2451" s="48" t="str">
        <x:v>Sr a cl as tet in</x:v>
      </x:c>
      <x:c r="G2451" s="48" t="str">
        <x:v>Obligation</x:v>
      </x:c>
      <x:c r="H2451" s="48" t="str">
        <x:v>Shared</x:v>
      </x:c>
      <x:c r="I2451" s="48" t="n">
        <x:v>0.45</x:v>
      </x:c>
      <x:c r="J2451" s="48" t="n">
        <x:v>0.4</x:v>
      </x:c>
      <x:c r="K2451" s="48" t="str">
        <x:v>Yes</x:v>
      </x:c>
      <x:c r="L2451" s="48" t="str">
        <x:v>OCR</x:v>
      </x:c>
    </x:row>
    <x:row r="2452">
      <x:c r="A2452" s="48" t="str">
        <x:v>UNI-2451</x:v>
      </x:c>
      <x:c r="B2452" s="48" t="str">
        <x:v>ORANGE</x:v>
      </x:c>
      <x:c r="C2452" s="48" t="str">
        <x:v>English</x:v>
      </x:c>
      <x:c r="D2452" s="48" t="n">
        <x:v>40</x:v>
      </x:c>
      <x:c r="E2452" s="48" t="str"/>
      <x:c r="F2452" s="48" t="str">
        <x:v>‘men acl rt psn teat eh carer.</x:v>
      </x:c>
      <x:c r="G2452" s="48" t="str">
        <x:v>Obligation</x:v>
      </x:c>
      <x:c r="H2452" s="48" t="str">
        <x:v>Shared</x:v>
      </x:c>
      <x:c r="I2452" s="48" t="n">
        <x:v>0.45</x:v>
      </x:c>
      <x:c r="J2452" s="48" t="n">
        <x:v>0.4</x:v>
      </x:c>
      <x:c r="K2452" s="48" t="str">
        <x:v>Yes</x:v>
      </x:c>
      <x:c r="L2452" s="48" t="str">
        <x:v>OCR</x:v>
      </x:c>
    </x:row>
    <x:row r="2453">
      <x:c r="A2453" s="48" t="str">
        <x:v>UNI-2452</x:v>
      </x:c>
      <x:c r="B2453" s="48" t="str">
        <x:v>ORANGE</x:v>
      </x:c>
      <x:c r="C2453" s="48" t="str">
        <x:v>English</x:v>
      </x:c>
      <x:c r="D2453" s="48" t="n">
        <x:v>40</x:v>
      </x:c>
      <x:c r="E2453" s="48" t="str"/>
      <x:c r="F2453" s="48" t="str">
        <x:v>Cee nde Engines Repeenae fag awe,</x:v>
      </x:c>
      <x:c r="G2453" s="48" t="str">
        <x:v>Obligation</x:v>
      </x:c>
      <x:c r="H2453" s="48" t="str">
        <x:v>Shared</x:v>
      </x:c>
      <x:c r="I2453" s="48" t="n">
        <x:v>0.45</x:v>
      </x:c>
      <x:c r="J2453" s="48" t="n">
        <x:v>0.4</x:v>
      </x:c>
      <x:c r="K2453" s="48" t="str">
        <x:v>Yes</x:v>
      </x:c>
      <x:c r="L2453" s="48" t="str">
        <x:v>OCR</x:v>
      </x:c>
    </x:row>
    <x:row r="2454">
      <x:c r="A2454" s="48" t="str">
        <x:v>UNI-2453</x:v>
      </x:c>
      <x:c r="B2454" s="48" t="str">
        <x:v>ORANGE</x:v>
      </x:c>
      <x:c r="C2454" s="48" t="str">
        <x:v>English</x:v>
      </x:c>
      <x:c r="D2454" s="48" t="n">
        <x:v>40</x:v>
      </x:c>
      <x:c r="E2454" s="48" t="str"/>
      <x:c r="F2454" s="48" t="str">
        <x:v>SEI pesca) sll the sou of te ata or ene</x:v>
      </x:c>
      <x:c r="G2454" s="48" t="str">
        <x:v>Obligation</x:v>
      </x:c>
      <x:c r="H2454" s="48" t="str">
        <x:v>Shared</x:v>
      </x:c>
      <x:c r="I2454" s="48" t="n">
        <x:v>0.45</x:v>
      </x:c>
      <x:c r="J2454" s="48" t="n">
        <x:v>0.4</x:v>
      </x:c>
      <x:c r="K2454" s="48" t="str">
        <x:v>Yes</x:v>
      </x:c>
      <x:c r="L2454" s="48" t="str">
        <x:v>OCR</x:v>
      </x:c>
    </x:row>
    <x:row r="2455">
      <x:c r="A2455" s="48" t="str">
        <x:v>UNI-2454</x:v>
      </x:c>
      <x:c r="B2455" s="48" t="str">
        <x:v>ORANGE</x:v>
      </x:c>
      <x:c r="C2455" s="48" t="str">
        <x:v>English</x:v>
      </x:c>
      <x:c r="D2455" s="48" t="n">
        <x:v>40</x:v>
      </x:c>
      <x:c r="E2455" s="48" t="str"/>
      <x:c r="F2455" s="48" t="str">
        <x:v>er tres of Cot hail wk, tho beige</x:v>
      </x:c>
      <x:c r="G2455" s="48" t="str">
        <x:v>Obligation</x:v>
      </x:c>
      <x:c r="H2455" s="48" t="str">
        <x:v>Shared</x:v>
      </x:c>
      <x:c r="I2455" s="48" t="n">
        <x:v>0.45</x:v>
      </x:c>
      <x:c r="J2455" s="48" t="n">
        <x:v>0.4</x:v>
      </x:c>
      <x:c r="K2455" s="48" t="str">
        <x:v>Yes</x:v>
      </x:c>
      <x:c r="L2455" s="48" t="str">
        <x:v>OCR</x:v>
      </x:c>
    </x:row>
    <x:row r="2456">
      <x:c r="A2456" s="48" t="str">
        <x:v>UNI-2455</x:v>
      </x:c>
      <x:c r="B2456" s="48" t="str">
        <x:v>ORANGE</x:v>
      </x:c>
      <x:c r="C2456" s="48" t="str">
        <x:v>English</x:v>
      </x:c>
      <x:c r="D2456" s="48" t="n">
        <x:v>40</x:v>
      </x:c>
      <x:c r="E2456" s="48" t="str"/>
      <x:c r="F2456" s="48" t="str">
        <x:v>Sepa etal Sinenoer nee er ppm we nna</x:v>
      </x:c>
      <x:c r="G2456" s="48" t="str">
        <x:v>Obligation</x:v>
      </x:c>
      <x:c r="H2456" s="48" t="str">
        <x:v>Shared</x:v>
      </x:c>
      <x:c r="I2456" s="48" t="n">
        <x:v>0.45</x:v>
      </x:c>
      <x:c r="J2456" s="48" t="n">
        <x:v>0.4</x:v>
      </x:c>
      <x:c r="K2456" s="48" t="str">
        <x:v>Yes</x:v>
      </x:c>
      <x:c r="L2456" s="48" t="str">
        <x:v>OCR</x:v>
      </x:c>
    </x:row>
    <x:row r="2457">
      <x:c r="A2457" s="48" t="str">
        <x:v>UNI-2456</x:v>
      </x:c>
      <x:c r="B2457" s="48" t="str">
        <x:v>ORANGE</x:v>
      </x:c>
      <x:c r="C2457" s="48" t="str">
        <x:v>English</x:v>
      </x:c>
      <x:c r="D2457" s="48" t="n">
        <x:v>40</x:v>
      </x:c>
      <x:c r="E2457" s="48" t="str"/>
      <x:c r="F2457" s="48" t="str">
        <x:v>te ‘rvisnalSoms 145 Fach Povo Sum al nyt ol awk in it Sake Empoyers Reps nts.</x:v>
      </x:c>
      <x:c r="G2457" s="48" t="str">
        <x:v>Obligation</x:v>
      </x:c>
      <x:c r="H2457" s="48" t="str">
        <x:v>Shared</x:v>
      </x:c>
      <x:c r="I2457" s="48" t="n">
        <x:v>0.45</x:v>
      </x:c>
      <x:c r="J2457" s="48" t="n">
        <x:v>0.4</x:v>
      </x:c>
      <x:c r="K2457" s="48" t="str">
        <x:v>Yes</x:v>
      </x:c>
      <x:c r="L2457" s="48" t="str">
        <x:v>OCR</x:v>
      </x:c>
    </x:row>
    <x:row r="2458">
      <x:c r="A2458" s="48" t="str">
        <x:v>UNI-2457</x:v>
      </x:c>
      <x:c r="B2458" s="48" t="str">
        <x:v>ORANGE</x:v>
      </x:c>
      <x:c r="C2458" s="48" t="str">
        <x:v>English</x:v>
      </x:c>
      <x:c r="D2458" s="48" t="n">
        <x:v>40</x:v>
      </x:c>
      <x:c r="E2458" s="48" t="str"/>
      <x:c r="F2458" s="48" t="str">
        <x:v>Thee a abo ‘Coto at cin iy ch sons he were opin Sh</x:v>
      </x:c>
      <x:c r="G2458" s="48" t="str">
        <x:v>Obligation</x:v>
      </x:c>
      <x:c r="H2458" s="48" t="str">
        <x:v>Shared</x:v>
      </x:c>
      <x:c r="I2458" s="48" t="n">
        <x:v>0.45</x:v>
      </x:c>
      <x:c r="J2458" s="48" t="n">
        <x:v>0.4</x:v>
      </x:c>
      <x:c r="K2458" s="48" t="str">
        <x:v>Yes</x:v>
      </x:c>
      <x:c r="L2458" s="48" t="str">
        <x:v>OCR</x:v>
      </x:c>
    </x:row>
    <x:row r="2459">
      <x:c r="A2459" s="48" t="str">
        <x:v>UNI-2458</x:v>
      </x:c>
      <x:c r="B2459" s="48" t="str">
        <x:v>ORANGE</x:v>
      </x:c>
      <x:c r="C2459" s="48" t="str">
        <x:v>English</x:v>
      </x:c>
      <x:c r="D2459" s="48" t="n">
        <x:v>40</x:v>
      </x:c>
      <x:c r="E2459" s="48" t="str"/>
      <x:c r="F2459" s="48" t="str">
        <x:v>Sth Preise Soom waa Enger Repost</x:v>
      </x:c>
      <x:c r="G2459" s="48" t="str">
        <x:v>Obligation</x:v>
      </x:c>
      <x:c r="H2459" s="48" t="str">
        <x:v>Shared</x:v>
      </x:c>
      <x:c r="I2459" s="48" t="n">
        <x:v>0.45</x:v>
      </x:c>
      <x:c r="J2459" s="48" t="n">
        <x:v>0.4</x:v>
      </x:c>
      <x:c r="K2459" s="48" t="str">
        <x:v>Yes</x:v>
      </x:c>
      <x:c r="L2459" s="48" t="str">
        <x:v>OCR</x:v>
      </x:c>
    </x:row>
    <x:row r="2460">
      <x:c r="A2460" s="48" t="str">
        <x:v>UNI-2459</x:v>
      </x:c>
      <x:c r="B2460" s="48" t="str">
        <x:v>ORANGE</x:v>
      </x:c>
      <x:c r="C2460" s="48" t="str">
        <x:v>English</x:v>
      </x:c>
      <x:c r="D2460" s="48" t="n">
        <x:v>40</x:v>
      </x:c>
      <x:c r="E2460" s="48" t="str"/>
      <x:c r="F2460" s="48" t="str">
        <x:v>‘Bcc For exh Pevienl Sue Empoers Roe ‘sen</x:v>
      </x:c>
      <x:c r="G2460" s="48" t="str">
        <x:v>Obligation</x:v>
      </x:c>
      <x:c r="H2460" s="48" t="str">
        <x:v>Shared</x:v>
      </x:c>
      <x:c r="I2460" s="48" t="n">
        <x:v>0.45</x:v>
      </x:c>
      <x:c r="J2460" s="48" t="n">
        <x:v>0.4</x:v>
      </x:c>
      <x:c r="K2460" s="48" t="str">
        <x:v>Yes</x:v>
      </x:c>
      <x:c r="L2460" s="48" t="str">
        <x:v>OCR</x:v>
      </x:c>
    </x:row>
    <x:row r="2461">
      <x:c r="A2461" s="48" t="str">
        <x:v>UNI-2460</x:v>
      </x:c>
      <x:c r="B2461" s="48" t="str">
        <x:v>ORANGE</x:v>
      </x:c>
      <x:c r="C2461" s="48" t="str">
        <x:v>English</x:v>
      </x:c>
      <x:c r="D2461" s="48" t="n">
        <x:v>41</x:v>
      </x:c>
      <x:c r="E2461" s="48" t="str"/>
      <x:c r="F2461" s="48" t="str">
        <x:v>(a) workto exe ang Pat Maer evista be saps) Tits Chnocoran ue tne Seb Case 143 (0) an Maris eri opti he Conc ich</x:v>
      </x:c>
      <x:c r="G2461" s="48" t="str">
        <x:v>Obligation</x:v>
      </x:c>
      <x:c r="H2461" s="48" t="str">
        <x:v>Shared</x:v>
      </x:c>
      <x:c r="I2461" s="48" t="n">
        <x:v>0.45</x:v>
      </x:c>
      <x:c r="J2461" s="48" t="n">
        <x:v>0.4</x:v>
      </x:c>
      <x:c r="K2461" s="48" t="str">
        <x:v>Yes</x:v>
      </x:c>
      <x:c r="L2461" s="48" t="str">
        <x:v>OCR</x:v>
      </x:c>
    </x:row>
    <x:row r="2462">
      <x:c r="A2462" s="48" t="str">
        <x:v>UNI-2461</x:v>
      </x:c>
      <x:c r="B2462" s="48" t="str">
        <x:v>ORANGE</x:v>
      </x:c>
      <x:c r="C2462" s="48" t="str">
        <x:v>English</x:v>
      </x:c>
      <x:c r="D2462" s="48" t="n">
        <x:v>41</x:v>
      </x:c>
      <x:c r="E2462" s="48" t="str"/>
      <x:c r="F2462" s="48" t="str">
        <x:v>Pymcntwiite mat facet</x:v>
      </x:c>
      <x:c r="G2462" s="48" t="str">
        <x:v>Obligation</x:v>
      </x:c>
      <x:c r="H2462" s="48" t="str">
        <x:v>Shared</x:v>
      </x:c>
      <x:c r="I2462" s="48" t="n">
        <x:v>0.45</x:v>
      </x:c>
      <x:c r="J2462" s="48" t="n">
        <x:v>0.4</x:v>
      </x:c>
      <x:c r="K2462" s="48" t="str">
        <x:v>Yes</x:v>
      </x:c>
      <x:c r="L2462" s="48" t="str">
        <x:v>OCR</x:v>
      </x:c>
    </x:row>
    <x:row r="2463">
      <x:c r="A2463" s="48" t="str">
        <x:v>UNI-2462</x:v>
      </x:c>
      <x:c r="B2463" s="48" t="str">
        <x:v>ORANGE</x:v>
      </x:c>
      <x:c r="C2463" s="48" t="str">
        <x:v>English</x:v>
      </x:c>
      <x:c r="D2463" s="48" t="n">
        <x:v>41</x:v>
      </x:c>
      <x:c r="E2463" s="48" t="str"/>
      <x:c r="F2463" s="48" t="str">
        <x:v>(0 thea pce pad (re ie id y the Coc, and (3 erenage ofthe acl poi (oe ih.</x:v>
      </x:c>
      <x:c r="G2463" s="48" t="str">
        <x:v>Obligation</x:v>
      </x:c>
      <x:c r="H2463" s="48" t="str">
        <x:v>Shared</x:v>
      </x:c>
      <x:c r="I2463" s="48" t="n">
        <x:v>0.45</x:v>
      </x:c>
      <x:c r="J2463" s="48" t="n">
        <x:v>0.4</x:v>
      </x:c>
      <x:c r="K2463" s="48" t="str">
        <x:v>Yes</x:v>
      </x:c>
      <x:c r="L2463" s="48" t="str">
        <x:v>OCR</x:v>
      </x:c>
    </x:row>
    <x:row r="2464">
      <x:c r="A2464" s="48" t="str">
        <x:v>UNI-2463</x:v>
      </x:c>
      <x:c r="B2464" s="48" t="str">
        <x:v>ORANGE</x:v>
      </x:c>
      <x:c r="C2464" s="48" t="str">
        <x:v>English</x:v>
      </x:c>
      <x:c r="D2464" s="48" t="n">
        <x:v>41</x:v>
      </x:c>
      <x:c r="E2464" s="48" t="str">
        <x:v>5</x:v>
      </x:c>
      <x:c r="F2464" s="48" t="str">
        <x:v>5 sn ‘aE Agno Tener cove l oe Cons chaps ad tt, ‘he Contr sal sheeted ples Reps, re (yotstony vay ous tou or eepsinstiao.</x:v>
      </x:c>
      <x:c r="G2464" s="48" t="str">
        <x:v>Obligation</x:v>
      </x:c>
      <x:c r="H2464" s="48" t="str">
        <x:v>Shared</x:v>
      </x:c>
      <x:c r="I2464" s="48" t="n">
        <x:v>0.45</x:v>
      </x:c>
      <x:c r="J2464" s="48" t="n">
        <x:v>0.4</x:v>
      </x:c>
      <x:c r="K2464" s="48" t="str">
        <x:v>Yes</x:v>
      </x:c>
      <x:c r="L2464" s="48" t="str">
        <x:v>OCR</x:v>
      </x:c>
    </x:row>
    <x:row r="2465">
      <x:c r="A2465" s="48" t="str">
        <x:v>UNI-2464</x:v>
      </x:c>
      <x:c r="B2465" s="48" t="str">
        <x:v>ORANGE</x:v>
      </x:c>
      <x:c r="C2465" s="48" t="str">
        <x:v>English</x:v>
      </x:c>
      <x:c r="D2465" s="48" t="n">
        <x:v>41</x:v>
      </x:c>
      <x:c r="E2465" s="48" t="str">
        <x:v>15</x:v>
      </x:c>
      <x:c r="F2465" s="48" t="str">
        <x:v>15 Default of Contractor</x:v>
      </x:c>
      <x:c r="G2465" s="48" t="str">
        <x:v>Heading</x:v>
      </x:c>
      <x:c r="H2465" s="48" t="str"/>
      <x:c r="I2465" s="48" t="n">
        <x:v>0.9</x:v>
      </x:c>
      <x:c r="J2465" s="48" t="n">
        <x:v>0.99</x:v>
      </x:c>
      <x:c r="K2465" s="48" t="str">
        <x:v>No</x:v>
      </x:c>
      <x:c r="L2465" s="48" t="str">
        <x:v>OCR</x:v>
      </x:c>
    </x:row>
    <x:row r="2466">
      <x:c r="A2466" s="48" t="str">
        <x:v>UNI-2465</x:v>
      </x:c>
      <x:c r="B2466" s="48" t="str">
        <x:v>ORANGE</x:v>
      </x:c>
      <x:c r="C2466" s="48" t="str">
        <x:v>English</x:v>
      </x:c>
      <x:c r="D2466" s="48" t="n">
        <x:v>41</x:v>
      </x:c>
      <x:c r="E2466" s="48" t="str"/>
      <x:c r="F2466" s="48" t="str">
        <x:v>Note Correct ESA he Catamaran fs itn oi be Crcr</x:v>
      </x:c>
      <x:c r="G2466" s="48" t="str">
        <x:v>Obligation</x:v>
      </x:c>
      <x:c r="H2466" s="48" t="str">
        <x:v>Shared</x:v>
      </x:c>
      <x:c r="I2466" s="48" t="n">
        <x:v>0.45</x:v>
      </x:c>
      <x:c r="J2466" s="48" t="n">
        <x:v>0.4</x:v>
      </x:c>
      <x:c r="K2466" s="48" t="str">
        <x:v>Yes</x:v>
      </x:c>
      <x:c r="L2466" s="48" t="str">
        <x:v>OCR</x:v>
      </x:c>
    </x:row>
    <x:row r="2467">
      <x:c r="A2467" s="48" t="str">
        <x:v>UNI-2466</x:v>
      </x:c>
      <x:c r="B2467" s="48" t="str">
        <x:v>ORANGE</x:v>
      </x:c>
      <x:c r="C2467" s="48" t="str">
        <x:v>English</x:v>
      </x:c>
      <x:c r="D2467" s="48" t="n">
        <x:v>41</x:v>
      </x:c>
      <x:c r="E2467" s="48" t="str"/>
      <x:c r="F2467" s="48" t="str">
        <x:v>[Nut eusang he Wks dae nih he Coat the Enger</x:v>
      </x:c>
      <x:c r="G2467" s="48" t="str">
        <x:v>Obligation</x:v>
      </x:c>
      <x:c r="H2467" s="48" t="str">
        <x:v>Shared</x:v>
      </x:c>
      <x:c r="I2467" s="48" t="n">
        <x:v>0.45</x:v>
      </x:c>
      <x:c r="J2467" s="48" t="n">
        <x:v>0.4</x:v>
      </x:c>
      <x:c r="K2467" s="48" t="str">
        <x:v>Yes</x:v>
      </x:c>
      <x:c r="L2467" s="48" t="str">
        <x:v>OCR</x:v>
      </x:c>
    </x:row>
    <x:row r="2468">
      <x:c r="A2468" s="48" t="str">
        <x:v>UNI-2467</x:v>
      </x:c>
      <x:c r="B2468" s="48" t="str">
        <x:v>ORANGE</x:v>
      </x:c>
      <x:c r="C2468" s="48" t="str">
        <x:v>English</x:v>
      </x:c>
      <x:c r="D2468" s="48" t="n">
        <x:v>41</x:v>
      </x:c>
      <x:c r="E2468" s="48" t="str"/>
      <x:c r="F2468" s="48" t="str">
        <x:v>Reps ny pre ene he Catt reucng in male Pd</x:v>
      </x:c>
      <x:c r="G2468" s="48" t="str">
        <x:v>Obligation</x:v>
      </x:c>
      <x:c r="H2468" s="48" t="str">
        <x:v>Shared</x:v>
      </x:c>
      <x:c r="I2468" s="48" t="n">
        <x:v>0.45</x:v>
      </x:c>
      <x:c r="J2468" s="48" t="n">
        <x:v>0.4</x:v>
      </x:c>
      <x:c r="K2468" s="48" t="str">
        <x:v>Yes</x:v>
      </x:c>
      <x:c r="L2468" s="48" t="str">
        <x:v>OCR</x:v>
      </x:c>
    </x:row>
    <x:row r="2469">
      <x:c r="A2469" s="48" t="str">
        <x:v>UNI-2468</x:v>
      </x:c>
      <x:c r="B2469" s="48" t="str">
        <x:v>ORANGE</x:v>
      </x:c>
      <x:c r="C2469" s="48" t="str">
        <x:v>English</x:v>
      </x:c>
      <x:c r="D2469" s="48" t="n">
        <x:v>41</x:v>
      </x:c>
      <x:c r="E2469" s="48" t="str"/>
      <x:c r="F2469" s="48" t="str">
        <x:v>‘Se ud renedy cme wis pid ese Teminion 182 ie Cotte (fsa comply haste nr Sb Clase 181 1) sn or paiesh Cr.</x:v>
      </x:c>
      <x:c r="G2469" s="48" t="str">
        <x:v>Obligation</x:v>
      </x:c>
      <x:c r="H2469" s="48" t="str">
        <x:v>Shared</x:v>
      </x:c>
      <x:c r="I2469" s="48" t="n">
        <x:v>0.45</x:v>
      </x:c>
      <x:c r="J2469" s="48" t="n">
        <x:v>0.4</x:v>
      </x:c>
      <x:c r="K2469" s="48" t="str">
        <x:v>Yes</x:v>
      </x:c>
      <x:c r="L2469" s="48" t="str">
        <x:v>OCR</x:v>
      </x:c>
    </x:row>
    <x:row r="2470">
      <x:c r="A2470" s="48" t="str">
        <x:v>UNI-2469</x:v>
      </x:c>
      <x:c r="B2470" s="48" t="str">
        <x:v>ORANGE</x:v>
      </x:c>
      <x:c r="C2470" s="48" t="str">
        <x:v>English</x:v>
      </x:c>
      <x:c r="D2470" s="48" t="n">
        <x:v>41</x:v>
      </x:c>
      <x:c r="E2470" s="48" t="str"/>
      <x:c r="F2470" s="48" t="str">
        <x:v>(6) lout renee xe ais 0) sosommene be Wain aera i ub Ce 81 (Gi to prc whe Wak core eh Cae oF [id 6 donestnte dot itt dex api imple in te (Saige coc Wate ace Compt wit We Tine foe</x:v>
      </x:c>
      <x:c r="G2470" s="48" t="str">
        <x:v>Obligation</x:v>
      </x:c>
      <x:c r="H2470" s="48" t="str">
        <x:v>Shared</x:v>
      </x:c>
      <x:c r="I2470" s="48" t="n">
        <x:v>0.45</x:v>
      </x:c>
      <x:c r="J2470" s="48" t="n">
        <x:v>0.4</x:v>
      </x:c>
      <x:c r="K2470" s="48" t="str">
        <x:v>Yes</x:v>
      </x:c>
      <x:c r="L2470" s="48" t="str">
        <x:v>OCR</x:v>
      </x:c>
    </x:row>
    <x:row r="2471">
      <x:c r="A2471" s="48" t="str">
        <x:v>UNI-2470</x:v>
      </x:c>
      <x:c r="B2471" s="48" t="str">
        <x:v>ORANGE</x:v>
      </x:c>
      <x:c r="C2471" s="48" t="str">
        <x:v>English</x:v>
      </x:c>
      <x:c r="D2471" s="48" t="n">
        <x:v>41</x:v>
      </x:c>
      <x:c r="E2471" s="48" t="str">
        <x:v>4</x:v>
      </x:c>
      <x:c r="F2471" s="48" t="str">
        <x:v>4 ecomes ag ve, es gion, to a igo ‘Stina os atest on compuni ih hs cdo ‘fcr anbn aner arc ote er mange ee "sels rif ym Sone nen or ih ede</x:v>
      </x:c>
      <x:c r="G2471" s="48" t="str">
        <x:v>Obligation</x:v>
      </x:c>
      <x:c r="H2471" s="48" t="str">
        <x:v>Shared</x:v>
      </x:c>
      <x:c r="I2471" s="48" t="n">
        <x:v>0.45</x:v>
      </x:c>
      <x:c r="J2471" s="48" t="n">
        <x:v>0.4</x:v>
      </x:c>
      <x:c r="K2471" s="48" t="str">
        <x:v>Yes</x:v>
      </x:c>
      <x:c r="L2471" s="48" t="str">
        <x:v>OCR</x:v>
      </x:c>
    </x:row>
    <x:row r="2472">
      <x:c r="A2472" s="48" t="str">
        <x:v>UNI-2471</x:v>
      </x:c>
      <x:c r="B2472" s="48" t="str">
        <x:v>ORANGE</x:v>
      </x:c>
      <x:c r="C2472" s="48" t="str">
        <x:v>English</x:v>
      </x:c>
      <x:c r="D2472" s="48" t="n">
        <x:v>41</x:v>
      </x:c>
      <x:c r="E2472" s="48" t="str"/>
      <x:c r="F2472" s="48" t="str">
        <x:v>Ste SA SSS esp cfm</x:v>
      </x:c>
      <x:c r="G2472" s="48" t="str">
        <x:v>Obligation</x:v>
      </x:c>
      <x:c r="H2472" s="48" t="str">
        <x:v>Shared</x:v>
      </x:c>
      <x:c r="I2472" s="48" t="n">
        <x:v>0.45</x:v>
      </x:c>
      <x:c r="J2472" s="48" t="n">
        <x:v>0.4</x:v>
      </x:c>
      <x:c r="K2472" s="48" t="str">
        <x:v>Yes</x:v>
      </x:c>
      <x:c r="L2472" s="48" t="str">
        <x:v>OCR</x:v>
      </x:c>
    </x:row>
    <x:row r="2473">
      <x:c r="A2473" s="48" t="str">
        <x:v>UNI-2472</x:v>
      </x:c>
      <x:c r="B2473" s="48" t="str">
        <x:v>ORANGE</x:v>
      </x:c>
      <x:c r="C2473" s="48" t="str">
        <x:v>English</x:v>
      </x:c>
      <x:c r="D2473" s="48" t="n">
        <x:v>41</x:v>
      </x:c>
      <x:c r="E2473" s="48" t="str"/>
      <x:c r="F2473" s="48" t="str">
        <x:v>(© ase comply ith nee ud unde Sub Case 7 within 28s</x:v>
      </x:c>
      <x:c r="G2473" s="48" t="str">
        <x:v>Obligation</x:v>
      </x:c>
      <x:c r="H2473" s="48" t="str">
        <x:v>Shared</x:v>
      </x:c>
      <x:c r="I2473" s="48" t="n">
        <x:v>0.45</x:v>
      </x:c>
      <x:c r="J2473" s="48" t="n">
        <x:v>0.4</x:v>
      </x:c>
      <x:c r="K2473" s="48" t="str">
        <x:v>Yes</x:v>
      </x:c>
      <x:c r="L2473" s="48" t="str">
        <x:v>OCR</x:v>
      </x:c>
    </x:row>
    <x:row r="2474">
      <x:c r="A2474" s="48" t="str">
        <x:v>UNI-2473</x:v>
      </x:c>
      <x:c r="B2474" s="48" t="str">
        <x:v>ORANGE</x:v>
      </x:c>
      <x:c r="C2474" s="48" t="str">
        <x:v>English</x:v>
      </x:c>
      <x:c r="D2474" s="48" t="n">
        <x:v>41</x:v>
      </x:c>
      <x:c r="E2474" s="48" t="str"/>
      <x:c r="F2474" s="48" t="str">
        <x:v>Sr evn ced oe</x:v>
      </x:c>
      <x:c r="G2474" s="48" t="str">
        <x:v>Obligation</x:v>
      </x:c>
      <x:c r="H2474" s="48" t="str">
        <x:v>Shared</x:v>
      </x:c>
      <x:c r="I2474" s="48" t="n">
        <x:v>0.45</x:v>
      </x:c>
      <x:c r="J2474" s="48" t="n">
        <x:v>0.4</x:v>
      </x:c>
      <x:c r="K2474" s="48" t="str">
        <x:v>Yes</x:v>
      </x:c>
      <x:c r="L2474" s="48" t="str">
        <x:v>OCR</x:v>
      </x:c>
    </x:row>
    <x:row r="2475">
      <x:c r="A2475" s="48" t="str">
        <x:v>UNI-2474</x:v>
      </x:c>
      <x:c r="B2475" s="48" t="str">
        <x:v>ORANGE</x:v>
      </x:c>
      <x:c r="C2475" s="48" t="str">
        <x:v>English</x:v>
      </x:c>
      <x:c r="D2475" s="48" t="n">
        <x:v>41</x:v>
      </x:c>
      <x:c r="E2475" s="48" t="str"/>
      <x:c r="F2475" s="48" t="str">
        <x:v>(© sans te Cort or whens te Waks widow he mud then te Employer mye having ge da’ ae e Conrci, (Sin Conn venue nde he oman epel on</x:v>
      </x:c>
      <x:c r="G2475" s="48" t="str">
        <x:v>Obligation</x:v>
      </x:c>
      <x:c r="H2475" s="48" t="str">
        <x:v>Employer</x:v>
      </x:c>
      <x:c r="I2475" s="48" t="n">
        <x:v>0.45</x:v>
      </x:c>
      <x:c r="J2475" s="48" t="n">
        <x:v>0.68</x:v>
      </x:c>
      <x:c r="K2475" s="48" t="str">
        <x:v>Yes</x:v>
      </x:c>
      <x:c r="L2475" s="48" t="str">
        <x:v>OCR</x:v>
      </x:c>
    </x:row>
    <x:row r="2476">
      <x:c r="A2476" s="48" t="str">
        <x:v>UNI-2475</x:v>
      </x:c>
      <x:c r="B2476" s="48" t="str">
        <x:v>ORANGE</x:v>
      </x:c>
      <x:c r="C2476" s="48" t="str">
        <x:v>English</x:v>
      </x:c>
      <x:c r="D2476" s="48" t="n">
        <x:v>41</x:v>
      </x:c>
      <x:c r="E2476" s="48" t="str"/>
      <x:c r="F2476" s="48" t="str">
        <x:v>S'S The Cone al th er iin tl</x:v>
      </x:c>
      <x:c r="G2476" s="48" t="str">
        <x:v>Obligation</x:v>
      </x:c>
      <x:c r="H2476" s="48" t="str">
        <x:v>Shared</x:v>
      </x:c>
      <x:c r="I2476" s="48" t="n">
        <x:v>0.45</x:v>
      </x:c>
      <x:c r="J2476" s="48" t="n">
        <x:v>0.4</x:v>
      </x:c>
      <x:c r="K2476" s="48" t="str">
        <x:v>Yes</x:v>
      </x:c>
      <x:c r="L2476" s="48" t="str">
        <x:v>OCR</x:v>
      </x:c>
    </x:row>
    <x:row r="2477">
      <x:c r="A2477" s="48" t="str">
        <x:v>UNI-2476</x:v>
      </x:c>
      <x:c r="B2477" s="48" t="str">
        <x:v>ORANGE</x:v>
      </x:c>
      <x:c r="C2477" s="48" t="str">
        <x:v>English</x:v>
      </x:c>
      <x:c r="D2477" s="48" t="n">
        <x:v>41</x:v>
      </x:c>
      <x:c r="E2477" s="48" t="str"/>
      <x:c r="F2477" s="48" t="str">
        <x:v>‘cht ac cd fom yf ogee abi ‘Die Com Te ps an nares ceed on he Eppa |B Employers Repeat te Cote!</x:v>
      </x:c>
      <x:c r="G2477" s="48" t="str">
        <x:v>Obligation</x:v>
      </x:c>
      <x:c r="H2477" s="48" t="str">
        <x:v>Shared</x:v>
      </x:c>
      <x:c r="I2477" s="48" t="n">
        <x:v>0.45</x:v>
      </x:c>
      <x:c r="J2477" s="48" t="n">
        <x:v>0.4</x:v>
      </x:c>
      <x:c r="K2477" s="48" t="str">
        <x:v>Yes</x:v>
      </x:c>
      <x:c r="L2477" s="48" t="str">
        <x:v>OCR</x:v>
      </x:c>
    </x:row>
    <x:row r="2478">
      <x:c r="A2478" s="48" t="str">
        <x:v>UNI-2477</x:v>
      </x:c>
      <x:c r="B2478" s="48" t="str">
        <x:v>ORANGE</x:v>
      </x:c>
      <x:c r="C2478" s="48" t="str">
        <x:v>English</x:v>
      </x:c>
      <x:c r="D2478" s="48" t="n">
        <x:v>41</x:v>
      </x:c>
      <x:c r="E2478" s="48" t="str"/>
      <x:c r="F2478" s="48" t="str">
        <x:v>Sha tefl ‘Te Fpl my wpen sch mien cage he Wek his ane</x:v>
      </x:c>
      <x:c r="G2478" s="48" t="str">
        <x:v>Obligation</x:v>
      </x:c>
      <x:c r="H2478" s="48" t="str">
        <x:v>Shared</x:v>
      </x:c>
      <x:c r="I2478" s="48" t="n">
        <x:v>0.45</x:v>
      </x:c>
      <x:c r="J2478" s="48" t="n">
        <x:v>0.4</x:v>
      </x:c>
      <x:c r="K2478" s="48" t="str">
        <x:v>Yes</x:v>
      </x:c>
      <x:c r="L2478" s="48" t="str">
        <x:v>OCR</x:v>
      </x:c>
    </x:row>
    <x:row r="2479">
      <x:c r="A2479" s="48" t="str">
        <x:v>UNI-2478</x:v>
      </x:c>
      <x:c r="B2479" s="48" t="str">
        <x:v>ORANGE</x:v>
      </x:c>
      <x:c r="C2479" s="48" t="str">
        <x:v>English</x:v>
      </x:c>
      <x:c r="D2479" s="48" t="n">
        <x:v>41</x:v>
      </x:c>
      <x:c r="E2479" s="48" t="str"/>
      <x:c r="F2479" s="48" t="str">
        <x:v>Wyner cunt Te Cpe ss ec ay fo</x:v>
      </x:c>
      <x:c r="G2479" s="48" t="str">
        <x:v>Obligation</x:v>
      </x:c>
      <x:c r="H2479" s="48" t="str">
        <x:v>Shared</x:v>
      </x:c>
      <x:c r="I2479" s="48" t="n">
        <x:v>0.45</x:v>
      </x:c>
      <x:c r="J2479" s="48" t="n">
        <x:v>0.4</x:v>
      </x:c>
      <x:c r="K2479" s="48" t="str">
        <x:v>Yes</x:v>
      </x:c>
      <x:c r="L2479" s="48" t="str">
        <x:v>OCR</x:v>
      </x:c>
    </x:row>
    <x:row r="2480">
      <x:c r="A2480" s="48" t="str">
        <x:v>UNI-2479</x:v>
      </x:c>
      <x:c r="B2480" s="48" t="str">
        <x:v>ORANGE</x:v>
      </x:c>
      <x:c r="C2480" s="48" t="str">
        <x:v>English</x:v>
      </x:c>
      <x:c r="D2480" s="48" t="n">
        <x:v>41</x:v>
      </x:c>
      <x:c r="E2480" s="48" t="str"/>
      <x:c r="F2480" s="48" t="str">
        <x:v>‘eb omg tech ee Cenencton Decurentet i ‘SShoumt matey ron bl he Cams, Contr Eup ee s</x:v>
      </x:c>
      <x:c r="G2480" s="48" t="str">
        <x:v>Obligation</x:v>
      </x:c>
      <x:c r="H2480" s="48" t="str">
        <x:v>Shared</x:v>
      </x:c>
      <x:c r="I2480" s="48" t="n">
        <x:v>0.45</x:v>
      </x:c>
      <x:c r="J2480" s="48" t="n">
        <x:v>0.4</x:v>
      </x:c>
      <x:c r="K2480" s="48" t="str">
        <x:v>Yes</x:v>
      </x:c>
      <x:c r="L2480" s="48" t="str">
        <x:v>OCR</x:v>
      </x:c>
    </x:row>
    <x:row r="2481">
      <x:c r="A2481" s="48" t="str">
        <x:v>UNI-2480</x:v>
      </x:c>
      <x:c r="B2481" s="48" t="str">
        <x:v>ORANGE</x:v>
      </x:c>
      <x:c r="C2481" s="48" t="str">
        <x:v>English</x:v>
      </x:c>
      <x:c r="D2481" s="48" t="n">
        <x:v>42</x:v>
      </x:c>
      <x:c r="E2481" s="48" t="str"/>
      <x:c r="F2481" s="48" t="str">
        <x:v>-engonry Wicks Pa ant Ne she oh ay tak paper ve eee at uc eet dae 2 the Empiots</x:v>
      </x:c>
      <x:c r="G2481" s="48" t="str">
        <x:v>Obligation</x:v>
      </x:c>
      <x:c r="H2481" s="48" t="str">
        <x:v>Shared</x:v>
      </x:c>
      <x:c r="I2481" s="48" t="n">
        <x:v>0.45</x:v>
      </x:c>
      <x:c r="J2481" s="48" t="n">
        <x:v>0.4</x:v>
      </x:c>
      <x:c r="K2481" s="48" t="str">
        <x:v>Yes</x:v>
      </x:c>
      <x:c r="L2481" s="48" t="str">
        <x:v>OCR</x:v>
      </x:c>
    </x:row>
    <x:row r="2482">
      <x:c r="A2482" s="48" t="str">
        <x:v>UNI-2481</x:v>
      </x:c>
      <x:c r="B2482" s="48" t="str">
        <x:v>ORANGE</x:v>
      </x:c>
      <x:c r="C2482" s="48" t="str">
        <x:v>English</x:v>
      </x:c>
      <x:c r="D2482" s="48" t="n">
        <x:v>42</x:v>
      </x:c>
      <x:c r="E2482" s="48" t="str"/>
      <x:c r="F2482" s="48" t="str">
        <x:v>Specie de te emir Resins shall Be</x:v>
      </x:c>
      <x:c r="G2482" s="48" t="str">
        <x:v>Obligation</x:v>
      </x:c>
      <x:c r="H2482" s="48" t="str">
        <x:v>Shared</x:v>
      </x:c>
      <x:c r="I2482" s="48" t="n">
        <x:v>0.88</x:v>
      </x:c>
      <x:c r="J2482" s="48" t="n">
        <x:v>0.4</x:v>
      </x:c>
      <x:c r="K2482" s="48" t="str">
        <x:v>Yes</x:v>
      </x:c>
      <x:c r="L2482" s="48" t="str">
        <x:v>OCR</x:v>
      </x:c>
    </x:row>
    <x:row r="2483">
      <x:c r="A2483" s="48" t="str">
        <x:v>UNI-2482</x:v>
      </x:c>
      <x:c r="B2483" s="48" t="str">
        <x:v>ORANGE</x:v>
      </x:c>
      <x:c r="C2483" s="48" t="str">
        <x:v>English</x:v>
      </x:c>
      <x:c r="D2483" s="48" t="n">
        <x:v>42</x:v>
      </x:c>
      <x:c r="E2483" s="48" t="str"/>
      <x:c r="F2483" s="48" t="str">
        <x:v>sees deans Eps so eens akan tats a et ear Sur The Conc sal veo ape vee eon th ae wit ty a 163. ‘Tne Epler Repos sa oe psi afer tein</x:v>
      </x:c>
      <x:c r="G2483" s="48" t="str">
        <x:v>Obligation</x:v>
      </x:c>
      <x:c r="H2483" s="48" t="str">
        <x:v>Shared</x:v>
      </x:c>
      <x:c r="I2483" s="48" t="n">
        <x:v>0.45</x:v>
      </x:c>
      <x:c r="J2483" s="48" t="n">
        <x:v>0.4</x:v>
      </x:c>
      <x:c r="K2483" s="48" t="str">
        <x:v>Yes</x:v>
      </x:c>
      <x:c r="L2483" s="48" t="str">
        <x:v>OCR</x:v>
      </x:c>
    </x:row>
    <x:row r="2484">
      <x:c r="A2484" s="48" t="str">
        <x:v>UNI-2483</x:v>
      </x:c>
      <x:c r="B2484" s="48" t="str">
        <x:v>ORANGE</x:v>
      </x:c>
      <x:c r="C2484" s="48" t="str">
        <x:v>English</x:v>
      </x:c>
      <x:c r="D2484" s="48" t="n">
        <x:v>42</x:v>
      </x:c>
      <x:c r="E2484" s="48" t="str"/>
      <x:c r="F2484" s="48" t="str">
        <x:v>Ta Hee ToS Same and aac te Caco eae fe</x:v>
      </x:c>
      <x:c r="G2484" s="48" t="str">
        <x:v>Obligation</x:v>
      </x:c>
      <x:c r="H2484" s="48" t="str">
        <x:v>Shared</x:v>
      </x:c>
      <x:c r="I2484" s="48" t="n">
        <x:v>0.45</x:v>
      </x:c>
      <x:c r="J2484" s="48" t="n">
        <x:v>0.4</x:v>
      </x:c>
      <x:c r="K2484" s="48" t="str">
        <x:v>Yes</x:v>
      </x:c>
      <x:c r="L2484" s="48" t="str">
        <x:v>OCR</x:v>
      </x:c>
    </x:row>
    <x:row r="2485">
      <x:c r="A2485" s="48" t="str">
        <x:v>UNI-2484</x:v>
      </x:c>
      <x:c r="B2485" s="48" t="str">
        <x:v>ORANGE</x:v>
      </x:c>
      <x:c r="C2485" s="48" t="str">
        <x:v>English</x:v>
      </x:c>
      <x:c r="D2485" s="48" t="n">
        <x:v>42</x:v>
      </x:c>
      <x:c r="E2485" s="48" t="str"/>
      <x:c r="F2485" s="48" t="str">
        <x:v>ae Fam Maia Comcor ue Ws epee hn ih Csr me ne of ri, rei 4M wr ne ai 13 Et ts ee a enigma fr Sey ‘Se hn on ro mad Se ns ren ‘The Bgl sabe ie eve mth Cora xn om</x:v>
      </x:c>
      <x:c r="G2485" s="48" t="str">
        <x:v>Obligation</x:v>
      </x:c>
      <x:c r="H2485" s="48" t="str">
        <x:v>Shared</x:v>
      </x:c>
      <x:c r="I2485" s="48" t="n">
        <x:v>0.45</x:v>
      </x:c>
      <x:c r="J2485" s="48" t="n">
        <x:v>0.4</x:v>
      </x:c>
      <x:c r="K2485" s="48" t="str">
        <x:v>Yes</x:v>
      </x:c>
      <x:c r="L2485" s="48" t="str">
        <x:v>OCR</x:v>
      </x:c>
    </x:row>
    <x:row r="2486">
      <x:c r="A2486" s="48" t="str">
        <x:v>UNI-2485</x:v>
      </x:c>
      <x:c r="B2486" s="48" t="str">
        <x:v>ORANGE</x:v>
      </x:c>
      <x:c r="C2486" s="48" t="str">
        <x:v>English</x:v>
      </x:c>
      <x:c r="D2486" s="48" t="n">
        <x:v>42</x:v>
      </x:c>
      <x:c r="E2486" s="48" t="str"/>
      <x:c r="F2486" s="48" t="str">
        <x:v>Perea tr ater along ey dotcom</x:v>
      </x:c>
      <x:c r="G2486" s="48" t="str">
        <x:v>Obligation</x:v>
      </x:c>
      <x:c r="H2486" s="48" t="str">
        <x:v>Shared</x:v>
      </x:c>
      <x:c r="I2486" s="48" t="n">
        <x:v>0.45</x:v>
      </x:c>
      <x:c r="J2486" s="48" t="n">
        <x:v>0.4</x:v>
      </x:c>
      <x:c r="K2486" s="48" t="str">
        <x:v>Yes</x:v>
      </x:c>
      <x:c r="L2486" s="48" t="str">
        <x:v>OCR</x:v>
      </x:c>
    </x:row>
    <x:row r="2487">
      <x:c r="A2487" s="48" t="str">
        <x:v>UNI-2486</x:v>
      </x:c>
      <x:c r="B2487" s="48" t="str">
        <x:v>ORANGE</x:v>
      </x:c>
      <x:c r="C2487" s="48" t="str">
        <x:v>English</x:v>
      </x:c>
      <x:c r="D2487" s="48" t="n">
        <x:v>42</x:v>
      </x:c>
      <x:c r="E2487" s="48" t="str"/>
      <x:c r="F2487" s="48" t="str">
        <x:v>eth Is aes we mo sochenen cou be Enpoe Sb ‘eign oe dingo een ay mtn ion oe Catrt a [SoScemn same tnpoer (ter sowing er eating ow few toe way en Meri lentes ter ont wine Ee. hen te Eghpr may. ae ing Ben dy tthe Cant sn Ee eect uae he Cont ah epi ‘Sean tna Cm tno eat en mde ner Su Cue 3</x:v>
      </x:c>
      <x:c r="G2487" s="48" t="str">
        <x:v>Obligation</x:v>
      </x:c>
      <x:c r="H2487" s="48" t="str">
        <x:v>Shared</x:v>
      </x:c>
      <x:c r="I2487" s="48" t="n">
        <x:v>0.45</x:v>
      </x:c>
      <x:c r="J2487" s="48" t="n">
        <x:v>0.4</x:v>
      </x:c>
      <x:c r="K2487" s="48" t="str">
        <x:v>Yes</x:v>
      </x:c>
      <x:c r="L2487" s="48" t="str">
        <x:v>OCR</x:v>
      </x:c>
    </x:row>
    <x:row r="2488">
      <x:c r="A2488" s="48" t="str">
        <x:v>UNI-2487</x:v>
      </x:c>
      <x:c r="B2488" s="48" t="str">
        <x:v>ORANGE</x:v>
      </x:c>
      <x:c r="C2488" s="48" t="str">
        <x:v>English</x:v>
      </x:c>
      <x:c r="D2488" s="48" t="n">
        <x:v>42</x:v>
      </x:c>
      <x:c r="E2488" s="48" t="str">
        <x:v>16</x:v>
      </x:c>
      <x:c r="F2488" s="48" t="str">
        <x:v>16 Default of Employer</x:v>
      </x:c>
      <x:c r="G2488" s="48" t="str">
        <x:v>Heading</x:v>
      </x:c>
      <x:c r="H2488" s="48" t="str"/>
      <x:c r="I2488" s="48" t="n">
        <x:v>0.9</x:v>
      </x:c>
      <x:c r="J2488" s="48" t="n">
        <x:v>0.99</x:v>
      </x:c>
      <x:c r="K2488" s="48" t="str">
        <x:v>No</x:v>
      </x:c>
      <x:c r="L2488" s="48" t="str">
        <x:v>OCR</x:v>
      </x:c>
    </x:row>
    <x:row r="2489">
      <x:c r="A2489" s="48" t="str">
        <x:v>UNI-2488</x:v>
      </x:c>
      <x:c r="B2489" s="48" t="str">
        <x:v>ORANGE</x:v>
      </x:c>
      <x:c r="C2489" s="48" t="str">
        <x:v>English</x:v>
      </x:c>
      <x:c r="D2489" s="48" t="n">
        <x:v>42</x:v>
      </x:c>
      <x:c r="E2489" s="48" t="str"/>
      <x:c r="F2489" s="48" t="str">
        <x:v>src gens ora ges rales ste amo oon ie Empl py Cnn he amon a iy ei contr Ente ‘ofthe Employer's Represent “itr cgay Conte | atest lh sn win dap se he ey f etn wd eee tain wich man ho ene, ce an 7 POE Sn ae tbs th Cnr ces nak Sob Cue 13 sls emo blr So-Clae 10</x:v>
      </x:c>
      <x:c r="G2489" s="48" t="str">
        <x:v>Obligation</x:v>
      </x:c>
      <x:c r="H2489" s="48" t="str">
        <x:v>Employer</x:v>
      </x:c>
      <x:c r="I2489" s="48" t="n">
        <x:v>0.45</x:v>
      </x:c>
      <x:c r="J2489" s="48" t="n">
        <x:v>0.68</x:v>
      </x:c>
      <x:c r="K2489" s="48" t="str">
        <x:v>Yes</x:v>
      </x:c>
      <x:c r="L2489" s="48" t="str">
        <x:v>OCR</x:v>
      </x:c>
    </x:row>
    <x:row r="2490">
      <x:c r="A2490" s="48" t="str">
        <x:v>UNI-2489</x:v>
      </x:c>
      <x:c r="B2490" s="48" t="str">
        <x:v>ORANGE</x:v>
      </x:c>
      <x:c r="C2490" s="48" t="str">
        <x:v>English</x:v>
      </x:c>
      <x:c r="D2490" s="48" t="n">
        <x:v>42</x:v>
      </x:c>
      <x:c r="E2490" s="48" t="str"/>
      <x:c r="F2490" s="48" t="str">
        <x:v>Iie Concer pnt</x:v>
      </x:c>
      <x:c r="G2490" s="48" t="str">
        <x:v>Obligation</x:v>
      </x:c>
      <x:c r="H2490" s="48" t="str">
        <x:v>Shared</x:v>
      </x:c>
      <x:c r="I2490" s="48" t="n">
        <x:v>0.45</x:v>
      </x:c>
      <x:c r="J2490" s="48" t="n">
        <x:v>0.4</x:v>
      </x:c>
      <x:c r="K2490" s="48" t="str">
        <x:v>Yes</x:v>
      </x:c>
      <x:c r="L2490" s="48" t="str">
        <x:v>OCR</x:v>
      </x:c>
    </x:row>
    <x:row r="2491">
      <x:c r="A2491" s="48" t="str">
        <x:v>UNI-2490</x:v>
      </x:c>
      <x:c r="B2491" s="48" t="str">
        <x:v>ORANGE</x:v>
      </x:c>
      <x:c r="C2491" s="48" t="str">
        <x:v>English</x:v>
      </x:c>
      <x:c r="D2491" s="48" t="n">
        <x:v>42</x:v>
      </x:c>
      <x:c r="E2491" s="48" t="str"/>
      <x:c r="F2491" s="48" t="str">
        <x:v>amy yt moa a cog ematnacorce wh Sy shri et 2 een ner Suh-Case 162 sal lane oad pgmet, eno rman on acat) ts re ee al ame mal wong SS</x:v>
      </x:c>
      <x:c r="G2491" s="48" t="str">
        <x:v>Obligation</x:v>
      </x:c>
      <x:c r="H2491" s="48" t="str">
        <x:v>Shared</x:v>
      </x:c>
      <x:c r="I2491" s="48" t="n">
        <x:v>0.45</x:v>
      </x:c>
      <x:c r="J2491" s="48" t="n">
        <x:v>0.4</x:v>
      </x:c>
      <x:c r="K2491" s="48" t="str">
        <x:v>Yes</x:v>
      </x:c>
      <x:c r="L2491" s="48" t="str">
        <x:v>OCR</x:v>
      </x:c>
    </x:row>
    <x:row r="2492">
      <x:c r="A2492" s="48" t="str">
        <x:v>UNI-2491</x:v>
      </x:c>
      <x:c r="B2492" s="48" t="str">
        <x:v>ORANGE</x:v>
      </x:c>
      <x:c r="C2492" s="48" t="str">
        <x:v>English</x:v>
      </x:c>
      <x:c r="D2492" s="48" t="n">
        <x:v>43</x:v>
      </x:c>
      <x:c r="E2492" s="48" t="str"/>
      <x:c r="F2492" s="48" t="str">
        <x:v>We Cnet ee ey ser ts Costas resi of geig Wark</x:v>
      </x:c>
      <x:c r="G2492" s="48" t="str">
        <x:v>Obligation</x:v>
      </x:c>
      <x:c r="H2492" s="48" t="str">
        <x:v>Shared</x:v>
      </x:c>
      <x:c r="I2492" s="48" t="n">
        <x:v>0.45</x:v>
      </x:c>
      <x:c r="J2492" s="48" t="n">
        <x:v>0.4</x:v>
      </x:c>
      <x:c r="K2492" s="48" t="str">
        <x:v>Yes</x:v>
      </x:c>
      <x:c r="L2492" s="48" t="str">
        <x:v>OCR</x:v>
      </x:c>
    </x:row>
    <x:row r="2493">
      <x:c r="A2493" s="48" t="str">
        <x:v>UNI-2492</x:v>
      </x:c>
      <x:c r="B2493" s="48" t="str">
        <x:v>ORANGE</x:v>
      </x:c>
      <x:c r="C2493" s="48" t="str">
        <x:v>English</x:v>
      </x:c>
      <x:c r="D2493" s="48" t="n">
        <x:v>43</x:v>
      </x:c>
      <x:c r="E2493" s="48" t="str"/>
      <x:c r="F2493" s="48" t="str">
        <x:v>teredcng i ef worn sae ws Sob Ca, be Cota ‘Ripe ei Expyers Repeat Aree ef ch ee SENG "nepectnte st pees aco i a Gace SS ser odin: (ny exw tie 10 Wh he Com el dr SubGat and (0 eam oth Co penis a sn shal maith Coma odn. ‘Termination 162 he Ep (ay Cae en ye he fe eon ty ere apy me Stony Se-Chnne 12) san tc pet to mie exe ot {yd Date Engler snd o me a Cot) 1 does trates into gion, enn</x:v>
      </x:c>
      <x:c r="G2493" s="48" t="str">
        <x:v>Obligation</x:v>
      </x:c>
      <x:c r="H2493" s="48" t="str">
        <x:v>Shared</x:v>
      </x:c>
      <x:c r="I2493" s="48" t="n">
        <x:v>0.55</x:v>
      </x:c>
      <x:c r="J2493" s="48" t="n">
        <x:v>0.4</x:v>
      </x:c>
      <x:c r="K2493" s="48" t="str">
        <x:v>Yes</x:v>
      </x:c>
      <x:c r="L2493" s="48" t="str">
        <x:v>OCR</x:v>
      </x:c>
    </x:row>
    <x:row r="2494">
      <x:c r="A2494" s="48" t="str">
        <x:v>UNI-2493</x:v>
      </x:c>
      <x:c r="B2494" s="48" t="str">
        <x:v>ORANGE</x:v>
      </x:c>
      <x:c r="C2494" s="48" t="str">
        <x:v>English</x:v>
      </x:c>
      <x:c r="D2494" s="48" t="n">
        <x:v>43</x:v>
      </x:c>
      <x:c r="E2494" s="48" t="str"/>
      <x:c r="F2494" s="48" t="str">
        <x:v>Gite ks mae ith compunds hha cao</x:v>
      </x:c>
      <x:c r="G2494" s="48" t="str">
        <x:v>Obligation</x:v>
      </x:c>
      <x:c r="H2494" s="48" t="str">
        <x:v>Shared</x:v>
      </x:c>
      <x:c r="I2494" s="48" t="n">
        <x:v>0.45</x:v>
      </x:c>
      <x:c r="J2494" s="48" t="n">
        <x:v>0.4</x:v>
      </x:c>
      <x:c r="K2494" s="48" t="str">
        <x:v>Yes</x:v>
      </x:c>
      <x:c r="L2494" s="48" t="str">
        <x:v>OCR</x:v>
      </x:c>
    </x:row>
    <x:row r="2495">
      <x:c r="A2495" s="48" t="str">
        <x:v>UNI-2494</x:v>
      </x:c>
      <x:c r="B2495" s="48" t="str">
        <x:v>ORANGE</x:v>
      </x:c>
      <x:c r="C2495" s="48" t="str">
        <x:v>English</x:v>
      </x:c>
      <x:c r="D2495" s="48" t="n">
        <x:v>43</x:v>
      </x:c>
      <x:c r="E2495" s="48" t="str"/>
      <x:c r="F2495" s="48" t="str">
        <x:v>‘tc on bss ners cme wotee sane eee ‘Streit = oe eet cn ch mr any</x:v>
      </x:c>
      <x:c r="G2495" s="48" t="str">
        <x:v>Obligation</x:v>
      </x:c>
      <x:c r="H2495" s="48" t="str">
        <x:v>Shared</x:v>
      </x:c>
      <x:c r="I2495" s="48" t="n">
        <x:v>0.45</x:v>
      </x:c>
      <x:c r="J2495" s="48" t="n">
        <x:v>0.4</x:v>
      </x:c>
      <x:c r="K2495" s="48" t="str">
        <x:v>Yes</x:v>
      </x:c>
      <x:c r="L2495" s="48" t="str">
        <x:v>OCR</x:v>
      </x:c>
    </x:row>
    <x:row r="2496">
      <x:c r="A2496" s="48" t="str">
        <x:v>UNI-2495</x:v>
      </x:c>
      <x:c r="B2496" s="48" t="str">
        <x:v>ORANGE</x:v>
      </x:c>
      <x:c r="C2496" s="48" t="str">
        <x:v>English</x:v>
      </x:c>
      <x:c r="D2496" s="48" t="n">
        <x:v>43</x:v>
      </x:c>
      <x:c r="E2496" s="48" t="str"/>
      <x:c r="F2496" s="48" t="str">
        <x:v>MSSM SOLES Sat yarn meee</x:v>
      </x:c>
      <x:c r="G2496" s="48" t="str">
        <x:v>Obligation</x:v>
      </x:c>
      <x:c r="H2496" s="48" t="str">
        <x:v>Shared</x:v>
      </x:c>
      <x:c r="I2496" s="48" t="n">
        <x:v>0.45</x:v>
      </x:c>
      <x:c r="J2496" s="48" t="n">
        <x:v>0.4</x:v>
      </x:c>
      <x:c r="K2496" s="48" t="str">
        <x:v>Yes</x:v>
      </x:c>
      <x:c r="L2496" s="48" t="str">
        <x:v>OCR</x:v>
      </x:c>
    </x:row>
    <x:row r="2497">
      <x:c r="A2497" s="48" t="str">
        <x:v>UNI-2496</x:v>
      </x:c>
      <x:c r="B2497" s="48" t="str">
        <x:v>ORANGE</x:v>
      </x:c>
      <x:c r="C2497" s="48" t="str">
        <x:v>English</x:v>
      </x:c>
      <x:c r="D2497" s="48" t="n">
        <x:v>43</x:v>
      </x:c>
      <x:c r="E2497" s="48" t="str"/>
      <x:c r="F2497" s="48" t="str">
        <x:v>(e) come a mec be Epler gatos une te Con.</x:v>
      </x:c>
      <x:c r="G2497" s="48" t="str">
        <x:v>Obligation</x:v>
      </x:c>
      <x:c r="H2497" s="48" t="str">
        <x:v>Shared</x:v>
      </x:c>
      <x:c r="I2497" s="48" t="n">
        <x:v>0.45</x:v>
      </x:c>
      <x:c r="J2497" s="48" t="n">
        <x:v>0.4</x:v>
      </x:c>
      <x:c r="K2497" s="48" t="str">
        <x:v>Yes</x:v>
      </x:c>
      <x:c r="L2497" s="48" t="str">
        <x:v>OCR</x:v>
      </x:c>
    </x:row>
    <x:row r="2498">
      <x:c r="A2498" s="48" t="str">
        <x:v>UNI-2497</x:v>
      </x:c>
      <x:c r="B2498" s="48" t="str">
        <x:v>ORANGE</x:v>
      </x:c>
      <x:c r="C2498" s="48" t="str">
        <x:v>English</x:v>
      </x:c>
      <x:c r="D2498" s="48" t="n">
        <x:v>43</x:v>
      </x:c>
      <x:c r="E2498" s="48" t="str"/>
      <x:c r="F2498" s="48" t="str">
        <x:v>(4) sem be Cra ito Be Cnr’ come, 2 x ranged speson fs he wee of the Ws ibe</x:v>
      </x:c>
      <x:c r="G2498" s="48" t="str">
        <x:v>Obligation</x:v>
      </x:c>
      <x:c r="H2498" s="48" t="str">
        <x:v>Shared</x:v>
      </x:c>
      <x:c r="I2498" s="48" t="n">
        <x:v>0.45</x:v>
      </x:c>
      <x:c r="J2498" s="48" t="n">
        <x:v>0.4</x:v>
      </x:c>
      <x:c r="K2498" s="48" t="str">
        <x:v>Yes</x:v>
      </x:c>
      <x:c r="L2498" s="48" t="str">
        <x:v>OCR</x:v>
      </x:c>
    </x:row>
    <x:row r="2499">
      <x:c r="A2499" s="48" t="str">
        <x:v>UNI-2498</x:v>
      </x:c>
      <x:c r="B2499" s="48" t="str">
        <x:v>ORANGE</x:v>
      </x:c>
      <x:c r="C2499" s="48" t="str">
        <x:v>English</x:v>
      </x:c>
      <x:c r="D2499" s="48" t="n">
        <x:v>43</x:v>
      </x:c>
      <x:c r="E2499" s="48" t="str"/>
      <x:c r="F2499" s="48" t="str">
        <x:v>Seimeria’</x:v>
      </x:c>
      <x:c r="G2499" s="48" t="str">
        <x:v>Obligation</x:v>
      </x:c>
      <x:c r="H2499" s="48" t="str">
        <x:v>Shared</x:v>
      </x:c>
      <x:c r="I2499" s="48" t="n">
        <x:v>0.45</x:v>
      </x:c>
      <x:c r="J2499" s="48" t="n">
        <x:v>0.4</x:v>
      </x:c>
      <x:c r="K2499" s="48" t="str">
        <x:v>Yes</x:v>
      </x:c>
      <x:c r="L2499" s="48" t="str">
        <x:v>OCR</x:v>
      </x:c>
    </x:row>
    <x:row r="2500">
      <x:c r="A2500" s="48" t="str">
        <x:v>UNI-2499</x:v>
      </x:c>
      <x:c r="B2500" s="48" t="str">
        <x:v>ORANGE</x:v>
      </x:c>
      <x:c r="C2500" s="48" t="str">
        <x:v>English</x:v>
      </x:c>
      <x:c r="D2500" s="48" t="n">
        <x:v>43</x:v>
      </x:c>
      <x:c r="E2500" s="48" t="str"/>
      <x:c r="F2500" s="48" t="str">
        <x:v>then he Comer ay tint hi mplyment vr te Comat by ce he Enger wah sep wie Ege Resa</x:v>
      </x:c>
      <x:c r="G2500" s="48" t="str">
        <x:v>Obligation</x:v>
      </x:c>
      <x:c r="H2500" s="48" t="str">
        <x:v>Shared</x:v>
      </x:c>
      <x:c r="I2500" s="48" t="n">
        <x:v>0.45</x:v>
      </x:c>
      <x:c r="J2500" s="48" t="n">
        <x:v>0.4</x:v>
      </x:c>
      <x:c r="K2500" s="48" t="str">
        <x:v>Yes</x:v>
      </x:c>
      <x:c r="L2500" s="48" t="str">
        <x:v>OCR</x:v>
      </x:c>
    </x:row>
    <x:row r="2501">
      <x:c r="A2501" s="48" t="str">
        <x:v>UNI-2500</x:v>
      </x:c>
      <x:c r="B2501" s="48" t="str">
        <x:v>ORANGE</x:v>
      </x:c>
      <x:c r="C2501" s="48" t="str">
        <x:v>English</x:v>
      </x:c>
      <x:c r="D2501" s="48" t="n">
        <x:v>43</x:v>
      </x:c>
      <x:c r="E2501" s="48" t="str"/>
      <x:c r="F2501" s="48" t="str">
        <x:v>Monae he sas ing ee</x:v>
      </x:c>
      <x:c r="G2501" s="48" t="str">
        <x:v>Obligation</x:v>
      </x:c>
      <x:c r="H2501" s="48" t="str">
        <x:v>Shared</x:v>
      </x:c>
      <x:c r="I2501" s="48" t="n">
        <x:v>0.45</x:v>
      </x:c>
      <x:c r="J2501" s="48" t="n">
        <x:v>0.4</x:v>
      </x:c>
      <x:c r="K2501" s="48" t="str">
        <x:v>Yes</x:v>
      </x:c>
      <x:c r="L2501" s="48" t="str">
        <x:v>OCR</x:v>
      </x:c>
    </x:row>
    <x:row r="2502">
      <x:c r="A2502" s="48" t="str">
        <x:v>UNI-2501</x:v>
      </x:c>
      <x:c r="B2502" s="48" t="str">
        <x:v>ORANGE</x:v>
      </x:c>
      <x:c r="C2502" s="48" t="str">
        <x:v>English</x:v>
      </x:c>
      <x:c r="D2502" s="48" t="n">
        <x:v>43</x:v>
      </x:c>
      <x:c r="E2502" s="48" t="str"/>
      <x:c r="F2502" s="48" t="str">
        <x:v>Coston Work 163 Ac keminson une Sb Cmse 24 or Seb.Clane 162, Cetraer demon (a) cease alates wo xg sch wor a my be ey ad sine ‘Srey mpc Repeat for he pes tang ‘Storing one sof Wat ae econ oy ok {Sout ene Ste shan dle condi, (0) tn nr Cnn Dues Pan Meh for wich (Comcietas means e (6) fons oer par fe Works nected y the Cnmacor 90 edie of eminsin a seme ih on Se nd pie</x:v>
      </x:c>
      <x:c r="G2502" s="48" t="str">
        <x:v>Obligation</x:v>
      </x:c>
      <x:c r="H2502" s="48" t="str">
        <x:v>Shared</x:v>
      </x:c>
      <x:c r="I2502" s="48" t="n">
        <x:v>0.45</x:v>
      </x:c>
      <x:c r="J2502" s="48" t="n">
        <x:v>0.4</x:v>
      </x:c>
      <x:c r="K2502" s="48" t="str">
        <x:v>Yes</x:v>
      </x:c>
      <x:c r="L2502" s="48" t="str">
        <x:v>OCR</x:v>
      </x:c>
    </x:row>
    <x:row r="2503">
      <x:c r="A2503" s="48" t="str">
        <x:v>UNI-2502</x:v>
      </x:c>
      <x:c r="B2503" s="48" t="str">
        <x:v>ORANGE</x:v>
      </x:c>
      <x:c r="C2503" s="48" t="str">
        <x:v>English</x:v>
      </x:c>
      <x:c r="D2503" s="48" t="n">
        <x:v>43</x:v>
      </x:c>
      <x:c r="E2503" s="48" t="str"/>
      <x:c r="F2503" s="48" t="str">
        <x:v>SSeS asf ete</x:v>
      </x:c>
      <x:c r="G2503" s="48" t="str">
        <x:v>Obligation</x:v>
      </x:c>
      <x:c r="H2503" s="48" t="str">
        <x:v>Shared</x:v>
      </x:c>
      <x:c r="I2503" s="48" t="n">
        <x:v>0.45</x:v>
      </x:c>
      <x:c r="J2503" s="48" t="n">
        <x:v>0.4</x:v>
      </x:c>
      <x:c r="K2503" s="48" t="str">
        <x:v>Yes</x:v>
      </x:c>
      <x:c r="L2503" s="48" t="str">
        <x:v>OCR</x:v>
      </x:c>
    </x:row>
    <x:row r="2504">
      <x:c r="A2504" s="48" t="str">
        <x:v>UNI-2503</x:v>
      </x:c>
      <x:c r="B2504" s="48" t="str">
        <x:v>ORANGE</x:v>
      </x:c>
      <x:c r="C2504" s="48" t="str">
        <x:v>English</x:v>
      </x:c>
      <x:c r="D2504" s="48" t="n">
        <x:v>43</x:v>
      </x:c>
      <x:c r="E2504" s="48" t="str"/>
      <x:c r="F2504" s="48" t="str">
        <x:v>ny sch einai hl be wit patie ny er igh fe (Conc aner te Coase Paymentin 164 Air eminaion ander Sub Case 162. he Empey sal rem</x:v>
      </x:c>
      <x:c r="G2504" s="48" t="str">
        <x:v>Obligation</x:v>
      </x:c>
      <x:c r="H2504" s="48" t="str">
        <x:v>Shared</x:v>
      </x:c>
      <x:c r="I2504" s="48" t="n">
        <x:v>0.45</x:v>
      </x:c>
      <x:c r="J2504" s="48" t="n">
        <x:v>0.4</x:v>
      </x:c>
      <x:c r="K2504" s="48" t="str">
        <x:v>Yes</x:v>
      </x:c>
      <x:c r="L2504" s="48" t="str">
        <x:v>OCR</x:v>
      </x:c>
    </x:row>
    <x:row r="2505">
      <x:c r="A2505" s="48" t="str">
        <x:v>UNI-2504</x:v>
      </x:c>
      <x:c r="B2505" s="48" t="str">
        <x:v>ORANGE</x:v>
      </x:c>
      <x:c r="C2505" s="48" t="str">
        <x:v>English</x:v>
      </x:c>
      <x:c r="D2505" s="48" t="n">
        <x:v>43</x:v>
      </x:c>
      <x:c r="E2505" s="48" t="str"/>
      <x:c r="F2505" s="48" t="str">
        <x:v>Termination rman earns hl ja he Conc meet ati a</x:v>
      </x:c>
      <x:c r="G2505" s="48" t="str">
        <x:v>Obligation</x:v>
      </x:c>
      <x:c r="H2505" s="48" t="str">
        <x:v>Shared</x:v>
      </x:c>
      <x:c r="I2505" s="48" t="n">
        <x:v>0.55</x:v>
      </x:c>
      <x:c r="J2505" s="48" t="n">
        <x:v>0.4</x:v>
      </x:c>
      <x:c r="K2505" s="48" t="str">
        <x:v>Yes</x:v>
      </x:c>
      <x:c r="L2505" s="48" t="str">
        <x:v>OCR</x:v>
      </x:c>
    </x:row>
    <x:row r="2506">
      <x:c r="A2506" s="48" t="str">
        <x:v>UNI-2505</x:v>
      </x:c>
      <x:c r="B2506" s="48" t="str">
        <x:v>ORANGE</x:v>
      </x:c>
      <x:c r="C2506" s="48" t="str">
        <x:v>English</x:v>
      </x:c>
      <x:c r="D2506" s="48" t="n">
        <x:v>43</x:v>
      </x:c>
      <x:c r="E2506" s="48" t="str"/>
      <x:c r="F2506" s="48" t="str">
        <x:v>‘Ete scence wi SubClass ffs ot ‘Ste lng ov fps Wich te Conencor may hve sud ‘oncpene of mnaioe</x:v>
      </x:c>
      <x:c r="G2506" s="48" t="str">
        <x:v>Right</x:v>
      </x:c>
      <x:c r="H2506" s="48" t="str">
        <x:v>Shared</x:v>
      </x:c>
      <x:c r="I2506" s="48" t="n">
        <x:v>0.78</x:v>
      </x:c>
      <x:c r="J2506" s="48" t="n">
        <x:v>0.4</x:v>
      </x:c>
      <x:c r="K2506" s="48" t="str">
        <x:v>Yes</x:v>
      </x:c>
      <x:c r="L2506" s="48" t="str">
        <x:v>OCR</x:v>
      </x:c>
    </x:row>
    <x:row r="2507">
      <x:c r="A2507" s="48" t="str">
        <x:v>UNI-2506</x:v>
      </x:c>
      <x:c r="B2507" s="48" t="str">
        <x:v>ORANGE</x:v>
      </x:c>
      <x:c r="C2507" s="48" t="str">
        <x:v>English</x:v>
      </x:c>
      <x:c r="D2507" s="48" t="n">
        <x:v>44</x:v>
      </x:c>
      <x:c r="E2507" s="48" t="str">
        <x:v>7</x:v>
      </x:c>
      <x:c r="F2507" s="48" t="str">
        <x:v>7 Risk and Responsibil</x:v>
      </x:c>
      <x:c r="G2507" s="48" t="str">
        <x:v>Heading</x:v>
      </x:c>
      <x:c r="H2507" s="48" t="str"/>
      <x:c r="I2507" s="48" t="n">
        <x:v>0.9</x:v>
      </x:c>
      <x:c r="J2507" s="48" t="n">
        <x:v>0.99</x:v>
      </x:c>
      <x:c r="K2507" s="48" t="str">
        <x:v>No</x:v>
      </x:c>
      <x:c r="L2507" s="48" t="str">
        <x:v>OCR</x:v>
      </x:c>
    </x:row>
    <x:row r="2508">
      <x:c r="A2508" s="48" t="str">
        <x:v>UNI-2507</x:v>
      </x:c>
      <x:c r="B2508" s="48" t="str">
        <x:v>ORANGE</x:v>
      </x:c>
      <x:c r="C2508" s="48" t="str">
        <x:v>English</x:v>
      </x:c>
      <x:c r="D2508" s="48" t="n">
        <x:v>44</x:v>
      </x:c>
      <x:c r="E2508" s="48" t="str"/>
      <x:c r="F2508" s="48" t="str">
        <x:v>Employers Repent sens nese,</x:v>
      </x:c>
      <x:c r="G2508" s="48" t="str">
        <x:v>Obligation</x:v>
      </x:c>
      <x:c r="H2508" s="48" t="str">
        <x:v>Shared</x:v>
      </x:c>
      <x:c r="I2508" s="48" t="n">
        <x:v>0.45</x:v>
      </x:c>
      <x:c r="J2508" s="48" t="n">
        <x:v>0.4</x:v>
      </x:c>
      <x:c r="K2508" s="48" t="str">
        <x:v>Yes</x:v>
      </x:c>
      <x:c r="L2508" s="48" t="str">
        <x:v>OCR</x:v>
      </x:c>
    </x:row>
    <x:row r="2509">
      <x:c r="A2509" s="48" t="str">
        <x:v>UNI-2508</x:v>
      </x:c>
      <x:c r="B2509" s="48" t="str">
        <x:v>ORANGE</x:v>
      </x:c>
      <x:c r="C2509" s="48" t="str">
        <x:v>English</x:v>
      </x:c>
      <x:c r="D2509" s="48" t="n">
        <x:v>44</x:v>
      </x:c>
      <x:c r="E2509" s="48" t="str"/>
      <x:c r="F2509" s="48" t="str">
        <x:v>‘he Works inclading professonal services provided By the Contraco.</x:v>
      </x:c>
      <x:c r="G2509" s="48" t="str">
        <x:v>Obligation</x:v>
      </x:c>
      <x:c r="H2509" s="48" t="str">
        <x:v>Shared</x:v>
      </x:c>
      <x:c r="I2509" s="48" t="n">
        <x:v>0.45</x:v>
      </x:c>
      <x:c r="J2509" s="48" t="n">
        <x:v>0.4</x:v>
      </x:c>
      <x:c r="K2509" s="48" t="str">
        <x:v>Yes</x:v>
      </x:c>
      <x:c r="L2509" s="48" t="str">
        <x:v>OCR</x:v>
      </x:c>
    </x:row>
    <x:row r="2510">
      <x:c r="A2510" s="48" t="str">
        <x:v>UNI-2509</x:v>
      </x:c>
      <x:c r="B2510" s="48" t="str">
        <x:v>ORANGE</x:v>
      </x:c>
      <x:c r="C2510" s="48" t="str">
        <x:v>English</x:v>
      </x:c>
      <x:c r="D2510" s="48" t="n">
        <x:v>44</x:v>
      </x:c>
      <x:c r="E2510" s="48" t="str"/>
      <x:c r="F2510" s="48" t="str">
        <x:v>Laem remenrictnnnmemnten</x:v>
      </x:c>
      <x:c r="G2510" s="48" t="str">
        <x:v>Obligation</x:v>
      </x:c>
      <x:c r="H2510" s="48" t="str">
        <x:v>Shared</x:v>
      </x:c>
      <x:c r="I2510" s="48" t="n">
        <x:v>0.45</x:v>
      </x:c>
      <x:c r="J2510" s="48" t="n">
        <x:v>0.4</x:v>
      </x:c>
      <x:c r="K2510" s="48" t="str">
        <x:v>Yes</x:v>
      </x:c>
      <x:c r="L2510" s="48" t="str">
        <x:v>OCR</x:v>
      </x:c>
    </x:row>
    <x:row r="2511">
      <x:c r="A2511" s="48" t="str">
        <x:v>UNI-2510</x:v>
      </x:c>
      <x:c r="B2511" s="48" t="str">
        <x:v>ORANGE</x:v>
      </x:c>
      <x:c r="C2511" s="48" t="str">
        <x:v>English</x:v>
      </x:c>
      <x:c r="D2511" s="48" t="n">
        <x:v>44</x:v>
      </x:c>
      <x:c r="E2511" s="48" t="str"/>
      <x:c r="F2511" s="48" t="str">
        <x:v>ciemecrmuaron lisa ca ancime</x:v>
      </x:c>
      <x:c r="G2511" s="48" t="str">
        <x:v>Obligation</x:v>
      </x:c>
      <x:c r="H2511" s="48" t="str">
        <x:v>Shared</x:v>
      </x:c>
      <x:c r="I2511" s="48" t="n">
        <x:v>0.45</x:v>
      </x:c>
      <x:c r="J2511" s="48" t="n">
        <x:v>0.4</x:v>
      </x:c>
      <x:c r="K2511" s="48" t="str">
        <x:v>Yes</x:v>
      </x:c>
      <x:c r="L2511" s="48" t="str">
        <x:v>OCR</x:v>
      </x:c>
    </x:row>
    <x:row r="2512">
      <x:c r="A2512" s="48" t="str">
        <x:v>UNI-2511</x:v>
      </x:c>
      <x:c r="B2512" s="48" t="str">
        <x:v>ORANGE</x:v>
      </x:c>
      <x:c r="C2512" s="48" t="str">
        <x:v>English</x:v>
      </x:c>
      <x:c r="D2512" s="48" t="n">
        <x:v>44</x:v>
      </x:c>
      <x:c r="E2512" s="48" t="str"/>
      <x:c r="F2512" s="48" t="str">
        <x:v>Sango pao ny fon yh ose Come</x:v>
      </x:c>
      <x:c r="G2512" s="48" t="str">
        <x:v>Obligation</x:v>
      </x:c>
      <x:c r="H2512" s="48" t="str">
        <x:v>Shared</x:v>
      </x:c>
      <x:c r="I2512" s="48" t="n">
        <x:v>0.45</x:v>
      </x:c>
      <x:c r="J2512" s="48" t="n">
        <x:v>0.4</x:v>
      </x:c>
      <x:c r="K2512" s="48" t="str">
        <x:v>Yes</x:v>
      </x:c>
      <x:c r="L2512" s="48" t="str">
        <x:v>OCR</x:v>
      </x:c>
    </x:row>
    <x:row r="2513">
      <x:c r="A2513" s="48" t="str">
        <x:v>UNI-2512</x:v>
      </x:c>
      <x:c r="B2513" s="48" t="str">
        <x:v>ORANGE</x:v>
      </x:c>
      <x:c r="C2513" s="48" t="str">
        <x:v>English</x:v>
      </x:c>
      <x:c r="D2513" s="48" t="n">
        <x:v>44</x:v>
      </x:c>
      <x:c r="E2513" s="48" t="str"/>
      <x:c r="F2513" s="48" t="str">
        <x:v>sabres ots</x:v>
      </x:c>
      <x:c r="G2513" s="48" t="str">
        <x:v>Obligation</x:v>
      </x:c>
      <x:c r="H2513" s="48" t="str">
        <x:v>Shared</x:v>
      </x:c>
      <x:c r="I2513" s="48" t="n">
        <x:v>0.45</x:v>
      </x:c>
      <x:c r="J2513" s="48" t="n">
        <x:v>0.4</x:v>
      </x:c>
      <x:c r="K2513" s="48" t="str">
        <x:v>Yes</x:v>
      </x:c>
      <x:c r="L2513" s="48" t="str">
        <x:v>OCR</x:v>
      </x:c>
    </x:row>
    <x:row r="2514">
      <x:c r="A2514" s="48" t="str">
        <x:v>UNI-2513</x:v>
      </x:c>
      <x:c r="B2514" s="48" t="str">
        <x:v>ORANGE</x:v>
      </x:c>
      <x:c r="C2514" s="48" t="str">
        <x:v>English</x:v>
      </x:c>
      <x:c r="D2514" s="48" t="n">
        <x:v>44</x:v>
      </x:c>
      <x:c r="E2514" s="48" t="str"/>
      <x:c r="F2514" s="48" t="str">
        <x:v>Bas eeeet estamos</x:v>
      </x:c>
      <x:c r="G2514" s="48" t="str">
        <x:v>Obligation</x:v>
      </x:c>
      <x:c r="H2514" s="48" t="str">
        <x:v>Shared</x:v>
      </x:c>
      <x:c r="I2514" s="48" t="n">
        <x:v>0.45</x:v>
      </x:c>
      <x:c r="J2514" s="48" t="n">
        <x:v>0.4</x:v>
      </x:c>
      <x:c r="K2514" s="48" t="str">
        <x:v>Yes</x:v>
      </x:c>
      <x:c r="L2514" s="48" t="str">
        <x:v>OCR</x:v>
      </x:c>
    </x:row>
    <x:row r="2515">
      <x:c r="A2515" s="48" t="str">
        <x:v>UNI-2514</x:v>
      </x:c>
      <x:c r="B2515" s="48" t="str">
        <x:v>ORANGE</x:v>
      </x:c>
      <x:c r="C2515" s="48" t="str">
        <x:v>English</x:v>
      </x:c>
      <x:c r="D2515" s="48" t="n">
        <x:v>44</x:v>
      </x:c>
      <x:c r="E2515" s="48" t="str"/>
      <x:c r="F2515" s="48" t="str">
        <x:v>peerpemniern come msc ntimeone</x:v>
      </x:c>
      <x:c r="G2515" s="48" t="str">
        <x:v>Obligation</x:v>
      </x:c>
      <x:c r="H2515" s="48" t="str">
        <x:v>Shared</x:v>
      </x:c>
      <x:c r="I2515" s="48" t="n">
        <x:v>0.45</x:v>
      </x:c>
      <x:c r="J2515" s="48" t="n">
        <x:v>0.4</x:v>
      </x:c>
      <x:c r="K2515" s="48" t="str">
        <x:v>Yes</x:v>
      </x:c>
      <x:c r="L2515" s="48" t="str">
        <x:v>OCR</x:v>
      </x:c>
    </x:row>
    <x:row r="2516">
      <x:c r="A2516" s="48" t="str">
        <x:v>UNI-2515</x:v>
      </x:c>
      <x:c r="B2516" s="48" t="str">
        <x:v>ORANGE</x:v>
      </x:c>
      <x:c r="C2516" s="48" t="str">
        <x:v>English</x:v>
      </x:c>
      <x:c r="D2516" s="48" t="n">
        <x:v>44</x:v>
      </x:c>
      <x:c r="E2516" s="48" t="str"/>
      <x:c r="F2516" s="48" t="str">
        <x:v>Secasetamreaareet emg</x:v>
      </x:c>
      <x:c r="G2516" s="48" t="str">
        <x:v>Obligation</x:v>
      </x:c>
      <x:c r="H2516" s="48" t="str">
        <x:v>Shared</x:v>
      </x:c>
      <x:c r="I2516" s="48" t="n">
        <x:v>0.45</x:v>
      </x:c>
      <x:c r="J2516" s="48" t="n">
        <x:v>0.4</x:v>
      </x:c>
      <x:c r="K2516" s="48" t="str">
        <x:v>Yes</x:v>
      </x:c>
      <x:c r="L2516" s="48" t="str">
        <x:v>OCR</x:v>
      </x:c>
    </x:row>
    <x:row r="2517">
      <x:c r="A2517" s="48" t="str">
        <x:v>UNI-2516</x:v>
      </x:c>
      <x:c r="B2517" s="48" t="str">
        <x:v>ORANGE</x:v>
      </x:c>
      <x:c r="C2517" s="48" t="str">
        <x:v>English</x:v>
      </x:c>
      <x:c r="D2517" s="48" t="n">
        <x:v>44</x:v>
      </x:c>
      <x:c r="E2517" s="48" t="str"/>
      <x:c r="F2517" s="48" t="str">
        <x:v>Su Soiewe cea</x:v>
      </x:c>
      <x:c r="G2517" s="48" t="str">
        <x:v>Obligation</x:v>
      </x:c>
      <x:c r="H2517" s="48" t="str">
        <x:v>Shared</x:v>
      </x:c>
      <x:c r="I2517" s="48" t="n">
        <x:v>0.45</x:v>
      </x:c>
      <x:c r="J2517" s="48" t="n">
        <x:v>0.4</x:v>
      </x:c>
      <x:c r="K2517" s="48" t="str">
        <x:v>Yes</x:v>
      </x:c>
      <x:c r="L2517" s="48" t="str">
        <x:v>OCR</x:v>
      </x:c>
    </x:row>
    <x:row r="2518">
      <x:c r="A2518" s="48" t="str">
        <x:v>UNI-2517</x:v>
      </x:c>
      <x:c r="B2518" s="48" t="str">
        <x:v>ORANGE</x:v>
      </x:c>
      <x:c r="C2518" s="48" t="str">
        <x:v>English</x:v>
      </x:c>
      <x:c r="D2518" s="48" t="n">
        <x:v>44</x:v>
      </x:c>
      <x:c r="E2518" s="48" t="str"/>
      <x:c r="F2518" s="48" t="str">
        <x:v>emplpersRiks 112 The pers (2 ie ot a ed mini. a i otto, rv insane, mii or wp owe. hi mtg nations. entaninin y asity ranay cen ‘iS sty aie nase fo combo 6 mace ih eles a ‘apn, or ober haus prpeies t ‘pte mc sem once cnet of eh ae ay reve wendy i oer seal evs even 08 ‘Stages (e) con comma dab, ss Sly este empyes of SSSUST ESSE tng to Cott | (0) tone damage ue Se wor capt yt Epo ‘ct de ets cnegtsoma be oie rine Ct</x:v>
      </x:c>
      <x:c r="G2518" s="48" t="str">
        <x:v>Obligation</x:v>
      </x:c>
      <x:c r="H2518" s="48" t="str">
        <x:v>Shared</x:v>
      </x:c>
      <x:c r="I2518" s="48" t="n">
        <x:v>0.45</x:v>
      </x:c>
      <x:c r="J2518" s="48" t="n">
        <x:v>0.4</x:v>
      </x:c>
      <x:c r="K2518" s="48" t="str">
        <x:v>Yes</x:v>
      </x:c>
      <x:c r="L2518" s="48" t="str">
        <x:v>OCR</x:v>
      </x:c>
    </x:row>
    <x:row r="2519">
      <x:c r="A2519" s="48" t="str">
        <x:v>UNI-2518</x:v>
      </x:c>
      <x:c r="B2519" s="48" t="str">
        <x:v>ORANGE</x:v>
      </x:c>
      <x:c r="C2519" s="48" t="str">
        <x:v>English</x:v>
      </x:c>
      <x:c r="D2519" s="48" t="n">
        <x:v>45</x:v>
      </x:c>
      <x:c r="E2519" s="48" t="str"/>
      <x:c r="F2519" s="48" t="str">
        <x:v>apenas st spn’ tg oroaea te teoming Karen the {Gai an Eye it rou ange Contr all eet ar oe ett eee</x:v>
      </x:c>
      <x:c r="G2519" s="48" t="str">
        <x:v>Obligation</x:v>
      </x:c>
      <x:c r="H2519" s="48" t="str">
        <x:v>Shared</x:v>
      </x:c>
      <x:c r="I2519" s="48" t="n">
        <x:v>0.45</x:v>
      </x:c>
      <x:c r="J2519" s="48" t="n">
        <x:v>0.4</x:v>
      </x:c>
      <x:c r="K2519" s="48" t="str">
        <x:v>Yes</x:v>
      </x:c>
      <x:c r="L2519" s="48" t="str">
        <x:v>OCR</x:v>
      </x:c>
    </x:row>
    <x:row r="2520">
      <x:c r="A2520" s="48" t="str">
        <x:v>UNI-2519</x:v>
      </x:c>
      <x:c r="B2520" s="48" t="str">
        <x:v>ORANGE</x:v>
      </x:c>
      <x:c r="C2520" s="48" t="str">
        <x:v>English</x:v>
      </x:c>
      <x:c r="D2520" s="48" t="n">
        <x:v>45</x:v>
      </x:c>
      <x:c r="E2520" s="48" t="str"/>
      <x:c r="F2520" s="48" t="str">
        <x:v>Feyeinane he Curie ls ty andre Co as eo</x:v>
      </x:c>
      <x:c r="G2520" s="48" t="str">
        <x:v>Obligation</x:v>
      </x:c>
      <x:c r="H2520" s="48" t="str">
        <x:v>Shared</x:v>
      </x:c>
      <x:c r="I2520" s="48" t="n">
        <x:v>0.45</x:v>
      </x:c>
      <x:c r="J2520" s="48" t="n">
        <x:v>0.4</x:v>
      </x:c>
      <x:c r="K2520" s="48" t="str">
        <x:v>Yes</x:v>
      </x:c>
      <x:c r="L2520" s="48" t="str">
        <x:v>OCR</x:v>
      </x:c>
    </x:row>
    <x:row r="2521">
      <x:c r="A2521" s="48" t="str">
        <x:v>UNI-2520</x:v>
      </x:c>
      <x:c r="B2521" s="48" t="str">
        <x:v>ORANGE</x:v>
      </x:c>
      <x:c r="C2521" s="48" t="str">
        <x:v>English</x:v>
      </x:c>
      <x:c r="D2521" s="48" t="n">
        <x:v>45</x:v>
      </x:c>
      <x:c r="E2521" s="48" t="str"/>
      <x:c r="F2521" s="48" t="str">
        <x:v>ts pest be Cor sl ge fare ie he Ener Reycenaine.</x:v>
      </x:c>
      <x:c r="G2521" s="48" t="str">
        <x:v>Obligation</x:v>
      </x:c>
      <x:c r="H2521" s="48" t="str">
        <x:v>Shared</x:v>
      </x:c>
      <x:c r="I2521" s="48" t="n">
        <x:v>0.45</x:v>
      </x:c>
      <x:c r="J2521" s="48" t="n">
        <x:v>0.4</x:v>
      </x:c>
      <x:c r="K2521" s="48" t="str">
        <x:v>Yes</x:v>
      </x:c>
      <x:c r="L2521" s="48" t="str">
        <x:v>OCR</x:v>
      </x:c>
    </x:row>
    <x:row r="2522">
      <x:c r="A2522" s="48" t="str">
        <x:v>UNI-2521</x:v>
      </x:c>
      <x:c r="B2522" s="48" t="str">
        <x:v>ORANGE</x:v>
      </x:c>
      <x:c r="C2522" s="48" t="str">
        <x:v>English</x:v>
      </x:c>
      <x:c r="D2522" s="48" t="n">
        <x:v>45</x:v>
      </x:c>
      <x:c r="E2522" s="48" t="str"/>
      <x:c r="F2522" s="48" t="str">
        <x:v>Aer secape fsck hte te te.</x:v>
      </x:c>
      <x:c r="G2522" s="48" t="str">
        <x:v>Obligation</x:v>
      </x:c>
      <x:c r="H2522" s="48" t="str">
        <x:v>Shared</x:v>
      </x:c>
      <x:c r="I2522" s="48" t="n">
        <x:v>0.45</x:v>
      </x:c>
      <x:c r="J2522" s="48" t="n">
        <x:v>0.4</x:v>
      </x:c>
      <x:c r="K2522" s="48" t="str">
        <x:v>Yes</x:v>
      </x:c>
      <x:c r="L2522" s="48" t="str">
        <x:v>OCR</x:v>
      </x:c>
    </x:row>
    <x:row r="2523">
      <x:c r="A2523" s="48" t="str">
        <x:v>UNI-2522</x:v>
      </x:c>
      <x:c r="B2523" s="48" t="str">
        <x:v>ORANGE</x:v>
      </x:c>
      <x:c r="C2523" s="48" t="str">
        <x:v>English</x:v>
      </x:c>
      <x:c r="D2523" s="48" t="n">
        <x:v>45</x:v>
      </x:c>
      <x:c r="E2523" s="48" t="str"/>
      <x:c r="F2523" s="48" t="str">
        <x:v>Kpelle Sap</x:v>
      </x:c>
      <x:c r="G2523" s="48" t="str">
        <x:v>Obligation</x:v>
      </x:c>
      <x:c r="H2523" s="48" t="str">
        <x:v>Shared</x:v>
      </x:c>
      <x:c r="I2523" s="48" t="n">
        <x:v>0.45</x:v>
      </x:c>
      <x:c r="J2523" s="48" t="n">
        <x:v>0.4</x:v>
      </x:c>
      <x:c r="K2523" s="48" t="str">
        <x:v>Yes</x:v>
      </x:c>
      <x:c r="L2523" s="48" t="str">
        <x:v>OCR</x:v>
      </x:c>
    </x:row>
    <x:row r="2524">
      <x:c r="A2524" s="48" t="str">
        <x:v>UNI-2523</x:v>
      </x:c>
      <x:c r="B2524" s="48" t="str">
        <x:v>ORANGE</x:v>
      </x:c>
      <x:c r="C2524" s="48" t="str">
        <x:v>English</x:v>
      </x:c>
      <x:c r="D2524" s="48" t="n">
        <x:v>45</x:v>
      </x:c>
      <x:c r="E2524" s="48" t="str"/>
      <x:c r="F2524" s="48" t="str">
        <x:v>CComequaces of TA The Contactor sal ge ste. te Baplye'sRepesene f a0 py as (a) my everson f tne ih the Comme seed under Sub hse a ‘tn a nat the Cano or tracts ks 118.</x:v>
      </x:c>
      <x:c r="G2524" s="48" t="str">
        <x:v>Obligation</x:v>
      </x:c>
      <x:c r="H2524" s="48" t="str">
        <x:v>Shared</x:v>
      </x:c>
      <x:c r="I2524" s="48" t="n">
        <x:v>0.45</x:v>
      </x:c>
      <x:c r="J2524" s="48" t="n">
        <x:v>0.4</x:v>
      </x:c>
      <x:c r="K2524" s="48" t="str">
        <x:v>Yes</x:v>
      </x:c>
      <x:c r="L2524" s="48" t="str">
        <x:v>OCR</x:v>
      </x:c>
    </x:row>
    <x:row r="2525">
      <x:c r="A2525" s="48" t="str">
        <x:v>UNI-2524</x:v>
      </x:c>
      <x:c r="B2525" s="48" t="str">
        <x:v>ORANGE</x:v>
      </x:c>
      <x:c r="C2525" s="48" t="str">
        <x:v>English</x:v>
      </x:c>
      <x:c r="D2525" s="48" t="n">
        <x:v>45</x:v>
      </x:c>
      <x:c r="E2525" s="48" t="str"/>
      <x:c r="F2525" s="48" t="str">
        <x:v>The Concord ego ied i Sbs inition 174 Te Contraco lin moe ihe Epes may nity iaimiy Gly sn ey eno be Court ra rare fos ef tie ey er lo he Weer ef cnn pth</x:v>
      </x:c>
      <x:c r="G2525" s="48" t="str">
        <x:v>Right</x:v>
      </x:c>
      <x:c r="H2525" s="48" t="str">
        <x:v>Shared</x:v>
      </x:c>
      <x:c r="I2525" s="48" t="n">
        <x:v>0.78</x:v>
      </x:c>
      <x:c r="J2525" s="48" t="n">
        <x:v>0.4</x:v>
      </x:c>
      <x:c r="K2525" s="48" t="str">
        <x:v>Yes</x:v>
      </x:c>
      <x:c r="L2525" s="48" t="str">
        <x:v>OCR</x:v>
      </x:c>
    </x:row>
    <x:row r="2526">
      <x:c r="A2526" s="48" t="str">
        <x:v>UNI-2525</x:v>
      </x:c>
      <x:c r="B2526" s="48" t="str">
        <x:v>ORANGE</x:v>
      </x:c>
      <x:c r="C2526" s="48" t="str">
        <x:v>English</x:v>
      </x:c>
      <x:c r="D2526" s="48" t="n">
        <x:v>45</x:v>
      </x:c>
      <x:c r="E2526" s="48" t="str"/>
      <x:c r="F2526" s="48" t="str">
        <x:v>Ase ny Comm or any dee pec ercomequna sage</x:v>
      </x:c>
      <x:c r="G2526" s="48" t="str">
        <x:v>Obligation</x:v>
      </x:c>
      <x:c r="H2526" s="48" t="str">
        <x:v>Shared</x:v>
      </x:c>
      <x:c r="I2526" s="48" t="n">
        <x:v>0.45</x:v>
      </x:c>
      <x:c r="J2526" s="48" t="n">
        <x:v>0.4</x:v>
      </x:c>
      <x:c r="K2526" s="48" t="str">
        <x:v>Yes</x:v>
      </x:c>
      <x:c r="L2526" s="48" t="str">
        <x:v>OCR</x:v>
      </x:c>
    </x:row>
    <x:row r="2527">
      <x:c r="A2527" s="48" t="str">
        <x:v>UNI-2526</x:v>
      </x:c>
      <x:c r="B2527" s="48" t="str">
        <x:v>ORANGE</x:v>
      </x:c>
      <x:c r="C2527" s="48" t="str">
        <x:v>English</x:v>
      </x:c>
      <x:c r="D2527" s="48" t="n">
        <x:v>45</x:v>
      </x:c>
      <x:c r="E2527" s="48" t="str"/>
      <x:c r="F2527" s="48" t="str">
        <x:v>‘ih ny hers by bc Enooaf in grmecin wah he Cnr The ‘alt Choraccr othe Employer nee Coc sai ‘See e Counc Pree Except ath SbCl sal nt ei the Ty of be Corer: (a) str Sb Caen 419, 42,89, 86 wl 1, (0) snr any eer pio oe Comat ch exes igo 2 ‘poser (6) incase find, wt mite or ig ose oF ‘hon Gamenay uso dig which onsets comctar Weth ‘ie feted esi esc.</x:v>
      </x:c>
      <x:c r="G2527" s="48" t="str">
        <x:v>Obligation</x:v>
      </x:c>
      <x:c r="H2527" s="48" t="str">
        <x:v>Employer</x:v>
      </x:c>
      <x:c r="I2527" s="48" t="n">
        <x:v>0.45</x:v>
      </x:c>
      <x:c r="J2527" s="48" t="n">
        <x:v>0.68</x:v>
      </x:c>
      <x:c r="K2527" s="48" t="str">
        <x:v>Yes</x:v>
      </x:c>
      <x:c r="L2527" s="48" t="str">
        <x:v>OCR</x:v>
      </x:c>
    </x:row>
    <x:row r="2528">
      <x:c r="A2528" s="48" t="str">
        <x:v>UNI-2527</x:v>
      </x:c>
      <x:c r="B2528" s="48" t="str">
        <x:v>ORANGE</x:v>
      </x:c>
      <x:c r="C2528" s="48" t="str">
        <x:v>English</x:v>
      </x:c>
      <x:c r="D2528" s="48" t="n">
        <x:v>46</x:v>
      </x:c>
      <x:c r="E2528" s="48" t="str"/>
      <x:c r="F2528" s="48" t="str">
        <x:v>Insane Works</x:v>
      </x:c>
      <x:c r="G2528" s="48" t="str">
        <x:v>Obligation</x:v>
      </x:c>
      <x:c r="H2528" s="48" t="str">
        <x:v>Shared</x:v>
      </x:c>
      <x:c r="I2528" s="48" t="n">
        <x:v>0.45</x:v>
      </x:c>
      <x:c r="J2528" s="48" t="n">
        <x:v>0.4</x:v>
      </x:c>
      <x:c r="K2528" s="48" t="str">
        <x:v>Yes</x:v>
      </x:c>
      <x:c r="L2528" s="48" t="str">
        <x:v>OCR</x:v>
      </x:c>
    </x:row>
    <x:row r="2529">
      <x:c r="A2529" s="48" t="str">
        <x:v>UNI-2528</x:v>
      </x:c>
      <x:c r="B2529" s="48" t="str">
        <x:v>ORANGE</x:v>
      </x:c>
      <x:c r="C2529" s="48" t="str">
        <x:v>English</x:v>
      </x:c>
      <x:c r="D2529" s="48" t="n">
        <x:v>46</x:v>
      </x:c>
      <x:c r="E2529" s="48" t="str"/>
      <x:c r="F2529" s="48" t="str">
        <x:v>ct at i pit ey so</x:v>
      </x:c>
      <x:c r="G2529" s="48" t="str">
        <x:v>Obligation</x:v>
      </x:c>
      <x:c r="H2529" s="48" t="str">
        <x:v>Shared</x:v>
      </x:c>
      <x:c r="I2529" s="48" t="n">
        <x:v>0.45</x:v>
      </x:c>
      <x:c r="J2529" s="48" t="n">
        <x:v>0.4</x:v>
      </x:c>
      <x:c r="K2529" s="48" t="str">
        <x:v>Yes</x:v>
      </x:c>
      <x:c r="L2529" s="48" t="str">
        <x:v>OCR</x:v>
      </x:c>
    </x:row>
    <x:row r="2530">
      <x:c r="A2530" s="48" t="str">
        <x:v>UNI-2529</x:v>
      </x:c>
      <x:c r="B2530" s="48" t="str">
        <x:v>ORANGE</x:v>
      </x:c>
      <x:c r="C2530" s="48" t="str">
        <x:v>English</x:v>
      </x:c>
      <x:c r="D2530" s="48" t="n">
        <x:v>46</x:v>
      </x:c>
      <x:c r="E2530" s="48" t="str"/>
      <x:c r="F2530" s="48" t="str">
        <x:v>Dicom te urea emia</x:v>
      </x:c>
      <x:c r="G2530" s="48" t="str">
        <x:v>Obligation</x:v>
      </x:c>
      <x:c r="H2530" s="48" t="str">
        <x:v>Shared</x:v>
      </x:c>
      <x:c r="I2530" s="48" t="n">
        <x:v>0.45</x:v>
      </x:c>
      <x:c r="J2530" s="48" t="n">
        <x:v>0.4</x:v>
      </x:c>
      <x:c r="K2530" s="48" t="str">
        <x:v>Yes</x:v>
      </x:c>
      <x:c r="L2530" s="48" t="str">
        <x:v>OCR</x:v>
      </x:c>
    </x:row>
    <x:row r="2531">
      <x:c r="A2531" s="48" t="str">
        <x:v>UNI-2530</x:v>
      </x:c>
      <x:c r="B2531" s="48" t="str">
        <x:v>ORANGE</x:v>
      </x:c>
      <x:c r="C2531" s="48" t="str">
        <x:v>English</x:v>
      </x:c>
      <x:c r="D2531" s="48" t="n">
        <x:v>46</x:v>
      </x:c>
      <x:c r="E2531" s="48" t="str"/>
      <x:c r="F2531" s="48" t="str">
        <x:v>Peer heretics</x:v>
      </x:c>
      <x:c r="G2531" s="48" t="str">
        <x:v>Obligation</x:v>
      </x:c>
      <x:c r="H2531" s="48" t="str">
        <x:v>Shared</x:v>
      </x:c>
      <x:c r="I2531" s="48" t="n">
        <x:v>0.45</x:v>
      </x:c>
      <x:c r="J2531" s="48" t="n">
        <x:v>0.4</x:v>
      </x:c>
      <x:c r="K2531" s="48" t="str">
        <x:v>Yes</x:v>
      </x:c>
      <x:c r="L2531" s="48" t="str">
        <x:v>OCR</x:v>
      </x:c>
    </x:row>
    <x:row r="2532">
      <x:c r="A2532" s="48" t="str">
        <x:v>UNI-2531</x:v>
      </x:c>
      <x:c r="B2532" s="48" t="str">
        <x:v>ORANGE</x:v>
      </x:c>
      <x:c r="C2532" s="48" t="str">
        <x:v>English</x:v>
      </x:c>
      <x:c r="D2532" s="48" t="n">
        <x:v>46</x:v>
      </x:c>
      <x:c r="E2532" s="48" t="str"/>
      <x:c r="F2532" s="48" t="str">
        <x:v>SEetiar ape</x:v>
      </x:c>
      <x:c r="G2532" s="48" t="str">
        <x:v>Obligation</x:v>
      </x:c>
      <x:c r="H2532" s="48" t="str">
        <x:v>Shared</x:v>
      </x:c>
      <x:c r="I2532" s="48" t="n">
        <x:v>0.45</x:v>
      </x:c>
      <x:c r="J2532" s="48" t="n">
        <x:v>0.4</x:v>
      </x:c>
      <x:c r="K2532" s="48" t="str">
        <x:v>Yes</x:v>
      </x:c>
      <x:c r="L2532" s="48" t="str">
        <x:v>OCR</x:v>
      </x:c>
    </x:row>
    <x:row r="2533">
      <x:c r="A2533" s="48" t="str">
        <x:v>UNI-2532</x:v>
      </x:c>
      <x:c r="B2533" s="48" t="str">
        <x:v>ORANGE</x:v>
      </x:c>
      <x:c r="C2533" s="48" t="str">
        <x:v>English</x:v>
      </x:c>
      <x:c r="D2533" s="48" t="n">
        <x:v>46</x:v>
      </x:c>
      <x:c r="E2533" s="48" t="str"/>
      <x:c r="F2533" s="48" t="str">
        <x:v>Foca at ere ra</x:v>
      </x:c>
      <x:c r="G2533" s="48" t="str">
        <x:v>Obligation</x:v>
      </x:c>
      <x:c r="H2533" s="48" t="str">
        <x:v>Shared</x:v>
      </x:c>
      <x:c r="I2533" s="48" t="n">
        <x:v>0.45</x:v>
      </x:c>
      <x:c r="J2533" s="48" t="n">
        <x:v>0.4</x:v>
      </x:c>
      <x:c r="K2533" s="48" t="str">
        <x:v>Yes</x:v>
      </x:c>
      <x:c r="L2533" s="48" t="str">
        <x:v>OCR</x:v>
      </x:c>
    </x:row>
    <x:row r="2534">
      <x:c r="A2534" s="48" t="str">
        <x:v>UNI-2533</x:v>
      </x:c>
      <x:c r="B2534" s="48" t="str">
        <x:v>ORANGE</x:v>
      </x:c>
      <x:c r="C2534" s="48" t="str">
        <x:v>English</x:v>
      </x:c>
      <x:c r="D2534" s="48" t="n">
        <x:v>46</x:v>
      </x:c>
      <x:c r="E2534" s="48" t="str"/>
      <x:c r="F2534" s="48" t="str">
        <x:v>SLs eeeaec tans</x:v>
      </x:c>
      <x:c r="G2534" s="48" t="str">
        <x:v>Obligation</x:v>
      </x:c>
      <x:c r="H2534" s="48" t="str">
        <x:v>Shared</x:v>
      </x:c>
      <x:c r="I2534" s="48" t="n">
        <x:v>0.45</x:v>
      </x:c>
      <x:c r="J2534" s="48" t="n">
        <x:v>0.4</x:v>
      </x:c>
      <x:c r="K2534" s="48" t="str">
        <x:v>Yes</x:v>
      </x:c>
      <x:c r="L2534" s="48" t="str">
        <x:v>OCR</x:v>
      </x:c>
    </x:row>
    <x:row r="2535">
      <x:c r="A2535" s="48" t="str">
        <x:v>UNI-2534</x:v>
      </x:c>
      <x:c r="B2535" s="48" t="str">
        <x:v>ORANGE</x:v>
      </x:c>
      <x:c r="C2535" s="48" t="str">
        <x:v>English</x:v>
      </x:c>
      <x:c r="D2535" s="48" t="n">
        <x:v>46</x:v>
      </x:c>
      <x:c r="E2535" s="48" t="str"/>
      <x:c r="F2535" s="48" t="str">
        <x:v>Ronen a gestae eee,</x:v>
      </x:c>
      <x:c r="G2535" s="48" t="str">
        <x:v>Obligation</x:v>
      </x:c>
      <x:c r="H2535" s="48" t="str">
        <x:v>Shared</x:v>
      </x:c>
      <x:c r="I2535" s="48" t="n">
        <x:v>0.45</x:v>
      </x:c>
      <x:c r="J2535" s="48" t="n">
        <x:v>0.4</x:v>
      </x:c>
      <x:c r="K2535" s="48" t="str">
        <x:v>Yes</x:v>
      </x:c>
      <x:c r="L2535" s="48" t="str">
        <x:v>OCR</x:v>
      </x:c>
    </x:row>
    <x:row r="2536">
      <x:c r="A2536" s="48" t="str">
        <x:v>UNI-2535</x:v>
      </x:c>
      <x:c r="B2536" s="48" t="str">
        <x:v>ORANGE</x:v>
      </x:c>
      <x:c r="C2536" s="48" t="str">
        <x:v>English</x:v>
      </x:c>
      <x:c r="D2536" s="48" t="n">
        <x:v>46</x:v>
      </x:c>
      <x:c r="E2536" s="48" t="str"/>
      <x:c r="F2536" s="48" t="str">
        <x:v>Sen eer soccmea</x:v>
      </x:c>
      <x:c r="G2536" s="48" t="str">
        <x:v>Obligation</x:v>
      </x:c>
      <x:c r="H2536" s="48" t="str">
        <x:v>Shared</x:v>
      </x:c>
      <x:c r="I2536" s="48" t="n">
        <x:v>0.45</x:v>
      </x:c>
      <x:c r="J2536" s="48" t="n">
        <x:v>0.4</x:v>
      </x:c>
      <x:c r="K2536" s="48" t="str">
        <x:v>Yes</x:v>
      </x:c>
      <x:c r="L2536" s="48" t="str">
        <x:v>OCR</x:v>
      </x:c>
    </x:row>
    <x:row r="2537">
      <x:c r="A2537" s="48" t="str">
        <x:v>UNI-2536</x:v>
      </x:c>
      <x:c r="B2537" s="48" t="str">
        <x:v>ORANGE</x:v>
      </x:c>
      <x:c r="C2537" s="48" t="str">
        <x:v>English</x:v>
      </x:c>
      <x:c r="D2537" s="48" t="n">
        <x:v>46</x:v>
      </x:c>
      <x:c r="E2537" s="48" t="str"/>
      <x:c r="F2537" s="48" t="str">
        <x:v>Sigel Reta</x:v>
      </x:c>
      <x:c r="G2537" s="48" t="str">
        <x:v>Obligation</x:v>
      </x:c>
      <x:c r="H2537" s="48" t="str">
        <x:v>Shared</x:v>
      </x:c>
      <x:c r="I2537" s="48" t="n">
        <x:v>0.45</x:v>
      </x:c>
      <x:c r="J2537" s="48" t="n">
        <x:v>0.4</x:v>
      </x:c>
      <x:c r="K2537" s="48" t="str">
        <x:v>Yes</x:v>
      </x:c>
      <x:c r="L2537" s="48" t="str">
        <x:v>OCR</x:v>
      </x:c>
    </x:row>
    <x:row r="2538">
      <x:c r="A2538" s="48" t="str">
        <x:v>UNI-2537</x:v>
      </x:c>
      <x:c r="B2538" s="48" t="str">
        <x:v>ORANGE</x:v>
      </x:c>
      <x:c r="C2538" s="48" t="str">
        <x:v>English</x:v>
      </x:c>
      <x:c r="D2538" s="48" t="n">
        <x:v>46</x:v>
      </x:c>
      <x:c r="E2538" s="48" t="str"/>
      <x:c r="F2538" s="48" t="str">
        <x:v>Seen inet ig eg alec</x:v>
      </x:c>
      <x:c r="G2538" s="48" t="str">
        <x:v>Obligation</x:v>
      </x:c>
      <x:c r="H2538" s="48" t="str">
        <x:v>Shared</x:v>
      </x:c>
      <x:c r="I2538" s="48" t="n">
        <x:v>0.45</x:v>
      </x:c>
      <x:c r="J2538" s="48" t="n">
        <x:v>0.4</x:v>
      </x:c>
      <x:c r="K2538" s="48" t="str">
        <x:v>Yes</x:v>
      </x:c>
      <x:c r="L2538" s="48" t="str">
        <x:v>OCR</x:v>
      </x:c>
    </x:row>
    <x:row r="2539">
      <x:c r="A2539" s="48" t="str">
        <x:v>UNI-2538</x:v>
      </x:c>
      <x:c r="B2539" s="48" t="str">
        <x:v>ORANGE</x:v>
      </x:c>
      <x:c r="C2539" s="48" t="str">
        <x:v>English</x:v>
      </x:c>
      <x:c r="D2539" s="48" t="n">
        <x:v>46</x:v>
      </x:c>
      <x:c r="E2539" s="48" t="str"/>
      <x:c r="F2539" s="48" t="str">
        <x:v>SSeS ocnetec mame</x:v>
      </x:c>
      <x:c r="G2539" s="48" t="str">
        <x:v>Obligation</x:v>
      </x:c>
      <x:c r="H2539" s="48" t="str">
        <x:v>Shared</x:v>
      </x:c>
      <x:c r="I2539" s="48" t="n">
        <x:v>0.45</x:v>
      </x:c>
      <x:c r="J2539" s="48" t="n">
        <x:v>0.4</x:v>
      </x:c>
      <x:c r="K2539" s="48" t="str">
        <x:v>Yes</x:v>
      </x:c>
      <x:c r="L2539" s="48" t="str">
        <x:v>OCR</x:v>
      </x:c>
    </x:row>
    <x:row r="2540">
      <x:c r="A2540" s="48" t="str">
        <x:v>UNI-2539</x:v>
      </x:c>
      <x:c r="B2540" s="48" t="str">
        <x:v>ORANGE</x:v>
      </x:c>
      <x:c r="C2540" s="48" t="str">
        <x:v>English</x:v>
      </x:c>
      <x:c r="D2540" s="48" t="n">
        <x:v>46</x:v>
      </x:c>
      <x:c r="E2540" s="48" t="str"/>
      <x:c r="F2540" s="48" t="str">
        <x:v>Sarita east ee</x:v>
      </x:c>
      <x:c r="G2540" s="48" t="str">
        <x:v>Obligation</x:v>
      </x:c>
      <x:c r="H2540" s="48" t="str">
        <x:v>Shared</x:v>
      </x:c>
      <x:c r="I2540" s="48" t="n">
        <x:v>0.45</x:v>
      </x:c>
      <x:c r="J2540" s="48" t="n">
        <x:v>0.4</x:v>
      </x:c>
      <x:c r="K2540" s="48" t="str">
        <x:v>Yes</x:v>
      </x:c>
      <x:c r="L2540" s="48" t="str">
        <x:v>OCR</x:v>
      </x:c>
    </x:row>
    <x:row r="2541">
      <x:c r="A2541" s="48" t="str">
        <x:v>UNI-2540</x:v>
      </x:c>
      <x:c r="B2541" s="48" t="str">
        <x:v>ORANGE</x:v>
      </x:c>
      <x:c r="C2541" s="48" t="str">
        <x:v>English</x:v>
      </x:c>
      <x:c r="D2541" s="48" t="n">
        <x:v>46</x:v>
      </x:c>
      <x:c r="E2541" s="48" t="str"/>
      <x:c r="F2541" s="48" t="str">
        <x:v>Soe Ream cs eet reseencnl</x:v>
      </x:c>
      <x:c r="G2541" s="48" t="str">
        <x:v>Obligation</x:v>
      </x:c>
      <x:c r="H2541" s="48" t="str">
        <x:v>Shared</x:v>
      </x:c>
      <x:c r="I2541" s="48" t="n">
        <x:v>0.45</x:v>
      </x:c>
      <x:c r="J2541" s="48" t="n">
        <x:v>0.4</x:v>
      </x:c>
      <x:c r="K2541" s="48" t="str">
        <x:v>Yes</x:v>
      </x:c>
      <x:c r="L2541" s="48" t="str">
        <x:v>OCR</x:v>
      </x:c>
    </x:row>
    <x:row r="2542">
      <x:c r="A2542" s="48" t="str">
        <x:v>UNI-2541</x:v>
      </x:c>
      <x:c r="B2542" s="48" t="str">
        <x:v>ORANGE</x:v>
      </x:c>
      <x:c r="C2542" s="48" t="str">
        <x:v>English</x:v>
      </x:c>
      <x:c r="D2542" s="48" t="n">
        <x:v>46</x:v>
      </x:c>
      <x:c r="E2542" s="48" t="str"/>
      <x:c r="F2542" s="48" t="str">
        <x:v>SS Roreaiesesrewom mae</x:v>
      </x:c>
      <x:c r="G2542" s="48" t="str">
        <x:v>Obligation</x:v>
      </x:c>
      <x:c r="H2542" s="48" t="str">
        <x:v>Shared</x:v>
      </x:c>
      <x:c r="I2542" s="48" t="n">
        <x:v>0.45</x:v>
      </x:c>
      <x:c r="J2542" s="48" t="n">
        <x:v>0.4</x:v>
      </x:c>
      <x:c r="K2542" s="48" t="str">
        <x:v>Yes</x:v>
      </x:c>
      <x:c r="L2542" s="48" t="str">
        <x:v>OCR</x:v>
      </x:c>
    </x:row>
    <x:row r="2543">
      <x:c r="A2543" s="48" t="str">
        <x:v>UNI-2542</x:v>
      </x:c>
      <x:c r="B2543" s="48" t="str">
        <x:v>ORANGE</x:v>
      </x:c>
      <x:c r="C2543" s="48" t="str">
        <x:v>English</x:v>
      </x:c>
      <x:c r="D2543" s="48" t="n">
        <x:v>46</x:v>
      </x:c>
      <x:c r="E2543" s="48" t="str"/>
      <x:c r="F2543" s="48" t="str">
        <x:v>Sesccneencieo oo</x:v>
      </x:c>
      <x:c r="G2543" s="48" t="str">
        <x:v>Obligation</x:v>
      </x:c>
      <x:c r="H2543" s="48" t="str">
        <x:v>Shared</x:v>
      </x:c>
      <x:c r="I2543" s="48" t="n">
        <x:v>0.45</x:v>
      </x:c>
      <x:c r="J2543" s="48" t="n">
        <x:v>0.4</x:v>
      </x:c>
      <x:c r="K2543" s="48" t="str">
        <x:v>Yes</x:v>
      </x:c>
      <x:c r="L2543" s="48" t="str">
        <x:v>OCR</x:v>
      </x:c>
    </x:row>
    <x:row r="2544">
      <x:c r="A2544" s="48" t="str">
        <x:v>UNI-2543</x:v>
      </x:c>
      <x:c r="B2544" s="48" t="str">
        <x:v>ORANGE</x:v>
      </x:c>
      <x:c r="C2544" s="48" t="str">
        <x:v>English</x:v>
      </x:c>
      <x:c r="D2544" s="48" t="n">
        <x:v>46</x:v>
      </x:c>
      <x:c r="E2544" s="48" t="str"/>
      <x:c r="F2544" s="48" t="str">
        <x:v>eee anes</x:v>
      </x:c>
      <x:c r="G2544" s="48" t="str">
        <x:v>Obligation</x:v>
      </x:c>
      <x:c r="H2544" s="48" t="str">
        <x:v>Shared</x:v>
      </x:c>
      <x:c r="I2544" s="48" t="n">
        <x:v>0.45</x:v>
      </x:c>
      <x:c r="J2544" s="48" t="n">
        <x:v>0.4</x:v>
      </x:c>
      <x:c r="K2544" s="48" t="str">
        <x:v>Yes</x:v>
      </x:c>
      <x:c r="L2544" s="48" t="str">
        <x:v>OCR</x:v>
      </x:c>
    </x:row>
    <x:row r="2545">
      <x:c r="A2545" s="48" t="str">
        <x:v>UNI-2544</x:v>
      </x:c>
      <x:c r="B2545" s="48" t="str">
        <x:v>ORANGE</x:v>
      </x:c>
      <x:c r="C2545" s="48" t="str">
        <x:v>English</x:v>
      </x:c>
      <x:c r="D2545" s="48" t="n">
        <x:v>46</x:v>
      </x:c>
      <x:c r="E2545" s="48" t="str"/>
      <x:c r="F2545" s="48" t="str">
        <x:v>Sm ne te etn se</x:v>
      </x:c>
      <x:c r="G2545" s="48" t="str">
        <x:v>Obligation</x:v>
      </x:c>
      <x:c r="H2545" s="48" t="str">
        <x:v>Shared</x:v>
      </x:c>
      <x:c r="I2545" s="48" t="n">
        <x:v>0.45</x:v>
      </x:c>
      <x:c r="J2545" s="48" t="n">
        <x:v>0.4</x:v>
      </x:c>
      <x:c r="K2545" s="48" t="str">
        <x:v>Yes</x:v>
      </x:c>
      <x:c r="L2545" s="48" t="str">
        <x:v>OCR</x:v>
      </x:c>
    </x:row>
    <x:row r="2546">
      <x:c r="A2546" s="48" t="str">
        <x:v>UNI-2545</x:v>
      </x:c>
      <x:c r="B2546" s="48" t="str">
        <x:v>ORANGE</x:v>
      </x:c>
      <x:c r="C2546" s="48" t="str">
        <x:v>English</x:v>
      </x:c>
      <x:c r="D2546" s="48" t="n">
        <x:v>46</x:v>
      </x:c>
      <x:c r="E2546" s="48" t="str"/>
      <x:c r="F2546" s="48" t="str">
        <x:v>emer aenhceeen terme acai ee eecmtitibncemtaeemn oat</x:v>
      </x:c>
      <x:c r="G2546" s="48" t="str">
        <x:v>Obligation</x:v>
      </x:c>
      <x:c r="H2546" s="48" t="str">
        <x:v>Shared</x:v>
      </x:c>
      <x:c r="I2546" s="48" t="n">
        <x:v>0.45</x:v>
      </x:c>
      <x:c r="J2546" s="48" t="n">
        <x:v>0.4</x:v>
      </x:c>
      <x:c r="K2546" s="48" t="str">
        <x:v>Yes</x:v>
      </x:c>
      <x:c r="L2546" s="48" t="str">
        <x:v>OCR</x:v>
      </x:c>
    </x:row>
    <x:row r="2547">
      <x:c r="A2547" s="48" t="str">
        <x:v>UNI-2546</x:v>
      </x:c>
      <x:c r="B2547" s="48" t="str">
        <x:v>ORANGE</x:v>
      </x:c>
      <x:c r="C2547" s="48" t="str">
        <x:v>English</x:v>
      </x:c>
      <x:c r="D2547" s="48" t="n">
        <x:v>46</x:v>
      </x:c>
      <x:c r="E2547" s="48" t="str"/>
      <x:c r="F2547" s="48" t="str">
        <x:v>Sriraah instr anaheim cit</x:v>
      </x:c>
      <x:c r="G2547" s="48" t="str">
        <x:v>Obligation</x:v>
      </x:c>
      <x:c r="H2547" s="48" t="str">
        <x:v>Shared</x:v>
      </x:c>
      <x:c r="I2547" s="48" t="n">
        <x:v>0.45</x:v>
      </x:c>
      <x:c r="J2547" s="48" t="n">
        <x:v>0.4</x:v>
      </x:c>
      <x:c r="K2547" s="48" t="str">
        <x:v>Yes</x:v>
      </x:c>
      <x:c r="L2547" s="48" t="str">
        <x:v>OCR</x:v>
      </x:c>
    </x:row>
    <x:row r="2548">
      <x:c r="A2548" s="48" t="str">
        <x:v>UNI-2547</x:v>
      </x:c>
      <x:c r="B2548" s="48" t="str">
        <x:v>ORANGE</x:v>
      </x:c>
      <x:c r="C2548" s="48" t="str">
        <x:v>English</x:v>
      </x:c>
      <x:c r="D2548" s="48" t="n">
        <x:v>46</x:v>
      </x:c>
      <x:c r="E2548" s="48" t="str"/>
      <x:c r="F2548" s="48" t="str">
        <x:v>SSE Sewanee mes aie oe,</x:v>
      </x:c>
      <x:c r="G2548" s="48" t="str">
        <x:v>Obligation</x:v>
      </x:c>
      <x:c r="H2548" s="48" t="str">
        <x:v>Shared</x:v>
      </x:c>
      <x:c r="I2548" s="48" t="n">
        <x:v>0.45</x:v>
      </x:c>
      <x:c r="J2548" s="48" t="n">
        <x:v>0.4</x:v>
      </x:c>
      <x:c r="K2548" s="48" t="str">
        <x:v>Yes</x:v>
      </x:c>
      <x:c r="L2548" s="48" t="str">
        <x:v>OCR</x:v>
      </x:c>
    </x:row>
    <x:row r="2549">
      <x:c r="A2549" s="48" t="str">
        <x:v>UNI-2548</x:v>
      </x:c>
      <x:c r="B2549" s="48" t="str">
        <x:v>ORANGE</x:v>
      </x:c>
      <x:c r="C2549" s="48" t="str">
        <x:v>English</x:v>
      </x:c>
      <x:c r="D2549" s="48" t="n">
        <x:v>46</x:v>
      </x:c>
      <x:c r="E2549" s="48" t="str"/>
      <x:c r="F2549" s="48" t="str">
        <x:v>SUIT tig sumone oh Sic ul gis pad Heo</x:v>
      </x:c>
      <x:c r="G2549" s="48" t="str">
        <x:v>Obligation</x:v>
      </x:c>
      <x:c r="H2549" s="48" t="str">
        <x:v>Shared</x:v>
      </x:c>
      <x:c r="I2549" s="48" t="n">
        <x:v>0.45</x:v>
      </x:c>
      <x:c r="J2549" s="48" t="n">
        <x:v>0.4</x:v>
      </x:c>
      <x:c r="K2549" s="48" t="str">
        <x:v>Yes</x:v>
      </x:c>
      <x:c r="L2549" s="48" t="str">
        <x:v>OCR</x:v>
      </x:c>
    </x:row>
    <x:row r="2550">
      <x:c r="A2550" s="48" t="str">
        <x:v>UNI-2549</x:v>
      </x:c>
      <x:c r="B2550" s="48" t="str">
        <x:v>ORANGE</x:v>
      </x:c>
      <x:c r="C2550" s="48" t="str">
        <x:v>English</x:v>
      </x:c>
      <x:c r="D2550" s="48" t="n">
        <x:v>46</x:v>
      </x:c>
      <x:c r="E2550" s="48" t="str"/>
      <x:c r="F2550" s="48" t="str">
        <x:v>epee i itn rip tes</x:v>
      </x:c>
      <x:c r="G2550" s="48" t="str">
        <x:v>Obligation</x:v>
      </x:c>
      <x:c r="H2550" s="48" t="str">
        <x:v>Shared</x:v>
      </x:c>
      <x:c r="I2550" s="48" t="n">
        <x:v>0.45</x:v>
      </x:c>
      <x:c r="J2550" s="48" t="n">
        <x:v>0.4</x:v>
      </x:c>
      <x:c r="K2550" s="48" t="str">
        <x:v>Yes</x:v>
      </x:c>
      <x:c r="L2550" s="48" t="str">
        <x:v>OCR</x:v>
      </x:c>
    </x:row>
    <x:row r="2551">
      <x:c r="A2551" s="48" t="str">
        <x:v>UNI-2550</x:v>
      </x:c>
      <x:c r="B2551" s="48" t="str">
        <x:v>ORANGE</x:v>
      </x:c>
      <x:c r="C2551" s="48" t="str">
        <x:v>English</x:v>
      </x:c>
      <x:c r="D2551" s="48" t="n">
        <x:v>46</x:v>
      </x:c>
      <x:c r="E2551" s="48" t="str"/>
      <x:c r="F2551" s="48" t="str">
        <x:v>Tooter ae</x:v>
      </x:c>
      <x:c r="G2551" s="48" t="str">
        <x:v>Obligation</x:v>
      </x:c>
      <x:c r="H2551" s="48" t="str">
        <x:v>Shared</x:v>
      </x:c>
      <x:c r="I2551" s="48" t="n">
        <x:v>0.45</x:v>
      </x:c>
      <x:c r="J2551" s="48" t="n">
        <x:v>0.4</x:v>
      </x:c>
      <x:c r="K2551" s="48" t="str">
        <x:v>Yes</x:v>
      </x:c>
      <x:c r="L2551" s="48" t="str">
        <x:v>OCR</x:v>
      </x:c>
    </x:row>
    <x:row r="2552">
      <x:c r="A2552" s="48" t="str">
        <x:v>UNI-2551</x:v>
      </x:c>
      <x:c r="B2552" s="48" t="str">
        <x:v>ORANGE</x:v>
      </x:c>
      <x:c r="C2552" s="48" t="str">
        <x:v>English</x:v>
      </x:c>
      <x:c r="D2552" s="48" t="n">
        <x:v>46</x:v>
      </x:c>
      <x:c r="E2552" s="48" t="str"/>
      <x:c r="F2552" s="48" t="str">
        <x:v>SREug nore sae en</x:v>
      </x:c>
      <x:c r="G2552" s="48" t="str">
        <x:v>Obligation</x:v>
      </x:c>
      <x:c r="H2552" s="48" t="str">
        <x:v>Shared</x:v>
      </x:c>
      <x:c r="I2552" s="48" t="n">
        <x:v>0.45</x:v>
      </x:c>
      <x:c r="J2552" s="48" t="n">
        <x:v>0.4</x:v>
      </x:c>
      <x:c r="K2552" s="48" t="str">
        <x:v>Yes</x:v>
      </x:c>
      <x:c r="L2552" s="48" t="str">
        <x:v>OCR</x:v>
      </x:c>
    </x:row>
    <x:row r="2553">
      <x:c r="A2553" s="48" t="str">
        <x:v>UNI-2552</x:v>
      </x:c>
      <x:c r="B2553" s="48" t="str">
        <x:v>ORANGE</x:v>
      </x:c>
      <x:c r="C2553" s="48" t="str">
        <x:v>English</x:v>
      </x:c>
      <x:c r="D2553" s="48" t="n">
        <x:v>46</x:v>
      </x:c>
      <x:c r="E2553" s="48" t="str"/>
      <x:c r="F2553" s="48" t="str">
        <x:v>sect asec te</x:v>
      </x:c>
      <x:c r="G2553" s="48" t="str">
        <x:v>Obligation</x:v>
      </x:c>
      <x:c r="H2553" s="48" t="str">
        <x:v>Shared</x:v>
      </x:c>
      <x:c r="I2553" s="48" t="n">
        <x:v>0.45</x:v>
      </x:c>
      <x:c r="J2553" s="48" t="n">
        <x:v>0.4</x:v>
      </x:c>
      <x:c r="K2553" s="48" t="str">
        <x:v>Yes</x:v>
      </x:c>
      <x:c r="L2553" s="48" t="str">
        <x:v>OCR</x:v>
      </x:c>
    </x:row>
    <x:row r="2554">
      <x:c r="A2554" s="48" t="str">
        <x:v>UNI-2553</x:v>
      </x:c>
      <x:c r="B2554" s="48" t="str">
        <x:v>ORANGE</x:v>
      </x:c>
      <x:c r="C2554" s="48" t="str">
        <x:v>English</x:v>
      </x:c>
      <x:c r="D2554" s="48" t="n">
        <x:v>46</x:v>
      </x:c>
      <x:c r="E2554" s="48" t="str"/>
      <x:c r="F2554" s="48" t="str">
        <x:v>Seas oa erage</x:v>
      </x:c>
      <x:c r="G2554" s="48" t="str">
        <x:v>Obligation</x:v>
      </x:c>
      <x:c r="H2554" s="48" t="str">
        <x:v>Shared</x:v>
      </x:c>
      <x:c r="I2554" s="48" t="n">
        <x:v>0.45</x:v>
      </x:c>
      <x:c r="J2554" s="48" t="n">
        <x:v>0.4</x:v>
      </x:c>
      <x:c r="K2554" s="48" t="str">
        <x:v>Yes</x:v>
      </x:c>
      <x:c r="L2554" s="48" t="str">
        <x:v>OCR</x:v>
      </x:c>
    </x:row>
    <x:row r="2555">
      <x:c r="A2555" s="48" t="str">
        <x:v>UNI-2554</x:v>
      </x:c>
      <x:c r="B2555" s="48" t="str">
        <x:v>ORANGE</x:v>
      </x:c>
      <x:c r="C2555" s="48" t="str">
        <x:v>English</x:v>
      </x:c>
      <x:c r="D2555" s="48" t="n">
        <x:v>47</x:v>
      </x:c>
      <x:c r="E2555" s="48" t="str"/>
      <x:c r="F2555" s="48" t="str">
        <x:v>General IRS Fach insane ply sal be eset wih he nel terms are</x:v>
      </x:c>
      <x:c r="G2555" s="48" t="str">
        <x:v>Obligation</x:v>
      </x:c>
      <x:c r="H2555" s="48" t="str">
        <x:v>Shared</x:v>
      </x:c>
      <x:c r="I2555" s="48" t="n">
        <x:v>0.45</x:v>
      </x:c>
      <x:c r="J2555" s="48" t="n">
        <x:v>0.4</x:v>
      </x:c>
      <x:c r="K2555" s="48" t="str">
        <x:v>Yes</x:v>
      </x:c>
      <x:c r="L2555" s="48" t="str">
        <x:v>OCR</x:v>
      </x:c>
    </x:row>
    <x:row r="2556">
      <x:c r="A2556" s="48" t="str">
        <x:v>UNI-2555</x:v>
      </x:c>
      <x:c r="B2556" s="48" t="str">
        <x:v>ORANGE</x:v>
      </x:c>
      <x:c r="C2556" s="48" t="str">
        <x:v>English</x:v>
      </x:c>
      <x:c r="D2556" s="48" t="n">
        <x:v>47</x:v>
      </x:c>
      <x:c r="E2556" s="48" t="str"/>
      <x:c r="F2556" s="48" t="str">
        <x:v>arm, SNS ea on apo a ‘The Conacher pera std ne pent 10 ‘Tee ana in Caeser Dac) the Empey (a) evince at nuces dese in is Clase hn ee ced (0 coe of te poe fre irc eee Sab Clases 12a ‘When ech prio tas i th Comacor shal sii copy ects</x:v>
      </x:c>
      <x:c r="G2556" s="48" t="str">
        <x:v>Obligation</x:v>
      </x:c>
      <x:c r="H2556" s="48" t="str">
        <x:v>Shared</x:v>
      </x:c>
      <x:c r="I2556" s="48" t="n">
        <x:v>0.45</x:v>
      </x:c>
      <x:c r="J2556" s="48" t="n">
        <x:v>0.4</x:v>
      </x:c>
      <x:c r="K2556" s="48" t="str">
        <x:v>Yes</x:v>
      </x:c>
      <x:c r="L2556" s="48" t="str">
        <x:v>OCR</x:v>
      </x:c>
    </x:row>
    <x:row r="2557">
      <x:c r="A2557" s="48" t="str">
        <x:v>UNI-2556</x:v>
      </x:c>
      <x:c r="B2557" s="48" t="str">
        <x:v>ORANGE</x:v>
      </x:c>
      <x:c r="C2557" s="48" t="str">
        <x:v>English</x:v>
      </x:c>
      <x:c r="D2557" s="48" t="n">
        <x:v>47</x:v>
      </x:c>
      <x:c r="E2557" s="48" t="str"/>
      <x:c r="F2557" s="48" t="str">
        <x:v>Wise Empl The Gece seen pov sah ee</x:v>
      </x:c>
      <x:c r="G2557" s="48" t="str">
        <x:v>Obligation</x:v>
      </x:c>
      <x:c r="H2557" s="48" t="str">
        <x:v>Shared</x:v>
      </x:c>
      <x:c r="I2557" s="48" t="n">
        <x:v>0.45</x:v>
      </x:c>
      <x:c r="J2557" s="48" t="n">
        <x:v>0.4</x:v>
      </x:c>
      <x:c r="K2557" s="48" t="str">
        <x:v>Yes</x:v>
      </x:c>
      <x:c r="L2557" s="48" t="str">
        <x:v>OCR</x:v>
      </x:c>
    </x:row>
    <x:row r="2558">
      <x:c r="A2558" s="48" t="str">
        <x:v>UNI-2557</x:v>
      </x:c>
      <x:c r="B2558" s="48" t="str">
        <x:v>ORANGE</x:v>
      </x:c>
      <x:c r="C2558" s="48" t="str">
        <x:v>English</x:v>
      </x:c>
      <x:c r="D2558" s="48" t="n">
        <x:v>47</x:v>
      </x:c>
      <x:c r="E2558" s="48" t="str"/>
      <x:c r="F2558" s="48" t="str">
        <x:v>aa pln Empey ic empers Repose ‘eae. ‘he Coach espe with re inom pond by he ployer Eh oy ing a fuser damage ocr pms oe mae ithe (Srey nas ange ans edo on le fete mete hor doa “The Corte i ager the Epo) sal comply wth he</x:v>
      </x:c>
      <x:c r="G2558" s="48" t="str">
        <x:v>Obligation</x:v>
      </x:c>
      <x:c r="H2558" s="48" t="str">
        <x:v>Shared</x:v>
      </x:c>
      <x:c r="I2558" s="48" t="n">
        <x:v>0.45</x:v>
      </x:c>
      <x:c r="J2558" s="48" t="n">
        <x:v>0.4</x:v>
      </x:c>
      <x:c r="K2558" s="48" t="str">
        <x:v>Yes</x:v>
      </x:c>
      <x:c r="L2558" s="48" t="str">
        <x:v>OCR</x:v>
      </x:c>
    </x:row>
    <x:row r="2559">
      <x:c r="A2559" s="48" t="str">
        <x:v>UNI-2558</x:v>
      </x:c>
      <x:c r="B2559" s="48" t="str">
        <x:v>ORANGE</x:v>
      </x:c>
      <x:c r="C2559" s="48" t="str">
        <x:v>English</x:v>
      </x:c>
      <x:c r="D2559" s="48" t="n">
        <x:v>47</x:v>
      </x:c>
      <x:c r="E2559" s="48" t="str"/>
      <x:c r="F2559" s="48" t="str">
        <x:v>Desert eee ee ree eae</x:v>
      </x:c>
      <x:c r="G2559" s="48" t="str">
        <x:v>Obligation</x:v>
      </x:c>
      <x:c r="H2559" s="48" t="str">
        <x:v>Shared</x:v>
      </x:c>
      <x:c r="I2559" s="48" t="n">
        <x:v>0.45</x:v>
      </x:c>
      <x:c r="J2559" s="48" t="n">
        <x:v>0.4</x:v>
      </x:c>
      <x:c r="K2559" s="48" t="str">
        <x:v>Yes</x:v>
      </x:c>
      <x:c r="L2559" s="48" t="str">
        <x:v>OCR</x:v>
      </x:c>
    </x:row>
    <x:row r="2560">
      <x:c r="A2560" s="48" t="str">
        <x:v>UNI-2559</x:v>
      </x:c>
      <x:c r="B2560" s="48" t="str">
        <x:v>ORANGE</x:v>
      </x:c>
      <x:c r="C2560" s="48" t="str">
        <x:v>English</x:v>
      </x:c>
      <x:c r="D2560" s="48" t="n">
        <x:v>47</x:v>
      </x:c>
      <x:c r="E2560" s="48" t="str"/>
      <x:c r="F2560" s="48" t="str">
        <x:v>‘sakes it seas a once sit ep</x:v>
      </x:c>
      <x:c r="G2560" s="48" t="str">
        <x:v>Obligation</x:v>
      </x:c>
      <x:c r="H2560" s="48" t="str">
        <x:v>Shared</x:v>
      </x:c>
      <x:c r="I2560" s="48" t="n">
        <x:v>0.45</x:v>
      </x:c>
      <x:c r="J2560" s="48" t="n">
        <x:v>0.4</x:v>
      </x:c>
      <x:c r="K2560" s="48" t="str">
        <x:v>Yes</x:v>
      </x:c>
      <x:c r="L2560" s="48" t="str">
        <x:v>OCR</x:v>
      </x:c>
    </x:row>
    <x:row r="2561">
      <x:c r="A2561" s="48" t="str">
        <x:v>UNI-2560</x:v>
      </x:c>
      <x:c r="B2561" s="48" t="str">
        <x:v>ORANGE</x:v>
      </x:c>
      <x:c r="C2561" s="48" t="str">
        <x:v>English</x:v>
      </x:c>
      <x:c r="D2561" s="48" t="n">
        <x:v>47</x:v>
      </x:c>
      <x:c r="E2561" s="48" t="str"/>
      <x:c r="F2561" s="48" t="str">
        <x:v>Iv tthe Eger ian a mae ers ab)</x:v>
      </x:c>
      <x:c r="G2561" s="48" t="str">
        <x:v>Obligation</x:v>
      </x:c>
      <x:c r="H2561" s="48" t="str">
        <x:v>Shared</x:v>
      </x:c>
      <x:c r="I2561" s="48" t="n">
        <x:v>0.45</x:v>
      </x:c>
      <x:c r="J2561" s="48" t="n">
        <x:v>0.4</x:v>
      </x:c>
      <x:c r="K2561" s="48" t="str">
        <x:v>Yes</x:v>
      </x:c>
      <x:c r="L2561" s="48" t="str">
        <x:v>OCR</x:v>
      </x:c>
    </x:row>
    <x:row r="2562">
      <x:c r="A2562" s="48" t="str">
        <x:v>UNI-2561</x:v>
      </x:c>
      <x:c r="B2562" s="48" t="str">
        <x:v>ORANGE</x:v>
      </x:c>
      <x:c r="C2562" s="48" t="str">
        <x:v>English</x:v>
      </x:c>
      <x:c r="D2562" s="48" t="n">
        <x:v>47</x:v>
      </x:c>
      <x:c r="E2562" s="48" t="str"/>
      <x:c r="F2562" s="48" t="str">
        <x:v>‘Meine he chatacrsal soly he ply nme he Cnc al ea ay of ian ‘le oe Cha of pve tne prs and ey in ncorlant wi i SbCl te Ener oy. ibout meat ee el py pene Suh pay alk {oat am Cnr yyy eres he iar tom ty mes dro bn Coie ‘Noting in his Chav ii hips, aii opens oth ‘Connor oe mle ner oer ers fh Coma or oer</x:v>
      </x:c>
      <x:c r="G2562" s="48" t="str">
        <x:v>Obligation</x:v>
      </x:c>
      <x:c r="H2562" s="48" t="str">
        <x:v>Shared</x:v>
      </x:c>
      <x:c r="I2562" s="48" t="n">
        <x:v>0.45</x:v>
      </x:c>
      <x:c r="J2562" s="48" t="n">
        <x:v>0.4</x:v>
      </x:c>
      <x:c r="K2562" s="48" t="str">
        <x:v>Yes</x:v>
      </x:c>
      <x:c r="L2562" s="48" t="str">
        <x:v>OCR</x:v>
      </x:c>
    </x:row>
    <x:row r="2563">
      <x:c r="A2563" s="48" t="str">
        <x:v>UNI-2562</x:v>
      </x:c>
      <x:c r="B2563" s="48" t="str">
        <x:v>ORANGE</x:v>
      </x:c>
      <x:c r="C2563" s="48" t="str">
        <x:v>English</x:v>
      </x:c>
      <x:c r="D2563" s="48" t="n">
        <x:v>47</x:v>
      </x:c>
      <x:c r="E2563" s="48" t="str"/>
      <x:c r="F2563" s="48" t="str">
        <x:v>Sopcast th aes be ae</x:v>
      </x:c>
      <x:c r="G2563" s="48" t="str">
        <x:v>Obligation</x:v>
      </x:c>
      <x:c r="H2563" s="48" t="str">
        <x:v>Shared</x:v>
      </x:c>
      <x:c r="I2563" s="48" t="n">
        <x:v>0.45</x:v>
      </x:c>
      <x:c r="J2563" s="48" t="n">
        <x:v>0.4</x:v>
      </x:c>
      <x:c r="K2563" s="48" t="str">
        <x:v>Yes</x:v>
      </x:c>
      <x:c r="L2563" s="48" t="str">
        <x:v>OCR</x:v>
      </x:c>
    </x:row>
    <x:row r="2564">
      <x:c r="A2564" s="48" t="str">
        <x:v>UNI-2563</x:v>
      </x:c>
      <x:c r="B2564" s="48" t="str">
        <x:v>ORANGE</x:v>
      </x:c>
      <x:c r="C2564" s="48" t="str">
        <x:v>English</x:v>
      </x:c>
      <x:c r="D2564" s="48" t="n">
        <x:v>47</x:v>
      </x:c>
      <x:c r="E2564" s="48" t="str"/>
      <x:c r="F2564" s="48" t="str">
        <x:v>‘80 Gaon andthe Epon set</x:v>
      </x:c>
      <x:c r="G2564" s="48" t="str">
        <x:v>Obligation</x:v>
      </x:c>
      <x:c r="H2564" s="48" t="str">
        <x:v>Shared</x:v>
      </x:c>
      <x:c r="I2564" s="48" t="n">
        <x:v>0.45</x:v>
      </x:c>
      <x:c r="J2564" s="48" t="n">
        <x:v>0.4</x:v>
      </x:c>
      <x:c r="K2564" s="48" t="str">
        <x:v>Yes</x:v>
      </x:c>
      <x:c r="L2564" s="48" t="str">
        <x:v>OCR</x:v>
      </x:c>
    </x:row>
    <x:row r="2565">
      <x:c r="A2565" s="48" t="str">
        <x:v>UNI-2564</x:v>
      </x:c>
      <x:c r="B2565" s="48" t="str">
        <x:v>ORANGE</x:v>
      </x:c>
      <x:c r="C2565" s="48" t="str">
        <x:v>English</x:v>
      </x:c>
      <x:c r="D2565" s="48" t="n">
        <x:v>47</x:v>
      </x:c>
      <x:c r="E2565" s="48" t="str"/>
      <x:c r="F2565" s="48" t="str">
        <x:v>Deition of Farce 181 os Cle,“ mae” eas an vet atte ce fe ‘Sigecre |"!</x:v>
      </x:c>
      <x:c r="G2565" s="48" t="str">
        <x:v>Obligation</x:v>
      </x:c>
      <x:c r="H2565" s="48" t="str">
        <x:v>Shared</x:v>
      </x:c>
      <x:c r="I2565" s="48" t="n">
        <x:v>0.45</x:v>
      </x:c>
      <x:c r="J2565" s="48" t="n">
        <x:v>0.4</x:v>
      </x:c>
      <x:c r="K2565" s="48" t="str">
        <x:v>Yes</x:v>
      </x:c>
      <x:c r="L2565" s="48" t="str">
        <x:v>OCR</x:v>
      </x:c>
    </x:row>
    <x:row r="2566">
      <x:c r="A2566" s="48" t="str">
        <x:v>UNI-2565</x:v>
      </x:c>
      <x:c r="B2566" s="48" t="str">
        <x:v>ORANGE</x:v>
      </x:c>
      <x:c r="C2566" s="48" t="str">
        <x:v>English</x:v>
      </x:c>
      <x:c r="D2566" s="48" t="n">
        <x:v>47</x:v>
      </x:c>
      <x:c r="E2566" s="48" t="str"/>
      <x:c r="F2566" s="48" t="str">
        <x:v>Epler anit Counc, chaste ay tepevtrninlng ba mt ied () aot os, (0) mu sis what wa be decd rt) oan a of on ‘Senescing (© ttn, lak, seo, mayo wap owe, of (a) entation by ctv om ay rc ee any ae.</x:v>
      </x:c>
      <x:c r="G2566" s="48" t="str">
        <x:v>Obligation</x:v>
      </x:c>
      <x:c r="H2566" s="48" t="str">
        <x:v>Shared</x:v>
      </x:c>
      <x:c r="I2566" s="48" t="n">
        <x:v>0.45</x:v>
      </x:c>
      <x:c r="J2566" s="48" t="n">
        <x:v>0.4</x:v>
      </x:c>
      <x:c r="K2566" s="48" t="str">
        <x:v>Yes</x:v>
      </x:c>
      <x:c r="L2566" s="48" t="str">
        <x:v>OCR</x:v>
      </x:c>
    </x:row>
    <x:row r="2567">
      <x:c r="A2567" s="48" t="str">
        <x:v>UNI-2566</x:v>
      </x:c>
      <x:c r="B2567" s="48" t="str">
        <x:v>ORANGE</x:v>
      </x:c>
      <x:c r="C2567" s="48" t="str">
        <x:v>English</x:v>
      </x:c>
      <x:c r="D2567" s="48" t="n">
        <x:v>47</x:v>
      </x:c>
      <x:c r="E2567" s="48" t="str"/>
      <x:c r="F2567" s="48" t="str">
        <x:v>Sinan enn cece eo tee eape ot</x:v>
      </x:c>
      <x:c r="G2567" s="48" t="str">
        <x:v>Obligation</x:v>
      </x:c>
      <x:c r="H2567" s="48" t="str">
        <x:v>Shared</x:v>
      </x:c>
      <x:c r="I2567" s="48" t="n">
        <x:v>0.45</x:v>
      </x:c>
      <x:c r="J2567" s="48" t="n">
        <x:v>0.4</x:v>
      </x:c>
      <x:c r="K2567" s="48" t="str">
        <x:v>Yes</x:v>
      </x:c>
      <x:c r="L2567" s="48" t="str">
        <x:v>OCR</x:v>
      </x:c>
    </x:row>
    <x:row r="2568">
      <x:c r="A2568" s="48" t="str">
        <x:v>UNI-2567</x:v>
      </x:c>
      <x:c r="B2568" s="48" t="str">
        <x:v>ORANGE</x:v>
      </x:c>
      <x:c r="C2568" s="48" t="str">
        <x:v>English</x:v>
      </x:c>
      <x:c r="D2568" s="48" t="n">
        <x:v>47</x:v>
      </x:c>
      <x:c r="E2568" s="48" t="str"/>
      <x:c r="F2568" s="48" t="str">
        <x:v>‘er haous peer ny env mcr aero mile ‘ponte le or</x:v>
      </x:c>
      <x:c r="G2568" s="48" t="str">
        <x:v>Obligation</x:v>
      </x:c>
      <x:c r="H2568" s="48" t="str">
        <x:v>Shared</x:v>
      </x:c>
      <x:c r="I2568" s="48" t="n">
        <x:v>0.45</x:v>
      </x:c>
      <x:c r="J2568" s="48" t="n">
        <x:v>0.4</x:v>
      </x:c>
      <x:c r="K2568" s="48" t="str">
        <x:v>Yes</x:v>
      </x:c>
      <x:c r="L2568" s="48" t="str">
        <x:v>OCR</x:v>
      </x:c>
    </x:row>
    <x:row r="2569">
      <x:c r="A2569" s="48" t="str">
        <x:v>UNI-2568</x:v>
      </x:c>
      <x:c r="B2569" s="48" t="str">
        <x:v>ORANGE</x:v>
      </x:c>
      <x:c r="C2569" s="48" t="str">
        <x:v>English</x:v>
      </x:c>
      <x:c r="D2569" s="48" t="n">
        <x:v>48</x:v>
      </x:c>
      <x:c r="E2569" s="48" t="str"/>
      <x:c r="F2569" s="48" t="str">
        <x:v>ey et commotion ets, le sey esc empayes fe</x:v>
      </x:c>
      <x:c r="G2569" s="48" t="str">
        <x:v>Obligation</x:v>
      </x:c>
      <x:c r="H2569" s="48" t="str">
        <x:v>Shared</x:v>
      </x:c>
      <x:c r="I2569" s="48" t="n">
        <x:v>0.45</x:v>
      </x:c>
      <x:c r="J2569" s="48" t="n">
        <x:v>0.4</x:v>
      </x:c>
      <x:c r="K2569" s="48" t="str">
        <x:v>Yes</x:v>
      </x:c>
      <x:c r="L2569" s="48" t="str">
        <x:v>OCR</x:v>
      </x:c>
    </x:row>
    <x:row r="2570">
      <x:c r="A2570" s="48" t="str">
        <x:v>UNI-2569</x:v>
      </x:c>
      <x:c r="B2570" s="48" t="str">
        <x:v>ORANGE</x:v>
      </x:c>
      <x:c r="C2570" s="48" t="str">
        <x:v>English</x:v>
      </x:c>
      <x:c r="D2570" s="48" t="n">
        <x:v>48</x:v>
      </x:c>
      <x:c r="E2570" s="48" t="str"/>
      <x:c r="F2570" s="48" t="str">
        <x:v>Shona orate Sahoo</x:v>
      </x:c>
      <x:c r="G2570" s="48" t="str">
        <x:v>Obligation</x:v>
      </x:c>
      <x:c r="H2570" s="48" t="str">
        <x:v>Shared</x:v>
      </x:c>
      <x:c r="I2570" s="48" t="n">
        <x:v>0.45</x:v>
      </x:c>
      <x:c r="J2570" s="48" t="n">
        <x:v>0.4</x:v>
      </x:c>
      <x:c r="K2570" s="48" t="str">
        <x:v>Yes</x:v>
      </x:c>
      <x:c r="L2570" s="48" t="str">
        <x:v>OCR</x:v>
      </x:c>
    </x:row>
    <x:row r="2571">
      <x:c r="A2571" s="48" t="str">
        <x:v>UNI-2570</x:v>
      </x:c>
      <x:c r="B2571" s="48" t="str">
        <x:v>ORANGE</x:v>
      </x:c>
      <x:c r="C2571" s="48" t="str">
        <x:v>English</x:v>
      </x:c>
      <x:c r="D2571" s="48" t="n">
        <x:v>48</x:v>
      </x:c>
      <x:c r="E2571" s="48" t="str"/>
      <x:c r="F2571" s="48" t="str">
        <x:v>meat ace 192.</x:v>
      </x:c>
      <x:c r="G2571" s="48" t="str">
        <x:v>Obligation</x:v>
      </x:c>
      <x:c r="H2571" s="48" t="str">
        <x:v>Shared</x:v>
      </x:c>
      <x:c r="I2571" s="48" t="n">
        <x:v>0.45</x:v>
      </x:c>
      <x:c r="J2571" s="48" t="n">
        <x:v>0.4</x:v>
      </x:c>
      <x:c r="K2571" s="48" t="str">
        <x:v>Yes</x:v>
      </x:c>
      <x:c r="L2571" s="48" t="str">
        <x:v>OCR</x:v>
      </x:c>
    </x:row>
    <x:row r="2572">
      <x:c r="A2572" s="48" t="str">
        <x:v>UNI-2571</x:v>
      </x:c>
      <x:c r="B2572" s="48" t="str">
        <x:v>ORANGE</x:v>
      </x:c>
      <x:c r="C2572" s="48" t="str">
        <x:v>English</x:v>
      </x:c>
      <x:c r="D2572" s="48" t="n">
        <x:v>48</x:v>
      </x:c>
      <x:c r="E2572" s="48" t="str"/>
      <x:c r="F2572" s="48" t="str">
        <x:v>Nether be Ene fr me Crm sl oun al matters 92 ep ween ee ar pom of tam ray</x:v>
      </x:c>
      <x:c r="G2572" s="48" t="str">
        <x:v>Obligation</x:v>
      </x:c>
      <x:c r="H2572" s="48" t="str">
        <x:v>Shared</x:v>
      </x:c>
      <x:c r="I2572" s="48" t="n">
        <x:v>0.45</x:v>
      </x:c>
      <x:c r="J2572" s="48" t="n">
        <x:v>0.4</x:v>
      </x:c>
      <x:c r="K2572" s="48" t="str">
        <x:v>Yes</x:v>
      </x:c>
      <x:c r="L2572" s="48" t="str">
        <x:v>OCR</x:v>
      </x:c>
    </x:row>
    <x:row r="2573">
      <x:c r="A2573" s="48" t="str">
        <x:v>UNI-2572</x:v>
      </x:c>
      <x:c r="B2573" s="48" t="str">
        <x:v>ORANGE</x:v>
      </x:c>
      <x:c r="C2573" s="48" t="str">
        <x:v>English</x:v>
      </x:c>
      <x:c r="D2573" s="48" t="n">
        <x:v>48</x:v>
      </x:c>
      <x:c r="E2573" s="48" t="str"/>
      <x:c r="F2573" s="48" t="str">
        <x:v>Satu whch arn sr eh De</x:v>
      </x:c>
      <x:c r="G2573" s="48" t="str">
        <x:v>Obligation</x:v>
      </x:c>
      <x:c r="H2573" s="48" t="str">
        <x:v>Shared</x:v>
      </x:c>
      <x:c r="I2573" s="48" t="n">
        <x:v>0.45</x:v>
      </x:c>
      <x:c r="J2573" s="48" t="n">
        <x:v>0.4</x:v>
      </x:c>
      <x:c r="K2573" s="48" t="str">
        <x:v>Yes</x:v>
      </x:c>
      <x:c r="L2573" s="48" t="str">
        <x:v>OCR</x:v>
      </x:c>
    </x:row>
    <x:row r="2574">
      <x:c r="A2574" s="48" t="str">
        <x:v>UNI-2573</x:v>
      </x:c>
      <x:c r="B2574" s="48" t="str">
        <x:v>ORANGE</x:v>
      </x:c>
      <x:c r="C2574" s="48" t="str">
        <x:v>English</x:v>
      </x:c>
      <x:c r="D2574" s="48" t="n">
        <x:v>48</x:v>
      </x:c>
      <x:c r="E2574" s="48" t="str"/>
      <x:c r="F2574" s="48" t="str">
        <x:v>contrat 193 Upon occ fm et mploers 194 Up comes ofan eet nied yh pin cai os agency se earanc thse sl ot epnsnaty mee ape Cocina he yer Reprenae and sal ender ‘snl pce.</x:v>
      </x:c>
      <x:c r="G2574" s="48" t="str">
        <x:v>Obligation</x:v>
      </x:c>
      <x:c r="H2574" s="48" t="str">
        <x:v>Shared</x:v>
      </x:c>
      <x:c r="I2574" s="48" t="n">
        <x:v>0.45</x:v>
      </x:c>
      <x:c r="J2574" s="48" t="n">
        <x:v>0.4</x:v>
      </x:c>
      <x:c r="K2574" s="48" t="str">
        <x:v>Yes</x:v>
      </x:c>
      <x:c r="L2574" s="48" t="str">
        <x:v>OCR</x:v>
      </x:c>
    </x:row>
    <x:row r="2575">
      <x:c r="A2575" s="48" t="str">
        <x:v>UNI-2574</x:v>
      </x:c>
      <x:c r="B2575" s="48" t="str">
        <x:v>ORANGE</x:v>
      </x:c>
      <x:c r="C2575" s="48" t="str">
        <x:v>English</x:v>
      </x:c>
      <x:c r="D2575" s="48" t="n">
        <x:v>48</x:v>
      </x:c>
      <x:c r="E2575" s="48" t="str"/>
      <x:c r="F2575" s="48" t="str">
        <x:v>Te epee be Empat Conn. ayment to 195. te lsconmpne ts map Nea alt a Tamu 5 Goscarhalt eed iobnelaouan anim mere cea,</x:v>
      </x:c>
      <x:c r="G2575" s="48" t="str">
        <x:v>Obligation</x:v>
      </x:c>
      <x:c r="H2575" s="48" t="str">
        <x:v>Shared</x:v>
      </x:c>
      <x:c r="I2575" s="48" t="n">
        <x:v>0.45</x:v>
      </x:c>
      <x:c r="J2575" s="48" t="n">
        <x:v>0.4</x:v>
      </x:c>
      <x:c r="K2575" s="48" t="str">
        <x:v>Yes</x:v>
      </x:c>
      <x:c r="L2575" s="48" t="str">
        <x:v>OCR</x:v>
      </x:c>
    </x:row>
    <x:row r="2576">
      <x:c r="A2576" s="48" t="str">
        <x:v>UNI-2575</x:v>
      </x:c>
      <x:c r="B2576" s="48" t="str">
        <x:v>ORANGE</x:v>
      </x:c>
      <x:c r="C2576" s="48" t="str">
        <x:v>English</x:v>
      </x:c>
      <x:c r="D2576" s="48" t="n">
        <x:v>48</x:v>
      </x:c>
      <x:c r="E2576" s="48" t="str"/>
      <x:c r="F2576" s="48" t="str">
        <x:v>Serena eh curondn cone wih te Coc poy ee</x:v>
      </x:c>
      <x:c r="G2576" s="48" t="str">
        <x:v>Obligation</x:v>
      </x:c>
      <x:c r="H2576" s="48" t="str">
        <x:v>Shared</x:v>
      </x:c>
      <x:c r="I2576" s="48" t="n">
        <x:v>0.45</x:v>
      </x:c>
      <x:c r="J2576" s="48" t="n">
        <x:v>0.4</x:v>
      </x:c>
      <x:c r="K2576" s="48" t="str">
        <x:v>Yes</x:v>
      </x:c>
      <x:c r="L2576" s="48" t="str">
        <x:v>OCR</x:v>
      </x:c>
    </x:row>
    <x:row r="2577">
      <x:c r="A2577" s="48" t="str">
        <x:v>UNI-2576</x:v>
      </x:c>
      <x:c r="B2577" s="48" t="str">
        <x:v>ORANGE</x:v>
      </x:c>
      <x:c r="C2577" s="48" t="str">
        <x:v>English</x:v>
      </x:c>
      <x:c r="D2577" s="48" t="n">
        <x:v>48</x:v>
      </x:c>
      <x:c r="E2577" s="48" t="str"/>
      <x:c r="F2577" s="48" t="str">
        <x:v>Cn ie Conner acu Cou coma wi,</x:v>
      </x:c>
      <x:c r="G2577" s="48" t="str">
        <x:v>Obligation</x:v>
      </x:c>
      <x:c r="H2577" s="48" t="str">
        <x:v>Shared</x:v>
      </x:c>
      <x:c r="I2577" s="48" t="n">
        <x:v>0.45</x:v>
      </x:c>
      <x:c r="J2577" s="48" t="n">
        <x:v>0.4</x:v>
      </x:c>
      <x:c r="K2577" s="48" t="str">
        <x:v>Yes</x:v>
      </x:c>
      <x:c r="L2577" s="48" t="str">
        <x:v>OCR</x:v>
      </x:c>
    </x:row>
    <x:row r="2578">
      <x:c r="A2578" s="48" t="str">
        <x:v>UNI-2577</x:v>
      </x:c>
      <x:c r="B2578" s="48" t="str">
        <x:v>ORANGE</x:v>
      </x:c>
      <x:c r="C2578" s="48" t="str">
        <x:v>English</x:v>
      </x:c>
      <x:c r="D2578" s="48" t="n">
        <x:v>48</x:v>
      </x:c>
      <x:c r="E2578" s="48" t="str"/>
      <x:c r="F2578" s="48" t="str">
        <x:v>Se i itn Com alte deerined by the Empl</x:v>
      </x:c>
      <x:c r="G2578" s="48" t="str">
        <x:v>Obligation</x:v>
      </x:c>
      <x:c r="H2578" s="48" t="str">
        <x:v>Shared</x:v>
      </x:c>
      <x:c r="I2578" s="48" t="n">
        <x:v>0.45</x:v>
      </x:c>
      <x:c r="J2578" s="48" t="n">
        <x:v>0.4</x:v>
      </x:c>
      <x:c r="K2578" s="48" t="str">
        <x:v>Yes</x:v>
      </x:c>
      <x:c r="L2578" s="48" t="str">
        <x:v>OCR</x:v>
      </x:c>
    </x:row>
    <x:row r="2579">
      <x:c r="A2579" s="48" t="str">
        <x:v>UNI-2578</x:v>
      </x:c>
      <x:c r="B2579" s="48" t="str">
        <x:v>ORANGE</x:v>
      </x:c>
      <x:c r="C2579" s="48" t="str">
        <x:v>English</x:v>
      </x:c>
      <x:c r="D2579" s="48" t="n">
        <x:v>48</x:v>
      </x:c>
      <x:c r="E2579" s="48" t="str"/>
      <x:c r="F2579" s="48" t="str">
        <x:v>Sean age ie oven of ohh 3 a hall</x:v>
      </x:c>
      <x:c r="G2579" s="48" t="str">
        <x:v>Obligation</x:v>
      </x:c>
      <x:c r="H2579" s="48" t="str">
        <x:v>Shared</x:v>
      </x:c>
      <x:c r="I2579" s="48" t="n">
        <x:v>0.45</x:v>
      </x:c>
      <x:c r="J2579" s="48" t="n">
        <x:v>0.4</x:v>
      </x:c>
      <x:c r="K2579" s="48" t="str">
        <x:v>Yes</x:v>
      </x:c>
      <x:c r="L2579" s="48" t="str">
        <x:v>OCR</x:v>
      </x:c>
    </x:row>
    <x:row r="2580">
      <x:c r="A2580" s="48" t="str">
        <x:v>UNI-2579</x:v>
      </x:c>
      <x:c r="B2580" s="48" t="str">
        <x:v>ORANGE</x:v>
      </x:c>
      <x:c r="C2580" s="48" t="str">
        <x:v>English</x:v>
      </x:c>
      <x:c r="D2580" s="48" t="n">
        <x:v>48</x:v>
      </x:c>
      <x:c r="E2580" s="48" t="str"/>
      <x:c r="F2580" s="48" t="str">
        <x:v>Nia se Comat ice</x:v>
      </x:c>
      <x:c r="G2580" s="48" t="str">
        <x:v>Obligation</x:v>
      </x:c>
      <x:c r="H2580" s="48" t="str">
        <x:v>Shared</x:v>
      </x:c>
      <x:c r="I2580" s="48" t="n">
        <x:v>0.45</x:v>
      </x:c>
      <x:c r="J2580" s="48" t="n">
        <x:v>0.4</x:v>
      </x:c>
      <x:c r="K2580" s="48" t="str">
        <x:v>Yes</x:v>
      </x:c>
      <x:c r="L2580" s="48" t="str">
        <x:v>OCR</x:v>
      </x:c>
    </x:row>
    <x:row r="2581">
      <x:c r="A2581" s="48" t="str">
        <x:v>UNI-2580</x:v>
      </x:c>
      <x:c r="B2581" s="48" t="str">
        <x:v>ORANGE</x:v>
      </x:c>
      <x:c r="C2581" s="48" t="str">
        <x:v>English</x:v>
      </x:c>
      <x:c r="D2581" s="48" t="n">
        <x:v>48</x:v>
      </x:c>
      <x:c r="E2581" s="48" t="str"/>
      <x:c r="F2581" s="48" t="str">
        <x:v>COplot 126 traps ny xenon foe mr ee rn Ghnn 1 ress pil ef 5 yc he Ene the Cas ca suc al eft ay yet aed wwe a ee ac wc i wie By pein thee?</x:v>
      </x:c>
      <x:c r="G2581" s="48" t="str">
        <x:v>Obligation</x:v>
      </x:c>
      <x:c r="H2581" s="48" t="str">
        <x:v>Shared</x:v>
      </x:c>
      <x:c r="I2581" s="48" t="n">
        <x:v>0.45</x:v>
      </x:c>
      <x:c r="J2581" s="48" t="n">
        <x:v>0.4</x:v>
      </x:c>
      <x:c r="K2581" s="48" t="str">
        <x:v>Yes</x:v>
      </x:c>
      <x:c r="L2581" s="48" t="str">
        <x:v>OCR</x:v>
      </x:c>
    </x:row>
    <x:row r="2582">
      <x:c r="A2582" s="48" t="str">
        <x:v>UNI-2581</x:v>
      </x:c>
      <x:c r="B2582" s="48" t="str">
        <x:v>ORANGE</x:v>
      </x:c>
      <x:c r="C2582" s="48" t="str">
        <x:v>English</x:v>
      </x:c>
      <x:c r="D2582" s="48" t="n">
        <x:v>48</x:v>
      </x:c>
      <x:c r="E2582" s="48" t="str"/>
      <x:c r="F2582" s="48" t="str">
        <x:v>SEE ESShes comes he Ore all rina the Cet</x:v>
      </x:c>
      <x:c r="G2582" s="48" t="str">
        <x:v>Obligation</x:v>
      </x:c>
      <x:c r="H2582" s="48" t="str">
        <x:v>Shared</x:v>
      </x:c>
      <x:c r="I2582" s="48" t="n">
        <x:v>0.45</x:v>
      </x:c>
      <x:c r="J2582" s="48" t="n">
        <x:v>0.4</x:v>
      </x:c>
      <x:c r="K2582" s="48" t="str">
        <x:v>Yes</x:v>
      </x:c>
      <x:c r="L2582" s="48" t="str">
        <x:v>OCR</x:v>
      </x:c>
    </x:row>
    <x:row r="2583">
      <x:c r="A2583" s="48" t="str">
        <x:v>UNI-2582</x:v>
      </x:c>
      <x:c r="B2583" s="48" t="str">
        <x:v>ORANGE</x:v>
      </x:c>
      <x:c r="C2583" s="48" t="str">
        <x:v>English</x:v>
      </x:c>
      <x:c r="D2583" s="48" t="n">
        <x:v>48</x:v>
      </x:c>
      <x:c r="E2583" s="48" t="str"/>
      <x:c r="F2583" s="48" t="str">
        <x:v>I ee uC, Suche 2 or Sb-Cl 163, ‘ct cea all rman the wae ote wk dos 2 tenant le ray work ai wR PE ee ‘seco (o) oe Cov of Pant ant Maine ort Wars hich ave He</x:v>
      </x:c>
      <x:c r="G2583" s="48" t="str">
        <x:v>Obligation</x:v>
      </x:c>
      <x:c r="H2583" s="48" t="str">
        <x:v>Shared</x:v>
      </x:c>
      <x:c r="I2583" s="48" t="n">
        <x:v>0.45</x:v>
      </x:c>
      <x:c r="J2583" s="48" t="n">
        <x:v>0.4</x:v>
      </x:c>
      <x:c r="K2583" s="48" t="str">
        <x:v>Yes</x:v>
      </x:c>
      <x:c r="L2583" s="48" t="str">
        <x:v>OCR</x:v>
      </x:c>
    </x:row>
    <x:row r="2584">
      <x:c r="A2584" s="48" t="str">
        <x:v>UNI-2583</x:v>
      </x:c>
      <x:c r="B2584" s="48" t="str">
        <x:v>ORANGE</x:v>
      </x:c>
      <x:c r="C2584" s="48" t="str">
        <x:v>English</x:v>
      </x:c>
      <x:c r="D2584" s="48" t="n">
        <x:v>48</x:v>
      </x:c>
      <x:c r="E2584" s="48" t="str"/>
      <x:c r="F2584" s="48" t="str">
        <x:v>CoS Ear oro atc he Cetra abi a</x:v>
      </x:c>
      <x:c r="G2584" s="48" t="str">
        <x:v>Obligation</x:v>
      </x:c>
      <x:c r="H2584" s="48" t="str">
        <x:v>Shared</x:v>
      </x:c>
      <x:c r="I2584" s="48" t="n">
        <x:v>0.45</x:v>
      </x:c>
      <x:c r="J2584" s="48" t="n">
        <x:v>0.4</x:v>
      </x:c>
      <x:c r="K2584" s="48" t="str">
        <x:v>Yes</x:v>
      </x:c>
      <x:c r="L2584" s="48" t="str">
        <x:v>OCR</x:v>
      </x:c>
    </x:row>
    <x:row r="2585">
      <x:c r="A2585" s="48" t="str">
        <x:v>UNI-2584</x:v>
      </x:c>
      <x:c r="B2585" s="48" t="str">
        <x:v>ORANGE</x:v>
      </x:c>
      <x:c r="C2585" s="48" t="str">
        <x:v>English</x:v>
      </x:c>
      <x:c r="D2585" s="48" t="n">
        <x:v>48</x:v>
      </x:c>
      <x:c r="E2585" s="48" t="str"/>
      <x:c r="F2585" s="48" t="str">
        <x:v>sence nt Mca eth opty of an</x:v>
      </x:c>
      <x:c r="G2585" s="48" t="str">
        <x:v>Obligation</x:v>
      </x:c>
      <x:c r="H2585" s="48" t="str">
        <x:v>Shared</x:v>
      </x:c>
      <x:c r="I2585" s="48" t="n">
        <x:v>0.45</x:v>
      </x:c>
      <x:c r="J2585" s="48" t="n">
        <x:v>0.4</x:v>
      </x:c>
      <x:c r="K2585" s="48" t="str">
        <x:v>Yes</x:v>
      </x:c>
      <x:c r="L2585" s="48" t="str">
        <x:v>OCR</x:v>
      </x:c>
    </x:row>
    <x:row r="2586">
      <x:c r="A2586" s="48" t="str">
        <x:v>UNI-2585</x:v>
      </x:c>
      <x:c r="B2586" s="48" t="str">
        <x:v>ORANGE</x:v>
      </x:c>
      <x:c r="C2586" s="48" t="str">
        <x:v>English</x:v>
      </x:c>
      <x:c r="D2586" s="48" t="n">
        <x:v>48</x:v>
      </x:c>
      <x:c r="E2586" s="48" t="str"/>
      <x:c r="F2586" s="48" t="str">
        <x:v>SUSE ie Epler een pad fry Oe Epes</x:v>
      </x:c>
      <x:c r="G2586" s="48" t="str">
        <x:v>Obligation</x:v>
      </x:c>
      <x:c r="H2586" s="48" t="str">
        <x:v>Shared</x:v>
      </x:c>
      <x:c r="I2586" s="48" t="n">
        <x:v>0.45</x:v>
      </x:c>
      <x:c r="J2586" s="48" t="n">
        <x:v>0.4</x:v>
      </x:c>
      <x:c r="K2586" s="48" t="str">
        <x:v>Yes</x:v>
      </x:c>
      <x:c r="L2586" s="48" t="str">
        <x:v>OCR</x:v>
      </x:c>
    </x:row>
    <x:row r="2587">
      <x:c r="A2587" s="48" t="str">
        <x:v>UNI-2586</x:v>
      </x:c>
      <x:c r="B2587" s="48" t="str">
        <x:v>ORANGE</x:v>
      </x:c>
      <x:c r="C2587" s="48" t="str">
        <x:v>English</x:v>
      </x:c>
      <x:c r="D2587" s="48" t="n">
        <x:v>48</x:v>
      </x:c>
      <x:c r="E2587" s="48" t="str"/>
      <x:c r="F2587" s="48" t="str">
        <x:v>aa pn a ane he Epes io: (oy ay et Cot x tat wih in th cewmatares was res i ana sh tan simi We on eon Cos of ena of Tenprary Wor and Conn ce een a ch he te COTO eae omy ty ee desi tm BEAT ON oy bereuwnsie Con tin of te Canc tl ad</x:v>
      </x:c>
      <x:c r="G2587" s="48" t="str">
        <x:v>Obligation</x:v>
      </x:c>
      <x:c r="H2587" s="48" t="str">
        <x:v>Shared</x:v>
      </x:c>
      <x:c r="I2587" s="48" t="n">
        <x:v>0.45</x:v>
      </x:c>
      <x:c r="J2587" s="48" t="n">
        <x:v>0.4</x:v>
      </x:c>
      <x:c r="K2587" s="48" t="str">
        <x:v>Yes</x:v>
      </x:c>
      <x:c r="L2587" s="48" t="str">
        <x:v>OCR</x:v>
      </x:c>
    </x:row>
    <x:row r="2588">
      <x:c r="A2588" s="48" t="str">
        <x:v>UNI-2587</x:v>
      </x:c>
      <x:c r="B2588" s="48" t="str">
        <x:v>ORANGE</x:v>
      </x:c>
      <x:c r="C2588" s="48" t="str">
        <x:v>English</x:v>
      </x:c>
      <x:c r="D2588" s="48" t="n">
        <x:v>48</x:v>
      </x:c>
      <x:c r="E2588" s="48" t="str"/>
      <x:c r="F2588" s="48" t="str">
        <x:v>Sele eh enh ea a</x:v>
      </x:c>
      <x:c r="G2588" s="48" t="str">
        <x:v>Obligation</x:v>
      </x:c>
      <x:c r="H2588" s="48" t="str">
        <x:v>Shared</x:v>
      </x:c>
      <x:c r="I2588" s="48" t="n">
        <x:v>0.45</x:v>
      </x:c>
      <x:c r="J2588" s="48" t="n">
        <x:v>0.4</x:v>
      </x:c>
      <x:c r="K2588" s="48" t="str">
        <x:v>Yes</x:v>
      </x:c>
      <x:c r="L2588" s="48" t="str">
        <x:v>OCR</x:v>
      </x:c>
    </x:row>
    <x:row r="2589">
      <x:c r="A2589" s="48" t="str">
        <x:v>UNI-2588</x:v>
      </x:c>
      <x:c r="B2589" s="48" t="str">
        <x:v>ORANGE</x:v>
      </x:c>
      <x:c r="C2589" s="48" t="str">
        <x:v>English</x:v>
      </x:c>
      <x:c r="D2589" s="48" t="n">
        <x:v>48</x:v>
      </x:c>
      <x:c r="E2589" s="48" t="str"/>
      <x:c r="F2589" s="48" t="str">
        <x:v>nde sn tein Pye Cente in acne with Clas 1.</x:v>
      </x:c>
      <x:c r="G2589" s="48" t="str">
        <x:v>Obligation</x:v>
      </x:c>
      <x:c r="H2589" s="48" t="str">
        <x:v>Shared</x:v>
      </x:c>
      <x:c r="I2589" s="48" t="n">
        <x:v>0.45</x:v>
      </x:c>
      <x:c r="J2589" s="48" t="n">
        <x:v>0.4</x:v>
      </x:c>
      <x:c r="K2589" s="48" t="str">
        <x:v>Yes</x:v>
      </x:c>
      <x:c r="L2589" s="48" t="str">
        <x:v>OCR</x:v>
      </x:c>
    </x:row>
    <x:row r="2590">
      <x:c r="A2590" s="48" t="str">
        <x:v>UNI-2589</x:v>
      </x:c>
      <x:c r="B2590" s="48" t="str">
        <x:v>ORANGE</x:v>
      </x:c>
      <x:c r="C2590" s="48" t="str">
        <x:v>English</x:v>
      </x:c>
      <x:c r="D2590" s="48" t="n">
        <x:v>49</x:v>
      </x:c>
      <x:c r="E2590" s="48" t="str"/>
      <x:c r="F2590" s="48" t="str">
        <x:v>eka rom 187 funder hn ofthe Canc h yer ne Conc ae net evtrmance unde” on rte ema he sm nae Epa oe Cnt The taw sll beh ane mnt hne ten pape ser Sub-Cause 1 he</x:v>
      </x:c>
      <x:c r="G2590" s="48" t="str">
        <x:v>Obligation</x:v>
      </x:c>
      <x:c r="H2590" s="48" t="str">
        <x:v>Shared</x:v>
      </x:c>
      <x:c r="I2590" s="48" t="n">
        <x:v>0.45</x:v>
      </x:c>
      <x:c r="J2590" s="48" t="n">
        <x:v>0.4</x:v>
      </x:c>
      <x:c r="K2590" s="48" t="str">
        <x:v>Yes</x:v>
      </x:c>
      <x:c r="L2590" s="48" t="str">
        <x:v>OCR</x:v>
      </x:c>
    </x:row>
    <x:row r="2591">
      <x:c r="A2591" s="48" t="str">
        <x:v>UNI-2590</x:v>
      </x:c>
      <x:c r="B2591" s="48" t="str">
        <x:v>ORANGE</x:v>
      </x:c>
      <x:c r="C2591" s="48" t="str">
        <x:v>English</x:v>
      </x:c>
      <x:c r="D2591" s="48" t="n">
        <x:v>49</x:v>
      </x:c>
      <x:c r="E2591" s="48" t="str"/>
      <x:c r="F2591" s="48" t="str">
        <x:v>ocean for 2841 Ceca ne ci ny tn pe under any Cao ‘Cnim "exe ‘Con or caer, te Cenacle the</x:v>
      </x:c>
      <x:c r="G2591" s="48" t="str">
        <x:v>Obligation</x:v>
      </x:c>
      <x:c r="H2591" s="48" t="str">
        <x:v>Shared</x:v>
      </x:c>
      <x:c r="I2591" s="48" t="n">
        <x:v>0.45</x:v>
      </x:c>
      <x:c r="J2591" s="48" t="n">
        <x:v>0.4</x:v>
      </x:c>
      <x:c r="K2591" s="48" t="str">
        <x:v>Yes</x:v>
      </x:c>
      <x:c r="L2591" s="48" t="str">
        <x:v>OCR</x:v>
      </x:c>
    </x:row>
    <x:row r="2592">
      <x:c r="A2592" s="48" t="str">
        <x:v>UNI-2591</x:v>
      </x:c>
      <x:c r="B2592" s="48" t="str">
        <x:v>ORANGE</x:v>
      </x:c>
      <x:c r="C2592" s="48" t="str">
        <x:v>English</x:v>
      </x:c>
      <x:c r="D2592" s="48" t="n">
        <x:v>49</x:v>
      </x:c>
      <x:c r="E2592" s="48" t="str"/>
      <x:c r="F2592" s="48" t="str">
        <x:v>Eni eps ty yt tha</x:v>
      </x:c>
      <x:c r="G2592" s="48" t="str">
        <x:v>Obligation</x:v>
      </x:c>
      <x:c r="H2592" s="48" t="str">
        <x:v>Shared</x:v>
      </x:c>
      <x:c r="I2592" s="48" t="n">
        <x:v>0.45</x:v>
      </x:c>
      <x:c r="J2592" s="48" t="n">
        <x:v>0.4</x:v>
      </x:c>
      <x:c r="K2592" s="48" t="str">
        <x:v>Yes</x:v>
      </x:c>
      <x:c r="L2592" s="48" t="str">
        <x:v>OCR</x:v>
      </x:c>
    </x:row>
    <x:row r="2593">
      <x:c r="A2593" s="48" t="str">
        <x:v>UNI-2592</x:v>
      </x:c>
      <x:c r="B2593" s="48" t="str">
        <x:v>ORANGE</x:v>
      </x:c>
      <x:c r="C2593" s="48" t="str">
        <x:v>English</x:v>
      </x:c>
      <x:c r="D2593" s="48" t="n">
        <x:v>49</x:v>
      </x:c>
      <x:c r="E2593" s="48" t="str"/>
      <x:c r="F2593" s="48" t="str">
        <x:v>‘Te Canasta hep seh center ces may fe ees fo ‘Shes ay chi ete eae Stoo nade eon sepa ‘se npoyers Recatne Neen simaing e Enpoe ay th</x:v>
      </x:c>
      <x:c r="G2593" s="48" t="str">
        <x:v>Right</x:v>
      </x:c>
      <x:c r="H2593" s="48" t="str">
        <x:v>Shared</x:v>
      </x:c>
      <x:c r="I2593" s="48" t="n">
        <x:v>0.78</x:v>
      </x:c>
      <x:c r="J2593" s="48" t="n">
        <x:v>0.4</x:v>
      </x:c>
      <x:c r="K2593" s="48" t="str">
        <x:v>Yes</x:v>
      </x:c>
      <x:c r="L2593" s="48" t="str">
        <x:v>OCR</x:v>
      </x:c>
    </x:row>
    <x:row r="2594">
      <x:c r="A2594" s="48" t="str">
        <x:v>UNI-2593</x:v>
      </x:c>
      <x:c r="B2594" s="48" t="str">
        <x:v>ORANGE</x:v>
      </x:c>
      <x:c r="C2594" s="48" t="str">
        <x:v>English</x:v>
      </x:c>
      <x:c r="D2594" s="48" t="n">
        <x:v>49</x:v>
      </x:c>
      <x:c r="E2594" s="48" t="str"/>
      <x:c r="F2594" s="48" t="str">
        <x:v>Employers Repesemaie tien ret eshte, pet ch ee</x:v>
      </x:c>
      <x:c r="G2594" s="48" t="str">
        <x:v>Obligation</x:v>
      </x:c>
      <x:c r="H2594" s="48" t="str">
        <x:v>Shared</x:v>
      </x:c>
      <x:c r="I2594" s="48" t="n">
        <x:v>0.45</x:v>
      </x:c>
      <x:c r="J2594" s="48" t="n">
        <x:v>0.4</x:v>
      </x:c>
      <x:c r="K2594" s="48" t="str">
        <x:v>Yes</x:v>
      </x:c>
      <x:c r="L2594" s="48" t="str">
        <x:v>OCR</x:v>
      </x:c>
    </x:row>
    <x:row r="2595">
      <x:c r="A2595" s="48" t="str">
        <x:v>UNI-2594</x:v>
      </x:c>
      <x:c r="B2595" s="48" t="str">
        <x:v>ORANGE</x:v>
      </x:c>
      <x:c r="C2595" s="48" t="str">
        <x:v>English</x:v>
      </x:c>
      <x:c r="D2595" s="48" t="n">
        <x:v>49</x:v>
      </x:c>
      <x:c r="E2595" s="48" t="str"/>
      <x:c r="F2595" s="48" t="str">
        <x:v>‘ay ian tu Cnc ep foe omen vecos The ‘Cacia shal peo te Employer Resse wget a ude sad shall Wf eno) saben copes the Employers epee ‘he “Cora stall send to the players epoznsve nnn fv ep o are st ‘Se cam Whee evan ping ie Wie lam baa comaning ele</x:v>
      </x:c>
      <x:c r="G2595" s="48" t="str">
        <x:v>Obligation</x:v>
      </x:c>
      <x:c r="H2595" s="48" t="str">
        <x:v>Employer</x:v>
      </x:c>
      <x:c r="I2595" s="48" t="n">
        <x:v>0.88</x:v>
      </x:c>
      <x:c r="J2595" s="48" t="n">
        <x:v>0.68</x:v>
      </x:c>
      <x:c r="K2595" s="48" t="str">
        <x:v>Yes</x:v>
      </x:c>
      <x:c r="L2595" s="48" t="str">
        <x:v>OCR</x:v>
      </x:c>
    </x:row>
    <x:row r="2596">
      <x:c r="A2596" s="48" t="str">
        <x:v>UNI-2595</x:v>
      </x:c>
      <x:c r="B2596" s="48" t="str">
        <x:v>ORANGE</x:v>
      </x:c>
      <x:c r="C2596" s="48" t="str">
        <x:v>English</x:v>
      </x:c>
      <x:c r="D2596" s="48" t="n">
        <x:v>49</x:v>
      </x:c>
      <x:c r="E2596" s="48" t="str"/>
      <x:c r="F2596" s="48" t="str">
        <x:v>Schacht conser ori The Cnt hal hth</x:v>
      </x:c>
      <x:c r="G2596" s="48" t="str">
        <x:v>Obligation</x:v>
      </x:c>
      <x:c r="H2596" s="48" t="str">
        <x:v>Shared</x:v>
      </x:c>
      <x:c r="I2596" s="48" t="n">
        <x:v>0.45</x:v>
      </x:c>
      <x:c r="J2596" s="48" t="n">
        <x:v>0.4</x:v>
      </x:c>
      <x:c r="K2596" s="48" t="str">
        <x:v>Yes</x:v>
      </x:c>
      <x:c r="L2596" s="48" t="str">
        <x:v>OCR</x:v>
      </x:c>
    </x:row>
    <x:row r="2597">
      <x:c r="A2597" s="48" t="str">
        <x:v>UNI-2596</x:v>
      </x:c>
      <x:c r="B2597" s="48" t="str">
        <x:v>ORANGE</x:v>
      </x:c>
      <x:c r="C2597" s="48" t="str">
        <x:v>English</x:v>
      </x:c>
      <x:c r="D2597" s="48" t="n">
        <x:v>49</x:v>
      </x:c>
      <x:c r="E2597" s="48" t="str"/>
      <x:c r="F2597" s="48" t="str">
        <x:v>See Aen Raman may ese</x:v>
      </x:c>
      <x:c r="G2597" s="48" t="str">
        <x:v>Right</x:v>
      </x:c>
      <x:c r="H2597" s="48" t="str">
        <x:v>Shared</x:v>
      </x:c>
      <x:c r="I2597" s="48" t="n">
        <x:v>0.78</x:v>
      </x:c>
      <x:c r="J2597" s="48" t="n">
        <x:v>0.4</x:v>
      </x:c>
      <x:c r="K2597" s="48" t="str">
        <x:v>Yes</x:v>
      </x:c>
      <x:c r="L2597" s="48" t="str">
        <x:v>OCR</x:v>
      </x:c>
    </x:row>
    <x:row r="2598">
      <x:c r="A2598" s="48" t="str">
        <x:v>UNI-2597</x:v>
      </x:c>
      <x:c r="B2598" s="48" t="str">
        <x:v>ORANGE</x:v>
      </x:c>
      <x:c r="C2598" s="48" t="str">
        <x:v>English</x:v>
      </x:c>
      <x:c r="D2598" s="48" t="n">
        <x:v>49</x:v>
      </x:c>
      <x:c r="E2598" s="48" t="str"/>
      <x:c r="F2598" s="48" t="str">
        <x:v>{er tim aos png sumac moe oe nt fr prise ‘Whre erin seu ae et To the Egor th Cas lcd ast wit 2 he Ine Cac aso omy with he Se.Cnwe he al tei tossteonal me Payment of Chim 202 The Corrs al Ye etl Save cae any ti Payment (Coc ch nut fra cla a Emon Reon ‘Souder ae the patesen pte ese Ye borate he ‘Shoot hci Comracor be cid men fer sch po Plpane 203s e mem mbes te Dt Adon Hore Hes Adjuaicason Beard" peso manly grt oe ye fc nae ne Cac he ‘Therm opines be Dp Addon Ba sal: (a) cept eel sey he Fan nanan des</x:v>
      </x:c>
      <x:c r="G2598" s="48" t="str">
        <x:v>Obligation</x:v>
      </x:c>
      <x:c r="H2598" s="48" t="str">
        <x:v>Shared</x:v>
      </x:c>
      <x:c r="I2598" s="48" t="n">
        <x:v>0.55</x:v>
      </x:c>
      <x:c r="J2598" s="48" t="n">
        <x:v>0.4</x:v>
      </x:c>
      <x:c r="K2598" s="48" t="str">
        <x:v>Yes</x:v>
      </x:c>
      <x:c r="L2598" s="48" t="str">
        <x:v>OCR</x:v>
      </x:c>
    </x:row>
    <x:row r="2599">
      <x:c r="A2599" s="48" t="str">
        <x:v>UNI-2598</x:v>
      </x:c>
      <x:c r="B2599" s="48" t="str">
        <x:v>ORANGE</x:v>
      </x:c>
      <x:c r="C2599" s="48" t="str">
        <x:v>English</x:v>
      </x:c>
      <x:c r="D2599" s="48" t="n">
        <x:v>49</x:v>
      </x:c>
      <x:c r="E2599" s="48" t="str"/>
      <x:c r="F2599" s="48" t="str">
        <x:v>Inger Cons FDIC,</x:v>
      </x:c>
      <x:c r="G2599" s="48" t="str">
        <x:v>Obligation</x:v>
      </x:c>
      <x:c r="H2599" s="48" t="str">
        <x:v>Shared</x:v>
      </x:c>
      <x:c r="I2599" s="48" t="n">
        <x:v>0.45</x:v>
      </x:c>
      <x:c r="J2599" s="48" t="n">
        <x:v>0.4</x:v>
      </x:c>
      <x:c r="K2599" s="48" t="str">
        <x:v>Yes</x:v>
      </x:c>
      <x:c r="L2599" s="48" t="str">
        <x:v>OCR</x:v>
      </x:c>
    </x:row>
    <x:row r="2600">
      <x:c r="A2600" s="48" t="str">
        <x:v>UNI-2599</x:v>
      </x:c>
      <x:c r="B2600" s="48" t="str">
        <x:v>ORANGE</x:v>
      </x:c>
      <x:c r="C2600" s="48" t="str">
        <x:v>English</x:v>
      </x:c>
      <x:c r="D2600" s="48" t="n">
        <x:v>49</x:v>
      </x:c>
      <x:c r="E2600" s="48" t="str"/>
      <x:c r="F2600" s="48" t="str">
        <x:v>(© rei cach memo he Dipte Adan Bod 1 be ant ‘Sia nage espe apd he es</x:v>
      </x:c>
      <x:c r="G2600" s="48" t="str">
        <x:v>Obligation</x:v>
      </x:c>
      <x:c r="H2600" s="48" t="str">
        <x:v>Shared</x:v>
      </x:c>
      <x:c r="I2600" s="48" t="n">
        <x:v>0.45</x:v>
      </x:c>
      <x:c r="J2600" s="48" t="n">
        <x:v>0.4</x:v>
      </x:c>
      <x:c r="K2600" s="48" t="str">
        <x:v>Yes</x:v>
      </x:c>
      <x:c r="L2600" s="48" t="str">
        <x:v>OCR</x:v>
      </x:c>
    </x:row>
    <x:row r="2601">
      <x:c r="A2601" s="48" t="str">
        <x:v>UNI-2600</x:v>
      </x:c>
      <x:c r="B2601" s="48" t="str">
        <x:v>ORANGE</x:v>
      </x:c>
      <x:c r="C2601" s="48" t="str">
        <x:v>English</x:v>
      </x:c>
      <x:c r="D2601" s="48" t="n">
        <x:v>50</x:v>
      </x:c>
      <x:c r="E2601" s="48" t="str"/>
      <x:c r="F2601" s="48" t="str">
        <x:v>(6) ogi te Digue Adtitinn Bord Yo at ingly ant in (Soins wine co an cate aeralings by he eas (ee te an te a ‘ifr ol Et Be Dostum Be ‘Rite ccumance te able beady foc rng (Stet ee sypntnce bp al need) he ene pa ‘seven ‘he ems fe emtnern of he Dupe Adeteon Boar ing ‘Rrguamtn cf cheb nd ofa) spat tow when be Dp ‘Rist Ror may rege one esl ty aged eo {Emer ne Ci ach Bt aon {he emma of ch rr sal de mare renee ‘esessdaly einen wae ty ee ses fn i {Ske een wu ne sina cial elon he nro Cre Sexe of Imesnat tes te ered och suse See oe cha ‘he Empl and Ca a och ipsa oe Doe Mijas tourna sordie.wit A tome ‘eto at eer al py td operon tel male poe</x:v>
      </x:c>
      <x:c r="G2601" s="48" t="str">
        <x:v>Right</x:v>
      </x:c>
      <x:c r="H2601" s="48" t="str">
        <x:v>Shared</x:v>
      </x:c>
      <x:c r="I2601" s="48" t="n">
        <x:v>0.78</x:v>
      </x:c>
      <x:c r="J2601" s="48" t="n">
        <x:v>0.4</x:v>
      </x:c>
      <x:c r="K2601" s="48" t="str">
        <x:v>Yes</x:v>
      </x:c>
      <x:c r="L2601" s="48" t="str">
        <x:v>OCR</x:v>
      </x:c>
    </x:row>
    <x:row r="2602">
      <x:c r="A2602" s="48" t="str">
        <x:v>UNI-2601</x:v>
      </x:c>
      <x:c r="B2602" s="48" t="str">
        <x:v>ORANGE</x:v>
      </x:c>
      <x:c r="C2602" s="48" t="str">
        <x:v>English</x:v>
      </x:c>
      <x:c r="D2602" s="48" t="n">
        <x:v>50</x:v>
      </x:c>
      <x:c r="E2602" s="48" t="str"/>
      <x:c r="F2602" s="48" t="str">
        <x:v>The Dips Adjatiation Ra's ppeinent may Be emia ony by</x:v>
      </x:c>
      <x:c r="G2602" s="48" t="str">
        <x:v>Right</x:v>
      </x:c>
      <x:c r="H2602" s="48" t="str">
        <x:v>Shared</x:v>
      </x:c>
      <x:c r="I2602" s="48" t="n">
        <x:v>0.78</x:v>
      </x:c>
      <x:c r="J2602" s="48" t="n">
        <x:v>0.4</x:v>
      </x:c>
      <x:c r="K2602" s="48" t="str">
        <x:v>Yes</x:v>
      </x:c>
      <x:c r="L2602" s="48" t="str">
        <x:v>OCR</x:v>
      </x:c>
    </x:row>
    <x:row r="2603">
      <x:c r="A2603" s="48" t="str">
        <x:v>UNI-2602</x:v>
      </x:c>
      <x:c r="B2603" s="48" t="str">
        <x:v>ORANGE</x:v>
      </x:c>
      <x:c r="C2603" s="48" t="str">
        <x:v>English</x:v>
      </x:c>
      <x:c r="D2603" s="48" t="n">
        <x:v>50</x:v>
      </x:c>
      <x:c r="E2603" s="48" t="str"/>
      <x:c r="F2603" s="48" t="str">
        <x:v>‘eal Socom of the Emp and te Cnc The ipa ‘Rietlaton Hom! aye al expe nen he sicher</x:v>
      </x:c>
      <x:c r="G2603" s="48" t="str">
        <x:v>Obligation</x:v>
      </x:c>
      <x:c r="H2603" s="48" t="str">
        <x:v>Shared</x:v>
      </x:c>
      <x:c r="I2603" s="48" t="n">
        <x:v>0.45</x:v>
      </x:c>
      <x:c r="J2603" s="48" t="n">
        <x:v>0.4</x:v>
      </x:c>
      <x:c r="K2603" s="48" t="str">
        <x:v>Yes</x:v>
      </x:c>
      <x:c r="L2603" s="48" t="str">
        <x:v>OCR</x:v>
      </x:c>
    </x:row>
    <x:row r="2604">
      <x:c r="A2604" s="48" t="str">
        <x:v>UNI-2603</x:v>
      </x:c>
      <x:c r="B2604" s="48" t="str">
        <x:v>ORANGE</x:v>
      </x:c>
      <x:c r="C2604" s="48" t="str">
        <x:v>English</x:v>
      </x:c>
      <x:c r="D2604" s="48" t="n">
        <x:v>50</x:v>
      </x:c>
      <x:c r="E2604" s="48" t="str"/>
      <x:c r="F2604" s="48" t="str">
        <x:v>Shem anne sme tn sch oe me te</x:v>
      </x:c>
      <x:c r="G2604" s="48" t="str">
        <x:v>Obligation</x:v>
      </x:c>
      <x:c r="H2604" s="48" t="str">
        <x:v>Shared</x:v>
      </x:c>
      <x:c r="I2604" s="48" t="n">
        <x:v>0.45</x:v>
      </x:c>
      <x:c r="J2604" s="48" t="n">
        <x:v>0.4</x:v>
      </x:c>
      <x:c r="K2604" s="48" t="str">
        <x:v>Yes</x:v>
      </x:c>
      <x:c r="L2604" s="48" t="str">
        <x:v>OCR</x:v>
      </x:c>
    </x:row>
    <x:row r="2605">
      <x:c r="A2605" s="48" t="str">
        <x:v>UNI-2604</x:v>
      </x:c>
      <x:c r="B2605" s="48" t="str">
        <x:v>ORANGE</x:v>
      </x:c>
      <x:c r="C2605" s="48" t="str">
        <x:v>English</x:v>
      </x:c>
      <x:c r="D2605" s="48" t="n">
        <x:v>50</x:v>
      </x:c>
      <x:c r="E2605" s="48" t="str"/>
      <x:c r="F2605" s="48" t="str">
        <x:v>cay ay Tatar tine, be pri soa. hey may poi saa quai pen see nem ce) mya mene of Se Dre ‘jut Ajtai ins oa or ante oa ata ‘ey wupmaee we msnio faptme 8 tebe ‘Suns ren oa sods ch epee walle ae any of elon anions apy: ames (a) thepati fa o apc pe ppm ele mente oe ‘ovo put dn Bar ii 3 as ec Dat, (0) cir pty fab sone an scepuble member. fore Dine ‘tn Bu oe mee, wt 3 fe ee © Sharman wahis Bdgrot te Eiteie ae (the pre agen aol of relat meer o Me "Duye Aduscsoe Bard akin 3 dys of be ae coh nent ft Dap Adusaton Dat rns tw ‘elu aes wut uh day, rept mn as sic te pron or dir ame eth Appt oth ede stl fr dc coin ite are, rat ch ee fhe spe ‘Nina arnt cr ion sw lan</x:v>
      </x:c>
      <x:c r="G2605" s="48" t="str">
        <x:v>Right</x:v>
      </x:c>
      <x:c r="H2605" s="48" t="str">
        <x:v>Shared</x:v>
      </x:c>
      <x:c r="I2605" s="48" t="n">
        <x:v>0.78</x:v>
      </x:c>
      <x:c r="J2605" s="48" t="n">
        <x:v>0.4</x:v>
      </x:c>
      <x:c r="K2605" s="48" t="str">
        <x:v>Yes</x:v>
      </x:c>
      <x:c r="L2605" s="48" t="str">
        <x:v>OCR</x:v>
      </x:c>
    </x:row>
    <x:row r="2606">
      <x:c r="A2606" s="48" t="str">
        <x:v>UNI-2605</x:v>
      </x:c>
      <x:c r="B2606" s="48" t="str">
        <x:v>SILVER</x:v>
      </x:c>
      <x:c r="C2606" s="48" t="str">
        <x:v>Indonesian</x:v>
      </x:c>
      <x:c r="D2606" s="48" t="n">
        <x:v>18</x:v>
      </x:c>
      <x:c r="E2606" s="48" t="str"/>
      <x:c r="F2606" s="48" t="str">
        <x:v>tan Umum. jan Umum Kemana pe Om es en |</x:v>
      </x:c>
      <x:c r="G2606" s="48" t="str">
        <x:v>Obligation</x:v>
      </x:c>
      <x:c r="H2606" s="48" t="str">
        <x:v>Shared</x:v>
      </x:c>
      <x:c r="I2606" s="48" t="n">
        <x:v>0.45</x:v>
      </x:c>
      <x:c r="J2606" s="48" t="n">
        <x:v>0.4</x:v>
      </x:c>
      <x:c r="K2606" s="48" t="str">
        <x:v>Yes</x:v>
      </x:c>
      <x:c r="L2606" s="48" t="str">
        <x:v>OCR</x:v>
      </x:c>
    </x:row>
    <x:row r="2607">
      <x:c r="A2607" s="48" t="str">
        <x:v>UNI-2606</x:v>
      </x:c>
      <x:c r="B2607" s="48" t="str">
        <x:v>SILVER</x:v>
      </x:c>
      <x:c r="C2607" s="48" t="str">
        <x:v>Indonesian</x:v>
      </x:c>
      <x:c r="D2607" s="48" t="n">
        <x:v>18</x:v>
      </x:c>
      <x:c r="E2607" s="48" t="str"/>
      <x:c r="F2607" s="48" t="str">
        <x:v>Penteek it taattentaren</x:v>
      </x:c>
      <x:c r="G2607" s="48" t="str">
        <x:v>Obligation</x:v>
      </x:c>
      <x:c r="H2607" s="48" t="str">
        <x:v>Shared</x:v>
      </x:c>
      <x:c r="I2607" s="48" t="n">
        <x:v>0.45</x:v>
      </x:c>
      <x:c r="J2607" s="48" t="n">
        <x:v>0.4</x:v>
      </x:c>
      <x:c r="K2607" s="48" t="str">
        <x:v>Yes</x:v>
      </x:c>
      <x:c r="L2607" s="48" t="str">
        <x:v>OCR</x:v>
      </x:c>
    </x:row>
    <x:row r="2608">
      <x:c r="A2608" s="48" t="str">
        <x:v>UNI-2607</x:v>
      </x:c>
      <x:c r="B2608" s="48" t="str">
        <x:v>SILVER</x:v>
      </x:c>
      <x:c r="C2608" s="48" t="str">
        <x:v>Indonesian</x:v>
      </x:c>
      <x:c r="D2608" s="48" t="n">
        <x:v>18</x:v>
      </x:c>
      <x:c r="E2608" s="48" t="str"/>
      <x:c r="F2608" s="48" t="str">
        <x:v>MA aenganaderlan Kanan mena Sa aga Tangan</x:v>
      </x:c>
      <x:c r="G2608" s="48" t="str">
        <x:v>Obligation</x:v>
      </x:c>
      <x:c r="H2608" s="48" t="str">
        <x:v>Shared</x:v>
      </x:c>
      <x:c r="I2608" s="48" t="n">
        <x:v>0.45</x:v>
      </x:c>
      <x:c r="J2608" s="48" t="n">
        <x:v>0.4</x:v>
      </x:c>
      <x:c r="K2608" s="48" t="str">
        <x:v>Yes</x:v>
      </x:c>
      <x:c r="L2608" s="48" t="str">
        <x:v>OCR</x:v>
      </x:c>
    </x:row>
    <x:row r="2609">
      <x:c r="A2609" s="48" t="str">
        <x:v>UNI-2608</x:v>
      </x:c>
      <x:c r="B2609" s="48" t="str">
        <x:v>SILVER</x:v>
      </x:c>
      <x:c r="C2609" s="48" t="str">
        <x:v>Indonesian</x:v>
      </x:c>
      <x:c r="D2609" s="48" t="n">
        <x:v>18</x:v>
      </x:c>
      <x:c r="E2609" s="48" t="str"/>
      <x:c r="F2609" s="48" t="str">
        <x:v>Aa aan an MB en ea Ga !</x:v>
      </x:c>
      <x:c r="G2609" s="48" t="str">
        <x:v>Obligation</x:v>
      </x:c>
      <x:c r="H2609" s="48" t="str">
        <x:v>Shared</x:v>
      </x:c>
      <x:c r="I2609" s="48" t="n">
        <x:v>0.45</x:v>
      </x:c>
      <x:c r="J2609" s="48" t="n">
        <x:v>0.4</x:v>
      </x:c>
      <x:c r="K2609" s="48" t="str">
        <x:v>Yes</x:v>
      </x:c>
      <x:c r="L2609" s="48" t="str">
        <x:v>OCR</x:v>
      </x:c>
    </x:row>
    <x:row r="2610">
      <x:c r="A2610" s="48" t="str">
        <x:v>UNI-2609</x:v>
      </x:c>
      <x:c r="B2610" s="48" t="str">
        <x:v>SILVER</x:v>
      </x:c>
      <x:c r="C2610" s="48" t="str">
        <x:v>Indonesian</x:v>
      </x:c>
      <x:c r="D2610" s="48" t="n">
        <x:v>18</x:v>
      </x:c>
      <x:c r="E2610" s="48" t="str"/>
      <x:c r="F2610" s="48" t="str">
        <x:v>AAN Maket Pebrn Kor erat Agen Pempan</x:v>
      </x:c>
      <x:c r="G2610" s="48" t="str">
        <x:v>Obligation</x:v>
      </x:c>
      <x:c r="H2610" s="48" t="str">
        <x:v>Shared</x:v>
      </x:c>
      <x:c r="I2610" s="48" t="n">
        <x:v>0.45</x:v>
      </x:c>
      <x:c r="J2610" s="48" t="n">
        <x:v>0.4</x:v>
      </x:c>
      <x:c r="K2610" s="48" t="str">
        <x:v>Yes</x:v>
      </x:c>
      <x:c r="L2610" s="48" t="str">
        <x:v>OCR</x:v>
      </x:c>
    </x:row>
    <x:row r="2611">
      <x:c r="A2611" s="48" t="str">
        <x:v>UNI-2610</x:v>
      </x:c>
      <x:c r="B2611" s="48" t="str">
        <x:v>SILVER</x:v>
      </x:c>
      <x:c r="C2611" s="48" t="str">
        <x:v>Indonesian</x:v>
      </x:c>
      <x:c r="D2611" s="48" t="n">
        <x:v>18</x:v>
      </x:c>
      <x:c r="E2611" s="48" t="str"/>
      <x:c r="F2611" s="48" t="str">
        <x:v>Pegagunkama entpaekeertaprggu ena 138. tra Pengguna dn Dang Os era mem hewran 414.</x:v>
      </x:c>
      <x:c r="G2611" s="48" t="str">
        <x:v>Obligation</x:v>
      </x:c>
      <x:c r="H2611" s="48" t="str">
        <x:v>Shared</x:v>
      </x:c>
      <x:c r="I2611" s="48" t="n">
        <x:v>0.45</x:v>
      </x:c>
      <x:c r="J2611" s="48" t="n">
        <x:v>0.4</x:v>
      </x:c>
      <x:c r="K2611" s="48" t="str">
        <x:v>Yes</x:v>
      </x:c>
      <x:c r="L2611" s="48" t="str">
        <x:v>OCR</x:v>
      </x:c>
    </x:row>
    <x:row r="2612">
      <x:c r="A2612" s="48" t="str">
        <x:v>UNI-2611</x:v>
      </x:c>
      <x:c r="B2612" s="48" t="str">
        <x:v>SILVER</x:v>
      </x:c>
      <x:c r="C2612" s="48" t="str">
        <x:v>Indonesian</x:v>
      </x:c>
      <x:c r="D2612" s="48" t="n">
        <x:v>18</x:v>
      </x:c>
      <x:c r="E2612" s="48" t="str"/>
      <x:c r="F2612" s="48" t="str">
        <x:v>"Penmuar be pemarah knpa or Bsungaidan 348.</x:v>
      </x:c>
      <x:c r="G2612" s="48" t="str">
        <x:v>Obligation</x:v>
      </x:c>
      <x:c r="H2612" s="48" t="str">
        <x:v>Shared</x:v>
      </x:c>
      <x:c r="I2612" s="48" t="n">
        <x:v>0.45</x:v>
      </x:c>
      <x:c r="J2612" s="48" t="n">
        <x:v>0.4</x:v>
      </x:c>
      <x:c r="K2612" s="48" t="str">
        <x:v>Yes</x:v>
      </x:c>
      <x:c r="L2612" s="48" t="str">
        <x:v>OCR</x:v>
      </x:c>
    </x:row>
    <x:row r="2613">
      <x:c r="A2613" s="48" t="str">
        <x:v>UNI-2612</x:v>
      </x:c>
      <x:c r="B2613" s="48" t="str">
        <x:v>SILVER</x:v>
      </x:c>
      <x:c r="C2613" s="48" t="str">
        <x:v>Indonesian</x:v>
      </x:c>
      <x:c r="D2613" s="48" t="n">
        <x:v>18</x:v>
      </x:c>
      <x:c r="E2613" s="48" t="str"/>
      <x:c r="F2613" s="48" t="str">
        <x:v>“daan Para "It Pembayaran emo (rn yr Gran ena Gaon tengaran eng</x:v>
      </x:c>
      <x:c r="G2613" s="48" t="str">
        <x:v>Obligation</x:v>
      </x:c>
      <x:c r="H2613" s="48" t="str">
        <x:v>Shared</x:v>
      </x:c>
      <x:c r="I2613" s="48" t="n">
        <x:v>0.55</x:v>
      </x:c>
      <x:c r="J2613" s="48" t="n">
        <x:v>0.4</x:v>
      </x:c>
      <x:c r="K2613" s="48" t="str">
        <x:v>Yes</x:v>
      </x:c>
      <x:c r="L2613" s="48" t="str">
        <x:v>OCR</x:v>
      </x:c>
    </x:row>
    <x:row r="2614">
      <x:c r="A2614" s="48" t="str">
        <x:v>UNI-2613</x:v>
      </x:c>
      <x:c r="B2614" s="48" t="str">
        <x:v>SILVER</x:v>
      </x:c>
      <x:c r="C2614" s="48" t="str">
        <x:v>Indonesian</x:v>
      </x:c>
      <x:c r="D2614" s="48" t="n">
        <x:v>18</x:v>
      </x:c>
      <x:c r="E2614" s="48" t="str"/>
      <x:c r="F2614" s="48" t="str">
        <x:v>DARI AMI BE PUT Jemaat Be rusa</x:v>
      </x:c>
      <x:c r="G2614" s="48" t="str">
        <x:v>Obligation</x:v>
      </x:c>
      <x:c r="H2614" s="48" t="str">
        <x:v>Shared</x:v>
      </x:c>
      <x:c r="I2614" s="48" t="n">
        <x:v>0.45</x:v>
      </x:c>
      <x:c r="J2614" s="48" t="n">
        <x:v>0.4</x:v>
      </x:c>
      <x:c r="K2614" s="48" t="str">
        <x:v>Yes</x:v>
      </x:c>
      <x:c r="L2614" s="48" t="str">
        <x:v>OCR</x:v>
      </x:c>
    </x:row>
    <x:row r="2615">
      <x:c r="A2615" s="48" t="str">
        <x:v>UNI-2614</x:v>
      </x:c>
      <x:c r="B2615" s="48" t="str">
        <x:v>SILVER</x:v>
      </x:c>
      <x:c r="C2615" s="48" t="str">
        <x:v>Indonesian</x:v>
      </x:c>
      <x:c r="D2615" s="48" t="n">
        <x:v>18</x:v>
      </x:c>
      <x:c r="E2615" s="48" t="str"/>
      <x:c r="F2615" s="48" t="str">
        <x:v>“Penggiat uwuserganttan ag rgarahuaa aa Pe AN ah Lgu 1123 Monata Desi Cg Karo yo dutitan msi</x:v>
      </x:c>
      <x:c r="G2615" s="48" t="str">
        <x:v>Obligation</x:v>
      </x:c>
      <x:c r="H2615" s="48" t="str">
        <x:v>Shared</x:v>
      </x:c>
      <x:c r="I2615" s="48" t="n">
        <x:v>0.45</x:v>
      </x:c>
      <x:c r="J2615" s="48" t="n">
        <x:v>0.4</x:v>
      </x:c>
      <x:c r="K2615" s="48" t="str">
        <x:v>Yes</x:v>
      </x:c>
      <x:c r="L2615" s="48" t="str">
        <x:v>OCR</x:v>
      </x:c>
    </x:row>
    <x:row r="2616">
      <x:c r="A2616" s="48" t="str">
        <x:v>UNI-2615</x:v>
      </x:c>
      <x:c r="B2616" s="48" t="str">
        <x:v>SILVER</x:v>
      </x:c>
      <x:c r="C2616" s="48" t="str">
        <x:v>Indonesian</x:v>
      </x:c>
      <x:c r="D2616" s="48" t="n">
        <x:v>18</x:v>
      </x:c>
      <x:c r="E2616" s="48" t="str"/>
      <x:c r="F2616" s="48" t="str">
        <x:v>Pena Mam Pe Kek Pe KOR HN Pap ng</x:v>
      </x:c>
      <x:c r="G2616" s="48" t="str">
        <x:v>Obligation</x:v>
      </x:c>
      <x:c r="H2616" s="48" t="str">
        <x:v>Shared</x:v>
      </x:c>
      <x:c r="I2616" s="48" t="n">
        <x:v>0.45</x:v>
      </x:c>
      <x:c r="J2616" s="48" t="n">
        <x:v>0.4</x:v>
      </x:c>
      <x:c r="K2616" s="48" t="str">
        <x:v>Yes</x:v>
      </x:c>
      <x:c r="L2616" s="48" t="str">
        <x:v>OCR</x:v>
      </x:c>
    </x:row>
    <x:row r="2617">
      <x:c r="A2617" s="48" t="str">
        <x:v>UNI-2616</x:v>
      </x:c>
      <x:c r="B2617" s="48" t="str">
        <x:v>SILVER</x:v>
      </x:c>
      <x:c r="C2617" s="48" t="str">
        <x:v>Indonesian</x:v>
      </x:c>
      <x:c r="D2617" s="48" t="n">
        <x:v>18</x:v>
      </x:c>
      <x:c r="E2617" s="48" t="str"/>
      <x:c r="F2617" s="48" t="str">
        <x:v>penegakan 9124.</x:v>
      </x:c>
      <x:c r="G2617" s="48" t="str">
        <x:v>Obligation</x:v>
      </x:c>
      <x:c r="H2617" s="48" t="str">
        <x:v>Shared</x:v>
      </x:c>
      <x:c r="I2617" s="48" t="n">
        <x:v>0.45</x:v>
      </x:c>
      <x:c r="J2617" s="48" t="n">
        <x:v>0.4</x:v>
      </x:c>
      <x:c r="K2617" s="48" t="str">
        <x:v>Yes</x:v>
      </x:c>
      <x:c r="L2617" s="48" t="str">
        <x:v>OCR</x:v>
      </x:c>
    </x:row>
    <x:row r="2618">
      <x:c r="A2618" s="48" t="str">
        <x:v>UNI-2617</x:v>
      </x:c>
      <x:c r="B2618" s="48" t="str">
        <x:v>SILVER</x:v>
      </x:c>
      <x:c r="C2618" s="48" t="str">
        <x:v>Indonesian</x:v>
      </x:c>
      <x:c r="D2618" s="48" t="n">
        <x:v>18</x:v>
      </x:c>
      <x:c r="E2618" s="48" t="str"/>
      <x:c r="F2618" s="48" t="str">
        <x:v>Mk Peraga ae bri cg yg MA on Pras ana</x:v>
      </x:c>
      <x:c r="G2618" s="48" t="str">
        <x:v>Obligation</x:v>
      </x:c>
      <x:c r="H2618" s="48" t="str">
        <x:v>Shared</x:v>
      </x:c>
      <x:c r="I2618" s="48" t="n">
        <x:v>0.45</x:v>
      </x:c>
      <x:c r="J2618" s="48" t="n">
        <x:v>0.4</x:v>
      </x:c>
      <x:c r="K2618" s="48" t="str">
        <x:v>Yes</x:v>
      </x:c>
      <x:c r="L2618" s="48" t="str">
        <x:v>OCR</x:v>
      </x:c>
    </x:row>
    <x:row r="2619">
      <x:c r="A2619" s="48" t="str">
        <x:v>UNI-2618</x:v>
      </x:c>
      <x:c r="B2619" s="48" t="str">
        <x:v>SILVER</x:v>
      </x:c>
      <x:c r="C2619" s="48" t="str">
        <x:v>Indonesian</x:v>
      </x:c>
      <x:c r="D2619" s="48" t="n">
        <x:v>18</x:v>
      </x:c>
      <x:c r="E2619" s="48" t="str"/>
      <x:c r="F2619" s="48" t="str">
        <x:v>LL DA Ka GL Ls SPM</x:v>
      </x:c>
      <x:c r="G2619" s="48" t="str">
        <x:v>Obligation</x:v>
      </x:c>
      <x:c r="H2619" s="48" t="str">
        <x:v>Shared</x:v>
      </x:c>
      <x:c r="I2619" s="48" t="n">
        <x:v>0.45</x:v>
      </x:c>
      <x:c r="J2619" s="48" t="n">
        <x:v>0.4</x:v>
      </x:c>
      <x:c r="K2619" s="48" t="str">
        <x:v>Yes</x:v>
      </x:c>
      <x:c r="L2619" s="48" t="str">
        <x:v>OCR</x:v>
      </x:c>
    </x:row>
    <x:row r="2620">
      <x:c r="A2620" s="48" t="str">
        <x:v>UNI-2619</x:v>
      </x:c>
      <x:c r="B2620" s="48" t="str">
        <x:v>SILVER</x:v>
      </x:c>
      <x:c r="C2620" s="48" t="str">
        <x:v>Indonesian</x:v>
      </x:c>
      <x:c r="D2620" s="48" t="n">
        <x:v>18</x:v>
      </x:c>
      <x:c r="E2620" s="48" t="str"/>
      <x:c r="F2620" s="48" t="str">
        <x:v>enbemantan Ona se Pwupru ha megan saran Puma</x:v>
      </x:c>
      <x:c r="G2620" s="48" t="str">
        <x:v>Obligation</x:v>
      </x:c>
      <x:c r="H2620" s="48" t="str">
        <x:v>Shared</x:v>
      </x:c>
      <x:c r="I2620" s="48" t="n">
        <x:v>0.45</x:v>
      </x:c>
      <x:c r="J2620" s="48" t="n">
        <x:v>0.4</x:v>
      </x:c>
      <x:c r="K2620" s="48" t="str">
        <x:v>Yes</x:v>
      </x:c>
      <x:c r="L2620" s="48" t="str">
        <x:v>OCR</x:v>
      </x:c>
    </x:row>
    <x:row r="2621">
      <x:c r="A2621" s="48" t="str">
        <x:v>UNI-2620</x:v>
      </x:c>
      <x:c r="B2621" s="48" t="str">
        <x:v>SILVER</x:v>
      </x:c>
      <x:c r="C2621" s="48" t="str">
        <x:v>Indonesian</x:v>
      </x:c>
      <x:c r="D2621" s="48" t="n">
        <x:v>19</x:v>
      </x:c>
      <x:c r="E2621" s="48" t="str"/>
      <x:c r="F2621" s="48" t="str">
        <x:v>Me A MK ja or Berak</x:v>
      </x:c>
      <x:c r="G2621" s="48" t="str">
        <x:v>Obligation</x:v>
      </x:c>
      <x:c r="H2621" s="48" t="str">
        <x:v>Shared</x:v>
      </x:c>
      <x:c r="I2621" s="48" t="n">
        <x:v>0.45</x:v>
      </x:c>
      <x:c r="J2621" s="48" t="n">
        <x:v>0.4</x:v>
      </x:c>
      <x:c r="K2621" s="48" t="str">
        <x:v>Yes</x:v>
      </x:c>
      <x:c r="L2621" s="48" t="str">
        <x:v>OCR</x:v>
      </x:c>
    </x:row>
    <x:row r="2622">
      <x:c r="A2622" s="48" t="str">
        <x:v>UNI-2621</x:v>
      </x:c>
      <x:c r="B2622" s="48" t="str">
        <x:v>SILVER</x:v>
      </x:c>
      <x:c r="C2622" s="48" t="str">
        <x:v>Indonesian</x:v>
      </x:c>
      <x:c r="D2622" s="48" t="n">
        <x:v>19</x:v>
      </x:c>
      <x:c r="E2622" s="48" t="str"/>
      <x:c r="F2622" s="48" t="str">
        <x:v>1128 “PenoniPenggnn aa been PngaraSa sakn-asan Ig ngk Gam Saman 32 Pon Penyaji 1120 MATBNUKNgHANwOeNAmKBKenLeTN mang 11210 “TO tai Float nas ds tam Coat bri naa Mean arnn Tang Pengin, NI.</x:v>
      </x:c>
      <x:c r="G2622" s="48" t="str">
        <x:v>Obligation</x:v>
      </x:c>
      <x:c r="H2622" s="48" t="str">
        <x:v>Shared</x:v>
      </x:c>
      <x:c r="I2622" s="48" t="n">
        <x:v>0.45</x:v>
      </x:c>
      <x:c r="J2622" s="48" t="n">
        <x:v>0.4</x:v>
      </x:c>
      <x:c r="K2622" s="48" t="str">
        <x:v>Yes</x:v>
      </x:c>
      <x:c r="L2622" s="48" t="str">
        <x:v>OCR</x:v>
      </x:c>
    </x:row>
    <x:row r="2623">
      <x:c r="A2623" s="48" t="str">
        <x:v>UNI-2622</x:v>
      </x:c>
      <x:c r="B2623" s="48" t="str">
        <x:v>SILVER</x:v>
      </x:c>
      <x:c r="C2623" s="48" t="str">
        <x:v>Indonesian</x:v>
      </x:c>
      <x:c r="D2623" s="48" t="n">
        <x:v>19</x:v>
      </x:c>
      <x:c r="E2623" s="48" t="str"/>
      <x:c r="F2623" s="48" t="str">
        <x:v>“Tngal Dia bei nga, 28 hi seba ara Wr 1122.</x:v>
      </x:c>
      <x:c r="G2623" s="48" t="str">
        <x:v>Obligation</x:v>
      </x:c>
      <x:c r="H2623" s="48" t="str">
        <x:v>Shared</x:v>
      </x:c>
      <x:c r="I2623" s="48" t="n">
        <x:v>0.45</x:v>
      </x:c>
      <x:c r="J2623" s="48" t="n">
        <x:v>0.4</x:v>
      </x:c>
      <x:c r="K2623" s="48" t="str">
        <x:v>Yes</x:v>
      </x:c>
      <x:c r="L2623" s="48" t="str">
        <x:v>OCR</x:v>
      </x:c>
    </x:row>
    <x:row r="2624">
      <x:c r="A2624" s="48" t="str">
        <x:v>UNI-2623</x:v>
      </x:c>
      <x:c r="B2624" s="48" t="str">
        <x:v>SILVER</x:v>
      </x:c>
      <x:c r="C2624" s="48" t="str">
        <x:v>Indonesian</x:v>
      </x:c>
      <x:c r="D2624" s="48" t="n">
        <x:v>19</x:v>
      </x:c>
      <x:c r="E2624" s="48" t="str"/>
      <x:c r="F2624" s="48" t="str">
        <x:v>“nga Mi Plat ro yr Guan tren 2029 Mak Peyaa btKeti Tak menua Psp mi</x:v>
      </x:c>
      <x:c r="G2624" s="48" t="str">
        <x:v>Obligation</x:v>
      </x:c>
      <x:c r="H2624" s="48" t="str">
        <x:v>Shared</x:v>
      </x:c>
      <x:c r="I2624" s="48" t="n">
        <x:v>0.45</x:v>
      </x:c>
      <x:c r="J2624" s="48" t="n">
        <x:v>0.4</x:v>
      </x:c>
      <x:c r="K2624" s="48" t="str">
        <x:v>Yes</x:v>
      </x:c>
      <x:c r="L2624" s="48" t="str">
        <x:v>OCR</x:v>
      </x:c>
    </x:row>
    <x:row r="2625">
      <x:c r="A2625" s="48" t="str">
        <x:v>UNI-2624</x:v>
      </x:c>
      <x:c r="B2625" s="48" t="str">
        <x:v>SILVER</x:v>
      </x:c>
      <x:c r="C2625" s="48" t="str">
        <x:v>Indonesian</x:v>
      </x:c>
      <x:c r="D2625" s="48" t="n">
        <x:v>19</x:v>
      </x:c>
      <x:c r="E2625" s="48" t="str"/>
      <x:c r="F2625" s="48" t="str">
        <x:v>Penamaan arang at opa Pan</x:v>
      </x:c>
      <x:c r="G2625" s="48" t="str">
        <x:v>Obligation</x:v>
      </x:c>
      <x:c r="H2625" s="48" t="str">
        <x:v>Shared</x:v>
      </x:c>
      <x:c r="I2625" s="48" t="n">
        <x:v>0.45</x:v>
      </x:c>
      <x:c r="J2625" s="48" t="n">
        <x:v>0.4</x:v>
      </x:c>
      <x:c r="K2625" s="48" t="str">
        <x:v>Yes</x:v>
      </x:c>
      <x:c r="L2625" s="48" t="str">
        <x:v>OCR</x:v>
      </x:c>
    </x:row>
    <x:row r="2626">
      <x:c r="A2626" s="48" t="str">
        <x:v>UNI-2625</x:v>
      </x:c>
      <x:c r="B2626" s="48" t="str">
        <x:v>SILVER</x:v>
      </x:c>
      <x:c r="C2626" s="48" t="str">
        <x:v>Indonesian</x:v>
      </x:c>
      <x:c r="D2626" s="48" t="n">
        <x:v>19</x:v>
      </x:c>
      <x:c r="E2626" s="48" t="str"/>
      <x:c r="F2626" s="48" t="str">
        <x:v>I134 “Pungdan pada Air Poor brt ren yg Guan</x:v>
      </x:c>
      <x:c r="G2626" s="48" t="str">
        <x:v>Obligation</x:v>
      </x:c>
      <x:c r="H2626" s="48" t="str">
        <x:v>Shared</x:v>
      </x:c>
      <x:c r="I2626" s="48" t="n">
        <x:v>0.45</x:v>
      </x:c>
      <x:c r="J2626" s="48" t="n">
        <x:v>0.4</x:v>
      </x:c>
      <x:c r="K2626" s="48" t="str">
        <x:v>Yes</x:v>
      </x:c>
      <x:c r="L2626" s="48" t="str">
        <x:v>OCR</x:v>
      </x:c>
    </x:row>
    <x:row r="2627">
      <x:c r="A2627" s="48" t="str">
        <x:v>UNI-2626</x:v>
      </x:c>
      <x:c r="B2627" s="48" t="str">
        <x:v>SILVER</x:v>
      </x:c>
      <x:c r="C2627" s="48" t="str">
        <x:v>Indonesian</x:v>
      </x:c>
      <x:c r="D2627" s="48" t="n">
        <x:v>19</x:v>
      </x:c>
      <x:c r="E2627" s="48" t="str"/>
      <x:c r="F2627" s="48" t="str">
        <x:v>Wan rbu ag Op Sana ot Pr Gee</x:v>
      </x:c>
      <x:c r="G2627" s="48" t="str">
        <x:v>Obligation</x:v>
      </x:c>
      <x:c r="H2627" s="48" t="str">
        <x:v>Shared</x:v>
      </x:c>
      <x:c r="I2627" s="48" t="n">
        <x:v>0.45</x:v>
      </x:c>
      <x:c r="J2627" s="48" t="n">
        <x:v>0.4</x:v>
      </x:c>
      <x:c r="K2627" s="48" t="str">
        <x:v>Yes</x:v>
      </x:c>
      <x:c r="L2627" s="48" t="str">
        <x:v>OCR</x:v>
      </x:c>
    </x:row>
    <x:row r="2628">
      <x:c r="A2628" s="48" t="str">
        <x:v>UNI-2627</x:v>
      </x:c>
      <x:c r="B2628" s="48" t="str">
        <x:v>SILVER</x:v>
      </x:c>
      <x:c r="C2628" s="48" t="str">
        <x:v>Indonesian</x:v>
      </x:c>
      <x:c r="D2628" s="48" t="n">
        <x:v>19</x:v>
      </x:c>
      <x:c r="E2628" s="48" t="str"/>
      <x:c r="F2628" s="48" t="str">
        <x:v>Sega Si Ao, an pro dncarman roman kan 9</x:v>
      </x:c>
      <x:c r="G2628" s="48" t="str">
        <x:v>Obligation</x:v>
      </x:c>
      <x:c r="H2628" s="48" t="str">
        <x:v>Shared</x:v>
      </x:c>
      <x:c r="I2628" s="48" t="n">
        <x:v>0.45</x:v>
      </x:c>
      <x:c r="J2628" s="48" t="n">
        <x:v>0.4</x:v>
      </x:c>
      <x:c r="K2628" s="48" t="str">
        <x:v>Yes</x:v>
      </x:c>
      <x:c r="L2628" s="48" t="str">
        <x:v>OCR</x:v>
      </x:c>
    </x:row>
    <x:row r="2629">
      <x:c r="A2629" s="48" t="str">
        <x:v>UNI-2628</x:v>
      </x:c>
      <x:c r="B2629" s="48" t="str">
        <x:v>SILVER</x:v>
      </x:c>
      <x:c r="C2629" s="48" t="str">
        <x:v>Indonesian</x:v>
      </x:c>
      <x:c r="D2629" s="48" t="n">
        <x:v>19</x:v>
      </x:c>
      <x:c r="E2629" s="48" t="str"/>
      <x:c r="F2629" s="48" t="str">
        <x:v>Dota ga Ae ran Dea en Pan</x:v>
      </x:c>
      <x:c r="G2629" s="48" t="str">
        <x:v>Obligation</x:v>
      </x:c>
      <x:c r="H2629" s="48" t="str">
        <x:v>Shared</x:v>
      </x:c>
      <x:c r="I2629" s="48" t="n">
        <x:v>0.45</x:v>
      </x:c>
      <x:c r="J2629" s="48" t="n">
        <x:v>0.4</x:v>
      </x:c>
      <x:c r="K2629" s="48" t="str">
        <x:v>Yes</x:v>
      </x:c>
      <x:c r="L2629" s="48" t="str">
        <x:v>OCR</x:v>
      </x:c>
    </x:row>
    <x:row r="2630">
      <x:c r="A2630" s="48" t="str">
        <x:v>UNI-2629</x:v>
      </x:c>
      <x:c r="B2630" s="48" t="str">
        <x:v>SILVER</x:v>
      </x:c>
      <x:c r="C2630" s="48" t="str">
        <x:v>Indonesian</x:v>
      </x:c>
      <x:c r="D2630" s="48" t="n">
        <x:v>19</x:v>
      </x:c>
      <x:c r="E2630" s="48" t="str"/>
      <x:c r="F2630" s="48" t="str">
        <x:v>ata le Geram Mp garam tan TO Sma ap Pa</x:v>
      </x:c>
      <x:c r="G2630" s="48" t="str">
        <x:v>Obligation</x:v>
      </x:c>
      <x:c r="H2630" s="48" t="str">
        <x:v>Shared</x:v>
      </x:c>
      <x:c r="I2630" s="48" t="n">
        <x:v>0.45</x:v>
      </x:c>
      <x:c r="J2630" s="48" t="n">
        <x:v>0.4</x:v>
      </x:c>
      <x:c r="K2630" s="48" t="str">
        <x:v>Yes</x:v>
      </x:c>
      <x:c r="L2630" s="48" t="str">
        <x:v>OCR</x:v>
      </x:c>
    </x:row>
    <x:row r="2631">
      <x:c r="A2631" s="48" t="str">
        <x:v>UNI-2630</x:v>
      </x:c>
      <x:c r="B2631" s="48" t="str">
        <x:v>SILVER</x:v>
      </x:c>
      <x:c r="C2631" s="48" t="str">
        <x:v>Indonesian</x:v>
      </x:c>
      <x:c r="D2631" s="48" t="n">
        <x:v>21</x:v>
      </x:c>
      <x:c r="E2631" s="48" t="str"/>
      <x:c r="F2631" s="48" t="str">
        <x:v>1148. magma tewttaganyrgSkamosan res nk tan at (eka Dat Kan eren bedaan KAA "4 Ya Kat</x:v>
      </x:c>
      <x:c r="G2631" s="48" t="str">
        <x:v>Obligation</x:v>
      </x:c>
      <x:c r="H2631" s="48" t="str">
        <x:v>Shared</x:v>
      </x:c>
      <x:c r="I2631" s="48" t="n">
        <x:v>0.45</x:v>
      </x:c>
      <x:c r="J2631" s="48" t="n">
        <x:v>0.4</x:v>
      </x:c>
      <x:c r="K2631" s="48" t="str">
        <x:v>Yes</x:v>
      </x:c>
      <x:c r="L2631" s="48" t="str">
        <x:v>OCR</x:v>
      </x:c>
    </x:row>
    <x:row r="2632">
      <x:c r="A2632" s="48" t="str">
        <x:v>UNI-2631</x:v>
      </x:c>
      <x:c r="B2632" s="48" t="str">
        <x:v>SILVER</x:v>
      </x:c>
      <x:c r="C2632" s="48" t="str">
        <x:v>Indonesian</x:v>
      </x:c>
      <x:c r="D2632" s="48" t="n">
        <x:v>21</x:v>
      </x:c>
      <x:c r="E2632" s="48" t="str"/>
      <x:c r="F2632" s="48" t="str">
        <x:v>Pekan din IAI “Peran Kanker De SAK pet md era aa MEDAN Agan dampesurananpayakn Pangan (ingatan mu Mn Pan KK trem</x:v>
      </x:c>
      <x:c r="G2632" s="48" t="str">
        <x:v>Obligation</x:v>
      </x:c>
      <x:c r="H2632" s="48" t="str">
        <x:v>Shared</x:v>
      </x:c>
      <x:c r="I2632" s="48" t="n">
        <x:v>0.45</x:v>
      </x:c>
      <x:c r="J2632" s="48" t="n">
        <x:v>0.4</x:v>
      </x:c>
      <x:c r="K2632" s="48" t="str">
        <x:v>Yes</x:v>
      </x:c>
      <x:c r="L2632" s="48" t="str">
        <x:v>OCR</x:v>
      </x:c>
    </x:row>
    <x:row r="2633">
      <x:c r="A2633" s="48" t="str">
        <x:v>UNI-2632</x:v>
      </x:c>
      <x:c r="B2633" s="48" t="str">
        <x:v>SILVER</x:v>
      </x:c>
      <x:c r="C2633" s="48" t="str">
        <x:v>Indonesian</x:v>
      </x:c>
      <x:c r="D2633" s="48" t="n">
        <x:v>21</x:v>
      </x:c>
      <x:c r="E2633" s="48" t="str"/>
      <x:c r="F2633" s="48" t="str">
        <x:v>Pan Sera Peka Pr Ja Bs Pa Maa</x:v>
      </x:c>
      <x:c r="G2633" s="48" t="str">
        <x:v>Obligation</x:v>
      </x:c>
      <x:c r="H2633" s="48" t="str">
        <x:v>Shared</x:v>
      </x:c>
      <x:c r="I2633" s="48" t="n">
        <x:v>0.45</x:v>
      </x:c>
      <x:c r="J2633" s="48" t="n">
        <x:v>0.4</x:v>
      </x:c>
      <x:c r="K2633" s="48" t="str">
        <x:v>Yes</x:v>
      </x:c>
      <x:c r="L2633" s="48" t="str">
        <x:v>OCR</x:v>
      </x:c>
    </x:row>
    <x:row r="2634">
      <x:c r="A2634" s="48" t="str">
        <x:v>UNI-2633</x:v>
      </x:c>
      <x:c r="B2634" s="48" t="str">
        <x:v>SILVER</x:v>
      </x:c>
      <x:c r="C2634" s="48" t="str">
        <x:v>Indonesian</x:v>
      </x:c>
      <x:c r="D2634" s="48" t="n">
        <x:v>21</x:v>
      </x:c>
      <x:c r="E2634" s="48" t="str"/>
      <x:c r="F2634" s="48" t="str">
        <x:v>Mementegunegandagan yu mentenhanmesan</x:v>
      </x:c>
      <x:c r="G2634" s="48" t="str">
        <x:v>Obligation</x:v>
      </x:c>
      <x:c r="H2634" s="48" t="str">
        <x:v>Shared</x:v>
      </x:c>
      <x:c r="I2634" s="48" t="n">
        <x:v>0.45</x:v>
      </x:c>
      <x:c r="J2634" s="48" t="n">
        <x:v>0.4</x:v>
      </x:c>
      <x:c r="K2634" s="48" t="str">
        <x:v>Yes</x:v>
      </x:c>
      <x:c r="L2634" s="48" t="str">
        <x:v>OCR</x:v>
      </x:c>
    </x:row>
    <x:row r="2635">
      <x:c r="A2635" s="48" t="str">
        <x:v>UNI-2634</x:v>
      </x:c>
      <x:c r="B2635" s="48" t="str">
        <x:v>SILVER</x:v>
      </x:c>
      <x:c r="C2635" s="48" t="str">
        <x:v>Indonesian</x:v>
      </x:c>
      <x:c r="D2635" s="48" t="n">
        <x:v>21</x:v>
      </x:c>
      <x:c r="E2635" s="48" t="str"/>
      <x:c r="F2635" s="48" t="str">
        <x:v>(ee da aan 2152.</x:v>
      </x:c>
      <x:c r="G2635" s="48" t="str">
        <x:v>Obligation</x:v>
      </x:c>
      <x:c r="H2635" s="48" t="str">
        <x:v>Shared</x:v>
      </x:c>
      <x:c r="I2635" s="48" t="n">
        <x:v>0.45</x:v>
      </x:c>
      <x:c r="J2635" s="48" t="n">
        <x:v>0.4</x:v>
      </x:c>
      <x:c r="K2635" s="48" t="str">
        <x:v>Yes</x:v>
      </x:c>
      <x:c r="L2635" s="48" t="str">
        <x:v>OCR</x:v>
      </x:c>
    </x:row>
    <x:row r="2636">
      <x:c r="A2636" s="48" t="str">
        <x:v>UNI-2635</x:v>
      </x:c>
      <x:c r="B2636" s="48" t="str">
        <x:v>SILVER</x:v>
      </x:c>
      <x:c r="C2636" s="48" t="str">
        <x:v>Indonesian</x:v>
      </x:c>
      <x:c r="D2636" s="48" t="n">
        <x:v>21</x:v>
      </x:c>
      <x:c r="E2636" s="48" t="str"/>
      <x:c r="F2636" s="48" t="str">
        <x:v>"wang dateng ewe Kr aan Kn Mn ci IMA.</x:v>
      </x:c>
      <x:c r="G2636" s="48" t="str">
        <x:v>Obligation</x:v>
      </x:c>
      <x:c r="H2636" s="48" t="str">
        <x:v>Shared</x:v>
      </x:c>
      <x:c r="I2636" s="48" t="n">
        <x:v>0.45</x:v>
      </x:c>
      <x:c r="J2636" s="48" t="n">
        <x:v>0.4</x:v>
      </x:c>
      <x:c r="K2636" s="48" t="str">
        <x:v>Yes</x:v>
      </x:c>
      <x:c r="L2636" s="48" t="str">
        <x:v>OCR</x:v>
      </x:c>
    </x:row>
    <x:row r="2637">
      <x:c r="A2637" s="48" t="str">
        <x:v>UNI-2636</x:v>
      </x:c>
      <x:c r="B2637" s="48" t="str">
        <x:v>SILVER</x:v>
      </x:c>
      <x:c r="C2637" s="48" t="str">
        <x:v>Indonesian</x:v>
      </x:c>
      <x:c r="D2637" s="48" t="n">
        <x:v>21</x:v>
      </x:c>
      <x:c r="E2637" s="48" t="str"/>
      <x:c r="F2637" s="48" t="str">
        <x:v>“Ban In gn macan ane ea bts Mr yg DIA “Paetan Permen mt pan pemaran pra den Gan 1120.</x:v>
      </x:c>
      <x:c r="G2637" s="48" t="str">
        <x:v>Obligation</x:v>
      </x:c>
      <x:c r="H2637" s="48" t="str">
        <x:v>Shared</x:v>
      </x:c>
      <x:c r="I2637" s="48" t="n">
        <x:v>0.45</x:v>
      </x:c>
      <x:c r="J2637" s="48" t="n">
        <x:v>0.4</x:v>
      </x:c>
      <x:c r="K2637" s="48" t="str">
        <x:v>Yes</x:v>
      </x:c>
      <x:c r="L2637" s="48" t="str">
        <x:v>OCR</x:v>
      </x:c>
    </x:row>
    <x:row r="2638">
      <x:c r="A2638" s="48" t="str">
        <x:v>UNI-2637</x:v>
      </x:c>
      <x:c r="B2638" s="48" t="str">
        <x:v>SILVER</x:v>
      </x:c>
      <x:c r="C2638" s="48" t="str">
        <x:v>Indonesian</x:v>
      </x:c>
      <x:c r="D2638" s="48" t="n">
        <x:v>21</x:v>
      </x:c>
      <x:c r="E2638" s="48" t="str"/>
      <x:c r="F2638" s="48" t="str">
        <x:v>“Magarbennayngan kun er denda Penpen 1987 “Pekan temenan nu canoseanseraentoai asep bum Peujan Peran an Ptntan eren ai 2983 “OotumanKoraktor bo gernrOn rana Gn gore 1102. gen Demirepslur benang Lara ba near 1189.</x:v>
      </x:c>
      <x:c r="G2638" s="48" t="str">
        <x:v>Obligation</x:v>
      </x:c>
      <x:c r="H2638" s="48" t="str">
        <x:v>Shared</x:v>
      </x:c>
      <x:c r="I2638" s="48" t="n">
        <x:v>0.45</x:v>
      </x:c>
      <x:c r="J2638" s="48" t="n">
        <x:v>0.4</x:v>
      </x:c>
      <x:c r="K2638" s="48" t="str">
        <x:v>Yes</x:v>
      </x:c>
      <x:c r="L2638" s="48" t="str">
        <x:v>OCR</x:v>
      </x:c>
    </x:row>
    <x:row r="2639">
      <x:c r="A2639" s="48" t="str">
        <x:v>UNI-2638</x:v>
      </x:c>
      <x:c r="B2639" s="48" t="str">
        <x:v>SILVER</x:v>
      </x:c>
      <x:c r="C2639" s="48" t="str">
        <x:v>Indonesian</x:v>
      </x:c>
      <x:c r="D2639" s="48" t="n">
        <x:v>21</x:v>
      </x:c>
      <x:c r="E2639" s="48" t="str"/>
      <x:c r="F2639" s="48" t="str">
        <x:v>“pena Penggun at poktin mann rn aa</x:v>
      </x:c>
      <x:c r="G2639" s="48" t="str">
        <x:v>Obligation</x:v>
      </x:c>
      <x:c r="H2639" s="48" t="str">
        <x:v>Shared</x:v>
      </x:c>
      <x:c r="I2639" s="48" t="n">
        <x:v>0.45</x:v>
      </x:c>
      <x:c r="J2639" s="48" t="n">
        <x:v>0.4</x:v>
      </x:c>
      <x:c r="K2639" s="48" t="str">
        <x:v>Yes</x:v>
      </x:c>
      <x:c r="L2639" s="48" t="str">
        <x:v>OCR</x:v>
      </x:c>
    </x:row>
    <x:row r="2640">
      <x:c r="A2640" s="48" t="str">
        <x:v>UNI-2639</x:v>
      </x:c>
      <x:c r="B2640" s="48" t="str">
        <x:v>SILVER</x:v>
      </x:c>
      <x:c r="C2640" s="48" t="str">
        <x:v>Indonesian</x:v>
      </x:c>
      <x:c r="D2640" s="48" t="n">
        <x:v>22</x:v>
      </x:c>
      <x:c r="E2640" s="48" t="str"/>
      <x:c r="F2640" s="48" t="str">
        <x:v>IMA Manan Ktu Bks kn aan Yan Kp Ko</x:v>
      </x:c>
      <x:c r="G2640" s="48" t="str">
        <x:v>Obligation</x:v>
      </x:c>
      <x:c r="H2640" s="48" t="str">
        <x:v>Shared</x:v>
      </x:c>
      <x:c r="I2640" s="48" t="n">
        <x:v>0.45</x:v>
      </x:c>
      <x:c r="J2640" s="48" t="n">
        <x:v>0.4</x:v>
      </x:c>
      <x:c r="K2640" s="48" t="str">
        <x:v>Yes</x:v>
      </x:c>
      <x:c r="L2640" s="48" t="str">
        <x:v>OCR</x:v>
      </x:c>
    </x:row>
    <x:row r="2641">
      <x:c r="A2641" s="48" t="str">
        <x:v>UNI-2640</x:v>
      </x:c>
      <x:c r="B2641" s="48" t="str">
        <x:v>SILVER</x:v>
      </x:c>
      <x:c r="C2641" s="48" t="str">
        <x:v>Indonesian</x:v>
      </x:c>
      <x:c r="D2641" s="48" t="n">
        <x:v>22</x:v>
      </x:c>
      <x:c r="E2641" s="48" t="str"/>
      <x:c r="F2641" s="48" t="str">
        <x:v>1188 Mau eri 26 ena pnrergan Noer Ji regu.</x:v>
      </x:c>
      <x:c r="G2641" s="48" t="str">
        <x:v>Obligation</x:v>
      </x:c>
      <x:c r="H2641" s="48" t="str">
        <x:v>Shared</x:v>
      </x:c>
      <x:c r="I2641" s="48" t="n">
        <x:v>0.45</x:v>
      </x:c>
      <x:c r="J2641" s="48" t="n">
        <x:v>0.4</x:v>
      </x:c>
      <x:c r="K2641" s="48" t="str">
        <x:v>Yes</x:v>
      </x:c>
      <x:c r="L2641" s="48" t="str">
        <x:v>OCR</x:v>
      </x:c>
    </x:row>
    <x:row r="2642">
      <x:c r="A2642" s="48" t="str">
        <x:v>UNI-2641</x:v>
      </x:c>
      <x:c r="B2642" s="48" t="str">
        <x:v>SILVER</x:v>
      </x:c>
      <x:c r="C2642" s="48" t="str">
        <x:v>Indonesian</x:v>
      </x:c>
      <x:c r="D2642" s="48" t="n">
        <x:v>22</x:v>
      </x:c>
      <x:c r="E2642" s="48" t="str"/>
      <x:c r="F2642" s="48" t="str">
        <x:v>PE Ser an man an te</x:v>
      </x:c>
      <x:c r="G2642" s="48" t="str">
        <x:v>Obligation</x:v>
      </x:c>
      <x:c r="H2642" s="48" t="str">
        <x:v>Shared</x:v>
      </x:c>
      <x:c r="I2642" s="48" t="n">
        <x:v>0.45</x:v>
      </x:c>
      <x:c r="J2642" s="48" t="n">
        <x:v>0.4</x:v>
      </x:c>
      <x:c r="K2642" s="48" t="str">
        <x:v>Yes</x:v>
      </x:c>
      <x:c r="L2642" s="48" t="str">
        <x:v>OCR</x:v>
      </x:c>
    </x:row>
    <x:row r="2643">
      <x:c r="A2643" s="48" t="str">
        <x:v>UNI-2642</x:v>
      </x:c>
      <x:c r="B2643" s="48" t="str">
        <x:v>SILVER</x:v>
      </x:c>
      <x:c r="C2643" s="48" t="str">
        <x:v>Indonesian</x:v>
      </x:c>
      <x:c r="D2643" s="48" t="n">
        <x:v>22</x:v>
      </x:c>
      <x:c r="E2643" s="48" t="str"/>
      <x:c r="F2643" s="48" t="str">
        <x:v>D1B0 “damnan Pass? brt nan bnantan SK A2 ema fesarari DA87 "uga bewturcala ma engan emaran ancaman aa aa ra Dn Gn ar dan ar Ga ha edan dark nga menang 2160.</x:v>
      </x:c>
      <x:c r="G2643" s="48" t="str">
        <x:v>Obligation</x:v>
      </x:c>
      <x:c r="H2643" s="48" t="str">
        <x:v>Shared</x:v>
      </x:c>
      <x:c r="I2643" s="48" t="n">
        <x:v>0.45</x:v>
      </x:c>
      <x:c r="J2643" s="48" t="n">
        <x:v>0.4</x:v>
      </x:c>
      <x:c r="K2643" s="48" t="str">
        <x:v>Yes</x:v>
      </x:c>
      <x:c r="L2643" s="48" t="str">
        <x:v>OCR</x:v>
      </x:c>
    </x:row>
    <x:row r="2644">
      <x:c r="A2644" s="48" t="str">
        <x:v>UNI-2643</x:v>
      </x:c>
      <x:c r="B2644" s="48" t="str">
        <x:v>SILVER</x:v>
      </x:c>
      <x:c r="C2644" s="48" t="str">
        <x:v>Indonesian</x:v>
      </x:c>
      <x:c r="D2644" s="48" t="n">
        <x:v>22</x:v>
      </x:c>
      <x:c r="E2644" s="48" t="str"/>
      <x:c r="F2644" s="48" t="str">
        <x:v>“Mat tri son pstaan tetap Karan Pergara sun</x:v>
      </x:c>
      <x:c r="G2644" s="48" t="str">
        <x:v>Obligation</x:v>
      </x:c>
      <x:c r="H2644" s="48" t="str">
        <x:v>Shared</x:v>
      </x:c>
      <x:c r="I2644" s="48" t="n">
        <x:v>0.45</x:v>
      </x:c>
      <x:c r="J2644" s="48" t="n">
        <x:v>0.4</x:v>
      </x:c>
      <x:c r="K2644" s="48" t="str">
        <x:v>Yes</x:v>
      </x:c>
      <x:c r="L2644" s="48" t="str">
        <x:v>OCR</x:v>
      </x:c>
    </x:row>
    <x:row r="2645">
      <x:c r="A2645" s="48" t="str">
        <x:v>UNI-2644</x:v>
      </x:c>
      <x:c r="B2645" s="48" t="str">
        <x:v>SILVER</x:v>
      </x:c>
      <x:c r="C2645" s="48" t="str">
        <x:v>Indonesian</x:v>
      </x:c>
      <x:c r="D2645" s="48" t="n">
        <x:v>22</x:v>
      </x:c>
      <x:c r="E2645" s="48" t="str"/>
      <x:c r="F2645" s="48" t="str">
        <x:v>Waka PG Opa dn Gn sa KP</x:v>
      </x:c>
      <x:c r="G2645" s="48" t="str">
        <x:v>Obligation</x:v>
      </x:c>
      <x:c r="H2645" s="48" t="str">
        <x:v>Shared</x:v>
      </x:c>
      <x:c r="I2645" s="48" t="n">
        <x:v>0.45</x:v>
      </x:c>
      <x:c r="J2645" s="48" t="n">
        <x:v>0.4</x:v>
      </x:c>
      <x:c r="K2645" s="48" t="str">
        <x:v>Yes</x:v>
      </x:c>
      <x:c r="L2645" s="48" t="str">
        <x:v>OCR</x:v>
      </x:c>
    </x:row>
    <x:row r="2646">
      <x:c r="A2646" s="48" t="str">
        <x:v>UNI-2645</x:v>
      </x:c>
      <x:c r="B2646" s="48" t="str">
        <x:v>SILVER</x:v>
      </x:c>
      <x:c r="C2646" s="48" t="str">
        <x:v>Indonesian</x:v>
      </x:c>
      <x:c r="D2646" s="48" t="n">
        <x:v>22</x:v>
      </x:c>
      <x:c r="E2646" s="48" t="str"/>
      <x:c r="F2646" s="48" t="str">
        <x:v>Sean (an Payana</x:v>
      </x:c>
      <x:c r="G2646" s="48" t="str">
        <x:v>Obligation</x:v>
      </x:c>
      <x:c r="H2646" s="48" t="str">
        <x:v>Shared</x:v>
      </x:c>
      <x:c r="I2646" s="48" t="n">
        <x:v>0.45</x:v>
      </x:c>
      <x:c r="J2646" s="48" t="n">
        <x:v>0.4</x:v>
      </x:c>
      <x:c r="K2646" s="48" t="str">
        <x:v>Yes</x:v>
      </x:c>
      <x:c r="L2646" s="48" t="str">
        <x:v>OCR</x:v>
      </x:c>
    </x:row>
    <x:row r="2647">
      <x:c r="A2647" s="48" t="str">
        <x:v>UNI-2646</x:v>
      </x:c>
      <x:c r="B2647" s="48" t="str">
        <x:v>SILVER</x:v>
      </x:c>
      <x:c r="C2647" s="48" t="str">
        <x:v>Indonesian</x:v>
      </x:c>
      <x:c r="D2647" s="48" t="n">
        <x:v>22</x:v>
      </x:c>
      <x:c r="E2647" s="48" t="str"/>
      <x:c r="F2647" s="48" t="str">
        <x:v>IN MMR Mean LG LA Da</x:v>
      </x:c>
      <x:c r="G2647" s="48" t="str">
        <x:v>Obligation</x:v>
      </x:c>
      <x:c r="H2647" s="48" t="str">
        <x:v>Shared</x:v>
      </x:c>
      <x:c r="I2647" s="48" t="n">
        <x:v>0.45</x:v>
      </x:c>
      <x:c r="J2647" s="48" t="n">
        <x:v>0.4</x:v>
      </x:c>
      <x:c r="K2647" s="48" t="str">
        <x:v>Yes</x:v>
      </x:c>
      <x:c r="L2647" s="48" t="str">
        <x:v>OCR</x:v>
      </x:c>
    </x:row>
    <x:row r="2648">
      <x:c r="A2648" s="48" t="str">
        <x:v>UNI-2647</x:v>
      </x:c>
      <x:c r="B2648" s="48" t="str">
        <x:v>SILVER</x:v>
      </x:c>
      <x:c r="C2648" s="48" t="str">
        <x:v>Indonesian</x:v>
      </x:c>
      <x:c r="D2648" s="48" t="n">
        <x:v>22</x:v>
      </x:c>
      <x:c r="E2648" s="48" t="str"/>
      <x:c r="F2648" s="48" t="str">
        <x:v>(anang mean tea Bt LA pr Gi aa yng</x:v>
      </x:c>
      <x:c r="G2648" s="48" t="str">
        <x:v>Obligation</x:v>
      </x:c>
      <x:c r="H2648" s="48" t="str">
        <x:v>Shared</x:v>
      </x:c>
      <x:c r="I2648" s="48" t="n">
        <x:v>0.45</x:v>
      </x:c>
      <x:c r="J2648" s="48" t="n">
        <x:v>0.4</x:v>
      </x:c>
      <x:c r="K2648" s="48" t="str">
        <x:v>Yes</x:v>
      </x:c>
      <x:c r="L2648" s="48" t="str">
        <x:v>OCR</x:v>
      </x:c>
    </x:row>
    <x:row r="2649">
      <x:c r="A2649" s="48" t="str">
        <x:v>UNI-2648</x:v>
      </x:c>
      <x:c r="B2649" s="48" t="str">
        <x:v>SILVER</x:v>
      </x:c>
      <x:c r="C2649" s="48" t="str">
        <x:v>Indonesian</x:v>
      </x:c>
      <x:c r="D2649" s="48" t="n">
        <x:v>22</x:v>
      </x:c>
      <x:c r="E2649" s="48" t="str"/>
      <x:c r="F2649" s="48" t="str">
        <x:v>Senam na an pa</x:v>
      </x:c>
      <x:c r="G2649" s="48" t="str">
        <x:v>Obligation</x:v>
      </x:c>
      <x:c r="H2649" s="48" t="str">
        <x:v>Shared</x:v>
      </x:c>
      <x:c r="I2649" s="48" t="n">
        <x:v>0.45</x:v>
      </x:c>
      <x:c r="J2649" s="48" t="n">
        <x:v>0.4</x:v>
      </x:c>
      <x:c r="K2649" s="48" t="str">
        <x:v>Yes</x:v>
      </x:c>
      <x:c r="L2649" s="48" t="str">
        <x:v>OCR</x:v>
      </x:c>
    </x:row>
    <x:row r="2650">
      <x:c r="A2650" s="48" t="str">
        <x:v>UNI-2649</x:v>
      </x:c>
      <x:c r="B2650" s="48" t="str">
        <x:v>SILVER</x:v>
      </x:c>
      <x:c r="C2650" s="48" t="str">
        <x:v>Indonesian</x:v>
      </x:c>
      <x:c r="D2650" s="48" t="n">
        <x:v>22</x:v>
      </x:c>
      <x:c r="E2650" s="48" t="str"/>
      <x:c r="F2650" s="48" t="str">
        <x:v>an prg meramu ka Meng, dam mi Dena</x:v>
      </x:c>
      <x:c r="G2650" s="48" t="str">
        <x:v>Obligation</x:v>
      </x:c>
      <x:c r="H2650" s="48" t="str">
        <x:v>Shared</x:v>
      </x:c>
      <x:c r="I2650" s="48" t="n">
        <x:v>0.45</x:v>
      </x:c>
      <x:c r="J2650" s="48" t="n">
        <x:v>0.4</x:v>
      </x:c>
      <x:c r="K2650" s="48" t="str">
        <x:v>Yes</x:v>
      </x:c>
      <x:c r="L2650" s="48" t="str">
        <x:v>OCR</x:v>
      </x:c>
    </x:row>
    <x:row r="2651">
      <x:c r="A2651" s="48" t="str">
        <x:v>UNI-2650</x:v>
      </x:c>
      <x:c r="B2651" s="48" t="str">
        <x:v>SILVER</x:v>
      </x:c>
      <x:c r="C2651" s="48" t="str">
        <x:v>Indonesian</x:v>
      </x:c>
      <x:c r="D2651" s="48" t="n">
        <x:v>22</x:v>
      </x:c>
      <x:c r="E2651" s="48" t="str"/>
      <x:c r="F2651" s="48" t="str">
        <x:v>Memang naa anna</x:v>
      </x:c>
      <x:c r="G2651" s="48" t="str">
        <x:v>Obligation</x:v>
      </x:c>
      <x:c r="H2651" s="48" t="str">
        <x:v>Shared</x:v>
      </x:c>
      <x:c r="I2651" s="48" t="n">
        <x:v>0.45</x:v>
      </x:c>
      <x:c r="J2651" s="48" t="n">
        <x:v>0.4</x:v>
      </x:c>
      <x:c r="K2651" s="48" t="str">
        <x:v>Yes</x:v>
      </x:c>
      <x:c r="L2651" s="48" t="str">
        <x:v>OCR</x:v>
      </x:c>
    </x:row>
    <x:row r="2652">
      <x:c r="A2652" s="48" t="str">
        <x:v>UNI-2651</x:v>
      </x:c>
      <x:c r="B2652" s="48" t="str">
        <x:v>SILVER</x:v>
      </x:c>
      <x:c r="C2652" s="48" t="str">
        <x:v>Indonesian</x:v>
      </x:c>
      <x:c r="D2652" s="48" t="n">
        <x:v>22</x:v>
      </x:c>
      <x:c r="E2652" s="48" t="str"/>
      <x:c r="F2652" s="48" t="str">
        <x:v>ar An Ws Si Ka re tar cmn au</x:v>
      </x:c>
      <x:c r="G2652" s="48" t="str">
        <x:v>Obligation</x:v>
      </x:c>
      <x:c r="H2652" s="48" t="str">
        <x:v>Shared</x:v>
      </x:c>
      <x:c r="I2652" s="48" t="n">
        <x:v>0.45</x:v>
      </x:c>
      <x:c r="J2652" s="48" t="n">
        <x:v>0.4</x:v>
      </x:c>
      <x:c r="K2652" s="48" t="str">
        <x:v>Yes</x:v>
      </x:c>
      <x:c r="L2652" s="48" t="str">
        <x:v>OCR</x:v>
      </x:c>
    </x:row>
    <x:row r="2653">
      <x:c r="A2653" s="48" t="str">
        <x:v>UNI-2652</x:v>
      </x:c>
      <x:c r="B2653" s="48" t="str">
        <x:v>SILVER</x:v>
      </x:c>
      <x:c r="C2653" s="48" t="str">
        <x:v>Indonesian</x:v>
      </x:c>
      <x:c r="D2653" s="48" t="n">
        <x:v>22</x:v>
      </x:c>
      <x:c r="E2653" s="48" t="str"/>
      <x:c r="F2653" s="48" t="str">
        <x:v>Aan Sman aa Sara</x:v>
      </x:c>
      <x:c r="G2653" s="48" t="str">
        <x:v>Obligation</x:v>
      </x:c>
      <x:c r="H2653" s="48" t="str">
        <x:v>Shared</x:v>
      </x:c>
      <x:c r="I2653" s="48" t="n">
        <x:v>0.45</x:v>
      </x:c>
      <x:c r="J2653" s="48" t="n">
        <x:v>0.4</x:v>
      </x:c>
      <x:c r="K2653" s="48" t="str">
        <x:v>Yes</x:v>
      </x:c>
      <x:c r="L2653" s="48" t="str">
        <x:v>OCR</x:v>
      </x:c>
    </x:row>
    <x:row r="2654">
      <x:c r="A2654" s="48" t="str">
        <x:v>UNI-2653</x:v>
      </x:c>
      <x:c r="B2654" s="48" t="str">
        <x:v>SILVER</x:v>
      </x:c>
      <x:c r="C2654" s="48" t="str">
        <x:v>Indonesian</x:v>
      </x:c>
      <x:c r="D2654" s="48" t="n">
        <x:v>22</x:v>
      </x:c>
      <x:c r="E2654" s="48" t="str"/>
      <x:c r="F2654" s="48" t="str">
        <x:v>Aa BLANK era dr ea Pena</x:v>
      </x:c>
      <x:c r="G2654" s="48" t="str">
        <x:v>Obligation</x:v>
      </x:c>
      <x:c r="H2654" s="48" t="str">
        <x:v>Shared</x:v>
      </x:c>
      <x:c r="I2654" s="48" t="n">
        <x:v>0.45</x:v>
      </x:c>
      <x:c r="J2654" s="48" t="n">
        <x:v>0.4</x:v>
      </x:c>
      <x:c r="K2654" s="48" t="str">
        <x:v>Yes</x:v>
      </x:c>
      <x:c r="L2654" s="48" t="str">
        <x:v>OCR</x:v>
      </x:c>
    </x:row>
    <x:row r="2655">
      <x:c r="A2655" s="48" t="str">
        <x:v>UNI-2654</x:v>
      </x:c>
      <x:c r="B2655" s="48" t="str">
        <x:v>SILVER</x:v>
      </x:c>
      <x:c r="C2655" s="48" t="str">
        <x:v>Indonesian</x:v>
      </x:c>
      <x:c r="D2655" s="48" t="n">
        <x:v>22</x:v>
      </x:c>
      <x:c r="E2655" s="48" t="str"/>
      <x:c r="F2655" s="48" t="str">
        <x:v>Paksa Dompet Pi mera pertanian prana ema</x:v>
      </x:c>
      <x:c r="G2655" s="48" t="str">
        <x:v>Obligation</x:v>
      </x:c>
      <x:c r="H2655" s="48" t="str">
        <x:v>Shared</x:v>
      </x:c>
      <x:c r="I2655" s="48" t="n">
        <x:v>0.45</x:v>
      </x:c>
      <x:c r="J2655" s="48" t="n">
        <x:v>0.4</x:v>
      </x:c>
      <x:c r="K2655" s="48" t="str">
        <x:v>Yes</x:v>
      </x:c>
      <x:c r="L2655" s="48" t="str">
        <x:v>OCR</x:v>
      </x:c>
    </x:row>
    <x:row r="2656">
      <x:c r="A2656" s="48" t="str">
        <x:v>UNI-2655</x:v>
      </x:c>
      <x:c r="B2656" s="48" t="str">
        <x:v>SILVER</x:v>
      </x:c>
      <x:c r="C2656" s="48" t="str">
        <x:v>Indonesian</x:v>
      </x:c>
      <x:c r="D2656" s="48" t="n">
        <x:v>22</x:v>
      </x:c>
      <x:c r="E2656" s="48" t="str"/>
      <x:c r="F2656" s="48" t="str">
        <x:v>Sean pa Gn Bem AN Er Pa</x:v>
      </x:c>
      <x:c r="G2656" s="48" t="str">
        <x:v>Obligation</x:v>
      </x:c>
      <x:c r="H2656" s="48" t="str">
        <x:v>Shared</x:v>
      </x:c>
      <x:c r="I2656" s="48" t="n">
        <x:v>0.45</x:v>
      </x:c>
      <x:c r="J2656" s="48" t="n">
        <x:v>0.4</x:v>
      </x:c>
      <x:c r="K2656" s="48" t="str">
        <x:v>Yes</x:v>
      </x:c>
      <x:c r="L2656" s="48" t="str">
        <x:v>OCR</x:v>
      </x:c>
    </x:row>
    <x:row r="2657">
      <x:c r="A2657" s="48" t="str">
        <x:v>UNI-2656</x:v>
      </x:c>
      <x:c r="B2657" s="48" t="str">
        <x:v>SILVER</x:v>
      </x:c>
      <x:c r="C2657" s="48" t="str">
        <x:v>Indonesian</x:v>
      </x:c>
      <x:c r="D2657" s="48" t="n">
        <x:v>22</x:v>
      </x:c>
      <x:c r="E2657" s="48" t="str"/>
      <x:c r="F2657" s="48" t="str">
        <x:v>W BEMINANGUT NYAMAN Kemas</x:v>
      </x:c>
      <x:c r="G2657" s="48" t="str">
        <x:v>Obligation</x:v>
      </x:c>
      <x:c r="H2657" s="48" t="str">
        <x:v>Shared</x:v>
      </x:c>
      <x:c r="I2657" s="48" t="n">
        <x:v>0.45</x:v>
      </x:c>
      <x:c r="J2657" s="48" t="n">
        <x:v>0.4</x:v>
      </x:c>
      <x:c r="K2657" s="48" t="str">
        <x:v>Yes</x:v>
      </x:c>
      <x:c r="L2657" s="48" t="str">
        <x:v>OCR</x:v>
      </x:c>
    </x:row>
    <x:row r="2658">
      <x:c r="A2658" s="48" t="str">
        <x:v>UNI-2657</x:v>
      </x:c>
      <x:c r="B2658" s="48" t="str">
        <x:v>SILVER</x:v>
      </x:c>
      <x:c r="C2658" s="48" t="str">
        <x:v>Indonesian</x:v>
      </x:c>
      <x:c r="D2658" s="48" t="n">
        <x:v>22</x:v>
      </x:c>
      <x:c r="E2658" s="48" t="str"/>
      <x:c r="F2658" s="48" t="str">
        <x:v>(EM Sai Karakn TAM sn peran ane moga</x:v>
      </x:c>
      <x:c r="G2658" s="48" t="str">
        <x:v>Obligation</x:v>
      </x:c>
      <x:c r="H2658" s="48" t="str">
        <x:v>Shared</x:v>
      </x:c>
      <x:c r="I2658" s="48" t="n">
        <x:v>0.45</x:v>
      </x:c>
      <x:c r="J2658" s="48" t="n">
        <x:v>0.4</x:v>
      </x:c>
      <x:c r="K2658" s="48" t="str">
        <x:v>Yes</x:v>
      </x:c>
      <x:c r="L2658" s="48" t="str">
        <x:v>OCR</x:v>
      </x:c>
    </x:row>
    <x:row r="2659">
      <x:c r="A2659" s="48" t="str">
        <x:v>UNI-2658</x:v>
      </x:c>
      <x:c r="B2659" s="48" t="str">
        <x:v>SILVER</x:v>
      </x:c>
      <x:c r="C2659" s="48" t="str">
        <x:v>Indonesian</x:v>
      </x:c>
      <x:c r="D2659" s="48" t="n">
        <x:v>22</x:v>
      </x:c>
      <x:c r="E2659" s="48" t="str"/>
      <x:c r="F2659" s="48" t="str">
        <x:v>Sahanaya gn Dn or Kn</x:v>
      </x:c>
      <x:c r="G2659" s="48" t="str">
        <x:v>Obligation</x:v>
      </x:c>
      <x:c r="H2659" s="48" t="str">
        <x:v>Shared</x:v>
      </x:c>
      <x:c r="I2659" s="48" t="n">
        <x:v>0.45</x:v>
      </x:c>
      <x:c r="J2659" s="48" t="n">
        <x:v>0.4</x:v>
      </x:c>
      <x:c r="K2659" s="48" t="str">
        <x:v>Yes</x:v>
      </x:c>
      <x:c r="L2659" s="48" t="str">
        <x:v>OCR</x:v>
      </x:c>
    </x:row>
    <x:row r="2660">
      <x:c r="A2660" s="48" t="str">
        <x:v>UNI-2659</x:v>
      </x:c>
      <x:c r="B2660" s="48" t="str">
        <x:v>SILVER</x:v>
      </x:c>
      <x:c r="C2660" s="48" t="str">
        <x:v>Indonesian</x:v>
      </x:c>
      <x:c r="D2660" s="48" t="n">
        <x:v>22</x:v>
      </x:c>
      <x:c r="E2660" s="48" t="str"/>
      <x:c r="F2660" s="48" t="str">
        <x:v>Saran Sai Gangaa lm pera mara aan da Dn erna Ka ma 9 mem orerarenaesan PeteMruNMeDEN an ra na pa Sae me ane ra ur</x:v>
      </x:c>
      <x:c r="G2660" s="48" t="str">
        <x:v>Obligation</x:v>
      </x:c>
      <x:c r="H2660" s="48" t="str">
        <x:v>Shared</x:v>
      </x:c>
      <x:c r="I2660" s="48" t="n">
        <x:v>0.45</x:v>
      </x:c>
      <x:c r="J2660" s="48" t="n">
        <x:v>0.4</x:v>
      </x:c>
      <x:c r="K2660" s="48" t="str">
        <x:v>Yes</x:v>
      </x:c>
      <x:c r="L2660" s="48" t="str">
        <x:v>OCR</x:v>
      </x:c>
    </x:row>
    <x:row r="2661">
      <x:c r="A2661" s="48" t="str">
        <x:v>UNI-2660</x:v>
      </x:c>
      <x:c r="B2661" s="48" t="str">
        <x:v>SILVER</x:v>
      </x:c>
      <x:c r="C2661" s="48" t="str">
        <x:v>Indonesian</x:v>
      </x:c>
      <x:c r="D2661" s="48" t="n">
        <x:v>22</x:v>
      </x:c>
      <x:c r="E2661" s="48" t="str"/>
      <x:c r="F2661" s="48" t="str">
        <x:v>Ah KE mera La mengakar aa ergasan prsaran</x:v>
      </x:c>
      <x:c r="G2661" s="48" t="str">
        <x:v>Obligation</x:v>
      </x:c>
      <x:c r="H2661" s="48" t="str">
        <x:v>Shared</x:v>
      </x:c>
      <x:c r="I2661" s="48" t="n">
        <x:v>0.45</x:v>
      </x:c>
      <x:c r="J2661" s="48" t="n">
        <x:v>0.4</x:v>
      </x:c>
      <x:c r="K2661" s="48" t="str">
        <x:v>Yes</x:v>
      </x:c>
      <x:c r="L2661" s="48" t="str">
        <x:v>OCR</x:v>
      </x:c>
    </x:row>
    <x:row r="2662">
      <x:c r="A2662" s="48" t="str">
        <x:v>UNI-2661</x:v>
      </x:c>
      <x:c r="B2662" s="48" t="str">
        <x:v>SILVER</x:v>
      </x:c>
      <x:c r="C2662" s="48" t="str">
        <x:v>Indonesian</x:v>
      </x:c>
      <x:c r="D2662" s="48" t="n">
        <x:v>22</x:v>
      </x:c>
      <x:c r="E2662" s="48" t="str"/>
      <x:c r="F2662" s="48" t="str">
        <x:v>Pemakan peranan ban Kk esa Wr</x:v>
      </x:c>
      <x:c r="G2662" s="48" t="str">
        <x:v>Obligation</x:v>
      </x:c>
      <x:c r="H2662" s="48" t="str">
        <x:v>Shared</x:v>
      </x:c>
      <x:c r="I2662" s="48" t="n">
        <x:v>0.45</x:v>
      </x:c>
      <x:c r="J2662" s="48" t="n">
        <x:v>0.4</x:v>
      </x:c>
      <x:c r="K2662" s="48" t="str">
        <x:v>Yes</x:v>
      </x:c>
      <x:c r="L2662" s="48" t="str">
        <x:v>OCR</x:v>
      </x:c>
    </x:row>
    <x:row r="2663">
      <x:c r="A2663" s="48" t="str">
        <x:v>UNI-2662</x:v>
      </x:c>
      <x:c r="B2663" s="48" t="str">
        <x:v>SILVER</x:v>
      </x:c>
      <x:c r="C2663" s="48" t="str">
        <x:v>Indonesian</x:v>
      </x:c>
      <x:c r="D2663" s="48" t="n">
        <x:v>23</x:v>
      </x:c>
      <x:c r="E2663" s="48" t="str"/>
      <x:c r="F2663" s="48" t="str">
        <x:v>emktata KOK sa bun mg au ear ham yayasan</x:v>
      </x:c>
      <x:c r="G2663" s="48" t="str">
        <x:v>Obligation</x:v>
      </x:c>
      <x:c r="H2663" s="48" t="str">
        <x:v>Shared</x:v>
      </x:c>
      <x:c r="I2663" s="48" t="n">
        <x:v>0.45</x:v>
      </x:c>
      <x:c r="J2663" s="48" t="n">
        <x:v>0.4</x:v>
      </x:c>
      <x:c r="K2663" s="48" t="str">
        <x:v>Yes</x:v>
      </x:c>
      <x:c r="L2663" s="48" t="str">
        <x:v>OCR</x:v>
      </x:c>
    </x:row>
    <x:row r="2664">
      <x:c r="A2664" s="48" t="str">
        <x:v>UNI-2663</x:v>
      </x:c>
      <x:c r="B2664" s="48" t="str">
        <x:v>SILVER</x:v>
      </x:c>
      <x:c r="C2664" s="48" t="str">
        <x:v>Indonesian</x:v>
      </x:c>
      <x:c r="D2664" s="48" t="n">
        <x:v>23</x:v>
      </x:c>
      <x:c r="E2664" s="48" t="str"/>
      <x:c r="F2664" s="48" t="str">
        <x:v>Pt esa rar an peran Kok gl kak at</x:v>
      </x:c>
      <x:c r="G2664" s="48" t="str">
        <x:v>Obligation</x:v>
      </x:c>
      <x:c r="H2664" s="48" t="str">
        <x:v>Shared</x:v>
      </x:c>
      <x:c r="I2664" s="48" t="n">
        <x:v>0.45</x:v>
      </x:c>
      <x:c r="J2664" s="48" t="n">
        <x:v>0.4</x:v>
      </x:c>
      <x:c r="K2664" s="48" t="str">
        <x:v>Yes</x:v>
      </x:c>
      <x:c r="L2664" s="48" t="str">
        <x:v>OCR</x:v>
      </x:c>
    </x:row>
    <x:row r="2665">
      <x:c r="A2665" s="48" t="str">
        <x:v>UNI-2664</x:v>
      </x:c>
      <x:c r="B2665" s="48" t="str">
        <x:v>SILVER</x:v>
      </x:c>
      <x:c r="C2665" s="48" t="str">
        <x:v>Indonesian</x:v>
      </x:c>
      <x:c r="D2665" s="48" t="n">
        <x:v>23</x:v>
      </x:c>
      <x:c r="E2665" s="48" t="str"/>
      <x:c r="F2665" s="48" t="str">
        <x:v>Muba aa wara megasuan ran yncnman mat</x:v>
      </x:c>
      <x:c r="G2665" s="48" t="str">
        <x:v>Obligation</x:v>
      </x:c>
      <x:c r="H2665" s="48" t="str">
        <x:v>Shared</x:v>
      </x:c>
      <x:c r="I2665" s="48" t="n">
        <x:v>0.45</x:v>
      </x:c>
      <x:c r="J2665" s="48" t="n">
        <x:v>0.4</x:v>
      </x:c>
      <x:c r="K2665" s="48" t="str">
        <x:v>Yes</x:v>
      </x:c>
      <x:c r="L2665" s="48" t="str">
        <x:v>OCR</x:v>
      </x:c>
    </x:row>
    <x:row r="2666">
      <x:c r="A2666" s="48" t="str">
        <x:v>UNI-2665</x:v>
      </x:c>
      <x:c r="B2666" s="48" t="str">
        <x:v>SILVER</x:v>
      </x:c>
      <x:c r="C2666" s="48" t="str">
        <x:v>Indonesian</x:v>
      </x:c>
      <x:c r="D2666" s="48" t="n">
        <x:v>23</x:v>
      </x:c>
      <x:c r="E2666" s="48" t="str"/>
      <x:c r="F2666" s="48" t="str">
        <x:v>adan cam Mena Meta yr daan (aramvaktemikad ara yergangasan or Pesan Dua Aeon</x:v>
      </x:c>
      <x:c r="G2666" s="48" t="str">
        <x:v>Obligation</x:v>
      </x:c>
      <x:c r="H2666" s="48" t="str">
        <x:v>Shared</x:v>
      </x:c>
      <x:c r="I2666" s="48" t="n">
        <x:v>0.45</x:v>
      </x:c>
      <x:c r="J2666" s="48" t="n">
        <x:v>0.4</x:v>
      </x:c>
      <x:c r="K2666" s="48" t="str">
        <x:v>Yes</x:v>
      </x:c>
      <x:c r="L2666" s="48" t="str">
        <x:v>OCR</x:v>
      </x:c>
    </x:row>
    <x:row r="2667">
      <x:c r="A2667" s="48" t="str">
        <x:v>UNI-2666</x:v>
      </x:c>
      <x:c r="B2667" s="48" t="str">
        <x:v>SILVER</x:v>
      </x:c>
      <x:c r="C2667" s="48" t="str">
        <x:v>Indonesian</x:v>
      </x:c>
      <x:c r="D2667" s="48" t="n">
        <x:v>23</x:v>
      </x:c>
      <x:c r="E2667" s="48" t="str"/>
      <x:c r="F2667" s="48" t="str">
        <x:v>Daan Ar Dan In Sem ea aa yag tan</x:v>
      </x:c>
      <x:c r="G2667" s="48" t="str">
        <x:v>Obligation</x:v>
      </x:c>
      <x:c r="H2667" s="48" t="str">
        <x:v>Shared</x:v>
      </x:c>
      <x:c r="I2667" s="48" t="n">
        <x:v>0.45</x:v>
      </x:c>
      <x:c r="J2667" s="48" t="n">
        <x:v>0.4</x:v>
      </x:c>
      <x:c r="K2667" s="48" t="str">
        <x:v>Yes</x:v>
      </x:c>
      <x:c r="L2667" s="48" t="str">
        <x:v>OCR</x:v>
      </x:c>
    </x:row>
    <x:row r="2668">
      <x:c r="A2668" s="48" t="str">
        <x:v>UNI-2667</x:v>
      </x:c>
      <x:c r="B2668" s="48" t="str">
        <x:v>SILVER</x:v>
      </x:c>
      <x:c r="C2668" s="48" t="str">
        <x:v>Indonesian</x:v>
      </x:c>
      <x:c r="D2668" s="48" t="n">
        <x:v>23</x:v>
      </x:c>
      <x:c r="E2668" s="48" t="str"/>
      <x:c r="F2668" s="48" t="str">
        <x:v>Daun yng Manah Kere lan sar merrgan mmm tn</x:v>
      </x:c>
      <x:c r="G2668" s="48" t="str">
        <x:v>Obligation</x:v>
      </x:c>
      <x:c r="H2668" s="48" t="str">
        <x:v>Shared</x:v>
      </x:c>
      <x:c r="I2668" s="48" t="n">
        <x:v>0.45</x:v>
      </x:c>
      <x:c r="J2668" s="48" t="n">
        <x:v>0.4</x:v>
      </x:c>
      <x:c r="K2668" s="48" t="str">
        <x:v>Yes</x:v>
      </x:c>
      <x:c r="L2668" s="48" t="str">
        <x:v>OCR</x:v>
      </x:c>
    </x:row>
    <x:row r="2669">
      <x:c r="A2669" s="48" t="str">
        <x:v>UNI-2668</x:v>
      </x:c>
      <x:c r="B2669" s="48" t="str">
        <x:v>SILVER</x:v>
      </x:c>
      <x:c r="C2669" s="48" t="str">
        <x:v>Indonesian</x:v>
      </x:c>
      <x:c r="D2669" s="48" t="n">
        <x:v>23</x:v>
      </x:c>
      <x:c r="E2669" s="48" t="str"/>
      <x:c r="F2669" s="48" t="str">
        <x:v>(AK ena Pena Utan oran On lea tegas 0 Pemnterma.</x:v>
      </x:c>
      <x:c r="G2669" s="48" t="str">
        <x:v>Obligation</x:v>
      </x:c>
      <x:c r="H2669" s="48" t="str">
        <x:v>Shared</x:v>
      </x:c>
      <x:c r="I2669" s="48" t="n">
        <x:v>0.45</x:v>
      </x:c>
      <x:c r="J2669" s="48" t="n">
        <x:v>0.4</x:v>
      </x:c>
      <x:c r="K2669" s="48" t="str">
        <x:v>Yes</x:v>
      </x:c>
      <x:c r="L2669" s="48" t="str">
        <x:v>OCR</x:v>
      </x:c>
    </x:row>
    <x:row r="2670">
      <x:c r="A2670" s="48" t="str">
        <x:v>UNI-2669</x:v>
      </x:c>
      <x:c r="B2670" s="48" t="str">
        <x:v>SILVER</x:v>
      </x:c>
      <x:c r="C2670" s="48" t="str">
        <x:v>Indonesian</x:v>
      </x:c>
      <x:c r="D2670" s="48" t="n">
        <x:v>23</x:v>
      </x:c>
      <x:c r="E2670" s="48" t="str">
        <x:v>2</x:v>
      </x:c>
      <x:c r="F2670" s="48" t="str">
        <x:v>2 Pemanenan</x:v>
      </x:c>
      <x:c r="G2670" s="48" t="str">
        <x:v>Heading</x:v>
      </x:c>
      <x:c r="H2670" s="48" t="str"/>
      <x:c r="I2670" s="48" t="n">
        <x:v>0.9</x:v>
      </x:c>
      <x:c r="J2670" s="48" t="n">
        <x:v>0.99</x:v>
      </x:c>
      <x:c r="K2670" s="48" t="str">
        <x:v>No</x:v>
      </x:c>
      <x:c r="L2670" s="48" t="str">
        <x:v>OCR</x:v>
      </x:c>
    </x:row>
    <x:row r="2671">
      <x:c r="A2671" s="48" t="str">
        <x:v>UNI-2670</x:v>
      </x:c>
      <x:c r="B2671" s="48" t="str">
        <x:v>SILVER</x:v>
      </x:c>
      <x:c r="C2671" s="48" t="str">
        <x:v>Indonesian</x:v>
      </x:c>
      <x:c r="D2671" s="48" t="n">
        <x:v>23</x:v>
      </x:c>
      <x:c r="E2671" s="48" t="str"/>
      <x:c r="F2671" s="48" t="str">
        <x:v>G Kemmanpovaradan</x:v>
      </x:c>
      <x:c r="G2671" s="48" t="str">
        <x:v>Obligation</x:v>
      </x:c>
      <x:c r="H2671" s="48" t="str">
        <x:v>Shared</x:v>
      </x:c>
      <x:c r="I2671" s="48" t="n">
        <x:v>0.45</x:v>
      </x:c>
      <x:c r="J2671" s="48" t="n">
        <x:v>0.4</x:v>
      </x:c>
      <x:c r="K2671" s="48" t="str">
        <x:v>Yes</x:v>
      </x:c>
      <x:c r="L2671" s="48" t="str">
        <x:v>OCR</x:v>
      </x:c>
    </x:row>
    <x:row r="2672">
      <x:c r="A2672" s="48" t="str">
        <x:v>UNI-2671</x:v>
      </x:c>
      <x:c r="B2672" s="48" t="str">
        <x:v>SILVER</x:v>
      </x:c>
      <x:c r="C2672" s="48" t="str">
        <x:v>Indonesian</x:v>
      </x:c>
      <x:c r="D2672" s="48" t="n">
        <x:v>23</x:v>
      </x:c>
      <x:c r="E2672" s="48" t="str"/>
      <x:c r="F2672" s="48" t="str">
        <x:v>PMA Bauran Rr menda ana</x:v>
      </x:c>
      <x:c r="G2672" s="48" t="str">
        <x:v>Obligation</x:v>
      </x:c>
      <x:c r="H2672" s="48" t="str">
        <x:v>Shared</x:v>
      </x:c>
      <x:c r="I2672" s="48" t="n">
        <x:v>0.45</x:v>
      </x:c>
      <x:c r="J2672" s="48" t="n">
        <x:v>0.4</x:v>
      </x:c>
      <x:c r="K2672" s="48" t="str">
        <x:v>Yes</x:v>
      </x:c>
      <x:c r="L2672" s="48" t="str">
        <x:v>OCR</x:v>
      </x:c>
    </x:row>
    <x:row r="2673">
      <x:c r="A2673" s="48" t="str">
        <x:v>UNI-2672</x:v>
      </x:c>
      <x:c r="B2673" s="48" t="str">
        <x:v>SILVER</x:v>
      </x:c>
      <x:c r="C2673" s="48" t="str">
        <x:v>Indonesian</x:v>
      </x:c>
      <x:c r="D2673" s="48" t="n">
        <x:v>23</x:v>
      </x:c>
      <x:c r="E2673" s="48" t="str"/>
      <x:c r="F2673" s="48" t="str">
        <x:v>Pena Kak Kr ata Ktu Ban pr pa Ur Ir daan can</x:v>
      </x:c>
      <x:c r="G2673" s="48" t="str">
        <x:v>Obligation</x:v>
      </x:c>
      <x:c r="H2673" s="48" t="str">
        <x:v>Shared</x:v>
      </x:c>
      <x:c r="I2673" s="48" t="n">
        <x:v>0.45</x:v>
      </x:c>
      <x:c r="J2673" s="48" t="n">
        <x:v>0.4</x:v>
      </x:c>
      <x:c r="K2673" s="48" t="str">
        <x:v>Yes</x:v>
      </x:c>
      <x:c r="L2673" s="48" t="str">
        <x:v>OCR</x:v>
      </x:c>
    </x:row>
    <x:row r="2674">
      <x:c r="A2674" s="48" t="str">
        <x:v>UNI-2673</x:v>
      </x:c>
      <x:c r="B2674" s="48" t="str">
        <x:v>SILVER</x:v>
      </x:c>
      <x:c r="C2674" s="48" t="str">
        <x:v>Indonesian</x:v>
      </x:c>
      <x:c r="D2674" s="48" t="n">
        <x:v>23</x:v>
      </x:c>
      <x:c r="E2674" s="48" t="str"/>
      <x:c r="F2674" s="48" t="str">
        <x:v>Per Kotak Sma rak abang ru La ng ran</x:v>
      </x:c>
      <x:c r="G2674" s="48" t="str">
        <x:v>Obligation</x:v>
      </x:c>
      <x:c r="H2674" s="48" t="str">
        <x:v>Shared</x:v>
      </x:c>
      <x:c r="I2674" s="48" t="n">
        <x:v>0.45</x:v>
      </x:c>
      <x:c r="J2674" s="48" t="n">
        <x:v>0.4</x:v>
      </x:c>
      <x:c r="K2674" s="48" t="str">
        <x:v>Yes</x:v>
      </x:c>
      <x:c r="L2674" s="48" t="str">
        <x:v>OCR</x:v>
      </x:c>
    </x:row>
    <x:row r="2675">
      <x:c r="A2675" s="48" t="str">
        <x:v>UNI-2674</x:v>
      </x:c>
      <x:c r="B2675" s="48" t="str">
        <x:v>SILVER</x:v>
      </x:c>
      <x:c r="C2675" s="48" t="str">
        <x:v>Indonesian</x:v>
      </x:c>
      <x:c r="D2675" s="48" t="n">
        <x:v>23</x:v>
      </x:c>
      <x:c r="E2675" s="48" t="str"/>
      <x:c r="F2675" s="48" t="str">
        <x:v>Aa drg pemuanSenuran ran pa Peta HM</x:v>
      </x:c>
      <x:c r="G2675" s="48" t="str">
        <x:v>Obligation</x:v>
      </x:c>
      <x:c r="H2675" s="48" t="str">
        <x:v>Shared</x:v>
      </x:c>
      <x:c r="I2675" s="48" t="n">
        <x:v>0.45</x:v>
      </x:c>
      <x:c r="J2675" s="48" t="n">
        <x:v>0.4</x:v>
      </x:c>
      <x:c r="K2675" s="48" t="str">
        <x:v>Yes</x:v>
      </x:c>
      <x:c r="L2675" s="48" t="str">
        <x:v>OCR</x:v>
      </x:c>
    </x:row>
    <x:row r="2676">
      <x:c r="A2676" s="48" t="str">
        <x:v>UNI-2675</x:v>
      </x:c>
      <x:c r="B2676" s="48" t="str">
        <x:v>SILVER</x:v>
      </x:c>
      <x:c r="C2676" s="48" t="str">
        <x:v>Indonesian</x:v>
      </x:c>
      <x:c r="D2676" s="48" t="n">
        <x:v>23</x:v>
      </x:c>
      <x:c r="E2676" s="48" t="str"/>
      <x:c r="F2676" s="48" t="str">
        <x:v>Sana Kano</x:v>
      </x:c>
      <x:c r="G2676" s="48" t="str">
        <x:v>Obligation</x:v>
      </x:c>
      <x:c r="H2676" s="48" t="str">
        <x:v>Shared</x:v>
      </x:c>
      <x:c r="I2676" s="48" t="n">
        <x:v>0.45</x:v>
      </x:c>
      <x:c r="J2676" s="48" t="n">
        <x:v>0.4</x:v>
      </x:c>
      <x:c r="K2676" s="48" t="str">
        <x:v>Yes</x:v>
      </x:c>
      <x:c r="L2676" s="48" t="str">
        <x:v>OCR</x:v>
      </x:c>
    </x:row>
    <x:row r="2677">
      <x:c r="A2677" s="48" t="str">
        <x:v>UNI-2676</x:v>
      </x:c>
      <x:c r="B2677" s="48" t="str">
        <x:v>SILVER</x:v>
      </x:c>
      <x:c r="C2677" s="48" t="str">
        <x:v>Indonesian</x:v>
      </x:c>
      <x:c r="D2677" s="48" t="n">
        <x:v>23</x:v>
      </x:c>
      <x:c r="E2677" s="48" t="str"/>
      <x:c r="F2677" s="48" t="str">
        <x:v>panguan aa Pte Kah Sr Temeaurgnan SAI Ha maan Dn Kata. ata at Ot eta aa</x:v>
      </x:c>
      <x:c r="G2677" s="48" t="str">
        <x:v>Obligation</x:v>
      </x:c>
      <x:c r="H2677" s="48" t="str">
        <x:v>Shared</x:v>
      </x:c>
      <x:c r="I2677" s="48" t="n">
        <x:v>0.45</x:v>
      </x:c>
      <x:c r="J2677" s="48" t="n">
        <x:v>0.4</x:v>
      </x:c>
      <x:c r="K2677" s="48" t="str">
        <x:v>Yes</x:v>
      </x:c>
      <x:c r="L2677" s="48" t="str">
        <x:v>OCR</x:v>
      </x:c>
    </x:row>
    <x:row r="2678">
      <x:c r="A2678" s="48" t="str">
        <x:v>UNI-2677</x:v>
      </x:c>
      <x:c r="B2678" s="48" t="str">
        <x:v>SILVER</x:v>
      </x:c>
      <x:c r="C2678" s="48" t="str">
        <x:v>Indonesian</x:v>
      </x:c>
      <x:c r="D2678" s="48" t="n">
        <x:v>23</x:v>
      </x:c>
      <x:c r="E2678" s="48" t="str"/>
      <x:c r="F2678" s="48" t="str">
        <x:v>Ta aa Pa</x:v>
      </x:c>
      <x:c r="G2678" s="48" t="str">
        <x:v>Obligation</x:v>
      </x:c>
      <x:c r="H2678" s="48" t="str">
        <x:v>Shared</x:v>
      </x:c>
      <x:c r="I2678" s="48" t="n">
        <x:v>0.45</x:v>
      </x:c>
      <x:c r="J2678" s="48" t="n">
        <x:v>0.4</x:v>
      </x:c>
      <x:c r="K2678" s="48" t="str">
        <x:v>Yes</x:v>
      </x:c>
      <x:c r="L2678" s="48" t="str">
        <x:v>OCR</x:v>
      </x:c>
    </x:row>
    <x:row r="2679">
      <x:c r="A2679" s="48" t="str">
        <x:v>UNI-2678</x:v>
      </x:c>
      <x:c r="B2679" s="48" t="str">
        <x:v>SILVER</x:v>
      </x:c>
      <x:c r="C2679" s="48" t="str">
        <x:v>Indonesian</x:v>
      </x:c>
      <x:c r="D2679" s="48" t="n">
        <x:v>23</x:v>
      </x:c>
      <x:c r="E2679" s="48" t="str"/>
      <x:c r="F2679" s="48" t="str">
        <x:v>Bro ag tr Tana era, memetakan</x:v>
      </x:c>
      <x:c r="G2679" s="48" t="str">
        <x:v>Obligation</x:v>
      </x:c>
      <x:c r="H2679" s="48" t="str">
        <x:v>Shared</x:v>
      </x:c>
      <x:c r="I2679" s="48" t="n">
        <x:v>0.45</x:v>
      </x:c>
      <x:c r="J2679" s="48" t="n">
        <x:v>0.4</x:v>
      </x:c>
      <x:c r="K2679" s="48" t="str">
        <x:v>Yes</x:v>
      </x:c>
      <x:c r="L2679" s="48" t="str">
        <x:v>OCR</x:v>
      </x:c>
    </x:row>
    <x:row r="2680">
      <x:c r="A2680" s="48" t="str">
        <x:v>UNI-2679</x:v>
      </x:c>
      <x:c r="B2680" s="48" t="str">
        <x:v>SILVER</x:v>
      </x:c>
      <x:c r="C2680" s="48" t="str">
        <x:v>Indonesian</x:v>
      </x:c>
      <x:c r="D2680" s="48" t="n">
        <x:v>23</x:v>
      </x:c>
      <x:c r="E2680" s="48" t="str"/>
      <x:c r="F2680" s="48" t="str">
        <x:v>peang Marak Aa mata tan mun oran eri tata ten tm angs pertwan</x:v>
      </x:c>
      <x:c r="G2680" s="48" t="str">
        <x:v>Obligation</x:v>
      </x:c>
      <x:c r="H2680" s="48" t="str">
        <x:v>Shared</x:v>
      </x:c>
      <x:c r="I2680" s="48" t="n">
        <x:v>0.45</x:v>
      </x:c>
      <x:c r="J2680" s="48" t="n">
        <x:v>0.4</x:v>
      </x:c>
      <x:c r="K2680" s="48" t="str">
        <x:v>Yes</x:v>
      </x:c>
      <x:c r="L2680" s="48" t="str">
        <x:v>OCR</x:v>
      </x:c>
    </x:row>
    <x:row r="2681">
      <x:c r="A2681" s="48" t="str">
        <x:v>UNI-2680</x:v>
      </x:c>
      <x:c r="B2681" s="48" t="str">
        <x:v>SILVER</x:v>
      </x:c>
      <x:c r="C2681" s="48" t="str">
        <x:v>Indonesian</x:v>
      </x:c>
      <x:c r="D2681" s="48" t="n">
        <x:v>23</x:v>
      </x:c>
      <x:c r="E2681" s="48" t="str"/>
      <x:c r="F2681" s="48" t="str">
        <x:v>Pegangan Der, lia ec Gowa an eta Prgapa at oat</x:v>
      </x:c>
      <x:c r="G2681" s="48" t="str">
        <x:v>Obligation</x:v>
      </x:c>
      <x:c r="H2681" s="48" t="str">
        <x:v>Shared</x:v>
      </x:c>
      <x:c r="I2681" s="48" t="n">
        <x:v>0.45</x:v>
      </x:c>
      <x:c r="J2681" s="48" t="n">
        <x:v>0.4</x:v>
      </x:c>
      <x:c r="K2681" s="48" t="str">
        <x:v>Yes</x:v>
      </x:c>
      <x:c r="L2681" s="48" t="str">
        <x:v>OCR</x:v>
      </x:c>
    </x:row>
    <x:row r="2682">
      <x:c r="A2682" s="48" t="str">
        <x:v>UNI-2681</x:v>
      </x:c>
      <x:c r="B2682" s="48" t="str">
        <x:v>SILVER</x:v>
      </x:c>
      <x:c r="C2682" s="48" t="str">
        <x:v>Indonesian</x:v>
      </x:c>
      <x:c r="D2682" s="48" t="n">
        <x:v>23</x:v>
      </x:c>
      <x:c r="E2682" s="48" t="str"/>
      <x:c r="F2682" s="48" t="str">
        <x:v>peran Dear Tea Pa ana En emaNLeEM AED pengadaan ena</x:v>
      </x:c>
      <x:c r="G2682" s="48" t="str">
        <x:v>Obligation</x:v>
      </x:c>
      <x:c r="H2682" s="48" t="str">
        <x:v>Shared</x:v>
      </x:c>
      <x:c r="I2682" s="48" t="n">
        <x:v>0.45</x:v>
      </x:c>
      <x:c r="J2682" s="48" t="n">
        <x:v>0.4</x:v>
      </x:c>
      <x:c r="K2682" s="48" t="str">
        <x:v>Yes</x:v>
      </x:c>
      <x:c r="L2682" s="48" t="str">
        <x:v>OCR</x:v>
      </x:c>
    </x:row>
    <x:row r="2683">
      <x:c r="A2683" s="48" t="str">
        <x:v>UNI-2682</x:v>
      </x:c>
      <x:c r="B2683" s="48" t="str">
        <x:v>SILVER</x:v>
      </x:c>
      <x:c r="C2683" s="48" t="str">
        <x:v>Indonesian</x:v>
      </x:c>
      <x:c r="D2683" s="48" t="n">
        <x:v>23</x:v>
      </x:c>
      <x:c r="E2683" s="48" t="str"/>
      <x:c r="F2683" s="48" t="str">
        <x:v>Ners na engan, Lon st rn Kr rn pai</x:v>
      </x:c>
      <x:c r="G2683" s="48" t="str">
        <x:v>Obligation</x:v>
      </x:c>
      <x:c r="H2683" s="48" t="str">
        <x:v>Shared</x:v>
      </x:c>
      <x:c r="I2683" s="48" t="n">
        <x:v>0.45</x:v>
      </x:c>
      <x:c r="J2683" s="48" t="n">
        <x:v>0.4</x:v>
      </x:c>
      <x:c r="K2683" s="48" t="str">
        <x:v>Yes</x:v>
      </x:c>
      <x:c r="L2683" s="48" t="str">
        <x:v>OCR</x:v>
      </x:c>
    </x:row>
    <x:row r="2684">
      <x:c r="A2684" s="48" t="str">
        <x:v>UNI-2683</x:v>
      </x:c>
      <x:c r="B2684" s="48" t="str">
        <x:v>SILVER</x:v>
      </x:c>
      <x:c r="C2684" s="48" t="str">
        <x:v>Indonesian</x:v>
      </x:c>
      <x:c r="D2684" s="48" t="n">
        <x:v>23</x:v>
      </x:c>
      <x:c r="E2684" s="48" t="str"/>
      <x:c r="F2684" s="48" t="str">
        <x:v>Ia yng dsno aar Kawtan gara ma Daan Kr ban</x:v>
      </x:c>
      <x:c r="G2684" s="48" t="str">
        <x:v>Obligation</x:v>
      </x:c>
      <x:c r="H2684" s="48" t="str">
        <x:v>Shared</x:v>
      </x:c>
      <x:c r="I2684" s="48" t="n">
        <x:v>0.45</x:v>
      </x:c>
      <x:c r="J2684" s="48" t="n">
        <x:v>0.4</x:v>
      </x:c>
      <x:c r="K2684" s="48" t="str">
        <x:v>Yes</x:v>
      </x:c>
      <x:c r="L2684" s="48" t="str">
        <x:v>OCR</x:v>
      </x:c>
    </x:row>
    <x:row r="2685">
      <x:c r="A2685" s="48" t="str">
        <x:v>UNI-2684</x:v>
      </x:c>
      <x:c r="B2685" s="48" t="str">
        <x:v>SILVER</x:v>
      </x:c>
      <x:c r="C2685" s="48" t="str">
        <x:v>Indonesian</x:v>
      </x:c>
      <x:c r="D2685" s="48" t="n">
        <x:v>23</x:v>
      </x:c>
      <x:c r="E2685" s="48" t="str"/>
      <x:c r="F2685" s="48" t="str">
        <x:v>(Ea Tantan Sa kran an pg kebab Mera</x:v>
      </x:c>
      <x:c r="G2685" s="48" t="str">
        <x:v>Obligation</x:v>
      </x:c>
      <x:c r="H2685" s="48" t="str">
        <x:v>Shared</x:v>
      </x:c>
      <x:c r="I2685" s="48" t="n">
        <x:v>0.45</x:v>
      </x:c>
      <x:c r="J2685" s="48" t="n">
        <x:v>0.4</x:v>
      </x:c>
      <x:c r="K2685" s="48" t="str">
        <x:v>Yes</x:v>
      </x:c>
      <x:c r="L2685" s="48" t="str">
        <x:v>OCR</x:v>
      </x:c>
    </x:row>
    <x:row r="2686">
      <x:c r="A2686" s="48" t="str">
        <x:v>UNI-2685</x:v>
      </x:c>
      <x:c r="B2686" s="48" t="str">
        <x:v>SILVER</x:v>
      </x:c>
      <x:c r="C2686" s="48" t="str">
        <x:v>Indonesian</x:v>
      </x:c>
      <x:c r="D2686" s="48" t="n">
        <x:v>23</x:v>
      </x:c>
      <x:c r="E2686" s="48" t="str"/>
      <x:c r="F2686" s="48" t="str">
        <x:v>Pa Neng dn aa Pa Ce pssa MAN Maan</x:v>
      </x:c>
      <x:c r="G2686" s="48" t="str">
        <x:v>Obligation</x:v>
      </x:c>
      <x:c r="H2686" s="48" t="str">
        <x:v>Shared</x:v>
      </x:c>
      <x:c r="I2686" s="48" t="n">
        <x:v>0.45</x:v>
      </x:c>
      <x:c r="J2686" s="48" t="n">
        <x:v>0.4</x:v>
      </x:c>
      <x:c r="K2686" s="48" t="str">
        <x:v>Yes</x:v>
      </x:c>
      <x:c r="L2686" s="48" t="str">
        <x:v>OCR</x:v>
      </x:c>
    </x:row>
    <x:row r="2687">
      <x:c r="A2687" s="48" t="str">
        <x:v>UNI-2686</x:v>
      </x:c>
      <x:c r="B2687" s="48" t="str">
        <x:v>SILVER</x:v>
      </x:c>
      <x:c r="C2687" s="48" t="str">
        <x:v>Indonesian</x:v>
      </x:c>
      <x:c r="D2687" s="48" t="n">
        <x:v>24</x:v>
      </x:c>
      <x:c r="E2687" s="48" t="str"/>
      <x:c r="F2687" s="48" t="str">
        <x:v>Aka mtor (EN OALnON KK Gn uan parang Ja</x:v>
      </x:c>
      <x:c r="G2687" s="48" t="str">
        <x:v>Obligation</x:v>
      </x:c>
      <x:c r="H2687" s="48" t="str">
        <x:v>Shared</x:v>
      </x:c>
      <x:c r="I2687" s="48" t="n">
        <x:v>0.45</x:v>
      </x:c>
      <x:c r="J2687" s="48" t="n">
        <x:v>0.4</x:v>
      </x:c>
      <x:c r="K2687" s="48" t="str">
        <x:v>Yes</x:v>
      </x:c>
      <x:c r="L2687" s="48" t="str">
        <x:v>OCR</x:v>
      </x:c>
    </x:row>
    <x:row r="2688">
      <x:c r="A2688" s="48" t="str">
        <x:v>UNI-2687</x:v>
      </x:c>
      <x:c r="B2688" s="48" t="str">
        <x:v>SILVER</x:v>
      </x:c>
      <x:c r="C2688" s="48" t="str">
        <x:v>Indonesian</x:v>
      </x:c>
      <x:c r="D2688" s="48" t="n">
        <x:v>25</x:v>
      </x:c>
      <x:c r="E2688" s="48" t="str"/>
      <x:c r="F2688" s="48" t="str">
        <x:v>Bkyang ra KK Oa merata tua Pergara Jaa. sena oma ari</x:v>
      </x:c>
      <x:c r="G2688" s="48" t="str">
        <x:v>Obligation</x:v>
      </x:c>
      <x:c r="H2688" s="48" t="str">
        <x:v>Shared</x:v>
      </x:c>
      <x:c r="I2688" s="48" t="n">
        <x:v>0.45</x:v>
      </x:c>
      <x:c r="J2688" s="48" t="n">
        <x:v>0.4</x:v>
      </x:c>
      <x:c r="K2688" s="48" t="str">
        <x:v>Yes</x:v>
      </x:c>
      <x:c r="L2688" s="48" t="str">
        <x:v>OCR</x:v>
      </x:c>
    </x:row>
    <x:row r="2689">
      <x:c r="A2689" s="48" t="str">
        <x:v>UNI-2688</x:v>
      </x:c>
      <x:c r="B2689" s="48" t="str">
        <x:v>SILVER</x:v>
      </x:c>
      <x:c r="C2689" s="48" t="str">
        <x:v>Indonesian</x:v>
      </x:c>
      <x:c r="D2689" s="48" t="n">
        <x:v>25</x:v>
      </x:c>
      <x:c r="E2689" s="48" t="str"/>
      <x:c r="F2689" s="48" t="str">
        <x:v>Bumi Resa SA Gryayan cr rn nga mel jn ent na Ka</x:v>
      </x:c>
      <x:c r="G2689" s="48" t="str">
        <x:v>Obligation</x:v>
      </x:c>
      <x:c r="H2689" s="48" t="str">
        <x:v>Shared</x:v>
      </x:c>
      <x:c r="I2689" s="48" t="n">
        <x:v>0.45</x:v>
      </x:c>
      <x:c r="J2689" s="48" t="n">
        <x:v>0.4</x:v>
      </x:c>
      <x:c r="K2689" s="48" t="str">
        <x:v>Yes</x:v>
      </x:c>
      <x:c r="L2689" s="48" t="str">
        <x:v>OCR</x:v>
      </x:c>
    </x:row>
    <x:row r="2690">
      <x:c r="A2690" s="48" t="str">
        <x:v>UNI-2689</x:v>
      </x:c>
      <x:c r="B2690" s="48" t="str">
        <x:v>SILVER</x:v>
      </x:c>
      <x:c r="C2690" s="48" t="str">
        <x:v>Indonesian</x:v>
      </x:c>
      <x:c r="D2690" s="48" t="n">
        <x:v>25</x:v>
      </x:c>
      <x:c r="E2690" s="48" t="str"/>
      <x:c r="F2690" s="48" t="str">
        <x:v>ketan pas Neraka ta an paman Koma Ara pd Kran Pn ang</x:v>
      </x:c>
      <x:c r="G2690" s="48" t="str">
        <x:v>Obligation</x:v>
      </x:c>
      <x:c r="H2690" s="48" t="str">
        <x:v>Shared</x:v>
      </x:c>
      <x:c r="I2690" s="48" t="n">
        <x:v>0.45</x:v>
      </x:c>
      <x:c r="J2690" s="48" t="n">
        <x:v>0.4</x:v>
      </x:c>
      <x:c r="K2690" s="48" t="str">
        <x:v>Yes</x:v>
      </x:c>
      <x:c r="L2690" s="48" t="str">
        <x:v>OCR</x:v>
      </x:c>
    </x:row>
    <x:row r="2691">
      <x:c r="A2691" s="48" t="str">
        <x:v>UNI-2690</x:v>
      </x:c>
      <x:c r="B2691" s="48" t="str">
        <x:v>SILVER</x:v>
      </x:c>
      <x:c r="C2691" s="48" t="str">
        <x:v>Indonesian</x:v>
      </x:c>
      <x:c r="D2691" s="48" t="n">
        <x:v>25</x:v>
      </x:c>
      <x:c r="E2691" s="48" t="str"/>
      <x:c r="F2691" s="48" t="str">
        <x:v>Ke AP EA Gr Gen PnpeMan La</x:v>
      </x:c>
      <x:c r="G2691" s="48" t="str">
        <x:v>Obligation</x:v>
      </x:c>
      <x:c r="H2691" s="48" t="str">
        <x:v>Shared</x:v>
      </x:c>
      <x:c r="I2691" s="48" t="n">
        <x:v>0.45</x:v>
      </x:c>
      <x:c r="J2691" s="48" t="n">
        <x:v>0.4</x:v>
      </x:c>
      <x:c r="K2691" s="48" t="str">
        <x:v>Yes</x:v>
      </x:c>
      <x:c r="L2691" s="48" t="str">
        <x:v>OCR</x:v>
      </x:c>
    </x:row>
    <x:row r="2692">
      <x:c r="A2692" s="48" t="str">
        <x:v>UNI-2691</x:v>
      </x:c>
      <x:c r="B2692" s="48" t="str">
        <x:v>SILVER</x:v>
      </x:c>
      <x:c r="C2692" s="48" t="str">
        <x:v>Indonesian</x:v>
      </x:c>
      <x:c r="D2692" s="48" t="n">
        <x:v>25</x:v>
      </x:c>
      <x:c r="E2692" s="48" t="str"/>
      <x:c r="F2692" s="48" t="str">
        <x:v>bean Eta raman ai Geun Ban kan ha da dad</x:v>
      </x:c>
      <x:c r="G2692" s="48" t="str">
        <x:v>Obligation</x:v>
      </x:c>
      <x:c r="H2692" s="48" t="str">
        <x:v>Shared</x:v>
      </x:c>
      <x:c r="I2692" s="48" t="n">
        <x:v>0.45</x:v>
      </x:c>
      <x:c r="J2692" s="48" t="n">
        <x:v>0.4</x:v>
      </x:c>
      <x:c r="K2692" s="48" t="str">
        <x:v>Yes</x:v>
      </x:c>
      <x:c r="L2692" s="48" t="str">
        <x:v>OCR</x:v>
      </x:c>
    </x:row>
    <x:row r="2693">
      <x:c r="A2693" s="48" t="str">
        <x:v>UNI-2692</x:v>
      </x:c>
      <x:c r="B2693" s="48" t="str">
        <x:v>SILVER</x:v>
      </x:c>
      <x:c r="C2693" s="48" t="str">
        <x:v>Indonesian</x:v>
      </x:c>
      <x:c r="D2693" s="48" t="n">
        <x:v>25</x:v>
      </x:c>
      <x:c r="E2693" s="48" t="str"/>
      <x:c r="F2693" s="48" t="str">
        <x:v>TAK UM MeMAMAI AO Ae WLATON METE LUMA PENA Dra</x:v>
      </x:c>
      <x:c r="G2693" s="48" t="str">
        <x:v>Obligation</x:v>
      </x:c>
      <x:c r="H2693" s="48" t="str">
        <x:v>Shared</x:v>
      </x:c>
      <x:c r="I2693" s="48" t="n">
        <x:v>0.45</x:v>
      </x:c>
      <x:c r="J2693" s="48" t="n">
        <x:v>0.4</x:v>
      </x:c>
      <x:c r="K2693" s="48" t="str">
        <x:v>Yes</x:v>
      </x:c>
      <x:c r="L2693" s="48" t="str">
        <x:v>OCR</x:v>
      </x:c>
    </x:row>
    <x:row r="2694">
      <x:c r="A2694" s="48" t="str">
        <x:v>UNI-2693</x:v>
      </x:c>
      <x:c r="B2694" s="48" t="str">
        <x:v>SILVER</x:v>
      </x:c>
      <x:c r="C2694" s="48" t="str">
        <x:v>Indonesian</x:v>
      </x:c>
      <x:c r="D2694" s="48" t="n">
        <x:v>26</x:v>
      </x:c>
      <x:c r="E2694" s="48" t="str"/>
      <x:c r="F2694" s="48" t="str">
        <x:v>pesan Pungara</x:v>
      </x:c>
      <x:c r="G2694" s="48" t="str">
        <x:v>Obligation</x:v>
      </x:c>
      <x:c r="H2694" s="48" t="str">
        <x:v>Shared</x:v>
      </x:c>
      <x:c r="I2694" s="48" t="n">
        <x:v>0.45</x:v>
      </x:c>
      <x:c r="J2694" s="48" t="n">
        <x:v>0.4</x:v>
      </x:c>
      <x:c r="K2694" s="48" t="str">
        <x:v>Yes</x:v>
      </x:c>
      <x:c r="L2694" s="48" t="str">
        <x:v>OCR</x:v>
      </x:c>
    </x:row>
    <x:row r="2695">
      <x:c r="A2695" s="48" t="str">
        <x:v>UNI-2694</x:v>
      </x:c>
      <x:c r="B2695" s="48" t="str">
        <x:v>SILVER</x:v>
      </x:c>
      <x:c r="C2695" s="48" t="str">
        <x:v>Indonesian</x:v>
      </x:c>
      <x:c r="D2695" s="48" t="n">
        <x:v>26</x:v>
      </x:c>
      <x:c r="E2695" s="48" t="str"/>
      <x:c r="F2695" s="48" t="str">
        <x:v>Pegara mata GA Ba LA merama biMA PN PNG</x:v>
      </x:c>
      <x:c r="G2695" s="48" t="str">
        <x:v>Obligation</x:v>
      </x:c>
      <x:c r="H2695" s="48" t="str">
        <x:v>Shared</x:v>
      </x:c>
      <x:c r="I2695" s="48" t="n">
        <x:v>0.45</x:v>
      </x:c>
      <x:c r="J2695" s="48" t="n">
        <x:v>0.4</x:v>
      </x:c>
      <x:c r="K2695" s="48" t="str">
        <x:v>Yes</x:v>
      </x:c>
      <x:c r="L2695" s="48" t="str">
        <x:v>OCR</x:v>
      </x:c>
    </x:row>
    <x:row r="2696">
      <x:c r="A2696" s="48" t="str">
        <x:v>UNI-2695</x:v>
      </x:c>
      <x:c r="B2696" s="48" t="str">
        <x:v>SILVER</x:v>
      </x:c>
      <x:c r="C2696" s="48" t="str">
        <x:v>Indonesian</x:v>
      </x:c>
      <x:c r="D2696" s="48" t="n">
        <x:v>26</x:v>
      </x:c>
      <x:c r="E2696" s="48" t="str">
        <x:v>10</x:v>
      </x:c>
      <x:c r="F2696" s="48" t="str">
        <x:v>10 mapan drg rest tecatan Sm A0 Keram.Or</x:v>
      </x:c>
      <x:c r="G2696" s="48" t="str">
        <x:v>Heading</x:v>
      </x:c>
      <x:c r="H2696" s="48" t="str"/>
      <x:c r="I2696" s="48" t="n">
        <x:v>0.9</x:v>
      </x:c>
      <x:c r="J2696" s="48" t="n">
        <x:v>0.99</x:v>
      </x:c>
      <x:c r="K2696" s="48" t="str">
        <x:v>No</x:v>
      </x:c>
      <x:c r="L2696" s="48" t="str">
        <x:v>OCR</x:v>
      </x:c>
    </x:row>
    <x:row r="2697">
      <x:c r="A2697" s="48" t="str">
        <x:v>UNI-2696</x:v>
      </x:c>
      <x:c r="B2697" s="48" t="str">
        <x:v>SILVER</x:v>
      </x:c>
      <x:c r="C2697" s="48" t="str">
        <x:v>Indonesian</x:v>
      </x:c>
      <x:c r="D2697" s="48" t="n">
        <x:v>26</x:v>
      </x:c>
      <x:c r="E2697" s="48" t="str"/>
      <x:c r="F2697" s="48" t="str">
        <x:v>IN Oa tegangan maa ega yag ena dan Kata</x:v>
      </x:c>
      <x:c r="G2697" s="48" t="str">
        <x:v>Obligation</x:v>
      </x:c>
      <x:c r="H2697" s="48" t="str">
        <x:v>Shared</x:v>
      </x:c>
      <x:c r="I2697" s="48" t="n">
        <x:v>0.45</x:v>
      </x:c>
      <x:c r="J2697" s="48" t="n">
        <x:v>0.4</x:v>
      </x:c>
      <x:c r="K2697" s="48" t="str">
        <x:v>Yes</x:v>
      </x:c>
      <x:c r="L2697" s="48" t="str">
        <x:v>OCR</x:v>
      </x:c>
    </x:row>
    <x:row r="2698">
      <x:c r="A2698" s="48" t="str">
        <x:v>UNI-2697</x:v>
      </x:c>
      <x:c r="B2698" s="48" t="str">
        <x:v>SILVER</x:v>
      </x:c>
      <x:c r="C2698" s="48" t="str">
        <x:v>Indonesian</x:v>
      </x:c>
      <x:c r="D2698" s="48" t="n">
        <x:v>26</x:v>
      </x:c>
      <x:c r="E2698" s="48" t="str"/>
      <x:c r="F2698" s="48" t="str">
        <x:v>Santatan Gap BB BG Bian AA Pora</x:v>
      </x:c>
      <x:c r="G2698" s="48" t="str">
        <x:v>Obligation</x:v>
      </x:c>
      <x:c r="H2698" s="48" t="str">
        <x:v>Shared</x:v>
      </x:c>
      <x:c r="I2698" s="48" t="n">
        <x:v>0.45</x:v>
      </x:c>
      <x:c r="J2698" s="48" t="n">
        <x:v>0.4</x:v>
      </x:c>
      <x:c r="K2698" s="48" t="str">
        <x:v>Yes</x:v>
      </x:c>
      <x:c r="L2698" s="48" t="str">
        <x:v>OCR</x:v>
      </x:c>
    </x:row>
    <x:row r="2699">
      <x:c r="A2699" s="48" t="str">
        <x:v>UNI-2698</x:v>
      </x:c>
      <x:c r="B2699" s="48" t="str">
        <x:v>SILVER</x:v>
      </x:c>
      <x:c r="C2699" s="48" t="str">
        <x:v>Indonesian</x:v>
      </x:c>
      <x:c r="D2699" s="48" t="n">
        <x:v>26</x:v>
      </x:c>
      <x:c r="E2699" s="48" t="str"/>
      <x:c r="F2699" s="48" t="str">
        <x:v>aamiin SO aman A10 PasoLiyarOr item Kosagan</x:v>
      </x:c>
      <x:c r="G2699" s="48" t="str">
        <x:v>Obligation</x:v>
      </x:c>
      <x:c r="H2699" s="48" t="str">
        <x:v>Shared</x:v>
      </x:c>
      <x:c r="I2699" s="48" t="n">
        <x:v>0.45</x:v>
      </x:c>
      <x:c r="J2699" s="48" t="n">
        <x:v>0.4</x:v>
      </x:c>
      <x:c r="K2699" s="48" t="str">
        <x:v>Yes</x:v>
      </x:c>
      <x:c r="L2699" s="48" t="str">
        <x:v>OCR</x:v>
      </x:c>
    </x:row>
    <x:row r="2700">
      <x:c r="A2700" s="48" t="str">
        <x:v>UNI-2699</x:v>
      </x:c>
      <x:c r="B2700" s="48" t="str">
        <x:v>SILVER</x:v>
      </x:c>
      <x:c r="C2700" s="48" t="str">
        <x:v>Indonesian</x:v>
      </x:c>
      <x:c r="D2700" s="48" t="n">
        <x:v>26</x:v>
      </x:c>
      <x:c r="E2700" s="48" t="str"/>
      <x:c r="F2700" s="48" t="str">
        <x:v>Penara Santana menata, dan wa 28 ar mah merana emetran cs ema ban gag merwadia menagendapan Mr</x:v>
      </x:c>
      <x:c r="G2700" s="48" t="str">
        <x:v>Obligation</x:v>
      </x:c>
      <x:c r="H2700" s="48" t="str">
        <x:v>Shared</x:v>
      </x:c>
      <x:c r="I2700" s="48" t="n">
        <x:v>0.45</x:v>
      </x:c>
      <x:c r="J2700" s="48" t="n">
        <x:v>0.4</x:v>
      </x:c>
      <x:c r="K2700" s="48" t="str">
        <x:v>Yes</x:v>
      </x:c>
      <x:c r="L2700" s="48" t="str">
        <x:v>OCR</x:v>
      </x:c>
    </x:row>
    <x:row r="2701">
      <x:c r="A2701" s="48" t="str">
        <x:v>UNI-2700</x:v>
      </x:c>
      <x:c r="B2701" s="48" t="str">
        <x:v>SILVER</x:v>
      </x:c>
      <x:c r="C2701" s="48" t="str">
        <x:v>Indonesian</x:v>
      </x:c>
      <x:c r="D2701" s="48" t="n">
        <x:v>26</x:v>
      </x:c>
      <x:c r="E2701" s="48" t="str"/>
      <x:c r="F2701" s="48" t="str">
        <x:v>MEMKtan Prana Ia menja Han Kere em ma BK</x:v>
      </x:c>
      <x:c r="G2701" s="48" t="str">
        <x:v>Obligation</x:v>
      </x:c>
      <x:c r="H2701" s="48" t="str">
        <x:v>Shared</x:v>
      </x:c>
      <x:c r="I2701" s="48" t="n">
        <x:v>0.45</x:v>
      </x:c>
      <x:c r="J2701" s="48" t="n">
        <x:v>0.4</x:v>
      </x:c>
      <x:c r="K2701" s="48" t="str">
        <x:v>Yes</x:v>
      </x:c>
      <x:c r="L2701" s="48" t="str">
        <x:v>OCR</x:v>
      </x:c>
    </x:row>
    <x:row r="2702">
      <x:c r="A2702" s="48" t="str">
        <x:v>UNI-2701</x:v>
      </x:c>
      <x:c r="B2702" s="48" t="str">
        <x:v>SILVER</x:v>
      </x:c>
      <x:c r="C2702" s="48" t="str">
        <x:v>Indonesian</x:v>
      </x:c>
      <x:c r="D2702" s="48" t="n">
        <x:v>29</x:v>
      </x:c>
      <x:c r="E2702" s="48" t="str"/>
      <x:c r="F2702" s="48" t="str">
        <x:v>Kami Una</x:v>
      </x:c>
      <x:c r="G2702" s="48" t="str">
        <x:v>Obligation</x:v>
      </x:c>
      <x:c r="H2702" s="48" t="str">
        <x:v>Shared</x:v>
      </x:c>
      <x:c r="I2702" s="48" t="n">
        <x:v>0.45</x:v>
      </x:c>
      <x:c r="J2702" s="48" t="n">
        <x:v>0.4</x:v>
      </x:c>
      <x:c r="K2702" s="48" t="str">
        <x:v>Yes</x:v>
      </x:c>
      <x:c r="L2702" s="48" t="str">
        <x:v>OCR</x:v>
      </x:c>
    </x:row>
    <x:row r="2703">
      <x:c r="A2703" s="48" t="str">
        <x:v>UNI-2702</x:v>
      </x:c>
      <x:c r="B2703" s="48" t="str">
        <x:v>SILVER</x:v>
      </x:c>
      <x:c r="C2703" s="48" t="str">
        <x:v>Indonesian</x:v>
      </x:c>
      <x:c r="D2703" s="48" t="n">
        <x:v>29</x:v>
      </x:c>
      <x:c r="E2703" s="48" t="str"/>
      <x:c r="F2703" s="48" t="str">
        <x:v>ata Pangan £ pertean tua Prgara bas hn mrk Ira Sa Organ SKL S5 wan menyamar pa</x:v>
      </x:c>
      <x:c r="G2703" s="48" t="str">
        <x:v>Obligation</x:v>
      </x:c>
      <x:c r="H2703" s="48" t="str">
        <x:v>Shared</x:v>
      </x:c>
      <x:c r="I2703" s="48" t="n">
        <x:v>0.45</x:v>
      </x:c>
      <x:c r="J2703" s="48" t="n">
        <x:v>0.4</x:v>
      </x:c>
      <x:c r="K2703" s="48" t="str">
        <x:v>Yes</x:v>
      </x:c>
      <x:c r="L2703" s="48" t="str">
        <x:v>OCR</x:v>
      </x:c>
    </x:row>
    <x:row r="2704">
      <x:c r="A2704" s="48" t="str">
        <x:v>UNI-2703</x:v>
      </x:c>
      <x:c r="B2704" s="48" t="str">
        <x:v>SILVER</x:v>
      </x:c>
      <x:c r="C2704" s="48" t="str">
        <x:v>Indonesian</x:v>
      </x:c>
      <x:c r="D2704" s="48" t="n">
        <x:v>29</x:v>
      </x:c>
      <x:c r="E2704" s="48" t="str"/>
      <x:c r="F2704" s="48" t="str">
        <x:v>Pegara ba bata beer Segar or Gan Lara mncaai</x:v>
      </x:c>
      <x:c r="G2704" s="48" t="str">
        <x:v>Obligation</x:v>
      </x:c>
      <x:c r="H2704" s="48" t="str">
        <x:v>Shared</x:v>
      </x:c>
      <x:c r="I2704" s="48" t="n">
        <x:v>0.45</x:v>
      </x:c>
      <x:c r="J2704" s="48" t="n">
        <x:v>0.4</x:v>
      </x:c>
      <x:c r="K2704" s="48" t="str">
        <x:v>Yes</x:v>
      </x:c>
      <x:c r="L2704" s="48" t="str">
        <x:v>OCR</x:v>
      </x:c>
    </x:row>
    <x:row r="2705">
      <x:c r="A2705" s="48" t="str">
        <x:v>UNI-2704</x:v>
      </x:c>
      <x:c r="B2705" s="48" t="str">
        <x:v>SILVER</x:v>
      </x:c>
      <x:c r="C2705" s="48" t="str">
        <x:v>Indonesian</x:v>
      </x:c>
      <x:c r="D2705" s="48" t="n">
        <x:v>29</x:v>
      </x:c>
      <x:c r="E2705" s="48" t="str"/>
      <x:c r="F2705" s="48" t="str">
        <x:v>bagan Po aa Wrong Pe an ho Tan</x:v>
      </x:c>
      <x:c r="G2705" s="48" t="str">
        <x:v>Obligation</x:v>
      </x:c>
      <x:c r="H2705" s="48" t="str">
        <x:v>Shared</x:v>
      </x:c>
      <x:c r="I2705" s="48" t="n">
        <x:v>0.45</x:v>
      </x:c>
      <x:c r="J2705" s="48" t="n">
        <x:v>0.4</x:v>
      </x:c>
      <x:c r="K2705" s="48" t="str">
        <x:v>Yes</x:v>
      </x:c>
      <x:c r="L2705" s="48" t="str">
        <x:v>OCR</x:v>
      </x:c>
    </x:row>
    <x:row r="2706">
      <x:c r="A2706" s="48" t="str">
        <x:v>UNI-2705</x:v>
      </x:c>
      <x:c r="B2706" s="48" t="str">
        <x:v>SILVER</x:v>
      </x:c>
      <x:c r="C2706" s="48" t="str">
        <x:v>Indonesian</x:v>
      </x:c>
      <x:c r="D2706" s="48" t="n">
        <x:v>29</x:v>
      </x:c>
      <x:c r="E2706" s="48" t="str"/>
      <x:c r="F2706" s="48" t="str">
        <x:v>Eman ena ta rat nga mengamaatta</x:v>
      </x:c>
      <x:c r="G2706" s="48" t="str">
        <x:v>Obligation</x:v>
      </x:c>
      <x:c r="H2706" s="48" t="str">
        <x:v>Shared</x:v>
      </x:c>
      <x:c r="I2706" s="48" t="n">
        <x:v>0.45</x:v>
      </x:c>
      <x:c r="J2706" s="48" t="n">
        <x:v>0.4</x:v>
      </x:c>
      <x:c r="K2706" s="48" t="str">
        <x:v>Yes</x:v>
      </x:c>
      <x:c r="L2706" s="48" t="str">
        <x:v>OCR</x:v>
      </x:c>
    </x:row>
    <x:row r="2707">
      <x:c r="A2707" s="48" t="str">
        <x:v>UNI-2706</x:v>
      </x:c>
      <x:c r="B2707" s="48" t="str">
        <x:v>SILVER</x:v>
      </x:c>
      <x:c r="C2707" s="48" t="str">
        <x:v>Indonesian</x:v>
      </x:c>
      <x:c r="D2707" s="48" t="n">
        <x:v>29</x:v>
      </x:c>
      <x:c r="E2707" s="48" t="str"/>
      <x:c r="F2707" s="48" t="str">
        <x:v>PeSara ata merbethVan bca Kermbr wbpktn</x:v>
      </x:c>
      <x:c r="G2707" s="48" t="str">
        <x:v>Obligation</x:v>
      </x:c>
      <x:c r="H2707" s="48" t="str">
        <x:v>Shared</x:v>
      </x:c>
      <x:c r="I2707" s="48" t="n">
        <x:v>0.45</x:v>
      </x:c>
      <x:c r="J2707" s="48" t="n">
        <x:v>0.4</x:v>
      </x:c>
      <x:c r="K2707" s="48" t="str">
        <x:v>Yes</x:v>
      </x:c>
      <x:c r="L2707" s="48" t="str">
        <x:v>OCR</x:v>
      </x:c>
    </x:row>
    <x:row r="2708">
      <x:c r="A2708" s="48" t="str">
        <x:v>UNI-2707</x:v>
      </x:c>
      <x:c r="B2708" s="48" t="str">
        <x:v>SILVER</x:v>
      </x:c>
      <x:c r="C2708" s="48" t="str">
        <x:v>Indonesian</x:v>
      </x:c>
      <x:c r="D2708" s="48" t="n">
        <x:v>29</x:v>
      </x:c>
      <x:c r="E2708" s="48" t="str"/>
      <x:c r="F2708" s="48" t="str">
        <x:v>Pein Segan Gn benar Su Para muntemeja lemema</x:v>
      </x:c>
      <x:c r="G2708" s="48" t="str">
        <x:v>Obligation</x:v>
      </x:c>
      <x:c r="H2708" s="48" t="str">
        <x:v>Shared</x:v>
      </x:c>
      <x:c r="I2708" s="48" t="n">
        <x:v>0.45</x:v>
      </x:c>
      <x:c r="J2708" s="48" t="n">
        <x:v>0.4</x:v>
      </x:c>
      <x:c r="K2708" s="48" t="str">
        <x:v>Yes</x:v>
      </x:c>
      <x:c r="L2708" s="48" t="str">
        <x:v>OCR</x:v>
      </x:c>
    </x:row>
    <x:row r="2709">
      <x:c r="A2709" s="48" t="str">
        <x:v>UNI-2708</x:v>
      </x:c>
      <x:c r="B2709" s="48" t="str">
        <x:v>SILVER</x:v>
      </x:c>
      <x:c r="C2709" s="48" t="str">
        <x:v>Indonesian</x:v>
      </x:c>
      <x:c r="D2709" s="48" t="n">
        <x:v>29</x:v>
      </x:c>
      <x:c r="E2709" s="48" t="str"/>
      <x:c r="F2709" s="48" t="str">
        <x:v>PeWara Ka ti pace lea pra ka Ka</x:v>
      </x:c>
      <x:c r="G2709" s="48" t="str">
        <x:v>Obligation</x:v>
      </x:c>
      <x:c r="H2709" s="48" t="str">
        <x:v>Shared</x:v>
      </x:c>
      <x:c r="I2709" s="48" t="n">
        <x:v>0.45</x:v>
      </x:c>
      <x:c r="J2709" s="48" t="n">
        <x:v>0.4</x:v>
      </x:c>
      <x:c r="K2709" s="48" t="str">
        <x:v>Yes</x:v>
      </x:c>
      <x:c r="L2709" s="48" t="str">
        <x:v>OCR</x:v>
      </x:c>
    </x:row>
    <x:row r="2710">
      <x:c r="A2710" s="48" t="str">
        <x:v>UNI-2709</x:v>
      </x:c>
      <x:c r="B2710" s="48" t="str">
        <x:v>SILVER</x:v>
      </x:c>
      <x:c r="C2710" s="48" t="str">
        <x:v>Indonesian</x:v>
      </x:c>
      <x:c r="D2710" s="48" t="n">
        <x:v>29</x:v>
      </x:c>
      <x:c r="E2710" s="48" t="str"/>
      <x:c r="F2710" s="48" t="str">
        <x:v>Tap Oya ertranan Dam pl ngan pa pr et</x:v>
      </x:c>
      <x:c r="G2710" s="48" t="str">
        <x:v>Obligation</x:v>
      </x:c>
      <x:c r="H2710" s="48" t="str">
        <x:v>Shared</x:v>
      </x:c>
      <x:c r="I2710" s="48" t="n">
        <x:v>0.45</x:v>
      </x:c>
      <x:c r="J2710" s="48" t="n">
        <x:v>0.4</x:v>
      </x:c>
      <x:c r="K2710" s="48" t="str">
        <x:v>Yes</x:v>
      </x:c>
      <x:c r="L2710" s="48" t="str">
        <x:v>OCR</x:v>
      </x:c>
    </x:row>
    <x:row r="2711">
      <x:c r="A2711" s="48" t="str">
        <x:v>UNI-2710</x:v>
      </x:c>
      <x:c r="B2711" s="48" t="str">
        <x:v>SILVER</x:v>
      </x:c>
      <x:c r="C2711" s="48" t="str">
        <x:v>Indonesian</x:v>
      </x:c>
      <x:c r="D2711" s="48" t="n">
        <x:v>29</x:v>
      </x:c>
      <x:c r="E2711" s="48" t="str"/>
      <x:c r="F2711" s="48" t="str">
        <x:v>Penak mega lan DO mn degan Sta Bi Tran</x:v>
      </x:c>
      <x:c r="G2711" s="48" t="str">
        <x:v>Obligation</x:v>
      </x:c>
      <x:c r="H2711" s="48" t="str">
        <x:v>Shared</x:v>
      </x:c>
      <x:c r="I2711" s="48" t="n">
        <x:v>0.45</x:v>
      </x:c>
      <x:c r="J2711" s="48" t="n">
        <x:v>0.4</x:v>
      </x:c>
      <x:c r="K2711" s="48" t="str">
        <x:v>Yes</x:v>
      </x:c>
      <x:c r="L2711" s="48" t="str">
        <x:v>OCR</x:v>
      </x:c>
    </x:row>
    <x:row r="2712">
      <x:c r="A2712" s="48" t="str">
        <x:v>UNI-2711</x:v>
      </x:c>
      <x:c r="B2712" s="48" t="str">
        <x:v>SILVER</x:v>
      </x:c>
      <x:c r="C2712" s="48" t="str">
        <x:v>Indonesian</x:v>
      </x:c>
      <x:c r="D2712" s="48" t="n">
        <x:v>31</x:v>
      </x:c>
      <x:c r="E2712" s="48" t="str"/>
      <x:c r="F2712" s="48" t="str">
        <x:v>nga steve Kera tan mryrgan urai Sc ang</x:v>
      </x:c>
      <x:c r="G2712" s="48" t="str">
        <x:v>Obligation</x:v>
      </x:c>
      <x:c r="H2712" s="48" t="str">
        <x:v>Shared</x:v>
      </x:c>
      <x:c r="I2712" s="48" t="n">
        <x:v>0.45</x:v>
      </x:c>
      <x:c r="J2712" s="48" t="n">
        <x:v>0.4</x:v>
      </x:c>
      <x:c r="K2712" s="48" t="str">
        <x:v>Yes</x:v>
      </x:c>
      <x:c r="L2712" s="48" t="str">
        <x:v>OCR</x:v>
      </x:c>
    </x:row>
    <x:row r="2713">
      <x:c r="A2713" s="48" t="str">
        <x:v>UNI-2712</x:v>
      </x:c>
      <x:c r="B2713" s="48" t="str">
        <x:v>SILVER</x:v>
      </x:c>
      <x:c r="C2713" s="48" t="str">
        <x:v>Indonesian</x:v>
      </x:c>
      <x:c r="D2713" s="48" t="n">
        <x:v>31</x:v>
      </x:c>
      <x:c r="E2713" s="48" t="str"/>
      <x:c r="F2713" s="48" t="str">
        <x:v>Pa aa yaaa</x:v>
      </x:c>
      <x:c r="G2713" s="48" t="str">
        <x:v>Obligation</x:v>
      </x:c>
      <x:c r="H2713" s="48" t="str">
        <x:v>Shared</x:v>
      </x:c>
      <x:c r="I2713" s="48" t="n">
        <x:v>0.45</x:v>
      </x:c>
      <x:c r="J2713" s="48" t="n">
        <x:v>0.4</x:v>
      </x:c>
      <x:c r="K2713" s="48" t="str">
        <x:v>Yes</x:v>
      </x:c>
      <x:c r="L2713" s="48" t="str">
        <x:v>OCR</x:v>
      </x:c>
    </x:row>
    <x:row r="2714">
      <x:c r="A2714" s="48" t="str">
        <x:v>UNI-2713</x:v>
      </x:c>
      <x:c r="B2714" s="48" t="str">
        <x:v>SILVER</x:v>
      </x:c>
      <x:c r="C2714" s="48" t="str">
        <x:v>Indonesian</x:v>
      </x:c>
      <x:c r="D2714" s="48" t="n">
        <x:v>31</x:v>
      </x:c>
      <x:c r="E2714" s="48" t="str"/>
      <x:c r="F2714" s="48" t="str">
        <x:v>Nero secaba kan sekedar ma merana</x:v>
      </x:c>
      <x:c r="G2714" s="48" t="str">
        <x:v>Obligation</x:v>
      </x:c>
      <x:c r="H2714" s="48" t="str">
        <x:v>Shared</x:v>
      </x:c>
      <x:c r="I2714" s="48" t="n">
        <x:v>0.45</x:v>
      </x:c>
      <x:c r="J2714" s="48" t="n">
        <x:v>0.4</x:v>
      </x:c>
      <x:c r="K2714" s="48" t="str">
        <x:v>Yes</x:v>
      </x:c>
      <x:c r="L2714" s="48" t="str">
        <x:v>OCR</x:v>
      </x:c>
    </x:row>
    <x:row r="2715">
      <x:c r="A2715" s="48" t="str">
        <x:v>UNI-2714</x:v>
      </x:c>
      <x:c r="B2715" s="48" t="str">
        <x:v>SILVER</x:v>
      </x:c>
      <x:c r="C2715" s="48" t="str">
        <x:v>Indonesian</x:v>
      </x:c>
      <x:c r="D2715" s="48" t="n">
        <x:v>31</x:v>
      </x:c>
      <x:c r="E2715" s="48" t="str"/>
      <x:c r="F2715" s="48" t="str">
        <x:v>PELAN Kr dn mesen raga</x:v>
      </x:c>
      <x:c r="G2715" s="48" t="str">
        <x:v>Obligation</x:v>
      </x:c>
      <x:c r="H2715" s="48" t="str">
        <x:v>Shared</x:v>
      </x:c>
      <x:c r="I2715" s="48" t="n">
        <x:v>0.45</x:v>
      </x:c>
      <x:c r="J2715" s="48" t="n">
        <x:v>0.4</x:v>
      </x:c>
      <x:c r="K2715" s="48" t="str">
        <x:v>Yes</x:v>
      </x:c>
      <x:c r="L2715" s="48" t="str">
        <x:v>OCR</x:v>
      </x:c>
    </x:row>
    <x:row r="2716">
      <x:c r="A2716" s="48" t="str">
        <x:v>UNI-2715</x:v>
      </x:c>
      <x:c r="B2716" s="48" t="str">
        <x:v>SILVER</x:v>
      </x:c>
      <x:c r="C2716" s="48" t="str">
        <x:v>Indonesian</x:v>
      </x:c>
      <x:c r="D2716" s="48" t="n">
        <x:v>31</x:v>
      </x:c>
      <x:c r="E2716" s="48" t="str"/>
      <x:c r="F2716" s="48" t="str">
        <x:v>eter maan eren merta rebana Segan ke pena (NA mnngakan ham An Gn wr Pr</x:v>
      </x:c>
      <x:c r="G2716" s="48" t="str">
        <x:v>Obligation</x:v>
      </x:c>
      <x:c r="H2716" s="48" t="str">
        <x:v>Shared</x:v>
      </x:c>
      <x:c r="I2716" s="48" t="n">
        <x:v>0.45</x:v>
      </x:c>
      <x:c r="J2716" s="48" t="n">
        <x:v>0.4</x:v>
      </x:c>
      <x:c r="K2716" s="48" t="str">
        <x:v>Yes</x:v>
      </x:c>
      <x:c r="L2716" s="48" t="str">
        <x:v>OCR</x:v>
      </x:c>
    </x:row>
    <x:row r="2717">
      <x:c r="A2717" s="48" t="str">
        <x:v>UNI-2716</x:v>
      </x:c>
      <x:c r="B2717" s="48" t="str">
        <x:v>SILVER</x:v>
      </x:c>
      <x:c r="C2717" s="48" t="str">
        <x:v>Indonesian</x:v>
      </x:c>
      <x:c r="D2717" s="48" t="n">
        <x:v>31</x:v>
      </x:c>
      <x:c r="E2717" s="48" t="str"/>
      <x:c r="F2717" s="48" t="str">
        <x:v>Rn AN Ona me PeLaN ma Pep</x:v>
      </x:c>
      <x:c r="G2717" s="48" t="str">
        <x:v>Obligation</x:v>
      </x:c>
      <x:c r="H2717" s="48" t="str">
        <x:v>Shared</x:v>
      </x:c>
      <x:c r="I2717" s="48" t="n">
        <x:v>0.45</x:v>
      </x:c>
      <x:c r="J2717" s="48" t="n">
        <x:v>0.4</x:v>
      </x:c>
      <x:c r="K2717" s="48" t="str">
        <x:v>Yes</x:v>
      </x:c>
      <x:c r="L2717" s="48" t="str">
        <x:v>OCR</x:v>
      </x:c>
    </x:row>
    <x:row r="2718">
      <x:c r="A2718" s="48" t="str">
        <x:v>UNI-2717</x:v>
      </x:c>
      <x:c r="B2718" s="48" t="str">
        <x:v>SILVER</x:v>
      </x:c>
      <x:c r="C2718" s="48" t="str">
        <x:v>Indonesian</x:v>
      </x:c>
      <x:c r="D2718" s="48" t="n">
        <x:v>31</x:v>
      </x:c>
      <x:c r="E2718" s="48" t="str"/>
      <x:c r="F2718" s="48" t="str">
        <x:v>Pan Ka te ha Dp erna prana yag Bea</x:v>
      </x:c>
      <x:c r="G2718" s="48" t="str">
        <x:v>Obligation</x:v>
      </x:c>
      <x:c r="H2718" s="48" t="str">
        <x:v>Shared</x:v>
      </x:c>
      <x:c r="I2718" s="48" t="n">
        <x:v>0.45</x:v>
      </x:c>
      <x:c r="J2718" s="48" t="n">
        <x:v>0.4</x:v>
      </x:c>
      <x:c r="K2718" s="48" t="str">
        <x:v>Yes</x:v>
      </x:c>
      <x:c r="L2718" s="48" t="str">
        <x:v>OCR</x:v>
      </x:c>
    </x:row>
    <x:row r="2719">
      <x:c r="A2719" s="48" t="str">
        <x:v>UNI-2718</x:v>
      </x:c>
      <x:c r="B2719" s="48" t="str">
        <x:v>SILVER</x:v>
      </x:c>
      <x:c r="C2719" s="48" t="str">
        <x:v>Indonesian</x:v>
      </x:c>
      <x:c r="D2719" s="48" t="n">
        <x:v>31</x:v>
      </x:c>
      <x:c r="E2719" s="48" t="str"/>
      <x:c r="F2719" s="48" t="str">
        <x:v>Konate sesi linpisik pabrik aa</x:v>
      </x:c>
      <x:c r="G2719" s="48" t="str">
        <x:v>Obligation</x:v>
      </x:c>
      <x:c r="H2719" s="48" t="str">
        <x:v>Shared</x:v>
      </x:c>
      <x:c r="I2719" s="48" t="n">
        <x:v>0.45</x:v>
      </x:c>
      <x:c r="J2719" s="48" t="n">
        <x:v>0.4</x:v>
      </x:c>
      <x:c r="K2719" s="48" t="str">
        <x:v>Yes</x:v>
      </x:c>
      <x:c r="L2719" s="48" t="str">
        <x:v>OCR</x:v>
      </x:c>
    </x:row>
    <x:row r="2720">
      <x:c r="A2720" s="48" t="str">
        <x:v>UNI-2719</x:v>
      </x:c>
      <x:c r="B2720" s="48" t="str">
        <x:v>SILVER</x:v>
      </x:c>
      <x:c r="C2720" s="48" t="str">
        <x:v>Indonesian</x:v>
      </x:c>
      <x:c r="D2720" s="48" t="n">
        <x:v>31</x:v>
      </x:c>
      <x:c r="E2720" s="48" t="str"/>
      <x:c r="F2720" s="48" t="str">
        <x:v>Kr Pn rar em ak era tm Gran</x:v>
      </x:c>
      <x:c r="G2720" s="48" t="str">
        <x:v>Obligation</x:v>
      </x:c>
      <x:c r="H2720" s="48" t="str">
        <x:v>Shared</x:v>
      </x:c>
      <x:c r="I2720" s="48" t="n">
        <x:v>0.45</x:v>
      </x:c>
      <x:c r="J2720" s="48" t="n">
        <x:v>0.4</x:v>
      </x:c>
      <x:c r="K2720" s="48" t="str">
        <x:v>Yes</x:v>
      </x:c>
      <x:c r="L2720" s="48" t="str">
        <x:v>OCR</x:v>
      </x:c>
    </x:row>
    <x:row r="2721">
      <x:c r="A2721" s="48" t="str">
        <x:v>UNI-2720</x:v>
      </x:c>
      <x:c r="B2721" s="48" t="str">
        <x:v>SILVER</x:v>
      </x:c>
      <x:c r="C2721" s="48" t="str">
        <x:v>Indonesian</x:v>
      </x:c>
      <x:c r="D2721" s="48" t="n">
        <x:v>31</x:v>
      </x:c>
      <x:c r="E2721" s="48" t="str"/>
      <x:c r="F2721" s="48" t="str">
        <x:v>Menelan Bana”</x:v>
      </x:c>
      <x:c r="G2721" s="48" t="str">
        <x:v>Obligation</x:v>
      </x:c>
      <x:c r="H2721" s="48" t="str">
        <x:v>Shared</x:v>
      </x:c>
      <x:c r="I2721" s="48" t="n">
        <x:v>0.45</x:v>
      </x:c>
      <x:c r="J2721" s="48" t="n">
        <x:v>0.4</x:v>
      </x:c>
      <x:c r="K2721" s="48" t="str">
        <x:v>Yes</x:v>
      </x:c>
      <x:c r="L2721" s="48" t="str">
        <x:v>OCR</x:v>
      </x:c>
    </x:row>
    <x:row r="2722">
      <x:c r="A2722" s="48" t="str">
        <x:v>UNI-2721</x:v>
      </x:c>
      <x:c r="B2722" s="48" t="str">
        <x:v>SILVER</x:v>
      </x:c>
      <x:c r="C2722" s="48" t="str">
        <x:v>Indonesian</x:v>
      </x:c>
      <x:c r="D2722" s="48" t="n">
        <x:v>31</x:v>
      </x:c>
      <x:c r="E2722" s="48" t="str"/>
      <x:c r="F2722" s="48" t="str">
        <x:v>AMAL LK Megah MAA Pen</x:v>
      </x:c>
      <x:c r="G2722" s="48" t="str">
        <x:v>Obligation</x:v>
      </x:c>
      <x:c r="H2722" s="48" t="str">
        <x:v>Shared</x:v>
      </x:c>
      <x:c r="I2722" s="48" t="n">
        <x:v>0.45</x:v>
      </x:c>
      <x:c r="J2722" s="48" t="n">
        <x:v>0.4</x:v>
      </x:c>
      <x:c r="K2722" s="48" t="str">
        <x:v>Yes</x:v>
      </x:c>
      <x:c r="L2722" s="48" t="str">
        <x:v>OCR</x:v>
      </x:c>
    </x:row>
    <x:row r="2723">
      <x:c r="A2723" s="48" t="str">
        <x:v>UNI-2722</x:v>
      </x:c>
      <x:c r="B2723" s="48" t="str">
        <x:v>SILVER</x:v>
      </x:c>
      <x:c r="C2723" s="48" t="str">
        <x:v>Indonesian</x:v>
      </x:c>
      <x:c r="D2723" s="48" t="n">
        <x:v>31</x:v>
      </x:c>
      <x:c r="E2723" s="48" t="str"/>
      <x:c r="F2723" s="48" t="str">
        <x:v>Pen SO KAMI SibertutnyrgLrermader benar</x:v>
      </x:c>
      <x:c r="G2723" s="48" t="str">
        <x:v>Obligation</x:v>
      </x:c>
      <x:c r="H2723" s="48" t="str">
        <x:v>Shared</x:v>
      </x:c>
      <x:c r="I2723" s="48" t="n">
        <x:v>0.45</x:v>
      </x:c>
      <x:c r="J2723" s="48" t="n">
        <x:v>0.4</x:v>
      </x:c>
      <x:c r="K2723" s="48" t="str">
        <x:v>Yes</x:v>
      </x:c>
      <x:c r="L2723" s="48" t="str">
        <x:v>OCR</x:v>
      </x:c>
    </x:row>
    <x:row r="2724">
      <x:c r="A2724" s="48" t="str">
        <x:v>UNI-2723</x:v>
      </x:c>
      <x:c r="B2724" s="48" t="str">
        <x:v>SILVER</x:v>
      </x:c>
      <x:c r="C2724" s="48" t="str">
        <x:v>Indonesian</x:v>
      </x:c>
      <x:c r="D2724" s="48" t="n">
        <x:v>31</x:v>
      </x:c>
      <x:c r="E2724" s="48" t="str"/>
      <x:c r="F2724" s="48" t="str">
        <x:v>MOP Yara daa bedain ea la ana Panama mr Nan</x:v>
      </x:c>
      <x:c r="G2724" s="48" t="str">
        <x:v>Obligation</x:v>
      </x:c>
      <x:c r="H2724" s="48" t="str">
        <x:v>Shared</x:v>
      </x:c>
      <x:c r="I2724" s="48" t="n">
        <x:v>0.45</x:v>
      </x:c>
      <x:c r="J2724" s="48" t="n">
        <x:v>0.4</x:v>
      </x:c>
      <x:c r="K2724" s="48" t="str">
        <x:v>Yes</x:v>
      </x:c>
      <x:c r="L2724" s="48" t="str">
        <x:v>OCR</x:v>
      </x:c>
    </x:row>
    <x:row r="2725">
      <x:c r="A2725" s="48" t="str">
        <x:v>UNI-2724</x:v>
      </x:c>
      <x:c r="B2725" s="48" t="str">
        <x:v>SILVER</x:v>
      </x:c>
      <x:c r="C2725" s="48" t="str">
        <x:v>Indonesian</x:v>
      </x:c>
      <x:c r="D2725" s="48" t="n">
        <x:v>31</x:v>
      </x:c>
      <x:c r="E2725" s="48" t="str"/>
      <x:c r="F2725" s="48" t="str">
        <x:v>MEME Kb YAK OIL ega Daleman Kr Bap van</x:v>
      </x:c>
      <x:c r="G2725" s="48" t="str">
        <x:v>Obligation</x:v>
      </x:c>
      <x:c r="H2725" s="48" t="str">
        <x:v>Shared</x:v>
      </x:c>
      <x:c r="I2725" s="48" t="n">
        <x:v>0.45</x:v>
      </x:c>
      <x:c r="J2725" s="48" t="n">
        <x:v>0.4</x:v>
      </x:c>
      <x:c r="K2725" s="48" t="str">
        <x:v>Yes</x:v>
      </x:c>
      <x:c r="L2725" s="48" t="str">
        <x:v>OCR</x:v>
      </x:c>
    </x:row>
    <x:row r="2726">
      <x:c r="A2726" s="48" t="str">
        <x:v>UNI-2725</x:v>
      </x:c>
      <x:c r="B2726" s="48" t="str">
        <x:v>SILVER</x:v>
      </x:c>
      <x:c r="C2726" s="48" t="str">
        <x:v>Indonesian</x:v>
      </x:c>
      <x:c r="D2726" s="48" t="n">
        <x:v>31</x:v>
      </x:c>
      <x:c r="E2726" s="48" t="str"/>
      <x:c r="F2726" s="48" t="str">
        <x:v>TELK Dkrsnan jg Orerwusan di Kosan mean</x:v>
      </x:c>
      <x:c r="G2726" s="48" t="str">
        <x:v>Obligation</x:v>
      </x:c>
      <x:c r="H2726" s="48" t="str">
        <x:v>Shared</x:v>
      </x:c>
      <x:c r="I2726" s="48" t="n">
        <x:v>0.45</x:v>
      </x:c>
      <x:c r="J2726" s="48" t="n">
        <x:v>0.4</x:v>
      </x:c>
      <x:c r="K2726" s="48" t="str">
        <x:v>Yes</x:v>
      </x:c>
      <x:c r="L2726" s="48" t="str">
        <x:v>OCR</x:v>
      </x:c>
    </x:row>
    <x:row r="2727">
      <x:c r="A2727" s="48" t="str">
        <x:v>UNI-2726</x:v>
      </x:c>
      <x:c r="B2727" s="48" t="str">
        <x:v>SILVER</x:v>
      </x:c>
      <x:c r="C2727" s="48" t="str">
        <x:v>Indonesian</x:v>
      </x:c>
      <x:c r="D2727" s="48" t="n">
        <x:v>31</x:v>
      </x:c>
      <x:c r="E2727" s="48" t="str"/>
      <x:c r="F2727" s="48" t="str">
        <x:v>Dato pe bean Segan pentet tema Paya ha aan</x:v>
      </x:c>
      <x:c r="G2727" s="48" t="str">
        <x:v>Obligation</x:v>
      </x:c>
      <x:c r="H2727" s="48" t="str">
        <x:v>Shared</x:v>
      </x:c>
      <x:c r="I2727" s="48" t="n">
        <x:v>0.45</x:v>
      </x:c>
      <x:c r="J2727" s="48" t="n">
        <x:v>0.4</x:v>
      </x:c>
      <x:c r="K2727" s="48" t="str">
        <x:v>Yes</x:v>
      </x:c>
      <x:c r="L2727" s="48" t="str">
        <x:v>OCR</x:v>
      </x:c>
    </x:row>
    <x:row r="2728">
      <x:c r="A2728" s="48" t="str">
        <x:v>UNI-2727</x:v>
      </x:c>
      <x:c r="B2728" s="48" t="str">
        <x:v>SILVER</x:v>
      </x:c>
      <x:c r="C2728" s="48" t="str">
        <x:v>Indonesian</x:v>
      </x:c>
      <x:c r="D2728" s="48" t="n">
        <x:v>31</x:v>
      </x:c>
      <x:c r="E2728" s="48" t="str"/>
      <x:c r="F2728" s="48" t="str">
        <x:v>Merta tagar Span Gn Kr Brenkkan Ge Prgara</x:v>
      </x:c>
      <x:c r="G2728" s="48" t="str">
        <x:v>Obligation</x:v>
      </x:c>
      <x:c r="H2728" s="48" t="str">
        <x:v>Shared</x:v>
      </x:c>
      <x:c r="I2728" s="48" t="n">
        <x:v>0.45</x:v>
      </x:c>
      <x:c r="J2728" s="48" t="n">
        <x:v>0.4</x:v>
      </x:c>
      <x:c r="K2728" s="48" t="str">
        <x:v>Yes</x:v>
      </x:c>
      <x:c r="L2728" s="48" t="str">
        <x:v>OCR</x:v>
      </x:c>
    </x:row>
    <x:row r="2729">
      <x:c r="A2729" s="48" t="str">
        <x:v>UNI-2728</x:v>
      </x:c>
      <x:c r="B2729" s="48" t="str">
        <x:v>SILVER</x:v>
      </x:c>
      <x:c r="C2729" s="48" t="str">
        <x:v>Indonesian</x:v>
      </x:c>
      <x:c r="D2729" s="48" t="n">
        <x:v>31</x:v>
      </x:c>
      <x:c r="E2729" s="48" t="str"/>
      <x:c r="F2729" s="48" t="str">
        <x:v>kenari eelann padan</x:v>
      </x:c>
      <x:c r="G2729" s="48" t="str">
        <x:v>Obligation</x:v>
      </x:c>
      <x:c r="H2729" s="48" t="str">
        <x:v>Shared</x:v>
      </x:c>
      <x:c r="I2729" s="48" t="n">
        <x:v>0.45</x:v>
      </x:c>
      <x:c r="J2729" s="48" t="n">
        <x:v>0.4</x:v>
      </x:c>
      <x:c r="K2729" s="48" t="str">
        <x:v>Yes</x:v>
      </x:c>
      <x:c r="L2729" s="48" t="str">
        <x:v>OCR</x:v>
      </x:c>
    </x:row>
    <x:row r="2730">
      <x:c r="A2730" s="48" t="str">
        <x:v>UNI-2729</x:v>
      </x:c>
      <x:c r="B2730" s="48" t="str">
        <x:v>SILVER</x:v>
      </x:c>
      <x:c r="C2730" s="48" t="str">
        <x:v>Indonesian</x:v>
      </x:c>
      <x:c r="D2730" s="48" t="n">
        <x:v>31</x:v>
      </x:c>
      <x:c r="E2730" s="48" t="str"/>
      <x:c r="F2730" s="48" t="str">
        <x:v>W Peripngorasen</x:v>
      </x:c>
      <x:c r="G2730" s="48" t="str">
        <x:v>Obligation</x:v>
      </x:c>
      <x:c r="H2730" s="48" t="str">
        <x:v>Shared</x:v>
      </x:c>
      <x:c r="I2730" s="48" t="n">
        <x:v>0.45</x:v>
      </x:c>
      <x:c r="J2730" s="48" t="n">
        <x:v>0.4</x:v>
      </x:c>
      <x:c r="K2730" s="48" t="str">
        <x:v>Yes</x:v>
      </x:c>
      <x:c r="L2730" s="48" t="str">
        <x:v>OCR</x:v>
      </x:c>
    </x:row>
    <x:row r="2731">
      <x:c r="A2731" s="48" t="str">
        <x:v>UNI-2730</x:v>
      </x:c>
      <x:c r="B2731" s="48" t="str">
        <x:v>SILVER</x:v>
      </x:c>
      <x:c r="C2731" s="48" t="str">
        <x:v>Indonesian</x:v>
      </x:c>
      <x:c r="D2731" s="48" t="n">
        <x:v>31</x:v>
      </x:c>
      <x:c r="E2731" s="48" t="str"/>
      <x:c r="F2731" s="48" t="str">
        <x:v>(8 Keren unjag Oku cen Pras am an</x:v>
      </x:c>
      <x:c r="G2731" s="48" t="str">
        <x:v>Obligation</x:v>
      </x:c>
      <x:c r="H2731" s="48" t="str">
        <x:v>Shared</x:v>
      </x:c>
      <x:c r="I2731" s="48" t="n">
        <x:v>0.45</x:v>
      </x:c>
      <x:c r="J2731" s="48" t="n">
        <x:v>0.4</x:v>
      </x:c>
      <x:c r="K2731" s="48" t="str">
        <x:v>Yes</x:v>
      </x:c>
      <x:c r="L2731" s="48" t="str">
        <x:v>OCR</x:v>
      </x:c>
    </x:row>
    <x:row r="2732">
      <x:c r="A2732" s="48" t="str">
        <x:v>UNI-2731</x:v>
      </x:c>
      <x:c r="B2732" s="48" t="str">
        <x:v>SILVER</x:v>
      </x:c>
      <x:c r="C2732" s="48" t="str">
        <x:v>Indonesian</x:v>
      </x:c>
      <x:c r="D2732" s="48" t="n">
        <x:v>31</x:v>
      </x:c>
      <x:c r="E2732" s="48" t="str"/>
      <x:c r="F2732" s="48" t="str">
        <x:v>Ae aan dna</x:v>
      </x:c>
      <x:c r="G2732" s="48" t="str">
        <x:v>Obligation</x:v>
      </x:c>
      <x:c r="H2732" s="48" t="str">
        <x:v>Shared</x:v>
      </x:c>
      <x:c r="I2732" s="48" t="n">
        <x:v>0.45</x:v>
      </x:c>
      <x:c r="J2732" s="48" t="n">
        <x:v>0.4</x:v>
      </x:c>
      <x:c r="K2732" s="48" t="str">
        <x:v>Yes</x:v>
      </x:c>
      <x:c r="L2732" s="48" t="str">
        <x:v>OCR</x:v>
      </x:c>
    </x:row>
    <x:row r="2733">
      <x:c r="A2733" s="48" t="str">
        <x:v>UNI-2732</x:v>
      </x:c>
      <x:c r="B2733" s="48" t="str">
        <x:v>SILVER</x:v>
      </x:c>
      <x:c r="C2733" s="48" t="str">
        <x:v>Indonesian</x:v>
      </x:c>
      <x:c r="D2733" s="48" t="n">
        <x:v>31</x:v>
      </x:c>
      <x:c r="E2733" s="48" t="str"/>
      <x:c r="F2733" s="48" t="str">
        <x:v>Year dan aa pesan Ga ran Lara ik</x:v>
      </x:c>
      <x:c r="G2733" s="48" t="str">
        <x:v>Obligation</x:v>
      </x:c>
      <x:c r="H2733" s="48" t="str">
        <x:v>Shared</x:v>
      </x:c>
      <x:c r="I2733" s="48" t="n">
        <x:v>0.45</x:v>
      </x:c>
      <x:c r="J2733" s="48" t="n">
        <x:v>0.4</x:v>
      </x:c>
      <x:c r="K2733" s="48" t="str">
        <x:v>Yes</x:v>
      </x:c>
      <x:c r="L2733" s="48" t="str">
        <x:v>OCR</x:v>
      </x:c>
    </x:row>
    <x:row r="2734">
      <x:c r="A2734" s="48" t="str">
        <x:v>UNI-2733</x:v>
      </x:c>
      <x:c r="B2734" s="48" t="str">
        <x:v>SILVER</x:v>
      </x:c>
      <x:c r="C2734" s="48" t="str">
        <x:v>Indonesian</x:v>
      </x:c>
      <x:c r="D2734" s="48" t="n">
        <x:v>31</x:v>
      </x:c>
      <x:c r="E2734" s="48" t="str"/>
      <x:c r="F2734" s="48" t="str">
        <x:v>Ye La aan Ka</x:v>
      </x:c>
      <x:c r="G2734" s="48" t="str">
        <x:v>Obligation</x:v>
      </x:c>
      <x:c r="H2734" s="48" t="str">
        <x:v>Shared</x:v>
      </x:c>
      <x:c r="I2734" s="48" t="n">
        <x:v>0.45</x:v>
      </x:c>
      <x:c r="J2734" s="48" t="n">
        <x:v>0.4</x:v>
      </x:c>
      <x:c r="K2734" s="48" t="str">
        <x:v>Yes</x:v>
      </x:c>
      <x:c r="L2734" s="48" t="str">
        <x:v>OCR</x:v>
      </x:c>
    </x:row>
    <x:row r="2735">
      <x:c r="A2735" s="48" t="str">
        <x:v>UNI-2734</x:v>
      </x:c>
      <x:c r="B2735" s="48" t="str">
        <x:v>SILVER</x:v>
      </x:c>
      <x:c r="C2735" s="48" t="str">
        <x:v>Indonesian</x:v>
      </x:c>
      <x:c r="D2735" s="48" t="n">
        <x:v>33</x:v>
      </x:c>
      <x:c r="E2735" s="48" t="str"/>
      <x:c r="F2735" s="48" t="str">
        <x:v>Naa gran an Gn KM KKP MA Knan</x:v>
      </x:c>
      <x:c r="G2735" s="48" t="str">
        <x:v>Obligation</x:v>
      </x:c>
      <x:c r="H2735" s="48" t="str">
        <x:v>Shared</x:v>
      </x:c>
      <x:c r="I2735" s="48" t="n">
        <x:v>0.45</x:v>
      </x:c>
      <x:c r="J2735" s="48" t="n">
        <x:v>0.4</x:v>
      </x:c>
      <x:c r="K2735" s="48" t="str">
        <x:v>Yes</x:v>
      </x:c>
      <x:c r="L2735" s="48" t="str">
        <x:v>OCR</x:v>
      </x:c>
    </x:row>
    <x:row r="2736">
      <x:c r="A2736" s="48" t="str">
        <x:v>UNI-2735</x:v>
      </x:c>
      <x:c r="B2736" s="48" t="str">
        <x:v>SILVER</x:v>
      </x:c>
      <x:c r="C2736" s="48" t="str">
        <x:v>Indonesian</x:v>
      </x:c>
      <x:c r="D2736" s="48" t="n">
        <x:v>33</x:v>
      </x:c>
      <x:c r="E2736" s="48" t="str"/>
      <x:c r="F2736" s="48" t="str">
        <x:v>Kerskr trs Kr pers Da Ce Kl dr ma Pl</x:v>
      </x:c>
      <x:c r="G2736" s="48" t="str">
        <x:v>Obligation</x:v>
      </x:c>
      <x:c r="H2736" s="48" t="str">
        <x:v>Shared</x:v>
      </x:c>
      <x:c r="I2736" s="48" t="n">
        <x:v>0.45</x:v>
      </x:c>
      <x:c r="J2736" s="48" t="n">
        <x:v>0.4</x:v>
      </x:c>
      <x:c r="K2736" s="48" t="str">
        <x:v>Yes</x:v>
      </x:c>
      <x:c r="L2736" s="48" t="str">
        <x:v>OCR</x:v>
      </x:c>
    </x:row>
    <x:row r="2737">
      <x:c r="A2737" s="48" t="str">
        <x:v>UNI-2736</x:v>
      </x:c>
      <x:c r="B2737" s="48" t="str">
        <x:v>SILVER</x:v>
      </x:c>
      <x:c r="C2737" s="48" t="str">
        <x:v>Indonesian</x:v>
      </x:c>
      <x:c r="D2737" s="48" t="n">
        <x:v>33</x:v>
      </x:c>
      <x:c r="E2737" s="48" t="str"/>
      <x:c r="F2737" s="48" t="str">
        <x:v>MUAL na pesan dpnyemnan Pa Bt pala</x:v>
      </x:c>
      <x:c r="G2737" s="48" t="str">
        <x:v>Obligation</x:v>
      </x:c>
      <x:c r="H2737" s="48" t="str">
        <x:v>Shared</x:v>
      </x:c>
      <x:c r="I2737" s="48" t="n">
        <x:v>0.45</x:v>
      </x:c>
      <x:c r="J2737" s="48" t="n">
        <x:v>0.4</x:v>
      </x:c>
      <x:c r="K2737" s="48" t="str">
        <x:v>Yes</x:v>
      </x:c>
      <x:c r="L2737" s="48" t="str">
        <x:v>OCR</x:v>
      </x:c>
    </x:row>
    <x:row r="2738">
      <x:c r="A2738" s="48" t="str">
        <x:v>UNI-2737</x:v>
      </x:c>
      <x:c r="B2738" s="48" t="str">
        <x:v>SILVER</x:v>
      </x:c>
      <x:c r="C2738" s="48" t="str">
        <x:v>Indonesian</x:v>
      </x:c>
      <x:c r="D2738" s="48" t="n">
        <x:v>33</x:v>
      </x:c>
      <x:c r="E2738" s="48" t="str"/>
      <x:c r="F2738" s="48" t="str">
        <x:v>anyar KOREAN ae</x:v>
      </x:c>
      <x:c r="G2738" s="48" t="str">
        <x:v>Obligation</x:v>
      </x:c>
      <x:c r="H2738" s="48" t="str">
        <x:v>Shared</x:v>
      </x:c>
      <x:c r="I2738" s="48" t="n">
        <x:v>0.45</x:v>
      </x:c>
      <x:c r="J2738" s="48" t="n">
        <x:v>0.4</x:v>
      </x:c>
      <x:c r="K2738" s="48" t="str">
        <x:v>Yes</x:v>
      </x:c>
      <x:c r="L2738" s="48" t="str">
        <x:v>OCR</x:v>
      </x:c>
    </x:row>
    <x:row r="2739">
      <x:c r="A2739" s="48" t="str">
        <x:v>UNI-2738</x:v>
      </x:c>
      <x:c r="B2739" s="48" t="str">
        <x:v>SILVER</x:v>
      </x:c>
      <x:c r="C2739" s="48" t="str">
        <x:v>Indonesian</x:v>
      </x:c>
      <x:c r="D2739" s="48" t="n">
        <x:v>33</x:v>
      </x:c>
      <x:c r="E2739" s="48" t="str"/>
      <x:c r="F2739" s="48" t="str">
        <x:v>Dewan (Kama Ina er uh menketan sera Pom yg Goeban</x:v>
      </x:c>
      <x:c r="G2739" s="48" t="str">
        <x:v>Obligation</x:v>
      </x:c>
      <x:c r="H2739" s="48" t="str">
        <x:v>Shared</x:v>
      </x:c>
      <x:c r="I2739" s="48" t="n">
        <x:v>0.45</x:v>
      </x:c>
      <x:c r="J2739" s="48" t="n">
        <x:v>0.4</x:v>
      </x:c>
      <x:c r="K2739" s="48" t="str">
        <x:v>Yes</x:v>
      </x:c>
      <x:c r="L2739" s="48" t="str">
        <x:v>OCR</x:v>
      </x:c>
    </x:row>
    <x:row r="2740">
      <x:c r="A2740" s="48" t="str">
        <x:v>UNI-2739</x:v>
      </x:c>
      <x:c r="B2740" s="48" t="str">
        <x:v>SILVER</x:v>
      </x:c>
      <x:c r="C2740" s="48" t="str">
        <x:v>Indonesian</x:v>
      </x:c>
      <x:c r="D2740" s="48" t="n">
        <x:v>33</x:v>
      </x:c>
      <x:c r="E2740" s="48" t="str"/>
      <x:c r="F2740" s="48" t="str">
        <x:v>pennaa eng mat HE pen in an ar men GA Ga peang</x:v>
      </x:c>
      <x:c r="G2740" s="48" t="str">
        <x:v>Obligation</x:v>
      </x:c>
      <x:c r="H2740" s="48" t="str">
        <x:v>Shared</x:v>
      </x:c>
      <x:c r="I2740" s="48" t="n">
        <x:v>0.45</x:v>
      </x:c>
      <x:c r="J2740" s="48" t="n">
        <x:v>0.4</x:v>
      </x:c>
      <x:c r="K2740" s="48" t="str">
        <x:v>Yes</x:v>
      </x:c>
      <x:c r="L2740" s="48" t="str">
        <x:v>OCR</x:v>
      </x:c>
    </x:row>
    <x:row r="2741">
      <x:c r="A2741" s="48" t="str">
        <x:v>UNI-2740</x:v>
      </x:c>
      <x:c r="B2741" s="48" t="str">
        <x:v>SILVER</x:v>
      </x:c>
      <x:c r="C2741" s="48" t="str">
        <x:v>Indonesian</x:v>
      </x:c>
      <x:c r="D2741" s="48" t="n">
        <x:v>33</x:v>
      </x:c>
      <x:c r="E2741" s="48" t="str"/>
      <x:c r="F2741" s="48" t="str">
        <x:v>Ian an ats Ar Mn laa Dj Stan enam pnya ba</x:v>
      </x:c>
      <x:c r="G2741" s="48" t="str">
        <x:v>Obligation</x:v>
      </x:c>
      <x:c r="H2741" s="48" t="str">
        <x:v>Shared</x:v>
      </x:c>
      <x:c r="I2741" s="48" t="n">
        <x:v>0.45</x:v>
      </x:c>
      <x:c r="J2741" s="48" t="n">
        <x:v>0.4</x:v>
      </x:c>
      <x:c r="K2741" s="48" t="str">
        <x:v>Yes</x:v>
      </x:c>
      <x:c r="L2741" s="48" t="str">
        <x:v>OCR</x:v>
      </x:c>
    </x:row>
    <x:row r="2742">
      <x:c r="A2742" s="48" t="str">
        <x:v>UNI-2741</x:v>
      </x:c>
      <x:c r="B2742" s="48" t="str">
        <x:v>SILVER</x:v>
      </x:c>
      <x:c r="C2742" s="48" t="str">
        <x:v>Indonesian</x:v>
      </x:c>
      <x:c r="D2742" s="48" t="n">
        <x:v>33</x:v>
      </x:c>
      <x:c r="E2742" s="48" t="str"/>
      <x:c r="F2742" s="48" t="str">
        <x:v>SEN haanga nj Let Leon mamu gan etanaan</x:v>
      </x:c>
      <x:c r="G2742" s="48" t="str">
        <x:v>Obligation</x:v>
      </x:c>
      <x:c r="H2742" s="48" t="str">
        <x:v>Shared</x:v>
      </x:c>
      <x:c r="I2742" s="48" t="n">
        <x:v>0.45</x:v>
      </x:c>
      <x:c r="J2742" s="48" t="n">
        <x:v>0.4</x:v>
      </x:c>
      <x:c r="K2742" s="48" t="str">
        <x:v>Yes</x:v>
      </x:c>
      <x:c r="L2742" s="48" t="str">
        <x:v>OCR</x:v>
      </x:c>
    </x:row>
    <x:row r="2743">
      <x:c r="A2743" s="48" t="str">
        <x:v>UNI-2742</x:v>
      </x:c>
      <x:c r="B2743" s="48" t="str">
        <x:v>SILVER</x:v>
      </x:c>
      <x:c r="C2743" s="48" t="str">
        <x:v>Indonesian</x:v>
      </x:c>
      <x:c r="D2743" s="48" t="n">
        <x:v>33</x:v>
      </x:c>
      <x:c r="E2743" s="48" t="str"/>
      <x:c r="F2743" s="48" t="str">
        <x:v>Mare Tera ka mein Gran ra Hk Dl di Ka PA</x:v>
      </x:c>
      <x:c r="G2743" s="48" t="str">
        <x:v>Obligation</x:v>
      </x:c>
      <x:c r="H2743" s="48" t="str">
        <x:v>Shared</x:v>
      </x:c>
      <x:c r="I2743" s="48" t="n">
        <x:v>0.45</x:v>
      </x:c>
      <x:c r="J2743" s="48" t="n">
        <x:v>0.4</x:v>
      </x:c>
      <x:c r="K2743" s="48" t="str">
        <x:v>Yes</x:v>
      </x:c>
      <x:c r="L2743" s="48" t="str">
        <x:v>OCR</x:v>
      </x:c>
    </x:row>
    <x:row r="2744">
      <x:c r="A2744" s="48" t="str">
        <x:v>UNI-2743</x:v>
      </x:c>
      <x:c r="B2744" s="48" t="str">
        <x:v>SILVER</x:v>
      </x:c>
      <x:c r="C2744" s="48" t="str">
        <x:v>Indonesian</x:v>
      </x:c>
      <x:c r="D2744" s="48" t="n">
        <x:v>33</x:v>
      </x:c>
      <x:c r="E2744" s="48" t="str"/>
      <x:c r="F2744" s="48" t="str">
        <x:v>Genyan ke</x:v>
      </x:c>
      <x:c r="G2744" s="48" t="str">
        <x:v>Obligation</x:v>
      </x:c>
      <x:c r="H2744" s="48" t="str">
        <x:v>Shared</x:v>
      </x:c>
      <x:c r="I2744" s="48" t="n">
        <x:v>0.45</x:v>
      </x:c>
      <x:c r="J2744" s="48" t="n">
        <x:v>0.4</x:v>
      </x:c>
      <x:c r="K2744" s="48" t="str">
        <x:v>Yes</x:v>
      </x:c>
      <x:c r="L2744" s="48" t="str">
        <x:v>OCR</x:v>
      </x:c>
    </x:row>
    <x:row r="2745">
      <x:c r="A2745" s="48" t="str">
        <x:v>UNI-2744</x:v>
      </x:c>
      <x:c r="B2745" s="48" t="str">
        <x:v>SILVER</x:v>
      </x:c>
      <x:c r="C2745" s="48" t="str">
        <x:v>Indonesian</x:v>
      </x:c>
      <x:c r="D2745" s="48" t="n">
        <x:v>33</x:v>
      </x:c>
      <x:c r="E2745" s="48" t="str"/>
      <x:c r="F2745" s="48" t="str">
        <x:v>(Sana mngar dn grgaman an Han can</x:v>
      </x:c>
      <x:c r="G2745" s="48" t="str">
        <x:v>Obligation</x:v>
      </x:c>
      <x:c r="H2745" s="48" t="str">
        <x:v>Shared</x:v>
      </x:c>
      <x:c r="I2745" s="48" t="n">
        <x:v>0.45</x:v>
      </x:c>
      <x:c r="J2745" s="48" t="n">
        <x:v>0.4</x:v>
      </x:c>
      <x:c r="K2745" s="48" t="str">
        <x:v>Yes</x:v>
      </x:c>
      <x:c r="L2745" s="48" t="str">
        <x:v>OCR</x:v>
      </x:c>
    </x:row>
    <x:row r="2746">
      <x:c r="A2746" s="48" t="str">
        <x:v>UNI-2745</x:v>
      </x:c>
      <x:c r="B2746" s="48" t="str">
        <x:v>SILVER</x:v>
      </x:c>
      <x:c r="C2746" s="48" t="str">
        <x:v>Indonesian</x:v>
      </x:c>
      <x:c r="D2746" s="48" t="n">
        <x:v>33</x:v>
      </x:c>
      <x:c r="E2746" s="48" t="str"/>
      <x:c r="F2746" s="48" t="str">
        <x:v>Ea Ba Pk Pr ban yag</x:v>
      </x:c>
      <x:c r="G2746" s="48" t="str">
        <x:v>Obligation</x:v>
      </x:c>
      <x:c r="H2746" s="48" t="str">
        <x:v>Shared</x:v>
      </x:c>
      <x:c r="I2746" s="48" t="n">
        <x:v>0.45</x:v>
      </x:c>
      <x:c r="J2746" s="48" t="n">
        <x:v>0.4</x:v>
      </x:c>
      <x:c r="K2746" s="48" t="str">
        <x:v>Yes</x:v>
      </x:c>
      <x:c r="L2746" s="48" t="str">
        <x:v>OCR</x:v>
      </x:c>
    </x:row>
    <x:row r="2747">
      <x:c r="A2747" s="48" t="str">
        <x:v>UNI-2746</x:v>
      </x:c>
      <x:c r="B2747" s="48" t="str">
        <x:v>SILVER</x:v>
      </x:c>
      <x:c r="C2747" s="48" t="str">
        <x:v>Indonesian</x:v>
      </x:c>
      <x:c r="D2747" s="48" t="n">
        <x:v>34</x:v>
      </x:c>
      <x:c r="E2747" s="48" t="str"/>
      <x:c r="F2747" s="48" t="str">
        <x:v>ana Kemana Sr mramaLan H ma PK MEN LKLT muram c— ”</x:v>
      </x:c>
      <x:c r="G2747" s="48" t="str">
        <x:v>Obligation</x:v>
      </x:c>
      <x:c r="H2747" s="48" t="str">
        <x:v>Shared</x:v>
      </x:c>
      <x:c r="I2747" s="48" t="n">
        <x:v>0.45</x:v>
      </x:c>
      <x:c r="J2747" s="48" t="n">
        <x:v>0.4</x:v>
      </x:c>
      <x:c r="K2747" s="48" t="str">
        <x:v>Yes</x:v>
      </x:c>
      <x:c r="L2747" s="48" t="str">
        <x:v>OCR</x:v>
      </x:c>
    </x:row>
    <x:row r="2748">
      <x:c r="A2748" s="48" t="str">
        <x:v>UNI-2747</x:v>
      </x:c>
      <x:c r="B2748" s="48" t="str">
        <x:v>SILVER</x:v>
      </x:c>
      <x:c r="C2748" s="48" t="str">
        <x:v>Indonesian</x:v>
      </x:c>
      <x:c r="D2748" s="48" t="n">
        <x:v>35</x:v>
      </x:c>
      <x:c r="E2748" s="48" t="str"/>
      <x:c r="F2748" s="48" t="str">
        <x:v>er hn ran ba on angan ema Gn rah Ot “ln KK KK me ah yg Asa San Kran Para</x:v>
      </x:c>
      <x:c r="G2748" s="48" t="str">
        <x:v>Obligation</x:v>
      </x:c>
      <x:c r="H2748" s="48" t="str">
        <x:v>Shared</x:v>
      </x:c>
      <x:c r="I2748" s="48" t="n">
        <x:v>0.45</x:v>
      </x:c>
      <x:c r="J2748" s="48" t="n">
        <x:v>0.4</x:v>
      </x:c>
      <x:c r="K2748" s="48" t="str">
        <x:v>Yes</x:v>
      </x:c>
      <x:c r="L2748" s="48" t="str">
        <x:v>OCR</x:v>
      </x:c>
    </x:row>
    <x:row r="2749">
      <x:c r="A2749" s="48" t="str">
        <x:v>UNI-2748</x:v>
      </x:c>
      <x:c r="B2749" s="48" t="str">
        <x:v>SILVER</x:v>
      </x:c>
      <x:c r="C2749" s="48" t="str">
        <x:v>Indonesian</x:v>
      </x:c>
      <x:c r="D2749" s="48" t="n">
        <x:v>35</x:v>
      </x:c>
      <x:c r="E2749" s="48" t="str"/>
      <x:c r="F2749" s="48" t="str">
        <x:v>Ina Gada Ser oan Pe Ang Pr</x:v>
      </x:c>
      <x:c r="G2749" s="48" t="str">
        <x:v>Obligation</x:v>
      </x:c>
      <x:c r="H2749" s="48" t="str">
        <x:v>Shared</x:v>
      </x:c>
      <x:c r="I2749" s="48" t="n">
        <x:v>0.45</x:v>
      </x:c>
      <x:c r="J2749" s="48" t="n">
        <x:v>0.4</x:v>
      </x:c>
      <x:c r="K2749" s="48" t="str">
        <x:v>Yes</x:v>
      </x:c>
      <x:c r="L2749" s="48" t="str">
        <x:v>OCR</x:v>
      </x:c>
    </x:row>
    <x:row r="2750">
      <x:c r="A2750" s="48" t="str">
        <x:v>UNI-2749</x:v>
      </x:c>
      <x:c r="B2750" s="48" t="str">
        <x:v>SILVER</x:v>
      </x:c>
      <x:c r="C2750" s="48" t="str">
        <x:v>Indonesian</x:v>
      </x:c>
      <x:c r="D2750" s="48" t="n">
        <x:v>35</x:v>
      </x:c>
      <x:c r="E2750" s="48" t="str"/>
      <x:c r="F2750" s="48" t="str">
        <x:v>TA da Gan KP Jana meagarara Stan bah betrgan</x:v>
      </x:c>
      <x:c r="G2750" s="48" t="str">
        <x:v>Obligation</x:v>
      </x:c>
      <x:c r="H2750" s="48" t="str">
        <x:v>Shared</x:v>
      </x:c>
      <x:c r="I2750" s="48" t="n">
        <x:v>0.45</x:v>
      </x:c>
      <x:c r="J2750" s="48" t="n">
        <x:v>0.4</x:v>
      </x:c>
      <x:c r="K2750" s="48" t="str">
        <x:v>Yes</x:v>
      </x:c>
      <x:c r="L2750" s="48" t="str">
        <x:v>OCR</x:v>
      </x:c>
    </x:row>
    <x:row r="2751">
      <x:c r="A2751" s="48" t="str">
        <x:v>UNI-2750</x:v>
      </x:c>
      <x:c r="B2751" s="48" t="str">
        <x:v>SILVER</x:v>
      </x:c>
      <x:c r="C2751" s="48" t="str">
        <x:v>Indonesian</x:v>
      </x:c>
      <x:c r="D2751" s="48" t="n">
        <x:v>35</x:v>
      </x:c>
      <x:c r="E2751" s="48" t="str"/>
      <x:c r="F2751" s="48" t="str">
        <x:v>Sea Aa TAU PE ANE</x:v>
      </x:c>
      <x:c r="G2751" s="48" t="str">
        <x:v>Obligation</x:v>
      </x:c>
      <x:c r="H2751" s="48" t="str">
        <x:v>Shared</x:v>
      </x:c>
      <x:c r="I2751" s="48" t="n">
        <x:v>0.45</x:v>
      </x:c>
      <x:c r="J2751" s="48" t="n">
        <x:v>0.4</x:v>
      </x:c>
      <x:c r="K2751" s="48" t="str">
        <x:v>Yes</x:v>
      </x:c>
      <x:c r="L2751" s="48" t="str">
        <x:v>OCR</x:v>
      </x:c>
    </x:row>
    <x:row r="2752">
      <x:c r="A2752" s="48" t="str">
        <x:v>UNI-2751</x:v>
      </x:c>
      <x:c r="B2752" s="48" t="str">
        <x:v>SILVER</x:v>
      </x:c>
      <x:c r="C2752" s="48" t="str">
        <x:v>Indonesian</x:v>
      </x:c>
      <x:c r="D2752" s="48" t="n">
        <x:v>35</x:v>
      </x:c>
      <x:c r="E2752" s="48" t="str"/>
      <x:c r="F2752" s="48" t="str">
        <x:v>Ners rgs Wek crom Plan an an</x:v>
      </x:c>
      <x:c r="G2752" s="48" t="str">
        <x:v>Obligation</x:v>
      </x:c>
      <x:c r="H2752" s="48" t="str">
        <x:v>Shared</x:v>
      </x:c>
      <x:c r="I2752" s="48" t="n">
        <x:v>0.45</x:v>
      </x:c>
      <x:c r="J2752" s="48" t="n">
        <x:v>0.4</x:v>
      </x:c>
      <x:c r="K2752" s="48" t="str">
        <x:v>Yes</x:v>
      </x:c>
      <x:c r="L2752" s="48" t="str">
        <x:v>OCR</x:v>
      </x:c>
    </x:row>
    <x:row r="2753">
      <x:c r="A2753" s="48" t="str">
        <x:v>UNI-2752</x:v>
      </x:c>
      <x:c r="B2753" s="48" t="str">
        <x:v>SILVER</x:v>
      </x:c>
      <x:c r="C2753" s="48" t="str">
        <x:v>Indonesian</x:v>
      </x:c>
      <x:c r="D2753" s="48" t="n">
        <x:v>35</x:v>
      </x:c>
      <x:c r="E2753" s="48" t="str"/>
      <x:c r="F2753" s="48" t="str">
        <x:v>SNN IUP Ya ada Gluta dn yna Lean</x:v>
      </x:c>
      <x:c r="G2753" s="48" t="str">
        <x:v>Obligation</x:v>
      </x:c>
      <x:c r="H2753" s="48" t="str">
        <x:v>Shared</x:v>
      </x:c>
      <x:c r="I2753" s="48" t="n">
        <x:v>0.45</x:v>
      </x:c>
      <x:c r="J2753" s="48" t="n">
        <x:v>0.4</x:v>
      </x:c>
      <x:c r="K2753" s="48" t="str">
        <x:v>Yes</x:v>
      </x:c>
      <x:c r="L2753" s="48" t="str">
        <x:v>OCR</x:v>
      </x:c>
    </x:row>
    <x:row r="2754">
      <x:c r="A2754" s="48" t="str">
        <x:v>UNI-2753</x:v>
      </x:c>
      <x:c r="B2754" s="48" t="str">
        <x:v>SILVER</x:v>
      </x:c>
      <x:c r="C2754" s="48" t="str">
        <x:v>Indonesian</x:v>
      </x:c>
      <x:c r="D2754" s="48" t="n">
        <x:v>35</x:v>
      </x:c>
      <x:c r="E2754" s="48" t="str"/>
      <x:c r="F2754" s="48" t="str">
        <x:v>(uan kn Kan Pergara bas Krim ana nga ato</x:v>
      </x:c>
      <x:c r="G2754" s="48" t="str">
        <x:v>Obligation</x:v>
      </x:c>
      <x:c r="H2754" s="48" t="str">
        <x:v>Shared</x:v>
      </x:c>
      <x:c r="I2754" s="48" t="n">
        <x:v>0.45</x:v>
      </x:c>
      <x:c r="J2754" s="48" t="n">
        <x:v>0.4</x:v>
      </x:c>
      <x:c r="K2754" s="48" t="str">
        <x:v>Yes</x:v>
      </x:c>
      <x:c r="L2754" s="48" t="str">
        <x:v>OCR</x:v>
      </x:c>
    </x:row>
    <x:row r="2755">
      <x:c r="A2755" s="48" t="str">
        <x:v>UNI-2754</x:v>
      </x:c>
      <x:c r="B2755" s="48" t="str">
        <x:v>SILVER</x:v>
      </x:c>
      <x:c r="C2755" s="48" t="str">
        <x:v>Indonesian</x:v>
      </x:c>
      <x:c r="D2755" s="48" t="n">
        <x:v>35</x:v>
      </x:c>
      <x:c r="E2755" s="48" t="str"/>
      <x:c r="F2755" s="48" t="str">
        <x:v>BL mer Mb pg GEA AA nga ran Gan</x:v>
      </x:c>
      <x:c r="G2755" s="48" t="str">
        <x:v>Obligation</x:v>
      </x:c>
      <x:c r="H2755" s="48" t="str">
        <x:v>Shared</x:v>
      </x:c>
      <x:c r="I2755" s="48" t="n">
        <x:v>0.45</x:v>
      </x:c>
      <x:c r="J2755" s="48" t="n">
        <x:v>0.4</x:v>
      </x:c>
      <x:c r="K2755" s="48" t="str">
        <x:v>Yes</x:v>
      </x:c>
      <x:c r="L2755" s="48" t="str">
        <x:v>OCR</x:v>
      </x:c>
    </x:row>
    <x:row r="2756">
      <x:c r="A2756" s="48" t="str">
        <x:v>UNI-2755</x:v>
      </x:c>
      <x:c r="B2756" s="48" t="str">
        <x:v>SILVER</x:v>
      </x:c>
      <x:c r="C2756" s="48" t="str">
        <x:v>Indonesian</x:v>
      </x:c>
      <x:c r="D2756" s="48" t="n">
        <x:v>35</x:v>
      </x:c>
      <x:c r="E2756" s="48" t="str"/>
      <x:c r="F2756" s="48" t="str">
        <x:v>Saka harga yeguraa</x:v>
      </x:c>
      <x:c r="G2756" s="48" t="str">
        <x:v>Obligation</x:v>
      </x:c>
      <x:c r="H2756" s="48" t="str">
        <x:v>Shared</x:v>
      </x:c>
      <x:c r="I2756" s="48" t="n">
        <x:v>0.45</x:v>
      </x:c>
      <x:c r="J2756" s="48" t="n">
        <x:v>0.4</x:v>
      </x:c>
      <x:c r="K2756" s="48" t="str">
        <x:v>Yes</x:v>
      </x:c>
      <x:c r="L2756" s="48" t="str">
        <x:v>OCR</x:v>
      </x:c>
    </x:row>
    <x:row r="2757">
      <x:c r="A2757" s="48" t="str">
        <x:v>UNI-2756</x:v>
      </x:c>
      <x:c r="B2757" s="48" t="str">
        <x:v>SILVER</x:v>
      </x:c>
      <x:c r="C2757" s="48" t="str">
        <x:v>Indonesian</x:v>
      </x:c>
      <x:c r="D2757" s="48" t="n">
        <x:v>35</x:v>
      </x:c>
      <x:c r="E2757" s="48" t="str"/>
      <x:c r="F2757" s="48" t="str">
        <x:v>ar Ke Ga an jg ha ban Pr yg wan ena DA pa Mann aman ls ma ngan Da 25 Pn Pegat an an na 38 Perapa Mema.</x:v>
      </x:c>
      <x:c r="G2757" s="48" t="str">
        <x:v>Obligation</x:v>
      </x:c>
      <x:c r="H2757" s="48" t="str">
        <x:v>Shared</x:v>
      </x:c>
      <x:c r="I2757" s="48" t="n">
        <x:v>0.45</x:v>
      </x:c>
      <x:c r="J2757" s="48" t="n">
        <x:v>0.4</x:v>
      </x:c>
      <x:c r="K2757" s="48" t="str">
        <x:v>Yes</x:v>
      </x:c>
      <x:c r="L2757" s="48" t="str">
        <x:v>OCR</x:v>
      </x:c>
    </x:row>
    <x:row r="2758">
      <x:c r="A2758" s="48" t="str">
        <x:v>UNI-2757</x:v>
      </x:c>
      <x:c r="B2758" s="48" t="str">
        <x:v>SILVER</x:v>
      </x:c>
      <x:c r="C2758" s="48" t="str">
        <x:v>Indonesian</x:v>
      </x:c>
      <x:c r="D2758" s="48" t="n">
        <x:v>35</x:v>
      </x:c>
      <x:c r="E2758" s="48" t="str"/>
      <x:c r="F2758" s="48" t="str">
        <x:v>Jaa aan oearong</x:v>
      </x:c>
      <x:c r="G2758" s="48" t="str">
        <x:v>Obligation</x:v>
      </x:c>
      <x:c r="H2758" s="48" t="str">
        <x:v>Shared</x:v>
      </x:c>
      <x:c r="I2758" s="48" t="n">
        <x:v>0.45</x:v>
      </x:c>
      <x:c r="J2758" s="48" t="n">
        <x:v>0.4</x:v>
      </x:c>
      <x:c r="K2758" s="48" t="str">
        <x:v>Yes</x:v>
      </x:c>
      <x:c r="L2758" s="48" t="str">
        <x:v>OCR</x:v>
      </x:c>
    </x:row>
    <x:row r="2759">
      <x:c r="A2759" s="48" t="str">
        <x:v>UNI-2758</x:v>
      </x:c>
      <x:c r="B2759" s="48" t="str">
        <x:v>SILVER</x:v>
      </x:c>
      <x:c r="C2759" s="48" t="str">
        <x:v>Indonesian</x:v>
      </x:c>
      <x:c r="D2759" s="48" t="n">
        <x:v>35</x:v>
      </x:c>
      <x:c r="E2759" s="48" t="str"/>
      <x:c r="F2759" s="48" t="str">
        <x:v>Pan Pama PDPN MAA a</x:v>
      </x:c>
      <x:c r="G2759" s="48" t="str">
        <x:v>Obligation</x:v>
      </x:c>
      <x:c r="H2759" s="48" t="str">
        <x:v>Shared</x:v>
      </x:c>
      <x:c r="I2759" s="48" t="n">
        <x:v>0.45</x:v>
      </x:c>
      <x:c r="J2759" s="48" t="n">
        <x:v>0.4</x:v>
      </x:c>
      <x:c r="K2759" s="48" t="str">
        <x:v>Yes</x:v>
      </x:c>
      <x:c r="L2759" s="48" t="str">
        <x:v>OCR</x:v>
      </x:c>
    </x:row>
    <x:row r="2760">
      <x:c r="A2760" s="48" t="str">
        <x:v>UNI-2759</x:v>
      </x:c>
      <x:c r="B2760" s="48" t="str">
        <x:v>SILVER</x:v>
      </x:c>
      <x:c r="C2760" s="48" t="str">
        <x:v>Indonesian</x:v>
      </x:c>
      <x:c r="D2760" s="48" t="n">
        <x:v>35</x:v>
      </x:c>
      <x:c r="E2760" s="48" t="str"/>
      <x:c r="F2760" s="48" t="str">
        <x:v>kada Dawan gtan Se Krnser cam pebawan Puan dngan Oa Bea Gr ban Pti ana gan Pra ea Ja ac Angan</x:v>
      </x:c>
      <x:c r="G2760" s="48" t="str">
        <x:v>Obligation</x:v>
      </x:c>
      <x:c r="H2760" s="48" t="str">
        <x:v>Shared</x:v>
      </x:c>
      <x:c r="I2760" s="48" t="n">
        <x:v>0.45</x:v>
      </x:c>
      <x:c r="J2760" s="48" t="n">
        <x:v>0.4</x:v>
      </x:c>
      <x:c r="K2760" s="48" t="str">
        <x:v>Yes</x:v>
      </x:c>
      <x:c r="L2760" s="48" t="str">
        <x:v>OCR</x:v>
      </x:c>
    </x:row>
    <x:row r="2761">
      <x:c r="A2761" s="48" t="str">
        <x:v>UNI-2760</x:v>
      </x:c>
      <x:c r="B2761" s="48" t="str">
        <x:v>SILVER</x:v>
      </x:c>
      <x:c r="C2761" s="48" t="str">
        <x:v>Indonesian</x:v>
      </x:c>
      <x:c r="D2761" s="48" t="n">
        <x:v>35</x:v>
      </x:c>
      <x:c r="E2761" s="48" t="str"/>
      <x:c r="F2761" s="48" t="str">
        <x:v>Ab aman Peggpa a</x:v>
      </x:c>
      <x:c r="G2761" s="48" t="str">
        <x:v>Obligation</x:v>
      </x:c>
      <x:c r="H2761" s="48" t="str">
        <x:v>Shared</x:v>
      </x:c>
      <x:c r="I2761" s="48" t="n">
        <x:v>0.45</x:v>
      </x:c>
      <x:c r="J2761" s="48" t="n">
        <x:v>0.4</x:v>
      </x:c>
      <x:c r="K2761" s="48" t="str">
        <x:v>Yes</x:v>
      </x:c>
      <x:c r="L2761" s="48" t="str">
        <x:v>OCR</x:v>
      </x:c>
    </x:row>
    <x:row r="2762">
      <x:c r="A2762" s="48" t="str">
        <x:v>UNI-2761</x:v>
      </x:c>
      <x:c r="B2762" s="48" t="str">
        <x:v>SILVER</x:v>
      </x:c>
      <x:c r="C2762" s="48" t="str">
        <x:v>Indonesian</x:v>
      </x:c>
      <x:c r="D2762" s="48" t="n">
        <x:v>35</x:v>
      </x:c>
      <x:c r="E2762" s="48" t="str"/>
      <x:c r="F2762" s="48" t="str">
        <x:v>(PEG Inai Ur Un Pra Pergi (Krn Pn ngamen at ga an Pan Prana aka Drg dna Gara aan Sa Da</x:v>
      </x:c>
      <x:c r="G2762" s="48" t="str">
        <x:v>Obligation</x:v>
      </x:c>
      <x:c r="H2762" s="48" t="str">
        <x:v>Shared</x:v>
      </x:c>
      <x:c r="I2762" s="48" t="n">
        <x:v>0.45</x:v>
      </x:c>
      <x:c r="J2762" s="48" t="n">
        <x:v>0.4</x:v>
      </x:c>
      <x:c r="K2762" s="48" t="str">
        <x:v>Yes</x:v>
      </x:c>
      <x:c r="L2762" s="48" t="str">
        <x:v>OCR</x:v>
      </x:c>
    </x:row>
    <x:row r="2763">
      <x:c r="A2763" s="48" t="str">
        <x:v>UNI-2762</x:v>
      </x:c>
      <x:c r="B2763" s="48" t="str">
        <x:v>SILVER</x:v>
      </x:c>
      <x:c r="C2763" s="48" t="str">
        <x:v>Indonesian</x:v>
      </x:c>
      <x:c r="D2763" s="48" t="n">
        <x:v>35</x:v>
      </x:c>
      <x:c r="E2763" s="48" t="str"/>
      <x:c r="F2763" s="48" t="str">
        <x:v>Mira Ga ban yrg tata Gap ngan Para ye Getar ik</x:v>
      </x:c>
      <x:c r="G2763" s="48" t="str">
        <x:v>Obligation</x:v>
      </x:c>
      <x:c r="H2763" s="48" t="str">
        <x:v>Shared</x:v>
      </x:c>
      <x:c r="I2763" s="48" t="n">
        <x:v>0.45</x:v>
      </x:c>
      <x:c r="J2763" s="48" t="n">
        <x:v>0.4</x:v>
      </x:c>
      <x:c r="K2763" s="48" t="str">
        <x:v>Yes</x:v>
      </x:c>
      <x:c r="L2763" s="48" t="str">
        <x:v>OCR</x:v>
      </x:c>
    </x:row>
    <x:row r="2764">
      <x:c r="A2764" s="48" t="str">
        <x:v>UNI-2763</x:v>
      </x:c>
      <x:c r="B2764" s="48" t="str">
        <x:v>SILVER</x:v>
      </x:c>
      <x:c r="C2764" s="48" t="str">
        <x:v>Indonesian</x:v>
      </x:c>
      <x:c r="D2764" s="48" t="n">
        <x:v>35</x:v>
      </x:c>
      <x:c r="E2764" s="48" t="str"/>
      <x:c r="F2764" s="48" t="str">
        <x:v>engan Pen Drg dan at ga on Mena dgan Santan 25 Mun an Pewarna an Seniman 38 Peneret nanas Men Ina MN egg dan</x:v>
      </x:c>
      <x:c r="G2764" s="48" t="str">
        <x:v>Obligation</x:v>
      </x:c>
      <x:c r="H2764" s="48" t="str">
        <x:v>Shared</x:v>
      </x:c>
      <x:c r="I2764" s="48" t="n">
        <x:v>0.45</x:v>
      </x:c>
      <x:c r="J2764" s="48" t="n">
        <x:v>0.4</x:v>
      </x:c>
      <x:c r="K2764" s="48" t="str">
        <x:v>Yes</x:v>
      </x:c>
      <x:c r="L2764" s="48" t="str">
        <x:v>OCR</x:v>
      </x:c>
    </x:row>
    <x:row r="2765">
      <x:c r="A2765" s="48" t="str">
        <x:v>UNI-2764</x:v>
      </x:c>
      <x:c r="B2765" s="48" t="str">
        <x:v>SILVER</x:v>
      </x:c>
      <x:c r="C2765" s="48" t="str">
        <x:v>Indonesian</x:v>
      </x:c>
      <x:c r="D2765" s="48" t="n">
        <x:v>35</x:v>
      </x:c>
      <x:c r="E2765" s="48" t="str"/>
      <x:c r="F2765" s="48" t="str">
        <x:v>PETA San mena, cr Sr cuma fun tuan dB</x:v>
      </x:c>
      <x:c r="G2765" s="48" t="str">
        <x:v>Obligation</x:v>
      </x:c>
      <x:c r="H2765" s="48" t="str">
        <x:v>Shared</x:v>
      </x:c>
      <x:c r="I2765" s="48" t="n">
        <x:v>0.45</x:v>
      </x:c>
      <x:c r="J2765" s="48" t="n">
        <x:v>0.4</x:v>
      </x:c>
      <x:c r="K2765" s="48" t="str">
        <x:v>Yes</x:v>
      </x:c>
      <x:c r="L2765" s="48" t="str">
        <x:v>OCR</x:v>
      </x:c>
    </x:row>
    <x:row r="2766">
      <x:c r="A2766" s="48" t="str">
        <x:v>UNI-2765</x:v>
      </x:c>
      <x:c r="B2766" s="48" t="str">
        <x:v>SILVER</x:v>
      </x:c>
      <x:c r="C2766" s="48" t="str">
        <x:v>Indonesian</x:v>
      </x:c>
      <x:c r="D2766" s="48" t="n">
        <x:v>35</x:v>
      </x:c>
      <x:c r="E2766" s="48" t="str"/>
      <x:c r="F2766" s="48" t="str">
        <x:v>(SM Wi Son al yg Oman am Seat Prgara baron, gn mebaham aU menetap Da MK dai</x:v>
      </x:c>
      <x:c r="G2766" s="48" t="str">
        <x:v>Obligation</x:v>
      </x:c>
      <x:c r="H2766" s="48" t="str">
        <x:v>Shared</x:v>
      </x:c>
      <x:c r="I2766" s="48" t="n">
        <x:v>0.45</x:v>
      </x:c>
      <x:c r="J2766" s="48" t="n">
        <x:v>0.4</x:v>
      </x:c>
      <x:c r="K2766" s="48" t="str">
        <x:v>Yes</x:v>
      </x:c>
      <x:c r="L2766" s="48" t="str">
        <x:v>OCR</x:v>
      </x:c>
    </x:row>
    <x:row r="2767">
      <x:c r="A2767" s="48" t="str">
        <x:v>UNI-2766</x:v>
      </x:c>
      <x:c r="B2767" s="48" t="str">
        <x:v>SILVER</x:v>
      </x:c>
      <x:c r="C2767" s="48" t="str">
        <x:v>Indonesian</x:v>
      </x:c>
      <x:c r="D2767" s="48" t="n">
        <x:v>35</x:v>
      </x:c>
      <x:c r="E2767" s="48" t="str"/>
      <x:c r="F2767" s="48" t="str">
        <x:v>MEN an an Ke Kan jana menaungi men sa</x:v>
      </x:c>
      <x:c r="G2767" s="48" t="str">
        <x:v>Obligation</x:v>
      </x:c>
      <x:c r="H2767" s="48" t="str">
        <x:v>Shared</x:v>
      </x:c>
      <x:c r="I2767" s="48" t="n">
        <x:v>0.45</x:v>
      </x:c>
      <x:c r="J2767" s="48" t="n">
        <x:v>0.4</x:v>
      </x:c>
      <x:c r="K2767" s="48" t="str">
        <x:v>Yes</x:v>
      </x:c>
      <x:c r="L2767" s="48" t="str">
        <x:v>OCR</x:v>
      </x:c>
    </x:row>
    <x:row r="2768">
      <x:c r="A2768" s="48" t="str">
        <x:v>UNI-2767</x:v>
      </x:c>
      <x:c r="B2768" s="48" t="str">
        <x:v>SILVER</x:v>
      </x:c>
      <x:c r="C2768" s="48" t="str">
        <x:v>Indonesian</x:v>
      </x:c>
      <x:c r="D2768" s="48" t="n">
        <x:v>35</x:v>
      </x:c>
      <x:c r="E2768" s="48" t="str"/>
      <x:c r="F2768" s="48" t="str">
        <x:v>Taka gm merta Ica Pegara Ja to Iargan Ge aa,</x:v>
      </x:c>
      <x:c r="G2768" s="48" t="str">
        <x:v>Obligation</x:v>
      </x:c>
      <x:c r="H2768" s="48" t="str">
        <x:v>Shared</x:v>
      </x:c>
      <x:c r="I2768" s="48" t="n">
        <x:v>0.45</x:v>
      </x:c>
      <x:c r="J2768" s="48" t="n">
        <x:v>0.4</x:v>
      </x:c>
      <x:c r="K2768" s="48" t="str">
        <x:v>Yes</x:v>
      </x:c>
      <x:c r="L2768" s="48" t="str">
        <x:v>OCR</x:v>
      </x:c>
    </x:row>
    <x:row r="2769">
      <x:c r="A2769" s="48" t="str">
        <x:v>UNI-2768</x:v>
      </x:c>
      <x:c r="B2769" s="48" t="str">
        <x:v>SILVER</x:v>
      </x:c>
      <x:c r="C2769" s="48" t="str">
        <x:v>Indonesian</x:v>
      </x:c>
      <x:c r="D2769" s="48" t="n">
        <x:v>35</x:v>
      </x:c>
      <x:c r="E2769" s="48" t="str"/>
      <x:c r="F2769" s="48" t="str">
        <x:v>Da Sa en Pa AN Ga en aa</x:v>
      </x:c>
      <x:c r="G2769" s="48" t="str">
        <x:v>Obligation</x:v>
      </x:c>
      <x:c r="H2769" s="48" t="str">
        <x:v>Shared</x:v>
      </x:c>
      <x:c r="I2769" s="48" t="n">
        <x:v>0.45</x:v>
      </x:c>
      <x:c r="J2769" s="48" t="n">
        <x:v>0.4</x:v>
      </x:c>
      <x:c r="K2769" s="48" t="str">
        <x:v>Yes</x:v>
      </x:c>
      <x:c r="L2769" s="48" t="str">
        <x:v>OCR</x:v>
      </x:c>
    </x:row>
    <x:row r="2770">
      <x:c r="A2770" s="48" t="str">
        <x:v>UNI-2769</x:v>
      </x:c>
      <x:c r="B2770" s="48" t="str">
        <x:v>SILVER</x:v>
      </x:c>
      <x:c r="C2770" s="48" t="str">
        <x:v>Indonesian</x:v>
      </x:c>
      <x:c r="D2770" s="48" t="n">
        <x:v>35</x:v>
      </x:c>
      <x:c r="E2770" s="48" t="str"/>
      <x:c r="F2770" s="48" t="str">
        <x:v>me AP AM</x:v>
      </x:c>
      <x:c r="G2770" s="48" t="str">
        <x:v>Obligation</x:v>
      </x:c>
      <x:c r="H2770" s="48" t="str">
        <x:v>Shared</x:v>
      </x:c>
      <x:c r="I2770" s="48" t="n">
        <x:v>0.45</x:v>
      </x:c>
      <x:c r="J2770" s="48" t="n">
        <x:v>0.4</x:v>
      </x:c>
      <x:c r="K2770" s="48" t="str">
        <x:v>Yes</x:v>
      </x:c>
      <x:c r="L2770" s="48" t="str">
        <x:v>OCR</x:v>
      </x:c>
    </x:row>
    <x:row r="2771">
      <x:c r="A2771" s="48" t="str">
        <x:v>UNI-2770</x:v>
      </x:c>
      <x:c r="B2771" s="48" t="str">
        <x:v>SILVER</x:v>
      </x:c>
      <x:c r="C2771" s="48" t="str">
        <x:v>Indonesian</x:v>
      </x:c>
      <x:c r="D2771" s="48" t="n">
        <x:v>35</x:v>
      </x:c>
      <x:c r="E2771" s="48" t="str"/>
      <x:c r="F2771" s="48" t="str">
        <x:v>Saman era Sen ya bata ta ta ar trd ban</x:v>
      </x:c>
      <x:c r="G2771" s="48" t="str">
        <x:v>Obligation</x:v>
      </x:c>
      <x:c r="H2771" s="48" t="str">
        <x:v>Shared</x:v>
      </x:c>
      <x:c r="I2771" s="48" t="n">
        <x:v>0.45</x:v>
      </x:c>
      <x:c r="J2771" s="48" t="n">
        <x:v>0.4</x:v>
      </x:c>
      <x:c r="K2771" s="48" t="str">
        <x:v>Yes</x:v>
      </x:c>
      <x:c r="L2771" s="48" t="str">
        <x:v>OCR</x:v>
      </x:c>
    </x:row>
    <x:row r="2772">
      <x:c r="A2772" s="48" t="str">
        <x:v>UNI-2771</x:v>
      </x:c>
      <x:c r="B2772" s="48" t="str">
        <x:v>SILVER</x:v>
      </x:c>
      <x:c r="C2772" s="48" t="str">
        <x:v>Indonesian</x:v>
      </x:c>
      <x:c r="D2772" s="48" t="n">
        <x:v>35</x:v>
      </x:c>
      <x:c r="E2772" s="48" t="str"/>
      <x:c r="F2772" s="48" t="str">
        <x:v>PEN rataan La Sega Kernet Maman Kamar an</x:v>
      </x:c>
      <x:c r="G2772" s="48" t="str">
        <x:v>Obligation</x:v>
      </x:c>
      <x:c r="H2772" s="48" t="str">
        <x:v>Shared</x:v>
      </x:c>
      <x:c r="I2772" s="48" t="n">
        <x:v>0.45</x:v>
      </x:c>
      <x:c r="J2772" s="48" t="n">
        <x:v>0.4</x:v>
      </x:c>
      <x:c r="K2772" s="48" t="str">
        <x:v>Yes</x:v>
      </x:c>
      <x:c r="L2772" s="48" t="str">
        <x:v>OCR</x:v>
      </x:c>
    </x:row>
    <x:row r="2773">
      <x:c r="A2773" s="48" t="str">
        <x:v>UNI-2772</x:v>
      </x:c>
      <x:c r="B2773" s="48" t="str">
        <x:v>SILVER</x:v>
      </x:c>
      <x:c r="C2773" s="48" t="str">
        <x:v>Indonesian</x:v>
      </x:c>
      <x:c r="D2773" s="48" t="n">
        <x:v>35</x:v>
      </x:c>
      <x:c r="E2773" s="48" t="str"/>
      <x:c r="F2773" s="48" t="str">
        <x:v>Aa angan memearan an eno Ka rertaDar ear</x:v>
      </x:c>
      <x:c r="G2773" s="48" t="str">
        <x:v>Obligation</x:v>
      </x:c>
      <x:c r="H2773" s="48" t="str">
        <x:v>Shared</x:v>
      </x:c>
      <x:c r="I2773" s="48" t="n">
        <x:v>0.45</x:v>
      </x:c>
      <x:c r="J2773" s="48" t="n">
        <x:v>0.4</x:v>
      </x:c>
      <x:c r="K2773" s="48" t="str">
        <x:v>Yes</x:v>
      </x:c>
      <x:c r="L2773" s="48" t="str">
        <x:v>OCR</x:v>
      </x:c>
    </x:row>
    <x:row r="2774">
      <x:c r="A2774" s="48" t="str">
        <x:v>UNI-2773</x:v>
      </x:c>
      <x:c r="B2774" s="48" t="str">
        <x:v>SILVER</x:v>
      </x:c>
      <x:c r="C2774" s="48" t="str">
        <x:v>Indonesian</x:v>
      </x:c>
      <x:c r="D2774" s="48" t="n">
        <x:v>35</x:v>
      </x:c>
      <x:c r="E2774" s="48" t="str"/>
      <x:c r="F2774" s="48" t="str">
        <x:v>SNN ON Oa Bln Sau Menu ra Una</x:v>
      </x:c>
      <x:c r="G2774" s="48" t="str">
        <x:v>Obligation</x:v>
      </x:c>
      <x:c r="H2774" s="48" t="str">
        <x:v>Shared</x:v>
      </x:c>
      <x:c r="I2774" s="48" t="n">
        <x:v>0.45</x:v>
      </x:c>
      <x:c r="J2774" s="48" t="n">
        <x:v>0.4</x:v>
      </x:c>
      <x:c r="K2774" s="48" t="str">
        <x:v>Yes</x:v>
      </x:c>
      <x:c r="L2774" s="48" t="str">
        <x:v>OCR</x:v>
      </x:c>
    </x:row>
    <x:row r="2775">
      <x:c r="A2775" s="48" t="str">
        <x:v>UNI-2774</x:v>
      </x:c>
      <x:c r="B2775" s="48" t="str">
        <x:v>SILVER</x:v>
      </x:c>
      <x:c r="C2775" s="48" t="str">
        <x:v>Indonesian</x:v>
      </x:c>
      <x:c r="D2775" s="48" t="n">
        <x:v>36</x:v>
      </x:c>
      <x:c r="E2775" s="48" t="str"/>
      <x:c r="F2775" s="48" t="str">
        <x:v>Lapan Koajan</x:v>
      </x:c>
      <x:c r="G2775" s="48" t="str">
        <x:v>Obligation</x:v>
      </x:c>
      <x:c r="H2775" s="48" t="str">
        <x:v>Shared</x:v>
      </x:c>
      <x:c r="I2775" s="48" t="n">
        <x:v>0.45</x:v>
      </x:c>
      <x:c r="J2775" s="48" t="n">
        <x:v>0.4</x:v>
      </x:c>
      <x:c r="K2775" s="48" t="str">
        <x:v>Yes</x:v>
      </x:c>
      <x:c r="L2775" s="48" t="str">
        <x:v>OCR</x:v>
      </x:c>
    </x:row>
    <x:row r="2776">
      <x:c r="A2776" s="48" t="str">
        <x:v>UNI-2775</x:v>
      </x:c>
      <x:c r="B2776" s="48" t="str">
        <x:v>SILVER</x:v>
      </x:c>
      <x:c r="C2776" s="48" t="str">
        <x:v>Indonesian</x:v>
      </x:c>
      <x:c r="D2776" s="48" t="n">
        <x:v>37</x:v>
      </x:c>
      <x:c r="E2776" s="48" t="str"/>
      <x:c r="F2776" s="48" t="str">
        <x:v>pera loneakt Krn mn merta sunan dlupa ec nih turn tapegan Ika maan Gate Kerta an deadi en Para ban ti</x:v>
      </x:c>
      <x:c r="G2776" s="48" t="str">
        <x:v>Obligation</x:v>
      </x:c>
      <x:c r="H2776" s="48" t="str">
        <x:v>Shared</x:v>
      </x:c>
      <x:c r="I2776" s="48" t="n">
        <x:v>0.45</x:v>
      </x:c>
      <x:c r="J2776" s="48" t="n">
        <x:v>0.4</x:v>
      </x:c>
      <x:c r="K2776" s="48" t="str">
        <x:v>Yes</x:v>
      </x:c>
      <x:c r="L2776" s="48" t="str">
        <x:v>OCR</x:v>
      </x:c>
    </x:row>
    <x:row r="2777">
      <x:c r="A2777" s="48" t="str">
        <x:v>UNI-2776</x:v>
      </x:c>
      <x:c r="B2777" s="48" t="str">
        <x:v>SILVER</x:v>
      </x:c>
      <x:c r="C2777" s="48" t="str">
        <x:v>Indonesian</x:v>
      </x:c>
      <x:c r="D2777" s="48" t="n">
        <x:v>37</x:v>
      </x:c>
      <x:c r="E2777" s="48" t="str"/>
      <x:c r="F2777" s="48" t="str">
        <x:v>Sean DNS Pande rama</x:v>
      </x:c>
      <x:c r="G2777" s="48" t="str">
        <x:v>Obligation</x:v>
      </x:c>
      <x:c r="H2777" s="48" t="str">
        <x:v>Shared</x:v>
      </x:c>
      <x:c r="I2777" s="48" t="n">
        <x:v>0.45</x:v>
      </x:c>
      <x:c r="J2777" s="48" t="n">
        <x:v>0.4</x:v>
      </x:c>
      <x:c r="K2777" s="48" t="str">
        <x:v>Yes</x:v>
      </x:c>
      <x:c r="L2777" s="48" t="str">
        <x:v>OCR</x:v>
      </x:c>
    </x:row>
    <x:row r="2778">
      <x:c r="A2778" s="48" t="str">
        <x:v>UNI-2777</x:v>
      </x:c>
      <x:c r="B2778" s="48" t="str">
        <x:v>SILVER</x:v>
      </x:c>
      <x:c r="C2778" s="48" t="str">
        <x:v>Indonesian</x:v>
      </x:c>
      <x:c r="D2778" s="48" t="n">
        <x:v>37</x:v>
      </x:c>
      <x:c r="E2778" s="48" t="str"/>
      <x:c r="F2778" s="48" t="str">
        <x:v>Il BENKON AK Tn a Snan Wana adan</x:v>
      </x:c>
      <x:c r="G2778" s="48" t="str">
        <x:v>Obligation</x:v>
      </x:c>
      <x:c r="H2778" s="48" t="str">
        <x:v>Shared</x:v>
      </x:c>
      <x:c r="I2778" s="48" t="n">
        <x:v>0.45</x:v>
      </x:c>
      <x:c r="J2778" s="48" t="n">
        <x:v>0.4</x:v>
      </x:c>
      <x:c r="K2778" s="48" t="str">
        <x:v>Yes</x:v>
      </x:c>
      <x:c r="L2778" s="48" t="str">
        <x:v>OCR</x:v>
      </x:c>
    </x:row>
    <x:row r="2779">
      <x:c r="A2779" s="48" t="str">
        <x:v>UNI-2778</x:v>
      </x:c>
      <x:c r="B2779" s="48" t="str">
        <x:v>SILVER</x:v>
      </x:c>
      <x:c r="C2779" s="48" t="str">
        <x:v>Indonesian</x:v>
      </x:c>
      <x:c r="D2779" s="48" t="n">
        <x:v>37</x:v>
      </x:c>
      <x:c r="E2779" s="48" t="str"/>
      <x:c r="F2779" s="48" t="str">
        <x:v>(area tatanan aa Peran Maa Penata paman aa Da yr So drake San Ha Kat</x:v>
      </x:c>
      <x:c r="G2779" s="48" t="str">
        <x:v>Obligation</x:v>
      </x:c>
      <x:c r="H2779" s="48" t="str">
        <x:v>Shared</x:v>
      </x:c>
      <x:c r="I2779" s="48" t="n">
        <x:v>0.45</x:v>
      </x:c>
      <x:c r="J2779" s="48" t="n">
        <x:v>0.4</x:v>
      </x:c>
      <x:c r="K2779" s="48" t="str">
        <x:v>Yes</x:v>
      </x:c>
      <x:c r="L2779" s="48" t="str">
        <x:v>OCR</x:v>
      </x:c>
    </x:row>
    <x:row r="2780">
      <x:c r="A2780" s="48" t="str">
        <x:v>UNI-2779</x:v>
      </x:c>
      <x:c r="B2780" s="48" t="str">
        <x:v>SILVER</x:v>
      </x:c>
      <x:c r="C2780" s="48" t="str">
        <x:v>Indonesian</x:v>
      </x:c>
      <x:c r="D2780" s="48" t="n">
        <x:v>37</x:v>
      </x:c>
      <x:c r="E2780" s="48" t="str"/>
      <x:c r="F2780" s="48" t="str">
        <x:v>Suu pruna perbatuhan Ang, Pergara sx Pata menssaria</x:v>
      </x:c>
      <x:c r="G2780" s="48" t="str">
        <x:v>Obligation</x:v>
      </x:c>
      <x:c r="H2780" s="48" t="str">
        <x:v>Shared</x:v>
      </x:c>
      <x:c r="I2780" s="48" t="n">
        <x:v>0.45</x:v>
      </x:c>
      <x:c r="J2780" s="48" t="n">
        <x:v>0.4</x:v>
      </x:c>
      <x:c r="K2780" s="48" t="str">
        <x:v>Yes</x:v>
      </x:c>
      <x:c r="L2780" s="48" t="str">
        <x:v>OCR</x:v>
      </x:c>
    </x:row>
    <x:row r="2781">
      <x:c r="A2781" s="48" t="str">
        <x:v>UNI-2780</x:v>
      </x:c>
      <x:c r="B2781" s="48" t="str">
        <x:v>SILVER</x:v>
      </x:c>
      <x:c r="C2781" s="48" t="str">
        <x:v>Indonesian</x:v>
      </x:c>
      <x:c r="D2781" s="48" t="n">
        <x:v>37</x:v>
      </x:c>
      <x:c r="E2781" s="48" t="str"/>
      <x:c r="F2781" s="48" t="str">
        <x:v>Seakan MO ena 3 POLA menemani</x:v>
      </x:c>
      <x:c r="G2781" s="48" t="str">
        <x:v>Obligation</x:v>
      </x:c>
      <x:c r="H2781" s="48" t="str">
        <x:v>Shared</x:v>
      </x:c>
      <x:c r="I2781" s="48" t="n">
        <x:v>0.45</x:v>
      </x:c>
      <x:c r="J2781" s="48" t="n">
        <x:v>0.4</x:v>
      </x:c>
      <x:c r="K2781" s="48" t="str">
        <x:v>Yes</x:v>
      </x:c>
      <x:c r="L2781" s="48" t="str">
        <x:v>OCR</x:v>
      </x:c>
    </x:row>
    <x:row r="2782">
      <x:c r="A2782" s="48" t="str">
        <x:v>UNI-2781</x:v>
      </x:c>
      <x:c r="B2782" s="48" t="str">
        <x:v>SILVER</x:v>
      </x:c>
      <x:c r="C2782" s="48" t="str">
        <x:v>Indonesian</x:v>
      </x:c>
      <x:c r="D2782" s="48" t="n">
        <x:v>37</x:v>
      </x:c>
      <x:c r="E2782" s="48" t="str"/>
      <x:c r="F2782" s="48" t="str">
        <x:v>Kaitan Doain Ker Ita GOR kh mera Brg Com, sed Trap Dae,</x:v>
      </x:c>
      <x:c r="G2782" s="48" t="str">
        <x:v>Obligation</x:v>
      </x:c>
      <x:c r="H2782" s="48" t="str">
        <x:v>Shared</x:v>
      </x:c>
      <x:c r="I2782" s="48" t="n">
        <x:v>0.45</x:v>
      </x:c>
      <x:c r="J2782" s="48" t="n">
        <x:v>0.4</x:v>
      </x:c>
      <x:c r="K2782" s="48" t="str">
        <x:v>Yes</x:v>
      </x:c>
      <x:c r="L2782" s="48" t="str">
        <x:v>OCR</x:v>
      </x:c>
    </x:row>
    <x:row r="2783">
      <x:c r="A2783" s="48" t="str">
        <x:v>UNI-2782</x:v>
      </x:c>
      <x:c r="B2783" s="48" t="str">
        <x:v>SILVER</x:v>
      </x:c>
      <x:c r="C2783" s="48" t="str">
        <x:v>Indonesian</x:v>
      </x:c>
      <x:c r="D2783" s="48" t="n">
        <x:v>37</x:v>
      </x:c>
      <x:c r="E2783" s="48" t="str"/>
      <x:c r="F2783" s="48" t="str">
        <x:v>pewarna petmpa-eehneanyeikgnekg knpa ie</x:v>
      </x:c>
      <x:c r="G2783" s="48" t="str">
        <x:v>Obligation</x:v>
      </x:c>
      <x:c r="H2783" s="48" t="str">
        <x:v>Shared</x:v>
      </x:c>
      <x:c r="I2783" s="48" t="n">
        <x:v>0.45</x:v>
      </x:c>
      <x:c r="J2783" s="48" t="n">
        <x:v>0.4</x:v>
      </x:c>
      <x:c r="K2783" s="48" t="str">
        <x:v>Yes</x:v>
      </x:c>
      <x:c r="L2783" s="48" t="str">
        <x:v>OCR</x:v>
      </x:c>
    </x:row>
    <x:row r="2784">
      <x:c r="A2784" s="48" t="str">
        <x:v>UNI-2783</x:v>
      </x:c>
      <x:c r="B2784" s="48" t="str">
        <x:v>SILVER</x:v>
      </x:c>
      <x:c r="C2784" s="48" t="str">
        <x:v>Indonesian</x:v>
      </x:c>
      <x:c r="D2784" s="48" t="n">
        <x:v>37</x:v>
      </x:c>
      <x:c r="E2784" s="48" t="str"/>
      <x:c r="F2784" s="48" t="str">
        <x:v>Menhan pat gan ga Pan em Fan</x:v>
      </x:c>
      <x:c r="G2784" s="48" t="str">
        <x:v>Obligation</x:v>
      </x:c>
      <x:c r="H2784" s="48" t="str">
        <x:v>Shared</x:v>
      </x:c>
      <x:c r="I2784" s="48" t="n">
        <x:v>0.45</x:v>
      </x:c>
      <x:c r="J2784" s="48" t="n">
        <x:v>0.4</x:v>
      </x:c>
      <x:c r="K2784" s="48" t="str">
        <x:v>Yes</x:v>
      </x:c>
      <x:c r="L2784" s="48" t="str">
        <x:v>OCR</x:v>
      </x:c>
    </x:row>
    <x:row r="2785">
      <x:c r="A2785" s="48" t="str">
        <x:v>UNI-2784</x:v>
      </x:c>
      <x:c r="B2785" s="48" t="str">
        <x:v>SILVER</x:v>
      </x:c>
      <x:c r="C2785" s="48" t="str">
        <x:v>Indonesian</x:v>
      </x:c>
      <x:c r="D2785" s="48" t="n">
        <x:v>37</x:v>
      </x:c>
      <x:c r="E2785" s="48" t="str">
        <x:v>2</x:v>
      </x:c>
      <x:c r="F2785" s="48" t="str">
        <x:v>2 ore pewantoakima pan tang</x:v>
      </x:c>
      <x:c r="G2785" s="48" t="str">
        <x:v>Heading</x:v>
      </x:c>
      <x:c r="H2785" s="48" t="str"/>
      <x:c r="I2785" s="48" t="n">
        <x:v>0.9</x:v>
      </x:c>
      <x:c r="J2785" s="48" t="n">
        <x:v>0.99</x:v>
      </x:c>
      <x:c r="K2785" s="48" t="str">
        <x:v>No</x:v>
      </x:c>
      <x:c r="L2785" s="48" t="str">
        <x:v>OCR</x:v>
      </x:c>
    </x:row>
    <x:row r="2786">
      <x:c r="A2786" s="48" t="str">
        <x:v>UNI-2785</x:v>
      </x:c>
      <x:c r="B2786" s="48" t="str">
        <x:v>SILVER</x:v>
      </x:c>
      <x:c r="C2786" s="48" t="str">
        <x:v>Indonesian</x:v>
      </x:c>
      <x:c r="D2786" s="48" t="n">
        <x:v>40</x:v>
      </x:c>
      <x:c r="E2786" s="48" t="str"/>
      <x:c r="F2786" s="48" t="str">
        <x:v>Mana Opera</x:v>
      </x:c>
      <x:c r="G2786" s="48" t="str">
        <x:v>Obligation</x:v>
      </x:c>
      <x:c r="H2786" s="48" t="str">
        <x:v>Shared</x:v>
      </x:c>
      <x:c r="I2786" s="48" t="n">
        <x:v>0.45</x:v>
      </x:c>
      <x:c r="J2786" s="48" t="n">
        <x:v>0.4</x:v>
      </x:c>
      <x:c r="K2786" s="48" t="str">
        <x:v>Yes</x:v>
      </x:c>
      <x:c r="L2786" s="48" t="str">
        <x:v>OCR</x:v>
      </x:c>
    </x:row>
    <x:row r="2787">
      <x:c r="A2787" s="48" t="str">
        <x:v>UNI-2786</x:v>
      </x:c>
      <x:c r="B2787" s="48" t="str">
        <x:v>SILVER</x:v>
      </x:c>
      <x:c r="C2787" s="48" t="str">
        <x:v>Indonesian</x:v>
      </x:c>
      <x:c r="D2787" s="48" t="n">
        <x:v>41</x:v>
      </x:c>
      <x:c r="E2787" s="48" t="str"/>
      <x:c r="F2787" s="48" t="str">
        <x:v>MesitanDesan Aci ear penganan sr, etik Jrtran sean</x:v>
      </x:c>
      <x:c r="G2787" s="48" t="str">
        <x:v>Obligation</x:v>
      </x:c>
      <x:c r="H2787" s="48" t="str">
        <x:v>Shared</x:v>
      </x:c>
      <x:c r="I2787" s="48" t="n">
        <x:v>0.45</x:v>
      </x:c>
      <x:c r="J2787" s="48" t="n">
        <x:v>0.4</x:v>
      </x:c>
      <x:c r="K2787" s="48" t="str">
        <x:v>Yes</x:v>
      </x:c>
      <x:c r="L2787" s="48" t="str">
        <x:v>OCR</x:v>
      </x:c>
    </x:row>
    <x:row r="2788">
      <x:c r="A2788" s="48" t="str">
        <x:v>UNI-2787</x:v>
      </x:c>
      <x:c r="B2788" s="48" t="str">
        <x:v>SILVER</x:v>
      </x:c>
      <x:c r="C2788" s="48" t="str">
        <x:v>Indonesian</x:v>
      </x:c>
      <x:c r="D2788" s="48" t="n">
        <x:v>41</x:v>
      </x:c>
      <x:c r="E2788" s="48" t="str"/>
      <x:c r="F2788" s="48" t="str">
        <x:v>ana an era Ga Daan Ka ama an Peja Pa</x:v>
      </x:c>
      <x:c r="G2788" s="48" t="str">
        <x:v>Obligation</x:v>
      </x:c>
      <x:c r="H2788" s="48" t="str">
        <x:v>Shared</x:v>
      </x:c>
      <x:c r="I2788" s="48" t="n">
        <x:v>0.45</x:v>
      </x:c>
      <x:c r="J2788" s="48" t="n">
        <x:v>0.4</x:v>
      </x:c>
      <x:c r="K2788" s="48" t="str">
        <x:v>Yes</x:v>
      </x:c>
      <x:c r="L2788" s="48" t="str">
        <x:v>OCR</x:v>
      </x:c>
    </x:row>
    <x:row r="2789">
      <x:c r="A2789" s="48" t="str">
        <x:v>UNI-2788</x:v>
      </x:c>
      <x:c r="B2789" s="48" t="str">
        <x:v>SILVER</x:v>
      </x:c>
      <x:c r="C2789" s="48" t="str">
        <x:v>Indonesian</x:v>
      </x:c>
      <x:c r="D2789" s="48" t="n">
        <x:v>41</x:v>
      </x:c>
      <x:c r="E2789" s="48" t="str"/>
      <x:c r="F2789" s="48" t="str">
        <x:v>Sona aa Dn Kere mn an Sa angan bata</x:v>
      </x:c>
      <x:c r="G2789" s="48" t="str">
        <x:v>Obligation</x:v>
      </x:c>
      <x:c r="H2789" s="48" t="str">
        <x:v>Shared</x:v>
      </x:c>
      <x:c r="I2789" s="48" t="n">
        <x:v>0.45</x:v>
      </x:c>
      <x:c r="J2789" s="48" t="n">
        <x:v>0.4</x:v>
      </x:c>
      <x:c r="K2789" s="48" t="str">
        <x:v>Yes</x:v>
      </x:c>
      <x:c r="L2789" s="48" t="str">
        <x:v>OCR</x:v>
      </x:c>
    </x:row>
    <x:row r="2790">
      <x:c r="A2790" s="48" t="str">
        <x:v>UNI-2789</x:v>
      </x:c>
      <x:c r="B2790" s="48" t="str">
        <x:v>SILVER</x:v>
      </x:c>
      <x:c r="C2790" s="48" t="str">
        <x:v>Indonesian</x:v>
      </x:c>
      <x:c r="D2790" s="48" t="n">
        <x:v>41</x:v>
      </x:c>
      <x:c r="E2790" s="48" t="str"/>
      <x:c r="F2790" s="48" t="str">
        <x:v>AMAN PRAN Kran MA Ka metana ba PNG Dl pl Can</x:v>
      </x:c>
      <x:c r="G2790" s="48" t="str">
        <x:v>Obligation</x:v>
      </x:c>
      <x:c r="H2790" s="48" t="str">
        <x:v>Shared</x:v>
      </x:c>
      <x:c r="I2790" s="48" t="n">
        <x:v>0.45</x:v>
      </x:c>
      <x:c r="J2790" s="48" t="n">
        <x:v>0.4</x:v>
      </x:c>
      <x:c r="K2790" s="48" t="str">
        <x:v>Yes</x:v>
      </x:c>
      <x:c r="L2790" s="48" t="str">
        <x:v>OCR</x:v>
      </x:c>
    </x:row>
    <x:row r="2791">
      <x:c r="A2791" s="48" t="str">
        <x:v>UNI-2790</x:v>
      </x:c>
      <x:c r="B2791" s="48" t="str">
        <x:v>SILVER</x:v>
      </x:c>
      <x:c r="C2791" s="48" t="str">
        <x:v>Indonesian</x:v>
      </x:c>
      <x:c r="D2791" s="48" t="n">
        <x:v>41</x:v>
      </x:c>
      <x:c r="E2791" s="48" t="str"/>
      <x:c r="F2791" s="48" t="str">
        <x:v>Patung dan Yana Ha San nc Kanan Pera Sa Kerentanan</x:v>
      </x:c>
      <x:c r="G2791" s="48" t="str">
        <x:v>Obligation</x:v>
      </x:c>
      <x:c r="H2791" s="48" t="str">
        <x:v>Shared</x:v>
      </x:c>
      <x:c r="I2791" s="48" t="n">
        <x:v>0.45</x:v>
      </x:c>
      <x:c r="J2791" s="48" t="n">
        <x:v>0.4</x:v>
      </x:c>
      <x:c r="K2791" s="48" t="str">
        <x:v>Yes</x:v>
      </x:c>
      <x:c r="L2791" s="48" t="str">
        <x:v>OCR</x:v>
      </x:c>
    </x:row>
    <x:row r="2792">
      <x:c r="A2792" s="48" t="str">
        <x:v>UNI-2791</x:v>
      </x:c>
      <x:c r="B2792" s="48" t="str">
        <x:v>SILVER</x:v>
      </x:c>
      <x:c r="C2792" s="48" t="str">
        <x:v>Indonesian</x:v>
      </x:c>
      <x:c r="D2792" s="48" t="n">
        <x:v>41</x:v>
      </x:c>
      <x:c r="E2792" s="48" t="str"/>
      <x:c r="F2792" s="48" t="str">
        <x:v>aka Nana AA MOMEAM AP HO manga an</x:v>
      </x:c>
      <x:c r="G2792" s="48" t="str">
        <x:v>Obligation</x:v>
      </x:c>
      <x:c r="H2792" s="48" t="str">
        <x:v>Shared</x:v>
      </x:c>
      <x:c r="I2792" s="48" t="n">
        <x:v>0.45</x:v>
      </x:c>
      <x:c r="J2792" s="48" t="n">
        <x:v>0.4</x:v>
      </x:c>
      <x:c r="K2792" s="48" t="str">
        <x:v>Yes</x:v>
      </x:c>
      <x:c r="L2792" s="48" t="str">
        <x:v>OCR</x:v>
      </x:c>
    </x:row>
    <x:row r="2793">
      <x:c r="A2793" s="48" t="str">
        <x:v>UNI-2792</x:v>
      </x:c>
      <x:c r="B2793" s="48" t="str">
        <x:v>SILVER</x:v>
      </x:c>
      <x:c r="C2793" s="48" t="str">
        <x:v>Indonesian</x:v>
      </x:c>
      <x:c r="D2793" s="48" t="n">
        <x:v>43</x:v>
      </x:c>
      <x:c r="E2793" s="48" t="str">
        <x:v>8</x:v>
      </x:c>
      <x:c r="F2793" s="48" t="str">
        <x:v>8 Wamena mnantestanai water</x:v>
      </x:c>
      <x:c r="G2793" s="48" t="str">
        <x:v>Heading</x:v>
      </x:c>
      <x:c r="H2793" s="48" t="str"/>
      <x:c r="I2793" s="48" t="n">
        <x:v>0.9</x:v>
      </x:c>
      <x:c r="J2793" s="48" t="n">
        <x:v>0.99</x:v>
      </x:c>
      <x:c r="K2793" s="48" t="str">
        <x:v>No</x:v>
      </x:c>
      <x:c r="L2793" s="48" t="str">
        <x:v>OCR</x:v>
      </x:c>
    </x:row>
    <x:row r="2794">
      <x:c r="A2794" s="48" t="str">
        <x:v>UNI-2793</x:v>
      </x:c>
      <x:c r="B2794" s="48" t="str">
        <x:v>SILVER</x:v>
      </x:c>
      <x:c r="C2794" s="48" t="str">
        <x:v>Indonesian</x:v>
      </x:c>
      <x:c r="D2794" s="48" t="n">
        <x:v>43</x:v>
      </x:c>
      <x:c r="E2794" s="48" t="str"/>
      <x:c r="F2794" s="48" t="str">
        <x:v>MUmMan om mewa tam ruraB ena</x:v>
      </x:c>
      <x:c r="G2794" s="48" t="str">
        <x:v>Obligation</x:v>
      </x:c>
      <x:c r="H2794" s="48" t="str">
        <x:v>Shared</x:v>
      </x:c>
      <x:c r="I2794" s="48" t="n">
        <x:v>0.45</x:v>
      </x:c>
      <x:c r="J2794" s="48" t="n">
        <x:v>0.4</x:v>
      </x:c>
      <x:c r="K2794" s="48" t="str">
        <x:v>Yes</x:v>
      </x:c>
      <x:c r="L2794" s="48" t="str">
        <x:v>OCR</x:v>
      </x:c>
    </x:row>
    <x:row r="2795">
      <x:c r="A2795" s="48" t="str">
        <x:v>UNI-2794</x:v>
      </x:c>
      <x:c r="B2795" s="48" t="str">
        <x:v>SILVER</x:v>
      </x:c>
      <x:c r="C2795" s="48" t="str">
        <x:v>Indonesian</x:v>
      </x:c>
      <x:c r="D2795" s="48" t="n">
        <x:v>43</x:v>
      </x:c>
      <x:c r="E2795" s="48" t="str"/>
      <x:c r="F2795" s="48" t="str">
        <x:v>AI Sen memesan ema</x:v>
      </x:c>
      <x:c r="G2795" s="48" t="str">
        <x:v>Obligation</x:v>
      </x:c>
      <x:c r="H2795" s="48" t="str">
        <x:v>Shared</x:v>
      </x:c>
      <x:c r="I2795" s="48" t="n">
        <x:v>0.45</x:v>
      </x:c>
      <x:c r="J2795" s="48" t="n">
        <x:v>0.4</x:v>
      </x:c>
      <x:c r="K2795" s="48" t="str">
        <x:v>Yes</x:v>
      </x:c>
      <x:c r="L2795" s="48" t="str">
        <x:v>OCR</x:v>
      </x:c>
    </x:row>
    <x:row r="2796">
      <x:c r="A2796" s="48" t="str">
        <x:v>UNI-2795</x:v>
      </x:c>
      <x:c r="B2796" s="48" t="str">
        <x:v>SILVER</x:v>
      </x:c>
      <x:c r="C2796" s="48" t="str">
        <x:v>Indonesian</x:v>
      </x:c>
      <x:c r="D2796" s="48" t="n">
        <x:v>43</x:v>
      </x:c>
      <x:c r="E2796" s="48" t="str"/>
      <x:c r="F2796" s="48" t="str">
        <x:v>Mma mama pr mertua lara Isahaan</x:v>
      </x:c>
      <x:c r="G2796" s="48" t="str">
        <x:v>Obligation</x:v>
      </x:c>
      <x:c r="H2796" s="48" t="str">
        <x:v>Shared</x:v>
      </x:c>
      <x:c r="I2796" s="48" t="n">
        <x:v>0.45</x:v>
      </x:c>
      <x:c r="J2796" s="48" t="n">
        <x:v>0.4</x:v>
      </x:c>
      <x:c r="K2796" s="48" t="str">
        <x:v>Yes</x:v>
      </x:c>
      <x:c r="L2796" s="48" t="str">
        <x:v>OCR</x:v>
      </x:c>
    </x:row>
    <x:row r="2797">
      <x:c r="A2797" s="48" t="str">
        <x:v>UNI-2796</x:v>
      </x:c>
      <x:c r="B2797" s="48" t="str">
        <x:v>SILVER</x:v>
      </x:c>
      <x:c r="C2797" s="48" t="str">
        <x:v>Indonesian</x:v>
      </x:c>
      <x:c r="D2797" s="48" t="n">
        <x:v>43</x:v>
      </x:c>
      <x:c r="E2797" s="48" t="str"/>
      <x:c r="F2797" s="48" t="str">
        <x:v>Samraran sorga</x:v>
      </x:c>
      <x:c r="G2797" s="48" t="str">
        <x:v>Obligation</x:v>
      </x:c>
      <x:c r="H2797" s="48" t="str">
        <x:v>Shared</x:v>
      </x:c>
      <x:c r="I2797" s="48" t="n">
        <x:v>0.45</x:v>
      </x:c>
      <x:c r="J2797" s="48" t="n">
        <x:v>0.4</x:v>
      </x:c>
      <x:c r="K2797" s="48" t="str">
        <x:v>Yes</x:v>
      </x:c>
      <x:c r="L2797" s="48" t="str">
        <x:v>OCR</x:v>
      </x:c>
    </x:row>
    <x:row r="2798">
      <x:c r="A2798" s="48" t="str">
        <x:v>UNI-2797</x:v>
      </x:c>
      <x:c r="B2798" s="48" t="str">
        <x:v>SILVER</x:v>
      </x:c>
      <x:c r="C2798" s="48" t="str">
        <x:v>Indonesian</x:v>
      </x:c>
      <x:c r="D2798" s="48" t="n">
        <x:v>43</x:v>
      </x:c>
      <x:c r="E2798" s="48" t="str"/>
      <x:c r="F2798" s="48" t="str">
        <x:v>inden Kombat mek bm metan Ck</x:v>
      </x:c>
      <x:c r="G2798" s="48" t="str">
        <x:v>Obligation</x:v>
      </x:c>
      <x:c r="H2798" s="48" t="str">
        <x:v>Shared</x:v>
      </x:c>
      <x:c r="I2798" s="48" t="n">
        <x:v>0.45</x:v>
      </x:c>
      <x:c r="J2798" s="48" t="n">
        <x:v>0.4</x:v>
      </x:c>
      <x:c r="K2798" s="48" t="str">
        <x:v>Yes</x:v>
      </x:c>
      <x:c r="L2798" s="48" t="str">
        <x:v>OCR</x:v>
      </x:c>
    </x:row>
    <x:row r="2799">
      <x:c r="A2799" s="48" t="str">
        <x:v>UNI-2798</x:v>
      </x:c>
      <x:c r="B2799" s="48" t="str">
        <x:v>SILVER</x:v>
      </x:c>
      <x:c r="C2799" s="48" t="str">
        <x:v>Indonesian</x:v>
      </x:c>
      <x:c r="D2799" s="48" t="n">
        <x:v>43</x:v>
      </x:c>
      <x:c r="E2799" s="48" t="str"/>
      <x:c r="F2799" s="48" t="str">
        <x:v>Petakan Penon Krtan hu menanalarjn Pegara dea Gr yr mena</x:v>
      </x:c>
      <x:c r="G2799" s="48" t="str">
        <x:v>Obligation</x:v>
      </x:c>
      <x:c r="H2799" s="48" t="str">
        <x:v>Shared</x:v>
      </x:c>
      <x:c r="I2799" s="48" t="n">
        <x:v>0.45</x:v>
      </x:c>
      <x:c r="J2799" s="48" t="n">
        <x:v>0.4</x:v>
      </x:c>
      <x:c r="K2799" s="48" t="str">
        <x:v>Yes</x:v>
      </x:c>
      <x:c r="L2799" s="48" t="str">
        <x:v>OCR</x:v>
      </x:c>
    </x:row>
    <x:row r="2800">
      <x:c r="A2800" s="48" t="str">
        <x:v>UNI-2799</x:v>
      </x:c>
      <x:c r="B2800" s="48" t="str">
        <x:v>SILVER</x:v>
      </x:c>
      <x:c r="C2800" s="48" t="str">
        <x:v>Indonesian</x:v>
      </x:c>
      <x:c r="D2800" s="48" t="n">
        <x:v>43</x:v>
      </x:c>
      <x:c r="E2800" s="48" t="str"/>
      <x:c r="F2800" s="48" t="str">
        <x:v>pera it are Poo Kara ap Po ag</x:v>
      </x:c>
      <x:c r="G2800" s="48" t="str">
        <x:v>Obligation</x:v>
      </x:c>
      <x:c r="H2800" s="48" t="str">
        <x:v>Shared</x:v>
      </x:c>
      <x:c r="I2800" s="48" t="n">
        <x:v>0.45</x:v>
      </x:c>
      <x:c r="J2800" s="48" t="n">
        <x:v>0.4</x:v>
      </x:c>
      <x:c r="K2800" s="48" t="str">
        <x:v>Yes</x:v>
      </x:c>
      <x:c r="L2800" s="48" t="str">
        <x:v>OCR</x:v>
      </x:c>
    </x:row>
    <x:row r="2801">
      <x:c r="A2801" s="48" t="str">
        <x:v>UNI-2800</x:v>
      </x:c>
      <x:c r="B2801" s="48" t="str">
        <x:v>SILVER</x:v>
      </x:c>
      <x:c r="C2801" s="48" t="str">
        <x:v>Indonesian</x:v>
      </x:c>
      <x:c r="D2801" s="48" t="n">
        <x:v>43</x:v>
      </x:c>
      <x:c r="E2801" s="48" t="str"/>
      <x:c r="F2801" s="48" t="str">
        <x:v>Ka Sharon Dea darwaken te han aan Santan</x:v>
      </x:c>
      <x:c r="G2801" s="48" t="str">
        <x:v>Obligation</x:v>
      </x:c>
      <x:c r="H2801" s="48" t="str">
        <x:v>Shared</x:v>
      </x:c>
      <x:c r="I2801" s="48" t="n">
        <x:v>0.45</x:v>
      </x:c>
      <x:c r="J2801" s="48" t="n">
        <x:v>0.4</x:v>
      </x:c>
      <x:c r="K2801" s="48" t="str">
        <x:v>Yes</x:v>
      </x:c>
      <x:c r="L2801" s="48" t="str">
        <x:v>OCR</x:v>
      </x:c>
    </x:row>
    <x:row r="2802">
      <x:c r="A2802" s="48" t="str">
        <x:v>UNI-2801</x:v>
      </x:c>
      <x:c r="B2802" s="48" t="str">
        <x:v>SILVER</x:v>
      </x:c>
      <x:c r="C2802" s="48" t="str">
        <x:v>Indonesian</x:v>
      </x:c>
      <x:c r="D2802" s="48" t="n">
        <x:v>43</x:v>
      </x:c>
      <x:c r="E2802" s="48" t="str"/>
      <x:c r="F2802" s="48" t="str">
        <x:v>TO Ge Pera Ya ra Kor Mekar Sm pan</x:v>
      </x:c>
      <x:c r="G2802" s="48" t="str">
        <x:v>Obligation</x:v>
      </x:c>
      <x:c r="H2802" s="48" t="str">
        <x:v>Shared</x:v>
      </x:c>
      <x:c r="I2802" s="48" t="n">
        <x:v>0.45</x:v>
      </x:c>
      <x:c r="J2802" s="48" t="n">
        <x:v>0.4</x:v>
      </x:c>
      <x:c r="K2802" s="48" t="str">
        <x:v>Yes</x:v>
      </x:c>
      <x:c r="L2802" s="48" t="str">
        <x:v>OCR</x:v>
      </x:c>
    </x:row>
    <x:row r="2803">
      <x:c r="A2803" s="48" t="str">
        <x:v>UNI-2802</x:v>
      </x:c>
      <x:c r="B2803" s="48" t="str">
        <x:v>SILVER</x:v>
      </x:c>
      <x:c r="C2803" s="48" t="str">
        <x:v>Indonesian</x:v>
      </x:c>
      <x:c r="D2803" s="48" t="n">
        <x:v>43</x:v>
      </x:c>
      <x:c r="E2803" s="48" t="str"/>
      <x:c r="F2803" s="48" t="str">
        <x:v>(NO Bat mah Sin masa pe Urga see sasa kan Gan Dah Tata Ma ena, aa Sa mera tuna MAKA Kaban beTagran YUK tnya Dadan Ma paman pegenan an pak maa</x:v>
      </x:c>
      <x:c r="G2803" s="48" t="str">
        <x:v>Obligation</x:v>
      </x:c>
      <x:c r="H2803" s="48" t="str">
        <x:v>Shared</x:v>
      </x:c>
      <x:c r="I2803" s="48" t="n">
        <x:v>0.45</x:v>
      </x:c>
      <x:c r="J2803" s="48" t="n">
        <x:v>0.4</x:v>
      </x:c>
      <x:c r="K2803" s="48" t="str">
        <x:v>Yes</x:v>
      </x:c>
      <x:c r="L2803" s="48" t="str">
        <x:v>OCR</x:v>
      </x:c>
    </x:row>
    <x:row r="2804">
      <x:c r="A2804" s="48" t="str">
        <x:v>UNI-2803</x:v>
      </x:c>
      <x:c r="B2804" s="48" t="str">
        <x:v>SILVER</x:v>
      </x:c>
      <x:c r="C2804" s="48" t="str">
        <x:v>Indonesian</x:v>
      </x:c>
      <x:c r="D2804" s="48" t="n">
        <x:v>43</x:v>
      </x:c>
      <x:c r="E2804" s="48" t="str"/>
      <x:c r="F2804" s="48" t="str">
        <x:v>Meng Sg Org Ta Lan</x:v>
      </x:c>
      <x:c r="G2804" s="48" t="str">
        <x:v>Obligation</x:v>
      </x:c>
      <x:c r="H2804" s="48" t="str">
        <x:v>Shared</x:v>
      </x:c>
      <x:c r="I2804" s="48" t="n">
        <x:v>0.45</x:v>
      </x:c>
      <x:c r="J2804" s="48" t="n">
        <x:v>0.4</x:v>
      </x:c>
      <x:c r="K2804" s="48" t="str">
        <x:v>Yes</x:v>
      </x:c>
      <x:c r="L2804" s="48" t="str">
        <x:v>OCR</x:v>
      </x:c>
    </x:row>
    <x:row r="2805">
      <x:c r="A2805" s="48" t="str">
        <x:v>UNI-2804</x:v>
      </x:c>
      <x:c r="B2805" s="48" t="str">
        <x:v>SILVER</x:v>
      </x:c>
      <x:c r="C2805" s="48" t="str">
        <x:v>Indonesian</x:v>
      </x:c>
      <x:c r="D2805" s="48" t="n">
        <x:v>43</x:v>
      </x:c>
      <x:c r="E2805" s="48" t="str"/>
      <x:c r="F2805" s="48" t="str">
        <x:v>nela Masi Baa can engan</x:v>
      </x:c>
      <x:c r="G2805" s="48" t="str">
        <x:v>Obligation</x:v>
      </x:c>
      <x:c r="H2805" s="48" t="str">
        <x:v>Shared</x:v>
      </x:c>
      <x:c r="I2805" s="48" t="n">
        <x:v>0.45</x:v>
      </x:c>
      <x:c r="J2805" s="48" t="n">
        <x:v>0.4</x:v>
      </x:c>
      <x:c r="K2805" s="48" t="str">
        <x:v>Yes</x:v>
      </x:c>
      <x:c r="L2805" s="48" t="str">
        <x:v>OCR</x:v>
      </x:c>
    </x:row>
    <x:row r="2806">
      <x:c r="A2806" s="48" t="str">
        <x:v>UNI-2805</x:v>
      </x:c>
      <x:c r="B2806" s="48" t="str">
        <x:v>SILVER</x:v>
      </x:c>
      <x:c r="C2806" s="48" t="str">
        <x:v>Indonesian</x:v>
      </x:c>
      <x:c r="D2806" s="48" t="n">
        <x:v>43</x:v>
      </x:c>
      <x:c r="E2806" s="48" t="str"/>
      <x:c r="F2806" s="48" t="str">
        <x:v>Tina Kertas mera perasan rasa Mr ra Gn enaan</x:v>
      </x:c>
      <x:c r="G2806" s="48" t="str">
        <x:v>Obligation</x:v>
      </x:c>
      <x:c r="H2806" s="48" t="str">
        <x:v>Shared</x:v>
      </x:c>
      <x:c r="I2806" s="48" t="n">
        <x:v>0.45</x:v>
      </x:c>
      <x:c r="J2806" s="48" t="n">
        <x:v>0.4</x:v>
      </x:c>
      <x:c r="K2806" s="48" t="str">
        <x:v>Yes</x:v>
      </x:c>
      <x:c r="L2806" s="48" t="str">
        <x:v>OCR</x:v>
      </x:c>
    </x:row>
    <x:row r="2807">
      <x:c r="A2807" s="48" t="str">
        <x:v>UNI-2806</x:v>
      </x:c>
      <x:c r="B2807" s="48" t="str">
        <x:v>SILVER</x:v>
      </x:c>
      <x:c r="C2807" s="48" t="str">
        <x:v>Indonesian</x:v>
      </x:c>
      <x:c r="D2807" s="48" t="n">
        <x:v>43</x:v>
      </x:c>
      <x:c r="E2807" s="48" t="str"/>
      <x:c r="F2807" s="48" t="str">
        <x:v>Pesan San an ma pasuruan Pangan ben</x:v>
      </x:c>
      <x:c r="G2807" s="48" t="str">
        <x:v>Obligation</x:v>
      </x:c>
      <x:c r="H2807" s="48" t="str">
        <x:v>Shared</x:v>
      </x:c>
      <x:c r="I2807" s="48" t="n">
        <x:v>0.45</x:v>
      </x:c>
      <x:c r="J2807" s="48" t="n">
        <x:v>0.4</x:v>
      </x:c>
      <x:c r="K2807" s="48" t="str">
        <x:v>Yes</x:v>
      </x:c>
      <x:c r="L2807" s="48" t="str">
        <x:v>OCR</x:v>
      </x:c>
    </x:row>
    <x:row r="2808">
      <x:c r="A2808" s="48" t="str">
        <x:v>UNI-2807</x:v>
      </x:c>
      <x:c r="B2808" s="48" t="str">
        <x:v>SILVER</x:v>
      </x:c>
      <x:c r="C2808" s="48" t="str">
        <x:v>Indonesian</x:v>
      </x:c>
      <x:c r="D2808" s="48" t="n">
        <x:v>43</x:v>
      </x:c>
      <x:c r="E2808" s="48" t="str"/>
      <x:c r="F2808" s="48" t="str">
        <x:v>(9 kamcan biss mtaraa dun entot, (1 mernsahicantej pg ra Gn cm: memongan pakaran yg (9 Sen Megan gan ban yg sa an ma yg ak aa ed an la eren menata rin Be ten pa Prvara rak</x:v>
      </x:c>
      <x:c r="G2808" s="48" t="str">
        <x:v>Obligation</x:v>
      </x:c>
      <x:c r="H2808" s="48" t="str">
        <x:v>Shared</x:v>
      </x:c>
      <x:c r="I2808" s="48" t="n">
        <x:v>0.45</x:v>
      </x:c>
      <x:c r="J2808" s="48" t="n">
        <x:v>0.4</x:v>
      </x:c>
      <x:c r="K2808" s="48" t="str">
        <x:v>Yes</x:v>
      </x:c>
      <x:c r="L2808" s="48" t="str">
        <x:v>OCR</x:v>
      </x:c>
    </x:row>
    <x:row r="2809">
      <x:c r="A2809" s="48" t="str">
        <x:v>UNI-2808</x:v>
      </x:c>
      <x:c r="B2809" s="48" t="str">
        <x:v>SILVER</x:v>
      </x:c>
      <x:c r="C2809" s="48" t="str">
        <x:v>Indonesian</x:v>
      </x:c>
      <x:c r="D2809" s="48" t="n">
        <x:v>43</x:v>
      </x:c>
      <x:c r="E2809" s="48" t="str"/>
      <x:c r="F2809" s="48" t="str">
        <x:v>Sta ta ran ear VA Dera Koma Basa Bb</x:v>
      </x:c>
      <x:c r="G2809" s="48" t="str">
        <x:v>Obligation</x:v>
      </x:c>
      <x:c r="H2809" s="48" t="str">
        <x:v>Shared</x:v>
      </x:c>
      <x:c r="I2809" s="48" t="n">
        <x:v>0.45</x:v>
      </x:c>
      <x:c r="J2809" s="48" t="n">
        <x:v>0.4</x:v>
      </x:c>
      <x:c r="K2809" s="48" t="str">
        <x:v>Yes</x:v>
      </x:c>
      <x:c r="L2809" s="48" t="str">
        <x:v>OCR</x:v>
      </x:c>
    </x:row>
    <x:row r="2810">
      <x:c r="A2810" s="48" t="str">
        <x:v>UNI-2809</x:v>
      </x:c>
      <x:c r="B2810" s="48" t="str">
        <x:v>SILVER</x:v>
      </x:c>
      <x:c r="C2810" s="48" t="str">
        <x:v>Indonesian</x:v>
      </x:c>
      <x:c r="D2810" s="48" t="n">
        <x:v>43</x:v>
      </x:c>
      <x:c r="E2810" s="48" t="str"/>
      <x:c r="F2810" s="48" t="str">
        <x:v>Na 83 Duma ea tamara yaa kn rta Ban antrean</x:v>
      </x:c>
      <x:c r="G2810" s="48" t="str">
        <x:v>Obligation</x:v>
      </x:c>
      <x:c r="H2810" s="48" t="str">
        <x:v>Shared</x:v>
      </x:c>
      <x:c r="I2810" s="48" t="n">
        <x:v>0.45</x:v>
      </x:c>
      <x:c r="J2810" s="48" t="n">
        <x:v>0.4</x:v>
      </x:c>
      <x:c r="K2810" s="48" t="str">
        <x:v>Yes</x:v>
      </x:c>
      <x:c r="L2810" s="48" t="str">
        <x:v>OCR</x:v>
      </x:c>
    </x:row>
    <x:row r="2811">
      <x:c r="A2811" s="48" t="str">
        <x:v>UNI-2810</x:v>
      </x:c>
      <x:c r="B2811" s="48" t="str">
        <x:v>SILVER</x:v>
      </x:c>
      <x:c r="C2811" s="48" t="str">
        <x:v>Indonesian</x:v>
      </x:c>
      <x:c r="D2811" s="48" t="n">
        <x:v>43</x:v>
      </x:c>
      <x:c r="E2811" s="48" t="str"/>
      <x:c r="F2811" s="48" t="str">
        <x:v>Sen tas GK yr beli ad preman an mara</x:v>
      </x:c>
      <x:c r="G2811" s="48" t="str">
        <x:v>Obligation</x:v>
      </x:c>
      <x:c r="H2811" s="48" t="str">
        <x:v>Shared</x:v>
      </x:c>
      <x:c r="I2811" s="48" t="n">
        <x:v>0.45</x:v>
      </x:c>
      <x:c r="J2811" s="48" t="n">
        <x:v>0.4</x:v>
      </x:c>
      <x:c r="K2811" s="48" t="str">
        <x:v>Yes</x:v>
      </x:c>
      <x:c r="L2811" s="48" t="str">
        <x:v>OCR</x:v>
      </x:c>
    </x:row>
    <x:row r="2812">
      <x:c r="A2812" s="48" t="str">
        <x:v>UNI-2811</x:v>
      </x:c>
      <x:c r="B2812" s="48" t="str">
        <x:v>SILVER</x:v>
      </x:c>
      <x:c r="C2812" s="48" t="str">
        <x:v>Indonesian</x:v>
      </x:c>
      <x:c r="D2812" s="48" t="n">
        <x:v>43</x:v>
      </x:c>
      <x:c r="E2812" s="48" t="str"/>
      <x:c r="F2812" s="48" t="str">
        <x:v>Da Den Pama</x:v>
      </x:c>
      <x:c r="G2812" s="48" t="str">
        <x:v>Obligation</x:v>
      </x:c>
      <x:c r="H2812" s="48" t="str">
        <x:v>Shared</x:v>
      </x:c>
      <x:c r="I2812" s="48" t="n">
        <x:v>0.45</x:v>
      </x:c>
      <x:c r="J2812" s="48" t="n">
        <x:v>0.4</x:v>
      </x:c>
      <x:c r="K2812" s="48" t="str">
        <x:v>Yes</x:v>
      </x:c>
      <x:c r="L2812" s="48" t="str">
        <x:v>OCR</x:v>
      </x:c>
    </x:row>
    <x:row r="2813">
      <x:c r="A2813" s="48" t="str">
        <x:v>UNI-2812</x:v>
      </x:c>
      <x:c r="B2813" s="48" t="str">
        <x:v>SILVER</x:v>
      </x:c>
      <x:c r="C2813" s="48" t="str">
        <x:v>Indonesian</x:v>
      </x:c>
      <x:c r="D2813" s="48" t="n">
        <x:v>43</x:v>
      </x:c>
      <x:c r="E2813" s="48" t="str"/>
      <x:c r="F2813" s="48" t="str">
        <x:v>- sean ena</x:v>
      </x:c>
      <x:c r="G2813" s="48" t="str">
        <x:v>Obligation</x:v>
      </x:c>
      <x:c r="H2813" s="48" t="str">
        <x:v>Shared</x:v>
      </x:c>
      <x:c r="I2813" s="48" t="n">
        <x:v>0.45</x:v>
      </x:c>
      <x:c r="J2813" s="48" t="n">
        <x:v>0.4</x:v>
      </x:c>
      <x:c r="K2813" s="48" t="str">
        <x:v>Yes</x:v>
      </x:c>
      <x:c r="L2813" s="48" t="str">
        <x:v>OCR</x:v>
      </x:c>
    </x:row>
    <x:row r="2814">
      <x:c r="A2814" s="48" t="str">
        <x:v>UNI-2813</x:v>
      </x:c>
      <x:c r="B2814" s="48" t="str">
        <x:v>SILVER</x:v>
      </x:c>
      <x:c r="C2814" s="48" t="str">
        <x:v>Indonesian</x:v>
      </x:c>
      <x:c r="D2814" s="48" t="n">
        <x:v>46</x:v>
      </x:c>
      <x:c r="E2814" s="48" t="str"/>
      <x:c r="F2814" s="48" t="str">
        <x:v>kata Kere metsarkan Pun sesi Seran ebi DA</x:v>
      </x:c>
      <x:c r="G2814" s="48" t="str">
        <x:v>Obligation</x:v>
      </x:c>
      <x:c r="H2814" s="48" t="str">
        <x:v>Shared</x:v>
      </x:c>
      <x:c r="I2814" s="48" t="n">
        <x:v>0.45</x:v>
      </x:c>
      <x:c r="J2814" s="48" t="n">
        <x:v>0.4</x:v>
      </x:c>
      <x:c r="K2814" s="48" t="str">
        <x:v>Yes</x:v>
      </x:c>
      <x:c r="L2814" s="48" t="str">
        <x:v>OCR</x:v>
      </x:c>
    </x:row>
    <x:row r="2815">
      <x:c r="A2815" s="48" t="str">
        <x:v>UNI-2814</x:v>
      </x:c>
      <x:c r="B2815" s="48" t="str">
        <x:v>SILVER</x:v>
      </x:c>
      <x:c r="C2815" s="48" t="str">
        <x:v>Indonesian</x:v>
      </x:c>
      <x:c r="D2815" s="48" t="n">
        <x:v>46</x:v>
      </x:c>
      <x:c r="E2815" s="48" t="str"/>
      <x:c r="F2815" s="48" t="str">
        <x:v>Irardah Perggsa aa batok mruandan Gm menta Ong lan WAK</x:v>
      </x:c>
      <x:c r="G2815" s="48" t="str">
        <x:v>Obligation</x:v>
      </x:c>
      <x:c r="H2815" s="48" t="str">
        <x:v>Shared</x:v>
      </x:c>
      <x:c r="I2815" s="48" t="n">
        <x:v>0.45</x:v>
      </x:c>
      <x:c r="J2815" s="48" t="n">
        <x:v>0.4</x:v>
      </x:c>
      <x:c r="K2815" s="48" t="str">
        <x:v>Yes</x:v>
      </x:c>
      <x:c r="L2815" s="48" t="str">
        <x:v>OCR</x:v>
      </x:c>
    </x:row>
    <x:row r="2816">
      <x:c r="A2816" s="48" t="str">
        <x:v>UNI-2815</x:v>
      </x:c>
      <x:c r="B2816" s="48" t="str">
        <x:v>SILVER</x:v>
      </x:c>
      <x:c r="C2816" s="48" t="str">
        <x:v>Indonesian</x:v>
      </x:c>
      <x:c r="D2816" s="48" t="n">
        <x:v>46</x:v>
      </x:c>
      <x:c r="E2816" s="48" t="str"/>
      <x:c r="F2816" s="48" t="str">
        <x:v>munsien pdam drekasi,Ka rp tar d rara Karat bera “ae perbape ra pekan lea Korban Sub a25 1m ok Pargara sd Ton mortar Iva Prgara ds semua ba</x:v>
      </x:c>
      <x:c r="G2816" s="48" t="str">
        <x:v>Obligation</x:v>
      </x:c>
      <x:c r="H2816" s="48" t="str">
        <x:v>Shared</x:v>
      </x:c>
      <x:c r="I2816" s="48" t="n">
        <x:v>0.45</x:v>
      </x:c>
      <x:c r="J2816" s="48" t="n">
        <x:v>0.4</x:v>
      </x:c>
      <x:c r="K2816" s="48" t="str">
        <x:v>Yes</x:v>
      </x:c>
      <x:c r="L2816" s="48" t="str">
        <x:v>OCR</x:v>
      </x:c>
    </x:row>
    <x:row r="2817">
      <x:c r="A2817" s="48" t="str">
        <x:v>UNI-2816</x:v>
      </x:c>
      <x:c r="B2817" s="48" t="str">
        <x:v>SILVER</x:v>
      </x:c>
      <x:c r="C2817" s="48" t="str">
        <x:v>Indonesian</x:v>
      </x:c>
      <x:c r="D2817" s="48" t="n">
        <x:v>46</x:v>
      </x:c>
      <x:c r="E2817" s="48" t="str"/>
      <x:c r="F2817" s="48" t="str">
        <x:v>konoritkan “Satup agan Gr Pki Mein an Beton or, amal Setan sesi engan et ain Kurhan lum yrg bwh (epsa laa, rar Tk Pergara Jam “an Bana “Seng mu hua mera bh For ba kon ben eka Garena</x:v>
      </x:c>
      <x:c r="G2817" s="48" t="str">
        <x:v>Obligation</x:v>
      </x:c>
      <x:c r="H2817" s="48" t="str">
        <x:v>Shared</x:v>
      </x:c>
      <x:c r="I2817" s="48" t="n">
        <x:v>0.45</x:v>
      </x:c>
      <x:c r="J2817" s="48" t="n">
        <x:v>0.4</x:v>
      </x:c>
      <x:c r="K2817" s="48" t="str">
        <x:v>Yes</x:v>
      </x:c>
      <x:c r="L2817" s="48" t="str">
        <x:v>OCR</x:v>
      </x:c>
    </x:row>
    <x:row r="2818">
      <x:c r="A2818" s="48" t="str">
        <x:v>UNI-2817</x:v>
      </x:c>
      <x:c r="B2818" s="48" t="str">
        <x:v>SILVER</x:v>
      </x:c>
      <x:c r="C2818" s="48" t="str">
        <x:v>Indonesian</x:v>
      </x:c>
      <x:c r="D2818" s="48" t="n">
        <x:v>46</x:v>
      </x:c>
      <x:c r="E2818" s="48" t="str"/>
      <x:c r="F2818" s="48" t="str">
        <x:v>W serangan guntantouron</x:v>
      </x:c>
      <x:c r="G2818" s="48" t="str">
        <x:v>Obligation</x:v>
      </x:c>
      <x:c r="H2818" s="48" t="str">
        <x:v>Shared</x:v>
      </x:c>
      <x:c r="I2818" s="48" t="n">
        <x:v>0.45</x:v>
      </x:c>
      <x:c r="J2818" s="48" t="n">
        <x:v>0.4</x:v>
      </x:c>
      <x:c r="K2818" s="48" t="str">
        <x:v>Yes</x:v>
      </x:c>
      <x:c r="L2818" s="48" t="str">
        <x:v>OCR</x:v>
      </x:c>
    </x:row>
    <x:row r="2819">
      <x:c r="A2819" s="48" t="str">
        <x:v>UNI-2818</x:v>
      </x:c>
      <x:c r="B2819" s="48" t="str">
        <x:v>SILVER</x:v>
      </x:c>
      <x:c r="C2819" s="48" t="str">
        <x:v>Indonesian</x:v>
      </x:c>
      <x:c r="D2819" s="48" t="n">
        <x:v>46</x:v>
      </x:c>
      <x:c r="E2819" s="48" t="str"/>
      <x:c r="F2819" s="48" t="str">
        <x:v>ID sena Koran Ban barat Bb eri ketkni Mo den Btn</x:v>
      </x:c>
      <x:c r="G2819" s="48" t="str">
        <x:v>Obligation</x:v>
      </x:c>
      <x:c r="H2819" s="48" t="str">
        <x:v>Shared</x:v>
      </x:c>
      <x:c r="I2819" s="48" t="n">
        <x:v>0.45</x:v>
      </x:c>
      <x:c r="J2819" s="48" t="n">
        <x:v>0.4</x:v>
      </x:c>
      <x:c r="K2819" s="48" t="str">
        <x:v>Yes</x:v>
      </x:c>
      <x:c r="L2819" s="48" t="str">
        <x:v>OCR</x:v>
      </x:c>
    </x:row>
    <x:row r="2820">
      <x:c r="A2820" s="48" t="str">
        <x:v>UNI-2819</x:v>
      </x:c>
      <x:c r="B2820" s="48" t="str">
        <x:v>SILVER</x:v>
      </x:c>
      <x:c r="C2820" s="48" t="str">
        <x:v>Indonesian</x:v>
      </x:c>
      <x:c r="D2820" s="48" t="n">
        <x:v>46</x:v>
      </x:c>
      <x:c r="E2820" s="48" t="str"/>
      <x:c r="F2820" s="48" t="str">
        <x:v>terdsatan Sa HAAA 810 Fenbaan ds resa Ikan can Ban</x:v>
      </x:c>
      <x:c r="G2820" s="48" t="str">
        <x:v>Obligation</x:v>
      </x:c>
      <x:c r="H2820" s="48" t="str">
        <x:v>Shared</x:v>
      </x:c>
      <x:c r="I2820" s="48" t="n">
        <x:v>0.45</x:v>
      </x:c>
      <x:c r="J2820" s="48" t="n">
        <x:v>0.4</x:v>
      </x:c>
      <x:c r="K2820" s="48" t="str">
        <x:v>Yes</x:v>
      </x:c>
      <x:c r="L2820" s="48" t="str">
        <x:v>OCR</x:v>
      </x:c>
    </x:row>
    <x:row r="2821">
      <x:c r="A2821" s="48" t="str">
        <x:v>UNI-2820</x:v>
      </x:c>
      <x:c r="B2821" s="48" t="str">
        <x:v>SILVER</x:v>
      </x:c>
      <x:c r="C2821" s="48" t="str">
        <x:v>Indonesian</x:v>
      </x:c>
      <x:c r="D2821" s="48" t="n">
        <x:v>46</x:v>
      </x:c>
      <x:c r="E2821" s="48" t="str"/>
      <x:c r="F2821" s="48" t="str">
        <x:v>pom kaca tata Gran un am Kontan Purgara San Komo Paus</x:v>
      </x:c>
      <x:c r="G2821" s="48" t="str">
        <x:v>Obligation</x:v>
      </x:c>
      <x:c r="H2821" s="48" t="str">
        <x:v>Shared</x:v>
      </x:c>
      <x:c r="I2821" s="48" t="n">
        <x:v>0.45</x:v>
      </x:c>
      <x:c r="J2821" s="48" t="n">
        <x:v>0.4</x:v>
      </x:c>
      <x:c r="K2821" s="48" t="str">
        <x:v>Yes</x:v>
      </x:c>
      <x:c r="L2821" s="48" t="str">
        <x:v>OCR</x:v>
      </x:c>
    </x:row>
    <x:row r="2822">
      <x:c r="A2822" s="48" t="str">
        <x:v>UNI-2821</x:v>
      </x:c>
      <x:c r="B2822" s="48" t="str">
        <x:v>SILVER</x:v>
      </x:c>
      <x:c r="C2822" s="48" t="str">
        <x:v>Indonesian</x:v>
      </x:c>
      <x:c r="D2822" s="48" t="n">
        <x:v>46</x:v>
      </x:c>
      <x:c r="E2822" s="48" t="str"/>
      <x:c r="F2822" s="48" t="str">
        <x:v>MEA BMA guna peneawanBN NI</x:v>
      </x:c>
      <x:c r="G2822" s="48" t="str">
        <x:v>Obligation</x:v>
      </x:c>
      <x:c r="H2822" s="48" t="str">
        <x:v>Shared</x:v>
      </x:c>
      <x:c r="I2822" s="48" t="n">
        <x:v>0.45</x:v>
      </x:c>
      <x:c r="J2822" s="48" t="n">
        <x:v>0.4</x:v>
      </x:c>
      <x:c r="K2822" s="48" t="str">
        <x:v>Yes</x:v>
      </x:c>
      <x:c r="L2822" s="48" t="str">
        <x:v>OCR</x:v>
      </x:c>
    </x:row>
    <x:row r="2823">
      <x:c r="A2823" s="48" t="str">
        <x:v>UNI-2822</x:v>
      </x:c>
      <x:c r="B2823" s="48" t="str">
        <x:v>SILVER</x:v>
      </x:c>
      <x:c r="C2823" s="48" t="str">
        <x:v>Indonesian</x:v>
      </x:c>
      <x:c r="D2823" s="48" t="n">
        <x:v>46</x:v>
      </x:c>
      <x:c r="E2823" s="48" t="str"/>
      <x:c r="F2823" s="48" t="str">
        <x:v>Ia Bet saniyang dor et baracrgan can</x:v>
      </x:c>
      <x:c r="G2823" s="48" t="str">
        <x:v>Obligation</x:v>
      </x:c>
      <x:c r="H2823" s="48" t="str">
        <x:v>Shared</x:v>
      </x:c>
      <x:c r="I2823" s="48" t="n">
        <x:v>0.45</x:v>
      </x:c>
      <x:c r="J2823" s="48" t="n">
        <x:v>0.4</x:v>
      </x:c>
      <x:c r="K2823" s="48" t="str">
        <x:v>Yes</x:v>
      </x:c>
      <x:c r="L2823" s="48" t="str">
        <x:v>OCR</x:v>
      </x:c>
    </x:row>
    <x:row r="2824">
      <x:c r="A2824" s="48" t="str">
        <x:v>UNI-2823</x:v>
      </x:c>
      <x:c r="B2824" s="48" t="str">
        <x:v>SILVER</x:v>
      </x:c>
      <x:c r="C2824" s="48" t="str">
        <x:v>Indonesian</x:v>
      </x:c>
      <x:c r="D2824" s="48" t="n">
        <x:v>46</x:v>
      </x:c>
      <x:c r="E2824" s="48" t="str"/>
      <x:c r="F2824" s="48" t="str">
        <x:v>PA penburga tan jang Dona Gi barisan Ga Gan an Ga ban</x:v>
      </x:c>
      <x:c r="G2824" s="48" t="str">
        <x:v>Obligation</x:v>
      </x:c>
      <x:c r="H2824" s="48" t="str">
        <x:v>Shared</x:v>
      </x:c>
      <x:c r="I2824" s="48" t="n">
        <x:v>0.45</x:v>
      </x:c>
      <x:c r="J2824" s="48" t="n">
        <x:v>0.4</x:v>
      </x:c>
      <x:c r="K2824" s="48" t="str">
        <x:v>Yes</x:v>
      </x:c>
      <x:c r="L2824" s="48" t="str">
        <x:v>OCR</x:v>
      </x:c>
    </x:row>
    <x:row r="2825">
      <x:c r="A2825" s="48" t="str">
        <x:v>UNI-2824</x:v>
      </x:c>
      <x:c r="B2825" s="48" t="str">
        <x:v>SILVER</x:v>
      </x:c>
      <x:c r="C2825" s="48" t="str">
        <x:v>Indonesian</x:v>
      </x:c>
      <x:c r="D2825" s="48" t="n">
        <x:v>46</x:v>
      </x:c>
      <x:c r="E2825" s="48" t="str"/>
      <x:c r="F2825" s="48" t="str">
        <x:v>Bao Anya ba am Du ba Pa ca ara ma</x:v>
      </x:c>
      <x:c r="G2825" s="48" t="str">
        <x:v>Obligation</x:v>
      </x:c>
      <x:c r="H2825" s="48" t="str">
        <x:v>Shared</x:v>
      </x:c>
      <x:c r="I2825" s="48" t="n">
        <x:v>0.45</x:v>
      </x:c>
      <x:c r="J2825" s="48" t="n">
        <x:v>0.4</x:v>
      </x:c>
      <x:c r="K2825" s="48" t="str">
        <x:v>Yes</x:v>
      </x:c>
      <x:c r="L2825" s="48" t="str">
        <x:v>OCR</x:v>
      </x:c>
    </x:row>
    <x:row r="2826">
      <x:c r="A2826" s="48" t="str">
        <x:v>UNI-2825</x:v>
      </x:c>
      <x:c r="B2826" s="48" t="str">
        <x:v>SILVER</x:v>
      </x:c>
      <x:c r="C2826" s="48" t="str">
        <x:v>Indonesian</x:v>
      </x:c>
      <x:c r="D2826" s="48" t="n">
        <x:v>46</x:v>
      </x:c>
      <x:c r="E2826" s="48" t="str"/>
      <x:c r="F2826" s="48" t="str">
        <x:v>Par desai Dargan dilapangan ena daan rak</x:v>
      </x:c>
      <x:c r="G2826" s="48" t="str">
        <x:v>Obligation</x:v>
      </x:c>
      <x:c r="H2826" s="48" t="str">
        <x:v>Shared</x:v>
      </x:c>
      <x:c r="I2826" s="48" t="n">
        <x:v>0.45</x:v>
      </x:c>
      <x:c r="J2826" s="48" t="n">
        <x:v>0.4</x:v>
      </x:c>
      <x:c r="K2826" s="48" t="str">
        <x:v>Yes</x:v>
      </x:c>
      <x:c r="L2826" s="48" t="str">
        <x:v>OCR</x:v>
      </x:c>
    </x:row>
    <x:row r="2827">
      <x:c r="A2827" s="48" t="str">
        <x:v>UNI-2826</x:v>
      </x:c>
      <x:c r="B2827" s="48" t="str">
        <x:v>SILVER</x:v>
      </x:c>
      <x:c r="C2827" s="48" t="str">
        <x:v>Indonesian</x:v>
      </x:c>
      <x:c r="D2827" s="48" t="n">
        <x:v>46</x:v>
      </x:c>
      <x:c r="E2827" s="48" t="str"/>
      <x:c r="F2827" s="48" t="str">
        <x:v>an Ins pooraan Ktotambatn Ga pergentan noona tai kek en Angan an aan Pin Kr</x:v>
      </x:c>
      <x:c r="G2827" s="48" t="str">
        <x:v>Obligation</x:v>
      </x:c>
      <x:c r="H2827" s="48" t="str">
        <x:v>Shared</x:v>
      </x:c>
      <x:c r="I2827" s="48" t="n">
        <x:v>0.45</x:v>
      </x:c>
      <x:c r="J2827" s="48" t="n">
        <x:v>0.4</x:v>
      </x:c>
      <x:c r="K2827" s="48" t="str">
        <x:v>Yes</x:v>
      </x:c>
      <x:c r="L2827" s="48" t="str">
        <x:v>OCR</x:v>
      </x:c>
    </x:row>
    <x:row r="2828">
      <x:c r="A2828" s="48" t="str">
        <x:v>UNI-2827</x:v>
      </x:c>
      <x:c r="B2828" s="48" t="str">
        <x:v>SILVER</x:v>
      </x:c>
      <x:c r="C2828" s="48" t="str">
        <x:v>Indonesian</x:v>
      </x:c>
      <x:c r="D2828" s="48" t="n">
        <x:v>46</x:v>
      </x:c>
      <x:c r="E2828" s="48" t="str"/>
      <x:c r="F2828" s="48" t="str">
        <x:v>Ia. rasa aa tan menjrgakan tera Kr pentutnan ak ara ngo Ma Pa (1 WrOM Pawan asanirgavokuhatsonsan Opa Kran</x:v>
      </x:c>
      <x:c r="G2828" s="48" t="str">
        <x:v>Obligation</x:v>
      </x:c>
      <x:c r="H2828" s="48" t="str">
        <x:v>Shared</x:v>
      </x:c>
      <x:c r="I2828" s="48" t="n">
        <x:v>0.45</x:v>
      </x:c>
      <x:c r="J2828" s="48" t="n">
        <x:v>0.4</x:v>
      </x:c>
      <x:c r="K2828" s="48" t="str">
        <x:v>Yes</x:v>
      </x:c>
      <x:c r="L2828" s="48" t="str">
        <x:v>OCR</x:v>
      </x:c>
    </x:row>
    <x:row r="2829">
      <x:c r="A2829" s="48" t="str">
        <x:v>UNI-2828</x:v>
      </x:c>
      <x:c r="B2829" s="48" t="str">
        <x:v>SILVER</x:v>
      </x:c>
      <x:c r="C2829" s="48" t="str">
        <x:v>Indonesian</x:v>
      </x:c>
      <x:c r="D2829" s="48" t="n">
        <x:v>46</x:v>
      </x:c>
      <x:c r="E2829" s="48" t="str"/>
      <x:c r="F2829" s="48" t="str">
        <x:v>San rn Ge sea Ma LA PO Ka</x:v>
      </x:c>
      <x:c r="G2829" s="48" t="str">
        <x:v>Obligation</x:v>
      </x:c>
      <x:c r="H2829" s="48" t="str">
        <x:v>Shared</x:v>
      </x:c>
      <x:c r="I2829" s="48" t="n">
        <x:v>0.45</x:v>
      </x:c>
      <x:c r="J2829" s="48" t="n">
        <x:v>0.4</x:v>
      </x:c>
      <x:c r="K2829" s="48" t="str">
        <x:v>Yes</x:v>
      </x:c>
      <x:c r="L2829" s="48" t="str">
        <x:v>OCR</x:v>
      </x:c>
    </x:row>
    <x:row r="2830">
      <x:c r="A2830" s="48" t="str">
        <x:v>UNI-2829</x:v>
      </x:c>
      <x:c r="B2830" s="48" t="str">
        <x:v>SILVER</x:v>
      </x:c>
      <x:c r="C2830" s="48" t="str">
        <x:v>Indonesian</x:v>
      </x:c>
      <x:c r="D2830" s="48" t="n">
        <x:v>46</x:v>
      </x:c>
      <x:c r="E2830" s="48" t="str"/>
      <x:c r="F2830" s="48" t="str">
        <x:v>om Pen PEMN eta en e Dnaranan Para Ban urge saw truga Ms Pbajan Gn temudan menyaan Pkaan argan</x:v>
      </x:c>
      <x:c r="G2830" s="48" t="str">
        <x:v>Obligation</x:v>
      </x:c>
      <x:c r="H2830" s="48" t="str">
        <x:v>Shared</x:v>
      </x:c>
      <x:c r="I2830" s="48" t="n">
        <x:v>0.45</x:v>
      </x:c>
      <x:c r="J2830" s="48" t="n">
        <x:v>0.4</x:v>
      </x:c>
      <x:c r="K2830" s="48" t="str">
        <x:v>Yes</x:v>
      </x:c>
      <x:c r="L2830" s="48" t="str">
        <x:v>OCR</x:v>
      </x:c>
    </x:row>
    <x:row r="2831">
      <x:c r="A2831" s="48" t="str">
        <x:v>UNI-2830</x:v>
      </x:c>
      <x:c r="B2831" s="48" t="str">
        <x:v>SILVER</x:v>
      </x:c>
      <x:c r="C2831" s="48" t="str">
        <x:v>Indonesian</x:v>
      </x:c>
      <x:c r="D2831" s="48" t="n">
        <x:v>46</x:v>
      </x:c>
      <x:c r="E2831" s="48" t="str"/>
      <x:c r="F2831" s="48" t="str">
        <x:v>Den Menpan pEr Bram</x:v>
      </x:c>
      <x:c r="G2831" s="48" t="str">
        <x:v>Obligation</x:v>
      </x:c>
      <x:c r="H2831" s="48" t="str">
        <x:v>Shared</x:v>
      </x:c>
      <x:c r="I2831" s="48" t="n">
        <x:v>0.45</x:v>
      </x:c>
      <x:c r="J2831" s="48" t="n">
        <x:v>0.4</x:v>
      </x:c>
      <x:c r="K2831" s="48" t="str">
        <x:v>Yes</x:v>
      </x:c>
      <x:c r="L2831" s="48" t="str">
        <x:v>OCR</x:v>
      </x:c>
    </x:row>
    <x:row r="2832">
      <x:c r="A2832" s="48" t="str">
        <x:v>UNI-2831</x:v>
      </x:c>
      <x:c r="B2832" s="48" t="str">
        <x:v>SILVER</x:v>
      </x:c>
      <x:c r="C2832" s="48" t="str">
        <x:v>Indonesian</x:v>
      </x:c>
      <x:c r="D2832" s="48" t="n">
        <x:v>46</x:v>
      </x:c>
      <x:c r="E2832" s="48" t="str"/>
      <x:c r="F2832" s="48" t="str">
        <x:v>wu Ter tna meyaksakan san Papan en sp Bagan Plan bin Pemesan can La Wa: Pyaar Peran agan Pera Ba Pr</x:v>
      </x:c>
      <x:c r="G2832" s="48" t="str">
        <x:v>Obligation</x:v>
      </x:c>
      <x:c r="H2832" s="48" t="str">
        <x:v>Shared</x:v>
      </x:c>
      <x:c r="I2832" s="48" t="n">
        <x:v>0.45</x:v>
      </x:c>
      <x:c r="J2832" s="48" t="n">
        <x:v>0.4</x:v>
      </x:c>
      <x:c r="K2832" s="48" t="str">
        <x:v>Yes</x:v>
      </x:c>
      <x:c r="L2832" s="48" t="str">
        <x:v>OCR</x:v>
      </x:c>
    </x:row>
    <x:row r="2833">
      <x:c r="A2833" s="48" t="str">
        <x:v>UNI-2832</x:v>
      </x:c>
      <x:c r="B2833" s="48" t="str">
        <x:v>SILVER</x:v>
      </x:c>
      <x:c r="C2833" s="48" t="str">
        <x:v>Indonesian</x:v>
      </x:c>
      <x:c r="D2833" s="48" t="n">
        <x:v>46</x:v>
      </x:c>
      <x:c r="E2833" s="48" t="str"/>
      <x:c r="F2833" s="48" t="str">
        <x:v>Sei temaase</x:v>
      </x:c>
      <x:c r="G2833" s="48" t="str">
        <x:v>Obligation</x:v>
      </x:c>
      <x:c r="H2833" s="48" t="str">
        <x:v>Shared</x:v>
      </x:c>
      <x:c r="I2833" s="48" t="n">
        <x:v>0.45</x:v>
      </x:c>
      <x:c r="J2833" s="48" t="n">
        <x:v>0.4</x:v>
      </x:c>
      <x:c r="K2833" s="48" t="str">
        <x:v>Yes</x:v>
      </x:c>
      <x:c r="L2833" s="48" t="str">
        <x:v>OCR</x:v>
      </x:c>
    </x:row>
    <x:row r="2834">
      <x:c r="A2834" s="48" t="str">
        <x:v>UNI-2833</x:v>
      </x:c>
      <x:c r="B2834" s="48" t="str">
        <x:v>SILVER</x:v>
      </x:c>
      <x:c r="C2834" s="48" t="str">
        <x:v>Indonesian</x:v>
      </x:c>
      <x:c r="D2834" s="48" t="n">
        <x:v>46</x:v>
      </x:c>
      <x:c r="E2834" s="48" t="str"/>
      <x:c r="F2834" s="48" t="str">
        <x:v>mua erecam -</x:v>
      </x:c>
      <x:c r="G2834" s="48" t="str">
        <x:v>Obligation</x:v>
      </x:c>
      <x:c r="H2834" s="48" t="str">
        <x:v>Shared</x:v>
      </x:c>
      <x:c r="I2834" s="48" t="n">
        <x:v>0.45</x:v>
      </x:c>
      <x:c r="J2834" s="48" t="n">
        <x:v>0.4</x:v>
      </x:c>
      <x:c r="K2834" s="48" t="str">
        <x:v>Yes</x:v>
      </x:c>
      <x:c r="L2834" s="48" t="str">
        <x:v>OCR</x:v>
      </x:c>
    </x:row>
    <x:row r="2835">
      <x:c r="A2835" s="48" t="str">
        <x:v>UNI-2834</x:v>
      </x:c>
      <x:c r="B2835" s="48" t="str">
        <x:v>SILVER</x:v>
      </x:c>
      <x:c r="C2835" s="48" t="str">
        <x:v>Indonesian</x:v>
      </x:c>
      <x:c r="D2835" s="48" t="n">
        <x:v>47</x:v>
      </x:c>
      <x:c r="E2835" s="48" t="str"/>
      <x:c r="F2835" s="48" t="str">
        <x:v>(Batas meta Pergafan po set Sl dan ( mengikakan SAR pbajan yag Geulan dak Krinkeeaganara oaatan tai Pelan Bagan Putjan yng dupa ne (satan Ak test asa tema berkaman Gia 101</x:v>
      </x:c>
      <x:c r="G2835" s="48" t="str">
        <x:v>Obligation</x:v>
      </x:c>
      <x:c r="H2835" s="48" t="str">
        <x:v>Shared</x:v>
      </x:c>
      <x:c r="I2835" s="48" t="n">
        <x:v>0.45</x:v>
      </x:c>
      <x:c r="J2835" s="48" t="n">
        <x:v>0.4</x:v>
      </x:c>
      <x:c r="K2835" s="48" t="str">
        <x:v>Yes</x:v>
      </x:c>
      <x:c r="L2835" s="48" t="str">
        <x:v>OCR</x:v>
      </x:c>
    </x:row>
    <x:row r="2836">
      <x:c r="A2836" s="48" t="str">
        <x:v>UNI-2835</x:v>
      </x:c>
      <x:c r="B2836" s="48" t="str">
        <x:v>SILVER</x:v>
      </x:c>
      <x:c r="C2836" s="48" t="str">
        <x:v>Indonesian</x:v>
      </x:c>
      <x:c r="D2836" s="48" t="n">
        <x:v>47</x:v>
      </x:c>
      <x:c r="E2836" s="48" t="str"/>
      <x:c r="F2836" s="48" t="str">
        <x:v>DSN Tea Pelan agan Pr</x:v>
      </x:c>
      <x:c r="G2836" s="48" t="str">
        <x:v>Obligation</x:v>
      </x:c>
      <x:c r="H2836" s="48" t="str">
        <x:v>Shared</x:v>
      </x:c>
      <x:c r="I2836" s="48" t="n">
        <x:v>0.45</x:v>
      </x:c>
      <x:c r="J2836" s="48" t="n">
        <x:v>0.4</x:v>
      </x:c>
      <x:c r="K2836" s="48" t="str">
        <x:v>Yes</x:v>
      </x:c>
      <x:c r="L2836" s="48" t="str">
        <x:v>OCR</x:v>
      </x:c>
    </x:row>
    <x:row r="2837">
      <x:c r="A2837" s="48" t="str">
        <x:v>UNI-2836</x:v>
      </x:c>
      <x:c r="B2837" s="48" t="str">
        <x:v>SILVER</x:v>
      </x:c>
      <x:c r="C2837" s="48" t="str">
        <x:v>Indonesian</x:v>
      </x:c>
      <x:c r="D2837" s="48" t="n">
        <x:v>47</x:v>
      </x:c>
      <x:c r="E2837" s="48" t="str"/>
      <x:c r="F2837" s="48" t="str">
        <x:v>Poncana Koja</x:v>
      </x:c>
      <x:c r="G2837" s="48" t="str">
        <x:v>Obligation</x:v>
      </x:c>
      <x:c r="H2837" s="48" t="str">
        <x:v>Shared</x:v>
      </x:c>
      <x:c r="I2837" s="48" t="n">
        <x:v>0.45</x:v>
      </x:c>
      <x:c r="J2837" s="48" t="n">
        <x:v>0.4</x:v>
      </x:c>
      <x:c r="K2837" s="48" t="str">
        <x:v>Yes</x:v>
      </x:c>
      <x:c r="L2837" s="48" t="str">
        <x:v>OCR</x:v>
      </x:c>
    </x:row>
    <x:row r="2838">
      <x:c r="A2838" s="48" t="str">
        <x:v>UNI-2837</x:v>
      </x:c>
      <x:c r="B2838" s="48" t="str">
        <x:v>SILVER</x:v>
      </x:c>
      <x:c r="C2838" s="48" t="str">
        <x:v>Indonesian</x:v>
      </x:c>
      <x:c r="D2838" s="48" t="n">
        <x:v>47</x:v>
      </x:c>
      <x:c r="E2838" s="48" t="str"/>
      <x:c r="F2838" s="48" t="str">
        <x:v>Komar Pata menangkan Meera Ita Ba Wa lcaa Pewara</x:v>
      </x:c>
      <x:c r="G2838" s="48" t="str">
        <x:v>Obligation</x:v>
      </x:c>
      <x:c r="H2838" s="48" t="str">
        <x:v>Shared</x:v>
      </x:c>
      <x:c r="I2838" s="48" t="n">
        <x:v>0.45</x:v>
      </x:c>
      <x:c r="J2838" s="48" t="n">
        <x:v>0.4</x:v>
      </x:c>
      <x:c r="K2838" s="48" t="str">
        <x:v>Yes</x:v>
      </x:c>
      <x:c r="L2838" s="48" t="str">
        <x:v>OCR</x:v>
      </x:c>
    </x:row>
    <x:row r="2839">
      <x:c r="A2839" s="48" t="str">
        <x:v>UNI-2838</x:v>
      </x:c>
      <x:c r="B2839" s="48" t="str">
        <x:v>SILVER</x:v>
      </x:c>
      <x:c r="C2839" s="48" t="str">
        <x:v>Indonesian</x:v>
      </x:c>
      <x:c r="D2839" s="48" t="n">
        <x:v>47</x:v>
      </x:c>
      <x:c r="E2839" s="48" t="str"/>
      <x:c r="F2839" s="48" t="str">
        <x:v>“Gam ak 28 Ta taman Ter MA Pan Kerta hn Pot</x:v>
      </x:c>
      <x:c r="G2839" s="48" t="str">
        <x:v>Obligation</x:v>
      </x:c>
      <x:c r="H2839" s="48" t="str">
        <x:v>Shared</x:v>
      </x:c>
      <x:c r="I2839" s="48" t="n">
        <x:v>0.45</x:v>
      </x:c>
      <x:c r="J2839" s="48" t="n">
        <x:v>0.4</x:v>
      </x:c>
      <x:c r="K2839" s="48" t="str">
        <x:v>Yes</x:v>
      </x:c>
      <x:c r="L2839" s="48" t="str">
        <x:v>OCR</x:v>
      </x:c>
    </x:row>
    <x:row r="2840">
      <x:c r="A2840" s="48" t="str">
        <x:v>UNI-2839</x:v>
      </x:c>
      <x:c r="B2840" s="48" t="str">
        <x:v>SILVER</x:v>
      </x:c>
      <x:c r="C2840" s="48" t="str">
        <x:v>Indonesian</x:v>
      </x:c>
      <x:c r="D2840" s="48" t="n">
        <x:v>47</x:v>
      </x:c>
      <x:c r="E2840" s="48" t="str"/>
      <x:c r="F2840" s="48" t="str">
        <x:v>MEA md tea hap tar ha Ketrna Ba Ka</x:v>
      </x:c>
      <x:c r="G2840" s="48" t="str">
        <x:v>Obligation</x:v>
      </x:c>
      <x:c r="H2840" s="48" t="str">
        <x:v>Shared</x:v>
      </x:c>
      <x:c r="I2840" s="48" t="n">
        <x:v>0.45</x:v>
      </x:c>
      <x:c r="J2840" s="48" t="n">
        <x:v>0.4</x:v>
      </x:c>
      <x:c r="K2840" s="48" t="str">
        <x:v>Yes</x:v>
      </x:c>
      <x:c r="L2840" s="48" t="str">
        <x:v>OCR</x:v>
      </x:c>
    </x:row>
    <x:row r="2841">
      <x:c r="A2841" s="48" t="str">
        <x:v>UNI-2840</x:v>
      </x:c>
      <x:c r="B2841" s="48" t="str">
        <x:v>SILVER</x:v>
      </x:c>
      <x:c r="C2841" s="48" t="str">
        <x:v>Indonesian</x:v>
      </x:c>
      <x:c r="D2841" s="48" t="n">
        <x:v>47</x:v>
      </x:c>
      <x:c r="E2841" s="48" t="str"/>
      <x:c r="F2841" s="48" t="str">
        <x:v>(ea Igor erat pan Imargoinya sk rmat aga kesotan</x:v>
      </x:c>
      <x:c r="G2841" s="48" t="str">
        <x:v>Obligation</x:v>
      </x:c>
      <x:c r="H2841" s="48" t="str">
        <x:v>Shared</x:v>
      </x:c>
      <x:c r="I2841" s="48" t="n">
        <x:v>0.45</x:v>
      </x:c>
      <x:c r="J2841" s="48" t="n">
        <x:v>0.4</x:v>
      </x:c>
      <x:c r="K2841" s="48" t="str">
        <x:v>Yes</x:v>
      </x:c>
      <x:c r="L2841" s="48" t="str">
        <x:v>OCR</x:v>
      </x:c>
    </x:row>
    <x:row r="2842">
      <x:c r="A2842" s="48" t="str">
        <x:v>UNI-2841</x:v>
      </x:c>
      <x:c r="B2842" s="48" t="str">
        <x:v>SILVER</x:v>
      </x:c>
      <x:c r="C2842" s="48" t="str">
        <x:v>Indonesian</x:v>
      </x:c>
      <x:c r="D2842" s="48" t="n">
        <x:v>47</x:v>
      </x:c>
      <x:c r="E2842" s="48" t="str"/>
      <x:c r="F2842" s="48" t="str">
        <x:v>Kerta Kail KAL yak an ar mak ee recrajaan</x:v>
      </x:c>
      <x:c r="G2842" s="48" t="str">
        <x:v>Obligation</x:v>
      </x:c>
      <x:c r="H2842" s="48" t="str">
        <x:v>Shared</x:v>
      </x:c>
      <x:c r="I2842" s="48" t="n">
        <x:v>0.45</x:v>
      </x:c>
      <x:c r="J2842" s="48" t="n">
        <x:v>0.4</x:v>
      </x:c>
      <x:c r="K2842" s="48" t="str">
        <x:v>Yes</x:v>
      </x:c>
      <x:c r="L2842" s="48" t="str">
        <x:v>OCR</x:v>
      </x:c>
    </x:row>
    <x:row r="2843">
      <x:c r="A2843" s="48" t="str">
        <x:v>UNI-2842</x:v>
      </x:c>
      <x:c r="B2843" s="48" t="str">
        <x:v>SILVER</x:v>
      </x:c>
      <x:c r="C2843" s="48" t="str">
        <x:v>Indonesian</x:v>
      </x:c>
      <x:c r="D2843" s="48" t="n">
        <x:v>47</x:v>
      </x:c>
      <x:c r="E2843" s="48" t="str">
        <x:v>18</x:v>
      </x:c>
      <x:c r="F2843" s="48" t="str">
        <x:v>18 ingin ogamrakernee ro mbsanrsen Pkn enak ati H1 Mempenetean sai SibKamn 62 Don kesat</x:v>
      </x:c>
      <x:c r="G2843" s="48" t="str">
        <x:v>Heading</x:v>
      </x:c>
      <x:c r="H2843" s="48" t="str"/>
      <x:c r="I2843" s="48" t="n">
        <x:v>0.9</x:v>
      </x:c>
      <x:c r="J2843" s="48" t="n">
        <x:v>0.99</x:v>
      </x:c>
      <x:c r="K2843" s="48" t="str">
        <x:v>No</x:v>
      </x:c>
      <x:c r="L2843" s="48" t="str">
        <x:v>OCR</x:v>
      </x:c>
    </x:row>
    <x:row r="2844">
      <x:c r="A2844" s="48" t="str">
        <x:v>UNI-2843</x:v>
      </x:c>
      <x:c r="B2844" s="48" t="str">
        <x:v>SILVER</x:v>
      </x:c>
      <x:c r="C2844" s="48" t="str">
        <x:v>Indonesian</x:v>
      </x:c>
      <x:c r="D2844" s="48" t="n">
        <x:v>47</x:v>
      </x:c>
      <x:c r="E2844" s="48" t="str"/>
      <x:c r="F2844" s="48" t="str">
        <x:v>Ie Untan ina rak metan penata Am Pera setagurara</x:v>
      </x:c>
      <x:c r="G2844" s="48" t="str">
        <x:v>Obligation</x:v>
      </x:c>
      <x:c r="H2844" s="48" t="str">
        <x:v>Shared</x:v>
      </x:c>
      <x:c r="I2844" s="48" t="n">
        <x:v>0.45</x:v>
      </x:c>
      <x:c r="J2844" s="48" t="n">
        <x:v>0.4</x:v>
      </x:c>
      <x:c r="K2844" s="48" t="str">
        <x:v>Yes</x:v>
      </x:c>
      <x:c r="L2844" s="48" t="str">
        <x:v>OCR</x:v>
      </x:c>
    </x:row>
    <x:row r="2845">
      <x:c r="A2845" s="48" t="str">
        <x:v>UNI-2844</x:v>
      </x:c>
      <x:c r="B2845" s="48" t="str">
        <x:v>SILVER</x:v>
      </x:c>
      <x:c r="C2845" s="48" t="str">
        <x:v>Indonesian</x:v>
      </x:c>
      <x:c r="D2845" s="48" t="n">
        <x:v>48</x:v>
      </x:c>
      <x:c r="E2845" s="48" t="str"/>
      <x:c r="F2845" s="48" t="str">
        <x:v>Ketaman Pewa ontan eta ber ya</x:v>
      </x:c>
      <x:c r="G2845" s="48" t="str">
        <x:v>Obligation</x:v>
      </x:c>
      <x:c r="H2845" s="48" t="str">
        <x:v>Shared</x:v>
      </x:c>
      <x:c r="I2845" s="48" t="n">
        <x:v>0.45</x:v>
      </x:c>
      <x:c r="J2845" s="48" t="n">
        <x:v>0.4</x:v>
      </x:c>
      <x:c r="K2845" s="48" t="str">
        <x:v>Yes</x:v>
      </x:c>
      <x:c r="L2845" s="48" t="str">
        <x:v>OCR</x:v>
      </x:c>
    </x:row>
    <x:row r="2846">
      <x:c r="A2846" s="48" t="str">
        <x:v>UNI-2845</x:v>
      </x:c>
      <x:c r="B2846" s="48" t="str">
        <x:v>SILVER</x:v>
      </x:c>
      <x:c r="C2846" s="48" t="str">
        <x:v>Indonesian</x:v>
      </x:c>
      <x:c r="D2846" s="48" t="n">
        <x:v>48</x:v>
      </x:c>
      <x:c r="E2846" s="48" t="str"/>
      <x:c r="F2846" s="48" t="str">
        <x:v>at Tndaan pw AMAN MeANOKOA, KeNMMN VPN</x:v>
      </x:c>
      <x:c r="G2846" s="48" t="str">
        <x:v>Obligation</x:v>
      </x:c>
      <x:c r="H2846" s="48" t="str">
        <x:v>Shared</x:v>
      </x:c>
      <x:c r="I2846" s="48" t="n">
        <x:v>0.45</x:v>
      </x:c>
      <x:c r="J2846" s="48" t="n">
        <x:v>0.4</x:v>
      </x:c>
      <x:c r="K2846" s="48" t="str">
        <x:v>Yes</x:v>
      </x:c>
      <x:c r="L2846" s="48" t="str">
        <x:v>OCR</x:v>
      </x:c>
    </x:row>
    <x:row r="2847">
      <x:c r="A2847" s="48" t="str">
        <x:v>UNI-2846</x:v>
      </x:c>
      <x:c r="B2847" s="48" t="str">
        <x:v>SILVER</x:v>
      </x:c>
      <x:c r="C2847" s="48" t="str">
        <x:v>Indonesian</x:v>
      </x:c>
      <x:c r="D2847" s="48" t="n">
        <x:v>48</x:v>
      </x:c>
      <x:c r="E2847" s="48" t="str"/>
      <x:c r="F2847" s="48" t="str">
        <x:v>Dbiyeg an logat,</x:v>
      </x:c>
      <x:c r="G2847" s="48" t="str">
        <x:v>Obligation</x:v>
      </x:c>
      <x:c r="H2847" s="48" t="str">
        <x:v>Shared</x:v>
      </x:c>
      <x:c r="I2847" s="48" t="n">
        <x:v>0.45</x:v>
      </x:c>
      <x:c r="J2847" s="48" t="n">
        <x:v>0.4</x:v>
      </x:c>
      <x:c r="K2847" s="48" t="str">
        <x:v>Yes</x:v>
      </x:c>
      <x:c r="L2847" s="48" t="str">
        <x:v>OCR</x:v>
      </x:c>
    </x:row>
    <x:row r="2848">
      <x:c r="A2848" s="48" t="str">
        <x:v>UNI-2847</x:v>
      </x:c>
      <x:c r="B2848" s="48" t="str">
        <x:v>SILVER</x:v>
      </x:c>
      <x:c r="C2848" s="48" t="str">
        <x:v>Indonesian</x:v>
      </x:c>
      <x:c r="D2848" s="48" t="n">
        <x:v>48</x:v>
      </x:c>
      <x:c r="E2848" s="48" t="str"/>
      <x:c r="F2848" s="48" t="str">
        <x:v>&amp; MMOKGMWOMmOEuTOMLTeYanMOaNma (8 Iebtantaan ni DrOgEN ABU MenaKaN Wat ang Ak et peran Iran rara ts tumban 11 dan coxantangan tnpa tenetan</x:v>
      </x:c>
      <x:c r="G2848" s="48" t="str">
        <x:v>Obligation</x:v>
      </x:c>
      <x:c r="H2848" s="48" t="str">
        <x:v>Shared</x:v>
      </x:c>
      <x:c r="I2848" s="48" t="n">
        <x:v>0.45</x:v>
      </x:c>
      <x:c r="J2848" s="48" t="n">
        <x:v>0.4</x:v>
      </x:c>
      <x:c r="K2848" s="48" t="str">
        <x:v>Yes</x:v>
      </x:c>
      <x:c r="L2848" s="48" t="str">
        <x:v>OCR</x:v>
      </x:c>
    </x:row>
    <x:row r="2849">
      <x:c r="A2849" s="48" t="str">
        <x:v>UNI-2848</x:v>
      </x:c>
      <x:c r="B2849" s="48" t="str">
        <x:v>SILVER</x:v>
      </x:c>
      <x:c r="C2849" s="48" t="str">
        <x:v>Indonesian</x:v>
      </x:c>
      <x:c r="D2849" s="48" t="n">
        <x:v>48</x:v>
      </x:c>
      <x:c r="E2849" s="48" t="str"/>
      <x:c r="F2849" s="48" t="str">
        <x:v>Maturtsan bomsdan mo oaaya PI Ox De MuKa Ba Pepnyngan</x:v>
      </x:c>
      <x:c r="G2849" s="48" t="str">
        <x:v>Obligation</x:v>
      </x:c>
      <x:c r="H2849" s="48" t="str">
        <x:v>Shared</x:v>
      </x:c>
      <x:c r="I2849" s="48" t="n">
        <x:v>0.45</x:v>
      </x:c>
      <x:c r="J2849" s="48" t="n">
        <x:v>0.4</x:v>
      </x:c>
      <x:c r="K2849" s="48" t="str">
        <x:v>Yes</x:v>
      </x:c>
      <x:c r="L2849" s="48" t="str">
        <x:v>OCR</x:v>
      </x:c>
    </x:row>
    <x:row r="2850">
      <x:c r="A2850" s="48" t="str">
        <x:v>UNI-2849</x:v>
      </x:c>
      <x:c r="B2850" s="48" t="str">
        <x:v>SILVER</x:v>
      </x:c>
      <x:c r="C2850" s="48" t="str">
        <x:v>Indonesian</x:v>
      </x:c>
      <x:c r="D2850" s="48" t="n">
        <x:v>48</x:v>
      </x:c>
      <x:c r="E2850" s="48" t="str"/>
      <x:c r="F2850" s="48" t="str">
        <x:v>TngkatKamajan Ao koma</x:v>
      </x:c>
      <x:c r="G2850" s="48" t="str">
        <x:v>Obligation</x:v>
      </x:c>
      <x:c r="H2850" s="48" t="str">
        <x:v>Shared</x:v>
      </x:c>
      <x:c r="I2850" s="48" t="n">
        <x:v>0.45</x:v>
      </x:c>
      <x:c r="J2850" s="48" t="n">
        <x:v>0.4</x:v>
      </x:c>
      <x:c r="K2850" s="48" t="str">
        <x:v>Yes</x:v>
      </x:c>
      <x:c r="L2850" s="48" t="str">
        <x:v>OCR</x:v>
      </x:c>
    </x:row>
    <x:row r="2851">
      <x:c r="A2851" s="48" t="str">
        <x:v>UNI-2850</x:v>
      </x:c>
      <x:c r="B2851" s="48" t="str">
        <x:v>SILVER</x:v>
      </x:c>
      <x:c r="C2851" s="48" t="str">
        <x:v>Indonesian</x:v>
      </x:c>
      <x:c r="D2851" s="48" t="n">
        <x:v>49</x:v>
      </x:c>
      <x:c r="E2851" s="48" t="str"/>
      <x:c r="F2851" s="48" t="str">
        <x:v>Png aa Ig ee merberanyan aan erat Arta can sang</x:v>
      </x:c>
      <x:c r="G2851" s="48" t="str">
        <x:v>Obligation</x:v>
      </x:c>
      <x:c r="H2851" s="48" t="str">
        <x:v>Shared</x:v>
      </x:c>
      <x:c r="I2851" s="48" t="n">
        <x:v>0.45</x:v>
      </x:c>
      <x:c r="J2851" s="48" t="n">
        <x:v>0.4</x:v>
      </x:c>
      <x:c r="K2851" s="48" t="str">
        <x:v>Yes</x:v>
      </x:c>
      <x:c r="L2851" s="48" t="str">
        <x:v>OCR</x:v>
      </x:c>
    </x:row>
    <x:row r="2852">
      <x:c r="A2852" s="48" t="str">
        <x:v>UNI-2851</x:v>
      </x:c>
      <x:c r="B2852" s="48" t="str">
        <x:v>SILVER</x:v>
      </x:c>
      <x:c r="C2852" s="48" t="str">
        <x:v>Indonesian</x:v>
      </x:c>
      <x:c r="D2852" s="48" t="n">
        <x:v>50</x:v>
      </x:c>
      <x:c r="E2852" s="48" t="str"/>
      <x:c r="F2852" s="48" t="str">
        <x:v>Irta Kak etek das au peraryrgan ma aa peNbaan aan</x:v>
      </x:c>
      <x:c r="G2852" s="48" t="str">
        <x:v>Obligation</x:v>
      </x:c>
      <x:c r="H2852" s="48" t="str">
        <x:v>Shared</x:v>
      </x:c>
      <x:c r="I2852" s="48" t="n">
        <x:v>0.45</x:v>
      </x:c>
      <x:c r="J2852" s="48" t="n">
        <x:v>0.4</x:v>
      </x:c>
      <x:c r="K2852" s="48" t="str">
        <x:v>Yes</x:v>
      </x:c>
      <x:c r="L2852" s="48" t="str">
        <x:v>OCR</x:v>
      </x:c>
    </x:row>
    <x:row r="2853">
      <x:c r="A2853" s="48" t="str">
        <x:v>UNI-2852</x:v>
      </x:c>
      <x:c r="B2853" s="48" t="str">
        <x:v>SILVER</x:v>
      </x:c>
      <x:c r="C2853" s="48" t="str">
        <x:v>Indonesian</x:v>
      </x:c>
      <x:c r="D2853" s="48" t="n">
        <x:v>50</x:v>
      </x:c>
      <x:c r="E2853" s="48" t="str"/>
      <x:c r="F2853" s="48" t="str">
        <x:v>(ga png Srukan Ik menootok aman Ket Oham daan ca</x:v>
      </x:c>
      <x:c r="G2853" s="48" t="str">
        <x:v>Obligation</x:v>
      </x:c>
      <x:c r="H2853" s="48" t="str">
        <x:v>Shared</x:v>
      </x:c>
      <x:c r="I2853" s="48" t="n">
        <x:v>0.45</x:v>
      </x:c>
      <x:c r="J2853" s="48" t="n">
        <x:v>0.4</x:v>
      </x:c>
      <x:c r="K2853" s="48" t="str">
        <x:v>Yes</x:v>
      </x:c>
      <x:c r="L2853" s="48" t="str">
        <x:v>OCR</x:v>
      </x:c>
    </x:row>
    <x:row r="2854">
      <x:c r="A2854" s="48" t="str">
        <x:v>UNI-2853</x:v>
      </x:c>
      <x:c r="B2854" s="48" t="str">
        <x:v>SILVER</x:v>
      </x:c>
      <x:c r="C2854" s="48" t="str">
        <x:v>Indonesian</x:v>
      </x:c>
      <x:c r="D2854" s="48" t="n">
        <x:v>50</x:v>
      </x:c>
      <x:c r="E2854" s="48" t="str"/>
      <x:c r="F2854" s="48" t="str">
        <x:v>Peatentan yang</x:v>
      </x:c>
      <x:c r="G2854" s="48" t="str">
        <x:v>Obligation</x:v>
      </x:c>
      <x:c r="H2854" s="48" t="str">
        <x:v>Shared</x:v>
      </x:c>
      <x:c r="I2854" s="48" t="n">
        <x:v>0.45</x:v>
      </x:c>
      <x:c r="J2854" s="48" t="n">
        <x:v>0.4</x:v>
      </x:c>
      <x:c r="K2854" s="48" t="str">
        <x:v>Yes</x:v>
      </x:c>
      <x:c r="L2854" s="48" t="str">
        <x:v>OCR</x:v>
      </x:c>
    </x:row>
    <x:row r="2855">
      <x:c r="A2855" s="48" t="str">
        <x:v>UNI-2854</x:v>
      </x:c>
      <x:c r="B2855" s="48" t="str">
        <x:v>SILVER</x:v>
      </x:c>
      <x:c r="C2855" s="48" t="str">
        <x:v>Indonesian</x:v>
      </x:c>
      <x:c r="D2855" s="48" t="n">
        <x:v>50</x:v>
      </x:c>
      <x:c r="E2855" s="48" t="str"/>
      <x:c r="F2855" s="48" t="str">
        <x:v>beta "wait Kortastor entar hana murka Pergi aa Penysssan teceatan Kosta Ia din bina 74 Pep) toba menjlan Guna sai ngan Sioitasus 58 okumen tu an San 57 Pras Oto san eren mryanakanpertruanoca Fengra sa ok luang Ai 2 Tt tera raga man mara Kumar 100 kh mesengan</x:v>
      </x:c>
      <x:c r="G2855" s="48" t="str">
        <x:v>Obligation</x:v>
      </x:c>
      <x:c r="H2855" s="48" t="str">
        <x:v>Shared</x:v>
      </x:c>
      <x:c r="I2855" s="48" t="n">
        <x:v>0.45</x:v>
      </x:c>
      <x:c r="J2855" s="48" t="n">
        <x:v>0.4</x:v>
      </x:c>
      <x:c r="K2855" s="48" t="str">
        <x:v>Yes</x:v>
      </x:c>
      <x:c r="L2855" s="48" t="str">
        <x:v>OCR</x:v>
      </x:c>
    </x:row>
    <x:row r="2856">
      <x:c r="A2856" s="48" t="str">
        <x:v>UNI-2855</x:v>
      </x:c>
      <x:c r="B2856" s="48" t="str">
        <x:v>SILVER</x:v>
      </x:c>
      <x:c r="C2856" s="48" t="str">
        <x:v>Indonesian</x:v>
      </x:c>
      <x:c r="D2856" s="48" t="n">
        <x:v>50</x:v>
      </x:c>
      <x:c r="E2856" s="48" t="str"/>
      <x:c r="F2856" s="48" t="str">
        <x:v>Islan Peran pda Perkasa Ko rb erat lan Pra path</x:v>
      </x:c>
      <x:c r="G2856" s="48" t="str">
        <x:v>Obligation</x:v>
      </x:c>
      <x:c r="H2856" s="48" t="str">
        <x:v>Shared</x:v>
      </x:c>
      <x:c r="I2856" s="48" t="n">
        <x:v>0.45</x:v>
      </x:c>
      <x:c r="J2856" s="48" t="n">
        <x:v>0.4</x:v>
      </x:c>
      <x:c r="K2856" s="48" t="str">
        <x:v>Yes</x:v>
      </x:c>
      <x:c r="L2856" s="48" t="str">
        <x:v>OCR</x:v>
      </x:c>
    </x:row>
    <x:row r="2857">
      <x:c r="A2857" s="48" t="str">
        <x:v>UNI-2856</x:v>
      </x:c>
      <x:c r="B2857" s="48" t="str">
        <x:v>SILVER</x:v>
      </x:c>
      <x:c r="C2857" s="48" t="str">
        <x:v>Indonesian</x:v>
      </x:c>
      <x:c r="D2857" s="48" t="n">
        <x:v>50</x:v>
      </x:c>
      <x:c r="E2857" s="48" t="str"/>
      <x:c r="F2857" s="48" t="str">
        <x:v>Pesan ana draw Gek 1 ai an ren Ist ain</x:v>
      </x:c>
      <x:c r="G2857" s="48" t="str">
        <x:v>Obligation</x:v>
      </x:c>
      <x:c r="H2857" s="48" t="str">
        <x:v>Shared</x:v>
      </x:c>
      <x:c r="I2857" s="48" t="n">
        <x:v>0.45</x:v>
      </x:c>
      <x:c r="J2857" s="48" t="n">
        <x:v>0.4</x:v>
      </x:c>
      <x:c r="K2857" s="48" t="str">
        <x:v>Yes</x:v>
      </x:c>
      <x:c r="L2857" s="48" t="str">
        <x:v>OCR</x:v>
      </x:c>
    </x:row>
    <x:row r="2858">
      <x:c r="A2858" s="48" t="str">
        <x:v>UNI-2857</x:v>
      </x:c>
      <x:c r="B2858" s="48" t="str">
        <x:v>SILVER</x:v>
      </x:c>
      <x:c r="C2858" s="48" t="str">
        <x:v>Indonesian</x:v>
      </x:c>
      <x:c r="D2858" s="48" t="n">
        <x:v>50</x:v>
      </x:c>
      <x:c r="E2858" s="48" t="str"/>
      <x:c r="F2858" s="48" t="str">
        <x:v>Tao Pata BKamaradrakMoken Oa Png Jm</x:v>
      </x:c>
      <x:c r="G2858" s="48" t="str">
        <x:v>Obligation</x:v>
      </x:c>
      <x:c r="H2858" s="48" t="str">
        <x:v>Shared</x:v>
      </x:c>
      <x:c r="I2858" s="48" t="n">
        <x:v>0.45</x:v>
      </x:c>
      <x:c r="J2858" s="48" t="n">
        <x:v>0.4</x:v>
      </x:c>
      <x:c r="K2858" s="48" t="str">
        <x:v>Yes</x:v>
      </x:c>
      <x:c r="L2858" s="48" t="str">
        <x:v>OCR</x:v>
      </x:c>
    </x:row>
    <x:row r="2859">
      <x:c r="A2859" s="48" t="str">
        <x:v>UNI-2858</x:v>
      </x:c>
      <x:c r="B2859" s="48" t="str">
        <x:v>SILVER</x:v>
      </x:c>
      <x:c r="C2859" s="48" t="str">
        <x:v>Indonesian</x:v>
      </x:c>
      <x:c r="D2859" s="48" t="n">
        <x:v>51</x:v>
      </x:c>
      <x:c r="E2859" s="48" t="str"/>
      <x:c r="F2859" s="48" t="str">
        <x:v>oa Perak ta Pnytatan mer warta Ba esan Pergara 1 Sitaan 74 PeDAri banya in In rits SKA TO</x:v>
      </x:c>
      <x:c r="G2859" s="48" t="str">
        <x:v>Obligation</x:v>
      </x:c>
      <x:c r="H2859" s="48" t="str">
        <x:v>Shared</x:v>
      </x:c>
      <x:c r="I2859" s="48" t="n">
        <x:v>0.45</x:v>
      </x:c>
      <x:c r="J2859" s="48" t="n">
        <x:v>0.4</x:v>
      </x:c>
      <x:c r="K2859" s="48" t="str">
        <x:v>Yes</x:v>
      </x:c>
      <x:c r="L2859" s="48" t="str">
        <x:v>OCR</x:v>
      </x:c>
    </x:row>
    <x:row r="2860">
      <x:c r="A2860" s="48" t="str">
        <x:v>UNI-2859</x:v>
      </x:c>
      <x:c r="B2860" s="48" t="str">
        <x:v>SILVER</x:v>
      </x:c>
      <x:c r="C2860" s="48" t="str">
        <x:v>Indonesian</x:v>
      </x:c>
      <x:c r="D2860" s="48" t="n">
        <x:v>51</x:v>
      </x:c>
      <x:c r="E2860" s="48" t="str"/>
      <x:c r="F2860" s="48" t="str">
        <x:v>Inn Sa Png ac Pesanan bla</x:v>
      </x:c>
      <x:c r="G2860" s="48" t="str">
        <x:v>Obligation</x:v>
      </x:c>
      <x:c r="H2860" s="48" t="str">
        <x:v>Shared</x:v>
      </x:c>
      <x:c r="I2860" s="48" t="n">
        <x:v>0.45</x:v>
      </x:c>
      <x:c r="J2860" s="48" t="n">
        <x:v>0.4</x:v>
      </x:c>
      <x:c r="K2860" s="48" t="str">
        <x:v>Yes</x:v>
      </x:c>
      <x:c r="L2860" s="48" t="str">
        <x:v>OCR</x:v>
      </x:c>
    </x:row>
    <x:row r="2861">
      <x:c r="A2861" s="48" t="str">
        <x:v>UNI-2860</x:v>
      </x:c>
      <x:c r="B2861" s="48" t="str">
        <x:v>SILVER</x:v>
      </x:c>
      <x:c r="C2861" s="48" t="str">
        <x:v>Indonesian</x:v>
      </x:c>
      <x:c r="D2861" s="48" t="n">
        <x:v>51</x:v>
      </x:c>
      <x:c r="E2861" s="48" t="str"/>
      <x:c r="F2861" s="48" t="str">
        <x:v>Pee ngtengsPenesasan mor wa serba Ya ma</x:v>
      </x:c>
      <x:c r="G2861" s="48" t="str">
        <x:v>Obligation</x:v>
      </x:c>
      <x:c r="H2861" s="48" t="str">
        <x:v>Shared</x:v>
      </x:c>
      <x:c r="I2861" s="48" t="n">
        <x:v>0.45</x:v>
      </x:c>
      <x:c r="J2861" s="48" t="n">
        <x:v>0.4</x:v>
      </x:c>
      <x:c r="K2861" s="48" t="str">
        <x:v>Yes</x:v>
      </x:c>
      <x:c r="L2861" s="48" t="str">
        <x:v>OCR</x:v>
      </x:c>
    </x:row>
    <x:row r="2862">
      <x:c r="A2862" s="48" t="str">
        <x:v>UNI-2861</x:v>
      </x:c>
      <x:c r="B2862" s="48" t="str">
        <x:v>SILVER</x:v>
      </x:c>
      <x:c r="C2862" s="48" t="str">
        <x:v>Indonesian</x:v>
      </x:c>
      <x:c r="D2862" s="48" t="n">
        <x:v>51</x:v>
      </x:c>
      <x:c r="E2862" s="48" t="str"/>
      <x:c r="F2862" s="48" t="str">
        <x:v>Paggpa En snp arie Semanan oa Man memm</x:v>
      </x:c>
      <x:c r="G2862" s="48" t="str">
        <x:v>Obligation</x:v>
      </x:c>
      <x:c r="H2862" s="48" t="str">
        <x:v>Shared</x:v>
      </x:c>
      <x:c r="I2862" s="48" t="n">
        <x:v>0.45</x:v>
      </x:c>
      <x:c r="J2862" s="48" t="n">
        <x:v>0.4</x:v>
      </x:c>
      <x:c r="K2862" s="48" t="str">
        <x:v>Yes</x:v>
      </x:c>
      <x:c r="L2862" s="48" t="str">
        <x:v>OCR</x:v>
      </x:c>
    </x:row>
    <x:row r="2863">
      <x:c r="A2863" s="48" t="str">
        <x:v>UNI-2862</x:v>
      </x:c>
      <x:c r="B2863" s="48" t="str">
        <x:v>SILVER</x:v>
      </x:c>
      <x:c r="C2863" s="48" t="str">
        <x:v>Indonesian</x:v>
      </x:c>
      <x:c r="D2863" s="48" t="n">
        <x:v>51</x:v>
      </x:c>
      <x:c r="E2863" s="48" t="str"/>
      <x:c r="F2863" s="48" t="str">
        <x:v>ran Oam va 2! fa sss merana entotan Keras Pane aksara Pee asa fa fr Ga pn yng un S1</x:v>
      </x:c>
      <x:c r="G2863" s="48" t="str">
        <x:v>Obligation</x:v>
      </x:c>
      <x:c r="H2863" s="48" t="str">
        <x:v>Shared</x:v>
      </x:c>
      <x:c r="I2863" s="48" t="n">
        <x:v>0.45</x:v>
      </x:c>
      <x:c r="J2863" s="48" t="n">
        <x:v>0.4</x:v>
      </x:c>
      <x:c r="K2863" s="48" t="str">
        <x:v>Yes</x:v>
      </x:c>
      <x:c r="L2863" s="48" t="str">
        <x:v>OCR</x:v>
      </x:c>
    </x:row>
    <x:row r="2864">
      <x:c r="A2864" s="48" t="str">
        <x:v>UNI-2863</x:v>
      </x:c>
      <x:c r="B2864" s="48" t="str">
        <x:v>SILVER</x:v>
      </x:c>
      <x:c r="C2864" s="48" t="str">
        <x:v>Indonesian</x:v>
      </x:c>
      <x:c r="D2864" s="48" t="n">
        <x:v>51</x:v>
      </x:c>
      <x:c r="E2864" s="48" t="str"/>
      <x:c r="F2864" s="48" t="str">
        <x:v>Krn an demanen hem Peron</x:v>
      </x:c>
      <x:c r="G2864" s="48" t="str">
        <x:v>Obligation</x:v>
      </x:c>
      <x:c r="H2864" s="48" t="str">
        <x:v>Shared</x:v>
      </x:c>
      <x:c r="I2864" s="48" t="n">
        <x:v>0.45</x:v>
      </x:c>
      <x:c r="J2864" s="48" t="n">
        <x:v>0.4</x:v>
      </x:c>
      <x:c r="K2864" s="48" t="str">
        <x:v>Yes</x:v>
      </x:c>
      <x:c r="L2864" s="48" t="str">
        <x:v>OCR</x:v>
      </x:c>
    </x:row>
    <x:row r="2865">
      <x:c r="A2865" s="48" t="str">
        <x:v>UNI-2864</x:v>
      </x:c>
      <x:c r="B2865" s="48" t="str">
        <x:v>SILVER</x:v>
      </x:c>
      <x:c r="C2865" s="48" t="str">
        <x:v>Indonesian</x:v>
      </x:c>
      <x:c r="D2865" s="48" t="n">
        <x:v>51</x:v>
      </x:c>
      <x:c r="E2865" s="48" t="str"/>
      <x:c r="F2865" s="48" t="str">
        <x:v>et Krn Ong AS meteran Prana Penetaan aan 1062! ta Pon Prgara Ja tt mem prana bd melo</x:v>
      </x:c>
      <x:c r="G2865" s="48" t="str">
        <x:v>Obligation</x:v>
      </x:c>
      <x:c r="H2865" s="48" t="str">
        <x:v>Shared</x:v>
      </x:c>
      <x:c r="I2865" s="48" t="n">
        <x:v>0.45</x:v>
      </x:c>
      <x:c r="J2865" s="48" t="n">
        <x:v>0.4</x:v>
      </x:c>
      <x:c r="K2865" s="48" t="str">
        <x:v>Yes</x:v>
      </x:c>
      <x:c r="L2865" s="48" t="str">
        <x:v>OCR</x:v>
      </x:c>
    </x:row>
    <x:row r="2866">
      <x:c r="A2866" s="48" t="str">
        <x:v>UNI-2865</x:v>
      </x:c>
      <x:c r="B2866" s="48" t="str">
        <x:v>SILVER</x:v>
      </x:c>
      <x:c r="C2866" s="48" t="str">
        <x:v>Indonesian</x:v>
      </x:c>
      <x:c r="D2866" s="48" t="n">
        <x:v>51</x:v>
      </x:c>
      <x:c r="E2866" s="48" t="str"/>
      <x:c r="F2866" s="48" t="str">
        <x:v>Keren Pra pn Perybasan taa dragon daratan rn</x:v>
      </x:c>
      <x:c r="G2866" s="48" t="str">
        <x:v>Obligation</x:v>
      </x:c>
      <x:c r="H2866" s="48" t="str">
        <x:v>Shared</x:v>
      </x:c>
      <x:c r="I2866" s="48" t="n">
        <x:v>0.45</x:v>
      </x:c>
      <x:c r="J2866" s="48" t="n">
        <x:v>0.4</x:v>
      </x:c>
      <x:c r="K2866" s="48" t="str">
        <x:v>Yes</x:v>
      </x:c>
      <x:c r="L2866" s="48" t="str">
        <x:v>OCR</x:v>
      </x:c>
    </x:row>
    <x:row r="2867">
      <x:c r="A2867" s="48" t="str">
        <x:v>UNI-2866</x:v>
      </x:c>
      <x:c r="B2867" s="48" t="str">
        <x:v>SILVER</x:v>
      </x:c>
      <x:c r="C2867" s="48" t="str">
        <x:v>Indonesian</x:v>
      </x:c>
      <x:c r="D2867" s="48" t="n">
        <x:v>51</x:v>
      </x:c>
      <x:c r="E2867" s="48" t="str"/>
      <x:c r="F2867" s="48" t="str">
        <x:v>Pen Krn Ga fa Pagar Gea bagi era</x:v>
      </x:c>
      <x:c r="G2867" s="48" t="str">
        <x:v>Obligation</x:v>
      </x:c>
      <x:c r="H2867" s="48" t="str">
        <x:v>Shared</x:v>
      </x:c>
      <x:c r="I2867" s="48" t="n">
        <x:v>0.45</x:v>
      </x:c>
      <x:c r="J2867" s="48" t="n">
        <x:v>0.4</x:v>
      </x:c>
      <x:c r="K2867" s="48" t="str">
        <x:v>Yes</x:v>
      </x:c>
      <x:c r="L2867" s="48" t="str">
        <x:v>OCR</x:v>
      </x:c>
    </x:row>
    <x:row r="2868">
      <x:c r="A2868" s="48" t="str">
        <x:v>UNI-2867</x:v>
      </x:c>
      <x:c r="B2868" s="48" t="str">
        <x:v>SILVER</x:v>
      </x:c>
      <x:c r="C2868" s="48" t="str">
        <x:v>Indonesian</x:v>
      </x:c>
      <x:c r="D2868" s="48" t="n">
        <x:v>52</x:v>
      </x:c>
      <x:c r="E2868" s="48" t="str"/>
      <x:c r="F2868" s="48" t="str">
        <x:v>Penukan ang</x:v>
      </x:c>
      <x:c r="G2868" s="48" t="str">
        <x:v>Obligation</x:v>
      </x:c>
      <x:c r="H2868" s="48" t="str">
        <x:v>Shared</x:v>
      </x:c>
      <x:c r="I2868" s="48" t="n">
        <x:v>0.45</x:v>
      </x:c>
      <x:c r="J2868" s="48" t="n">
        <x:v>0.4</x:v>
      </x:c>
      <x:c r="K2868" s="48" t="str">
        <x:v>Yes</x:v>
      </x:c>
      <x:c r="L2868" s="48" t="str">
        <x:v>OCR</x:v>
      </x:c>
    </x:row>
    <x:row r="2869">
      <x:c r="A2869" s="48" t="str">
        <x:v>UNI-2868</x:v>
      </x:c>
      <x:c r="B2869" s="48" t="str">
        <x:v>SILVER</x:v>
      </x:c>
      <x:c r="C2869" s="48" t="str">
        <x:v>Indonesian</x:v>
      </x:c>
      <x:c r="D2869" s="48" t="n">
        <x:v>52</x:v>
      </x:c>
      <x:c r="E2869" s="48" t="str">
        <x:v>2</x:v>
      </x:c>
      <x:c r="F2869" s="48" t="str">
        <x:v>2 Pengikan sada</x:v>
      </x:c>
      <x:c r="G2869" s="48" t="str">
        <x:v>Heading</x:v>
      </x:c>
      <x:c r="H2869" s="48" t="str"/>
      <x:c r="I2869" s="48" t="n">
        <x:v>0.9</x:v>
      </x:c>
      <x:c r="J2869" s="48" t="n">
        <x:v>0.99</x:v>
      </x:c>
      <x:c r="K2869" s="48" t="str">
        <x:v>No</x:v>
      </x:c>
      <x:c r="L2869" s="48" t="str">
        <x:v>OCR</x:v>
      </x:c>
    </x:row>
    <x:row r="2870">
      <x:c r="A2870" s="48" t="str">
        <x:v>UNI-2869</x:v>
      </x:c>
      <x:c r="B2870" s="48" t="str">
        <x:v>SILVER</x:v>
      </x:c>
      <x:c r="C2870" s="48" t="str">
        <x:v>Indonesian</x:v>
      </x:c>
      <x:c r="D2870" s="48" t="n">
        <x:v>52</x:v>
      </x:c>
      <x:c r="E2870" s="48" t="str"/>
      <x:c r="F2870" s="48" t="str">
        <x:v>Sean nena Neck mgamara dngan am Sub SAI Loa Pangan aan</x:v>
      </x:c>
      <x:c r="G2870" s="48" t="str">
        <x:v>Obligation</x:v>
      </x:c>
      <x:c r="H2870" s="48" t="str">
        <x:v>Shared</x:v>
      </x:c>
      <x:c r="I2870" s="48" t="n">
        <x:v>0.45</x:v>
      </x:c>
      <x:c r="J2870" s="48" t="n">
        <x:v>0.4</x:v>
      </x:c>
      <x:c r="K2870" s="48" t="str">
        <x:v>Yes</x:v>
      </x:c>
      <x:c r="L2870" s="48" t="str">
        <x:v>OCR</x:v>
      </x:c>
    </x:row>
    <x:row r="2871">
      <x:c r="A2871" s="48" t="str">
        <x:v>UNI-2870</x:v>
      </x:c>
      <x:c r="B2871" s="48" t="str">
        <x:v>SILVER</x:v>
      </x:c>
      <x:c r="C2871" s="48" t="str">
        <x:v>Indonesian</x:v>
      </x:c>
      <x:c r="D2871" s="48" t="n">
        <x:v>52</x:v>
      </x:c>
      <x:c r="E2871" s="48" t="str">
        <x:v>2</x:v>
      </x:c>
      <x:c r="F2871" s="48" t="str">
        <x:v>2 patajanan enss, Awea Pune Genoa en Prgarm Ds pat — Sampean 0 segan wan dekntan msi Gran Kerua tamank It yang - Anyamendkan ip umum We Pyasss entar etaganor ratakan lam wb pangal Hd atowen ian (0.</x:v>
      </x:c>
      <x:c r="G2871" s="48" t="str">
        <x:v>Obligation</x:v>
      </x:c>
      <x:c r="H2871" s="48" t="str">
        <x:v>Shared</x:v>
      </x:c>
      <x:c r="I2871" s="48" t="n">
        <x:v>0.45</x:v>
      </x:c>
      <x:c r="J2871" s="48" t="n">
        <x:v>0.4</x:v>
      </x:c>
      <x:c r="K2871" s="48" t="str">
        <x:v>Yes</x:v>
      </x:c>
      <x:c r="L2871" s="48" t="str">
        <x:v>OCR</x:v>
      </x:c>
    </x:row>
    <x:row r="2872">
      <x:c r="A2872" s="48" t="str">
        <x:v>UNI-2871</x:v>
      </x:c>
      <x:c r="B2872" s="48" t="str">
        <x:v>SILVER</x:v>
      </x:c>
      <x:c r="C2872" s="48" t="str">
        <x:v>Indonesian</x:v>
      </x:c>
      <x:c r="D2872" s="48" t="n">
        <x:v>52</x:v>
      </x:c>
      <x:c r="E2872" s="48" t="str"/>
      <x:c r="F2872" s="48" t="str">
        <x:v>Waka Aca on Ta yk Puja Lan ll Gran - Menanti tesaran Botani - arek so meri ren ertatenan ec Pengamat ta kara Se Tina Rt ho Os 14 Pr ed Pera yng menyat pa Doo konako aneka san meraka eren Pen</x:v>
      </x:c>
      <x:c r="G2872" s="48" t="str">
        <x:v>Obligation</x:v>
      </x:c>
      <x:c r="H2872" s="48" t="str">
        <x:v>Shared</x:v>
      </x:c>
      <x:c r="I2872" s="48" t="n">
        <x:v>0.45</x:v>
      </x:c>
      <x:c r="J2872" s="48" t="n">
        <x:v>0.4</x:v>
      </x:c>
      <x:c r="K2872" s="48" t="str">
        <x:v>Yes</x:v>
      </x:c>
      <x:c r="L2872" s="48" t="str">
        <x:v>OCR</x:v>
      </x:c>
    </x:row>
    <x:row r="2873">
      <x:c r="A2873" s="48" t="str">
        <x:v>UNI-2872</x:v>
      </x:c>
      <x:c r="B2873" s="48" t="str">
        <x:v>SILVER</x:v>
      </x:c>
      <x:c r="C2873" s="48" t="str">
        <x:v>Indonesian</x:v>
      </x:c>
      <x:c r="D2873" s="48" t="n">
        <x:v>53</x:v>
      </x:c>
      <x:c r="E2873" s="48" t="str"/>
      <x:c r="F2873" s="48" t="str">
        <x:v>ag san Boga Bagan Kr fans meri Cargo can yerg Sr mahi (ea Se Ter aa Bag Pera Jaa Sm wi 2 Pt lh merta pemetaan Gs Koeskar (metan Dus Aca Soah Tema kedai yag renadan raga O Tara Paku Bagan Poaan Geoaaan becaatan rc rak pekan je tg AI esa Gn cat ma (WOW BMN METE DAN pEVArA Pajangan</x:v>
      </x:c>
      <x:c r="G2873" s="48" t="str">
        <x:v>Obligation</x:v>
      </x:c>
      <x:c r="H2873" s="48" t="str">
        <x:v>Shared</x:v>
      </x:c>
      <x:c r="I2873" s="48" t="n">
        <x:v>0.45</x:v>
      </x:c>
      <x:c r="J2873" s="48" t="n">
        <x:v>0.4</x:v>
      </x:c>
      <x:c r="K2873" s="48" t="str">
        <x:v>Yes</x:v>
      </x:c>
      <x:c r="L2873" s="48" t="str">
        <x:v>OCR</x:v>
      </x:c>
    </x:row>
    <x:row r="2874">
      <x:c r="A2874" s="48" t="str">
        <x:v>UNI-2873</x:v>
      </x:c>
      <x:c r="B2874" s="48" t="str">
        <x:v>SILVER</x:v>
      </x:c>
      <x:c r="C2874" s="48" t="str">
        <x:v>Indonesian</x:v>
      </x:c>
      <x:c r="D2874" s="48" t="n">
        <x:v>53</x:v>
      </x:c>
      <x:c r="E2874" s="48" t="str"/>
      <x:c r="F2874" s="48" t="str">
        <x:v>Petan ben Gram Utan jang dika bak hoon metan Bar</x:v>
      </x:c>
      <x:c r="G2874" s="48" t="str">
        <x:v>Obligation</x:v>
      </x:c>
      <x:c r="H2874" s="48" t="str">
        <x:v>Shared</x:v>
      </x:c>
      <x:c r="I2874" s="48" t="n">
        <x:v>0.45</x:v>
      </x:c>
      <x:c r="J2874" s="48" t="n">
        <x:v>0.4</x:v>
      </x:c>
      <x:c r="K2874" s="48" t="str">
        <x:v>Yes</x:v>
      </x:c>
      <x:c r="L2874" s="48" t="str">
        <x:v>OCR</x:v>
      </x:c>
    </x:row>
    <x:row r="2875">
      <x:c r="A2875" s="48" t="str">
        <x:v>UNI-2874</x:v>
      </x:c>
      <x:c r="B2875" s="48" t="str">
        <x:v>SILVER</x:v>
      </x:c>
      <x:c r="C2875" s="48" t="str">
        <x:v>Indonesian</x:v>
      </x:c>
      <x:c r="D2875" s="48" t="n">
        <x:v>53</x:v>
      </x:c>
      <x:c r="E2875" s="48" t="str"/>
      <x:c r="F2875" s="48" t="str">
        <x:v>ata tu deket can at ma Botak sa (merak pemetaan, merbata Hasan an merjettan plan pra</x:v>
      </x:c>
      <x:c r="G2875" s="48" t="str">
        <x:v>Obligation</x:v>
      </x:c>
      <x:c r="H2875" s="48" t="str">
        <x:v>Shared</x:v>
      </x:c>
      <x:c r="I2875" s="48" t="n">
        <x:v>0.45</x:v>
      </x:c>
      <x:c r="J2875" s="48" t="n">
        <x:v>0.4</x:v>
      </x:c>
      <x:c r="K2875" s="48" t="str">
        <x:v>Yes</x:v>
      </x:c>
      <x:c r="L2875" s="48" t="str">
        <x:v>OCR</x:v>
      </x:c>
    </x:row>
    <x:row r="2876">
      <x:c r="A2876" s="48" t="str">
        <x:v>UNI-2875</x:v>
      </x:c>
      <x:c r="B2876" s="48" t="str">
        <x:v>SILVER</x:v>
      </x:c>
      <x:c r="C2876" s="48" t="str">
        <x:v>Indonesian</x:v>
      </x:c>
      <x:c r="D2876" s="48" t="n">
        <x:v>53</x:v>
      </x:c>
      <x:c r="E2876" s="48" t="str"/>
      <x:c r="F2876" s="48" t="str">
        <x:v>IB et sasa Kera rx memungut eren Ba An</x:v>
      </x:c>
      <x:c r="G2876" s="48" t="str">
        <x:v>Obligation</x:v>
      </x:c>
      <x:c r="H2876" s="48" t="str">
        <x:v>Shared</x:v>
      </x:c>
      <x:c r="I2876" s="48" t="n">
        <x:v>0.45</x:v>
      </x:c>
      <x:c r="J2876" s="48" t="n">
        <x:v>0.4</x:v>
      </x:c>
      <x:c r="K2876" s="48" t="str">
        <x:v>Yes</x:v>
      </x:c>
      <x:c r="L2876" s="48" t="str">
        <x:v>OCR</x:v>
      </x:c>
    </x:row>
    <x:row r="2877">
      <x:c r="A2877" s="48" t="str">
        <x:v>UNI-2876</x:v>
      </x:c>
      <x:c r="B2877" s="48" t="str">
        <x:v>SILVER</x:v>
      </x:c>
      <x:c r="C2877" s="48" t="str">
        <x:v>Indonesian</x:v>
      </x:c>
      <x:c r="D2877" s="48" t="n">
        <x:v>53</x:v>
      </x:c>
      <x:c r="E2877" s="48" t="str"/>
      <x:c r="F2877" s="48" t="str">
        <x:v>an ma Kera Sekola mnyasatan pan SM.</x:v>
      </x:c>
      <x:c r="G2877" s="48" t="str">
        <x:v>Obligation</x:v>
      </x:c>
      <x:c r="H2877" s="48" t="str">
        <x:v>Shared</x:v>
      </x:c>
      <x:c r="I2877" s="48" t="n">
        <x:v>0.45</x:v>
      </x:c>
      <x:c r="J2877" s="48" t="n">
        <x:v>0.4</x:v>
      </x:c>
      <x:c r="K2877" s="48" t="str">
        <x:v>Yes</x:v>
      </x:c>
      <x:c r="L2877" s="48" t="str">
        <x:v>OCR</x:v>
      </x:c>
    </x:row>
    <x:row r="2878">
      <x:c r="A2878" s="48" t="str">
        <x:v>UNI-2877</x:v>
      </x:c>
      <x:c r="B2878" s="48" t="str">
        <x:v>SILVER</x:v>
      </x:c>
      <x:c r="C2878" s="48" t="str">
        <x:v>Indonesian</x:v>
      </x:c>
      <x:c r="D2878" s="48" t="n">
        <x:v>53</x:v>
      </x:c>
      <x:c r="E2878" s="48" t="str"/>
      <x:c r="F2878" s="48" t="str">
        <x:v>PENAK penataan BE menu SD Haa</x:v>
      </x:c>
      <x:c r="G2878" s="48" t="str">
        <x:v>Obligation</x:v>
      </x:c>
      <x:c r="H2878" s="48" t="str">
        <x:v>Shared</x:v>
      </x:c>
      <x:c r="I2878" s="48" t="n">
        <x:v>0.45</x:v>
      </x:c>
      <x:c r="J2878" s="48" t="n">
        <x:v>0.4</x:v>
      </x:c>
      <x:c r="K2878" s="48" t="str">
        <x:v>Yes</x:v>
      </x:c>
      <x:c r="L2878" s="48" t="str">
        <x:v>OCR</x:v>
      </x:c>
    </x:row>
    <x:row r="2879">
      <x:c r="A2879" s="48" t="str">
        <x:v>UNI-2878</x:v>
      </x:c>
      <x:c r="B2879" s="48" t="str">
        <x:v>SILVER</x:v>
      </x:c>
      <x:c r="C2879" s="48" t="str">
        <x:v>Indonesian</x:v>
      </x:c>
      <x:c r="D2879" s="48" t="n">
        <x:v>53</x:v>
      </x:c>
      <x:c r="E2879" s="48" t="str"/>
      <x:c r="F2879" s="48" t="str">
        <x:v>ab Prgpra ta ap metan Pata cu Se ter sman merak Demon Koma Gam st 28 ft Gta Pn Bagan</x:v>
      </x:c>
      <x:c r="G2879" s="48" t="str">
        <x:v>Obligation</x:v>
      </x:c>
      <x:c r="H2879" s="48" t="str">
        <x:v>Shared</x:v>
      </x:c>
      <x:c r="I2879" s="48" t="n">
        <x:v>0.45</x:v>
      </x:c>
      <x:c r="J2879" s="48" t="n">
        <x:v>0.4</x:v>
      </x:c>
      <x:c r="K2879" s="48" t="str">
        <x:v>Yes</x:v>
      </x:c>
      <x:c r="L2879" s="48" t="str">
        <x:v>OCR</x:v>
      </x:c>
    </x:row>
    <x:row r="2880">
      <x:c r="A2880" s="48" t="str">
        <x:v>UNI-2879</x:v>
      </x:c>
      <x:c r="B2880" s="48" t="str">
        <x:v>SILVER</x:v>
      </x:c>
      <x:c r="C2880" s="48" t="str">
        <x:v>Indonesian</x:v>
      </x:c>
      <x:c r="D2880" s="48" t="n">
        <x:v>53</x:v>
      </x:c>
      <x:c r="E2880" s="48" t="str"/>
      <x:c r="F2880" s="48" t="str">
        <x:v>Pan Ba aa me rai Sm Gran Kera eta an</x:v>
      </x:c>
      <x:c r="G2880" s="48" t="str">
        <x:v>Obligation</x:v>
      </x:c>
      <x:c r="H2880" s="48" t="str">
        <x:v>Shared</x:v>
      </x:c>
      <x:c r="I2880" s="48" t="n">
        <x:v>0.45</x:v>
      </x:c>
      <x:c r="J2880" s="48" t="n">
        <x:v>0.4</x:v>
      </x:c>
      <x:c r="K2880" s="48" t="str">
        <x:v>Yes</x:v>
      </x:c>
      <x:c r="L2880" s="48" t="str">
        <x:v>OCR</x:v>
      </x:c>
    </x:row>
    <x:row r="2881">
      <x:c r="A2881" s="48" t="str">
        <x:v>UNI-2880</x:v>
      </x:c>
      <x:c r="B2881" s="48" t="str">
        <x:v>SILVER</x:v>
      </x:c>
      <x:c r="C2881" s="48" t="str">
        <x:v>Indonesian</x:v>
      </x:c>
      <x:c r="D2881" s="48" t="n">
        <x:v>53</x:v>
      </x:c>
      <x:c r="E2881" s="48" t="str"/>
      <x:c r="F2881" s="48" t="str">
        <x:v>Stan tera tata argo sea an Oetkan pa ai es Dean</x:v>
      </x:c>
      <x:c r="G2881" s="48" t="str">
        <x:v>Obligation</x:v>
      </x:c>
      <x:c r="H2881" s="48" t="str">
        <x:v>Shared</x:v>
      </x:c>
      <x:c r="I2881" s="48" t="n">
        <x:v>0.45</x:v>
      </x:c>
      <x:c r="J2881" s="48" t="n">
        <x:v>0.4</x:v>
      </x:c>
      <x:c r="K2881" s="48" t="str">
        <x:v>Yes</x:v>
      </x:c>
      <x:c r="L2881" s="48" t="str">
        <x:v>OCR</x:v>
      </x:c>
    </x:row>
    <x:row r="2882">
      <x:c r="A2882" s="48" t="str">
        <x:v>UNI-2881</x:v>
      </x:c>
      <x:c r="B2882" s="48" t="str">
        <x:v>SILVER</x:v>
      </x:c>
      <x:c r="C2882" s="48" t="str">
        <x:v>Indonesian</x:v>
      </x:c>
      <x:c r="D2882" s="48" t="n">
        <x:v>53</x:v>
      </x:c>
      <x:c r="E2882" s="48" t="str"/>
      <x:c r="F2882" s="48" t="str">
        <x:v>bagan at Panja Ban Bagan Pj ea tx Gerttnkan araan oh Pagar Ina lose en era Bmu dsn</x:v>
      </x:c>
      <x:c r="G2882" s="48" t="str">
        <x:v>Obligation</x:v>
      </x:c>
      <x:c r="H2882" s="48" t="str">
        <x:v>Shared</x:v>
      </x:c>
      <x:c r="I2882" s="48" t="n">
        <x:v>0.45</x:v>
      </x:c>
      <x:c r="J2882" s="48" t="n">
        <x:v>0.4</x:v>
      </x:c>
      <x:c r="K2882" s="48" t="str">
        <x:v>Yes</x:v>
      </x:c>
      <x:c r="L2882" s="48" t="str">
        <x:v>OCR</x:v>
      </x:c>
    </x:row>
    <x:row r="2883">
      <x:c r="A2883" s="48" t="str">
        <x:v>UNI-2882</x:v>
      </x:c>
      <x:c r="B2883" s="48" t="str">
        <x:v>SILVER</x:v>
      </x:c>
      <x:c r="C2883" s="48" t="str">
        <x:v>Indonesian</x:v>
      </x:c>
      <x:c r="D2883" s="48" t="n">
        <x:v>53</x:v>
      </x:c>
      <x:c r="E2883" s="48" t="str"/>
      <x:c r="F2883" s="48" t="str">
        <x:v>Sargam emasag</x:v>
      </x:c>
      <x:c r="G2883" s="48" t="str">
        <x:v>Obligation</x:v>
      </x:c>
      <x:c r="H2883" s="48" t="str">
        <x:v>Shared</x:v>
      </x:c>
      <x:c r="I2883" s="48" t="n">
        <x:v>0.45</x:v>
      </x:c>
      <x:c r="J2883" s="48" t="n">
        <x:v>0.4</x:v>
      </x:c>
      <x:c r="K2883" s="48" t="str">
        <x:v>Yes</x:v>
      </x:c>
      <x:c r="L2883" s="48" t="str">
        <x:v>OCR</x:v>
      </x:c>
    </x:row>
    <x:row r="2884">
      <x:c r="A2884" s="48" t="str">
        <x:v>UNI-2883</x:v>
      </x:c>
      <x:c r="B2884" s="48" t="str">
        <x:v>SILVER</x:v>
      </x:c>
      <x:c r="C2884" s="48" t="str">
        <x:v>Indonesian</x:v>
      </x:c>
      <x:c r="D2884" s="48" t="n">
        <x:v>53</x:v>
      </x:c>
      <x:c r="E2884" s="48" t="str"/>
      <x:c r="F2884" s="48" t="str">
        <x:v>Pebn Kou aan, Mn G1 or, rak memarkan Peron pan</x:v>
      </x:c>
      <x:c r="G2884" s="48" t="str">
        <x:v>Obligation</x:v>
      </x:c>
      <x:c r="H2884" s="48" t="str">
        <x:v>Shared</x:v>
      </x:c>
      <x:c r="I2884" s="48" t="n">
        <x:v>0.45</x:v>
      </x:c>
      <x:c r="J2884" s="48" t="n">
        <x:v>0.4</x:v>
      </x:c>
      <x:c r="K2884" s="48" t="str">
        <x:v>Yes</x:v>
      </x:c>
      <x:c r="L2884" s="48" t="str">
        <x:v>OCR</x:v>
      </x:c>
    </x:row>
    <x:row r="2885">
      <x:c r="A2885" s="48" t="str">
        <x:v>UNI-2884</x:v>
      </x:c>
      <x:c r="B2885" s="48" t="str">
        <x:v>SILVER</x:v>
      </x:c>
      <x:c r="C2885" s="48" t="str">
        <x:v>Indonesian</x:v>
      </x:c>
      <x:c r="D2885" s="48" t="n">
        <x:v>53</x:v>
      </x:c>
      <x:c r="E2885" s="48" t="str"/>
      <x:c r="F2885" s="48" t="str">
        <x:v>Penakasandaasn ce rg menga brazrgawan Paras masa</x:v>
      </x:c>
      <x:c r="G2885" s="48" t="str">
        <x:v>Obligation</x:v>
      </x:c>
      <x:c r="H2885" s="48" t="str">
        <x:v>Shared</x:v>
      </x:c>
      <x:c r="I2885" s="48" t="n">
        <x:v>0.45</x:v>
      </x:c>
      <x:c r="J2885" s="48" t="n">
        <x:v>0.4</x:v>
      </x:c>
      <x:c r="K2885" s="48" t="str">
        <x:v>Yes</x:v>
      </x:c>
      <x:c r="L2885" s="48" t="str">
        <x:v>OCR</x:v>
      </x:c>
    </x:row>
    <x:row r="2886">
      <x:c r="A2886" s="48" t="str">
        <x:v>UNI-2885</x:v>
      </x:c>
      <x:c r="B2886" s="48" t="str">
        <x:v>SILVER</x:v>
      </x:c>
      <x:c r="C2886" s="48" t="str">
        <x:v>Indonesian</x:v>
      </x:c>
      <x:c r="D2886" s="48" t="n">
        <x:v>53</x:v>
      </x:c>
      <x:c r="E2886" s="48" t="str"/>
      <x:c r="F2886" s="48" t="str">
        <x:v>Prau Jaa hina eno ee I menga an Pan On</x:v>
      </x:c>
      <x:c r="G2886" s="48" t="str">
        <x:v>Obligation</x:v>
      </x:c>
      <x:c r="H2886" s="48" t="str">
        <x:v>Shared</x:v>
      </x:c>
      <x:c r="I2886" s="48" t="n">
        <x:v>0.45</x:v>
      </x:c>
      <x:c r="J2886" s="48" t="n">
        <x:v>0.4</x:v>
      </x:c>
      <x:c r="K2886" s="48" t="str">
        <x:v>Yes</x:v>
      </x:c>
      <x:c r="L2886" s="48" t="str">
        <x:v>OCR</x:v>
      </x:c>
    </x:row>
    <x:row r="2887">
      <x:c r="A2887" s="48" t="str">
        <x:v>UNI-2886</x:v>
      </x:c>
      <x:c r="B2887" s="48" t="str">
        <x:v>SILVER</x:v>
      </x:c>
      <x:c r="C2887" s="48" t="str">
        <x:v>Indonesian</x:v>
      </x:c>
      <x:c r="D2887" s="48" t="n">
        <x:v>53</x:v>
      </x:c>
      <x:c r="E2887" s="48" t="str"/>
      <x:c r="F2887" s="48" t="str">
        <x:v>Pantun nh Fi Ag ag mk Kr Pr pda Penosan</x:v>
      </x:c>
      <x:c r="G2887" s="48" t="str">
        <x:v>Obligation</x:v>
      </x:c>
      <x:c r="H2887" s="48" t="str">
        <x:v>Shared</x:v>
      </x:c>
      <x:c r="I2887" s="48" t="n">
        <x:v>0.45</x:v>
      </x:c>
      <x:c r="J2887" s="48" t="n">
        <x:v>0.4</x:v>
      </x:c>
      <x:c r="K2887" s="48" t="str">
        <x:v>Yes</x:v>
      </x:c>
      <x:c r="L2887" s="48" t="str">
        <x:v>OCR</x:v>
      </x:c>
    </x:row>
    <x:row r="2888">
      <x:c r="A2888" s="48" t="str">
        <x:v>UNI-2887</x:v>
      </x:c>
      <x:c r="B2888" s="48" t="str">
        <x:v>SILVER</x:v>
      </x:c>
      <x:c r="C2888" s="48" t="str">
        <x:v>Indonesian</x:v>
      </x:c>
      <x:c r="D2888" s="48" t="n">
        <x:v>53</x:v>
      </x:c>
      <x:c r="E2888" s="48" t="str"/>
      <x:c r="F2888" s="48" t="str">
        <x:v>sewungdwansan</x:v>
      </x:c>
      <x:c r="G2888" s="48" t="str">
        <x:v>Obligation</x:v>
      </x:c>
      <x:c r="H2888" s="48" t="str">
        <x:v>Shared</x:v>
      </x:c>
      <x:c r="I2888" s="48" t="n">
        <x:v>0.45</x:v>
      </x:c>
      <x:c r="J2888" s="48" t="n">
        <x:v>0.4</x:v>
      </x:c>
      <x:c r="K2888" s="48" t="str">
        <x:v>Yes</x:v>
      </x:c>
      <x:c r="L2888" s="48" t="str">
        <x:v>OCR</x:v>
      </x:c>
    </x:row>
    <x:row r="2889">
      <x:c r="A2889" s="48" t="str">
        <x:v>UNI-2888</x:v>
      </x:c>
      <x:c r="B2889" s="48" t="str">
        <x:v>SILVER</x:v>
      </x:c>
      <x:c r="C2889" s="48" t="str">
        <x:v>Indonesian</x:v>
      </x:c>
      <x:c r="D2889" s="48" t="n">
        <x:v>53</x:v>
      </x:c>
      <x:c r="E2889" s="48" t="str"/>
      <x:c r="F2889" s="48" t="str">
        <x:v>De Kota roturi emtentsan Guns merotan Ba at</x:v>
      </x:c>
      <x:c r="G2889" s="48" t="str">
        <x:v>Obligation</x:v>
      </x:c>
      <x:c r="H2889" s="48" t="str">
        <x:v>Shared</x:v>
      </x:c>
      <x:c r="I2889" s="48" t="n">
        <x:v>0.45</x:v>
      </x:c>
      <x:c r="J2889" s="48" t="n">
        <x:v>0.4</x:v>
      </x:c>
      <x:c r="K2889" s="48" t="str">
        <x:v>Yes</x:v>
      </x:c>
      <x:c r="L2889" s="48" t="str">
        <x:v>OCR</x:v>
      </x:c>
    </x:row>
    <x:row r="2890">
      <x:c r="A2890" s="48" t="str">
        <x:v>UNI-2889</x:v>
      </x:c>
      <x:c r="B2890" s="48" t="str">
        <x:v>SILVER</x:v>
      </x:c>
      <x:c r="C2890" s="48" t="str">
        <x:v>Indonesian</x:v>
      </x:c>
      <x:c r="D2890" s="48" t="n">
        <x:v>53</x:v>
      </x:c>
      <x:c r="E2890" s="48" t="str"/>
      <x:c r="F2890" s="48" t="str">
        <x:v>Menturtaan sebaran Peratan dh Peyaamam, Konter fana</x:v>
      </x:c>
      <x:c r="G2890" s="48" t="str">
        <x:v>Obligation</x:v>
      </x:c>
      <x:c r="H2890" s="48" t="str">
        <x:v>Shared</x:v>
      </x:c>
      <x:c r="I2890" s="48" t="n">
        <x:v>0.45</x:v>
      </x:c>
      <x:c r="J2890" s="48" t="n">
        <x:v>0.4</x:v>
      </x:c>
      <x:c r="K2890" s="48" t="str">
        <x:v>Yes</x:v>
      </x:c>
      <x:c r="L2890" s="48" t="str">
        <x:v>OCR</x:v>
      </x:c>
    </x:row>
    <x:row r="2891">
      <x:c r="A2891" s="48" t="str">
        <x:v>UNI-2890</x:v>
      </x:c>
      <x:c r="B2891" s="48" t="str">
        <x:v>SILVER</x:v>
      </x:c>
      <x:c r="C2891" s="48" t="str">
        <x:v>Indonesian</x:v>
      </x:c>
      <x:c r="D2891" s="48" t="n">
        <x:v>53</x:v>
      </x:c>
      <x:c r="E2891" s="48" t="str"/>
      <x:c r="F2891" s="48" t="str">
        <x:v>MENaTCAkanpenbetanan lee Prga Ja Gan tefk bca SL</x:v>
      </x:c>
      <x:c r="G2891" s="48" t="str">
        <x:v>Obligation</x:v>
      </x:c>
      <x:c r="H2891" s="48" t="str">
        <x:v>Shared</x:v>
      </x:c>
      <x:c r="I2891" s="48" t="n">
        <x:v>0.45</x:v>
      </x:c>
      <x:c r="J2891" s="48" t="n">
        <x:v>0.4</x:v>
      </x:c>
      <x:c r="K2891" s="48" t="str">
        <x:v>Yes</x:v>
      </x:c>
      <x:c r="L2891" s="48" t="str">
        <x:v>OCR</x:v>
      </x:c>
    </x:row>
    <x:row r="2892">
      <x:c r="A2892" s="48" t="str">
        <x:v>UNI-2891</x:v>
      </x:c>
      <x:c r="B2892" s="48" t="str">
        <x:v>SILVER</x:v>
      </x:c>
      <x:c r="C2892" s="48" t="str">
        <x:v>Indonesian</x:v>
      </x:c>
      <x:c r="D2892" s="48" t="n">
        <x:v>53</x:v>
      </x:c>
      <x:c r="E2892" s="48" t="str"/>
      <x:c r="F2892" s="48" t="str">
        <x:v>Mana 2 Ime wae 18 asas perban va YA sep temdenttan cb pesan (Warta Ba mera at becatan SP Kat B4 Teroan</x:v>
      </x:c>
      <x:c r="G2892" s="48" t="str">
        <x:v>Obligation</x:v>
      </x:c>
      <x:c r="H2892" s="48" t="str">
        <x:v>Shared</x:v>
      </x:c>
      <x:c r="I2892" s="48" t="n">
        <x:v>0.45</x:v>
      </x:c>
      <x:c r="J2892" s="48" t="n">
        <x:v>0.4</x:v>
      </x:c>
      <x:c r="K2892" s="48" t="str">
        <x:v>Yes</x:v>
      </x:c>
      <x:c r="L2892" s="48" t="str">
        <x:v>OCR</x:v>
      </x:c>
    </x:row>
    <x:row r="2893">
      <x:c r="A2893" s="48" t="str">
        <x:v>UNI-2892</x:v>
      </x:c>
      <x:c r="B2893" s="48" t="str">
        <x:v>SILVER</x:v>
      </x:c>
      <x:c r="C2893" s="48" t="str">
        <x:v>Indonesian</x:v>
      </x:c>
      <x:c r="D2893" s="48" t="n">
        <x:v>53</x:v>
      </x:c>
      <x:c r="E2893" s="48" t="str"/>
      <x:c r="F2893" s="48" t="str">
        <x:v>Wit Perya,can</x:v>
      </x:c>
      <x:c r="G2893" s="48" t="str">
        <x:v>Obligation</x:v>
      </x:c>
      <x:c r="H2893" s="48" t="str">
        <x:v>Shared</x:v>
      </x:c>
      <x:c r="I2893" s="48" t="n">
        <x:v>0.45</x:v>
      </x:c>
      <x:c r="J2893" s="48" t="n">
        <x:v>0.4</x:v>
      </x:c>
      <x:c r="K2893" s="48" t="str">
        <x:v>Yes</x:v>
      </x:c>
      <x:c r="L2893" s="48" t="str">
        <x:v>OCR</x:v>
      </x:c>
    </x:row>
    <x:row r="2894">
      <x:c r="A2894" s="48" t="str">
        <x:v>UNI-2893</x:v>
      </x:c>
      <x:c r="B2894" s="48" t="str">
        <x:v>SILVER</x:v>
      </x:c>
      <x:c r="C2894" s="48" t="str">
        <x:v>Indonesian</x:v>
      </x:c>
      <x:c r="D2894" s="48" t="n">
        <x:v>53</x:v>
      </x:c>
      <x:c r="E2894" s="48" t="str"/>
      <x:c r="F2894" s="48" t="str">
        <x:v>(0 sentaan sa Bon Jantan terang. er San Granikan Gn</x:v>
      </x:c>
      <x:c r="G2894" s="48" t="str">
        <x:v>Obligation</x:v>
      </x:c>
      <x:c r="H2894" s="48" t="str">
        <x:v>Shared</x:v>
      </x:c>
      <x:c r="I2894" s="48" t="n">
        <x:v>0.45</x:v>
      </x:c>
      <x:c r="J2894" s="48" t="n">
        <x:v>0.4</x:v>
      </x:c>
      <x:c r="K2894" s="48" t="str">
        <x:v>Yes</x:v>
      </x:c>
      <x:c r="L2894" s="48" t="str">
        <x:v>OCR</x:v>
      </x:c>
    </x:row>
    <x:row r="2895">
      <x:c r="A2895" s="48" t="str">
        <x:v>UNI-2894</x:v>
      </x:c>
      <x:c r="B2895" s="48" t="str">
        <x:v>SILVER</x:v>
      </x:c>
      <x:c r="C2895" s="48" t="str">
        <x:v>Indonesian</x:v>
      </x:c>
      <x:c r="D2895" s="48" t="n">
        <x:v>53</x:v>
      </x:c>
      <x:c r="E2895" s="48" t="str"/>
      <x:c r="F2895" s="48" t="str">
        <x:v>Stw merera perburuan Pergasa Jua tom merak Arjuna</x:v>
      </x:c>
      <x:c r="G2895" s="48" t="str">
        <x:v>Obligation</x:v>
      </x:c>
      <x:c r="H2895" s="48" t="str">
        <x:v>Shared</x:v>
      </x:c>
      <x:c r="I2895" s="48" t="n">
        <x:v>0.45</x:v>
      </x:c>
      <x:c r="J2895" s="48" t="n">
        <x:v>0.4</x:v>
      </x:c>
      <x:c r="K2895" s="48" t="str">
        <x:v>Yes</x:v>
      </x:c>
      <x:c r="L2895" s="48" t="str">
        <x:v>OCR</x:v>
      </x:c>
    </x:row>
    <x:row r="2896">
      <x:c r="A2896" s="48" t="str">
        <x:v>UNI-2895</x:v>
      </x:c>
      <x:c r="B2896" s="48" t="str">
        <x:v>SILVER</x:v>
      </x:c>
      <x:c r="C2896" s="48" t="str">
        <x:v>Indonesian</x:v>
      </x:c>
      <x:c r="D2896" s="48" t="n">
        <x:v>53</x:v>
      </x:c>
      <x:c r="E2896" s="48" t="str"/>
      <x:c r="F2896" s="48" t="str">
        <x:v>utaran Sp va 36 Pretnsi Green meja am menwa Pa</x:v>
      </x:c>
      <x:c r="G2896" s="48" t="str">
        <x:v>Obligation</x:v>
      </x:c>
      <x:c r="H2896" s="48" t="str">
        <x:v>Shared</x:v>
      </x:c>
      <x:c r="I2896" s="48" t="n">
        <x:v>0.45</x:v>
      </x:c>
      <x:c r="J2896" s="48" t="n">
        <x:v>0.4</x:v>
      </x:c>
      <x:c r="K2896" s="48" t="str">
        <x:v>Yes</x:v>
      </x:c>
      <x:c r="L2896" s="48" t="str">
        <x:v>OCR</x:v>
      </x:c>
    </x:row>
    <x:row r="2897">
      <x:c r="A2897" s="48" t="str">
        <x:v>UNI-2896</x:v>
      </x:c>
      <x:c r="B2897" s="48" t="str">
        <x:v>SILVER</x:v>
      </x:c>
      <x:c r="C2897" s="48" t="str">
        <x:v>Indonesian</x:v>
      </x:c>
      <x:c r="D2897" s="48" t="n">
        <x:v>54</x:v>
      </x:c>
      <x:c r="E2897" s="48" t="str"/>
      <x:c r="F2897" s="48" t="str">
        <x:v>peron mc kirsenanpkagaan Daeng vera bhw Peran an Dokumen Kran st aan aa DT PgeaL a bea Ge ter jrg Sato dam Kok Petai sampean (enakan ts porssi menpera bekam Va Peraturan Cat MAL Serma “lam segan mur pt krl Keris 18 menstan sb pekan yg akn Wnoantn paca og Yr</x:v>
      </x:c>
      <x:c r="G2897" s="48" t="str">
        <x:v>Obligation</x:v>
      </x:c>
      <x:c r="H2897" s="48" t="str">
        <x:v>Shared</x:v>
      </x:c>
      <x:c r="I2897" s="48" t="n">
        <x:v>0.45</x:v>
      </x:c>
      <x:c r="J2897" s="48" t="n">
        <x:v>0.4</x:v>
      </x:c>
      <x:c r="K2897" s="48" t="str">
        <x:v>Yes</x:v>
      </x:c>
      <x:c r="L2897" s="48" t="str">
        <x:v>OCR</x:v>
      </x:c>
    </x:row>
    <x:row r="2898">
      <x:c r="A2898" s="48" t="str">
        <x:v>UNI-2897</x:v>
      </x:c>
      <x:c r="B2898" s="48" t="str">
        <x:v>SILVER</x:v>
      </x:c>
      <x:c r="C2898" s="48" t="str">
        <x:v>Indonesian</x:v>
      </x:c>
      <x:c r="D2898" s="48" t="n">
        <x:v>54</x:v>
      </x:c>
      <x:c r="E2898" s="48" t="str"/>
      <x:c r="F2898" s="48" t="str">
        <x:v>Aan dam Sa De Ku Ber Gan pa wat jr</x:v>
      </x:c>
      <x:c r="G2898" s="48" t="str">
        <x:v>Obligation</x:v>
      </x:c>
      <x:c r="H2898" s="48" t="str">
        <x:v>Shared</x:v>
      </x:c>
      <x:c r="I2898" s="48" t="n">
        <x:v>0.45</x:v>
      </x:c>
      <x:c r="J2898" s="48" t="n">
        <x:v>0.4</x:v>
      </x:c>
      <x:c r="K2898" s="48" t="str">
        <x:v>Yes</x:v>
      </x:c>
      <x:c r="L2898" s="48" t="str">
        <x:v>OCR</x:v>
      </x:c>
    </x:row>
    <x:row r="2899">
      <x:c r="A2899" s="48" t="str">
        <x:v>UNI-2898</x:v>
      </x:c>
      <x:c r="B2899" s="48" t="str">
        <x:v>SILVER</x:v>
      </x:c>
      <x:c r="C2899" s="48" t="str">
        <x:v>Indonesian</x:v>
      </x:c>
      <x:c r="D2899" s="48" t="n">
        <x:v>54</x:v>
      </x:c>
      <x:c r="E2899" s="48" t="str"/>
      <x:c r="F2899" s="48" t="str">
        <x:v>Soham ae Dengarurndrenyokan dn PergaraJa d</x:v>
      </x:c>
      <x:c r="G2899" s="48" t="str">
        <x:v>Obligation</x:v>
      </x:c>
      <x:c r="H2899" s="48" t="str">
        <x:v>Shared</x:v>
      </x:c>
      <x:c r="I2899" s="48" t="n">
        <x:v>0.45</x:v>
      </x:c>
      <x:c r="J2899" s="48" t="n">
        <x:v>0.4</x:v>
      </x:c>
      <x:c r="K2899" s="48" t="str">
        <x:v>Yes</x:v>
      </x:c>
      <x:c r="L2899" s="48" t="str">
        <x:v>OCR</x:v>
      </x:c>
    </x:row>
    <x:row r="2900">
      <x:c r="A2900" s="48" t="str">
        <x:v>UNI-2899</x:v>
      </x:c>
      <x:c r="B2900" s="48" t="str">
        <x:v>SILVER</x:v>
      </x:c>
      <x:c r="C2900" s="48" t="str">
        <x:v>Indonesian</x:v>
      </x:c>
      <x:c r="D2900" s="48" t="n">
        <x:v>54</x:v>
      </x:c>
      <x:c r="E2900" s="48" t="str"/>
      <x:c r="F2900" s="48" t="str">
        <x:v>BijaPeakan Sena panam yg dndatdan kn pegal Ri Gt Ortamie 11 penaneani (Pemakaman Fuaan yag Bat Sae Gn Pra art MAN ain kena Grgn at Gn ane aj Krn, Kata Ca sar eta pemanen tone #4 manctpsatan.</x:v>
      </x:c>
      <x:c r="G2900" s="48" t="str">
        <x:v>Obligation</x:v>
      </x:c>
      <x:c r="H2900" s="48" t="str">
        <x:v>Shared</x:v>
      </x:c>
      <x:c r="I2900" s="48" t="n">
        <x:v>0.45</x:v>
      </x:c>
      <x:c r="J2900" s="48" t="n">
        <x:v>0.4</x:v>
      </x:c>
      <x:c r="K2900" s="48" t="str">
        <x:v>Yes</x:v>
      </x:c>
      <x:c r="L2900" s="48" t="str">
        <x:v>OCR</x:v>
      </x:c>
    </x:row>
    <x:row r="2901">
      <x:c r="A2901" s="48" t="str">
        <x:v>UNI-2900</x:v>
      </x:c>
      <x:c r="B2901" s="48" t="str">
        <x:v>SILVER</x:v>
      </x:c>
      <x:c r="C2901" s="48" t="str">
        <x:v>Indonesian</x:v>
      </x:c>
      <x:c r="D2901" s="48" t="n">
        <x:v>54</x:v>
      </x:c>
      <x:c r="E2901" s="48" t="str"/>
      <x:c r="F2901" s="48" t="str">
        <x:v>(ta Nan, Bra un peron yang ck sesi Gran Kara (Oka an pemetaan yg tk bayar akan oh mat Pd Sa kornaar bergaya ab keai Sib Kama 58 re 57 sa mata</x:v>
      </x:c>
      <x:c r="G2901" s="48" t="str">
        <x:v>Obligation</x:v>
      </x:c>
      <x:c r="H2901" s="48" t="str">
        <x:v>Shared</x:v>
      </x:c>
      <x:c r="I2901" s="48" t="n">
        <x:v>0.45</x:v>
      </x:c>
      <x:c r="J2901" s="48" t="n">
        <x:v>0.4</x:v>
      </x:c>
      <x:c r="K2901" s="48" t="str">
        <x:v>Yes</x:v>
      </x:c>
      <x:c r="L2901" s="48" t="str">
        <x:v>OCR</x:v>
      </x:c>
    </x:row>
    <x:row r="2902">
      <x:c r="A2902" s="48" t="str">
        <x:v>UNI-2901</x:v>
      </x:c>
      <x:c r="B2902" s="48" t="str">
        <x:v>SILVER</x:v>
      </x:c>
      <x:c r="C2902" s="48" t="str">
        <x:v>Indonesian</x:v>
      </x:c>
      <x:c r="D2902" s="48" t="n">
        <x:v>54</x:v>
      </x:c>
      <x:c r="E2902" s="48" t="str"/>
      <x:c r="F2902" s="48" t="str">
        <x:v>Menma ak memerankan ag Un</x:v>
      </x:c>
      <x:c r="G2902" s="48" t="str">
        <x:v>Obligation</x:v>
      </x:c>
      <x:c r="H2902" s="48" t="str">
        <x:v>Shared</x:v>
      </x:c>
      <x:c r="I2902" s="48" t="n">
        <x:v>0.45</x:v>
      </x:c>
      <x:c r="J2902" s="48" t="n">
        <x:v>0.4</x:v>
      </x:c>
      <x:c r="K2902" s="48" t="str">
        <x:v>Yes</x:v>
      </x:c>
      <x:c r="L2902" s="48" t="str">
        <x:v>OCR</x:v>
      </x:c>
    </x:row>
    <x:row r="2903">
      <x:c r="A2903" s="48" t="str">
        <x:v>UNI-2902</x:v>
      </x:c>
      <x:c r="B2903" s="48" t="str">
        <x:v>SILVER</x:v>
      </x:c>
      <x:c r="C2903" s="48" t="str">
        <x:v>Indonesian</x:v>
      </x:c>
      <x:c r="D2903" s="48" t="n">
        <x:v>54</x:v>
      </x:c>
      <x:c r="E2903" s="48" t="str"/>
      <x:c r="F2903" s="48" t="str">
        <x:v>on an sr bts tanu pk abs ektan eh ba an cam daa ha agan memanen on Korea 2on M0 Kamda oren Usa dan batasan Parang Twgorasenteraktermamtan Sp Mami 25 am OK Perara stan</x:v>
      </x:c>
      <x:c r="G2903" s="48" t="str">
        <x:v>Obligation</x:v>
      </x:c>
      <x:c r="H2903" s="48" t="str">
        <x:v>Shared</x:v>
      </x:c>
      <x:c r="I2903" s="48" t="n">
        <x:v>0.45</x:v>
      </x:c>
      <x:c r="J2903" s="48" t="n">
        <x:v>0.4</x:v>
      </x:c>
      <x:c r="K2903" s="48" t="str">
        <x:v>Yes</x:v>
      </x:c>
      <x:c r="L2903" s="48" t="str">
        <x:v>OCR</x:v>
      </x:c>
    </x:row>
    <x:row r="2904">
      <x:c r="A2904" s="48" t="str">
        <x:v>UNI-2903</x:v>
      </x:c>
      <x:c r="B2904" s="48" t="str">
        <x:v>SILVER</x:v>
      </x:c>
      <x:c r="C2904" s="48" t="str">
        <x:v>Indonesian</x:v>
      </x:c>
      <x:c r="D2904" s="48" t="n">
        <x:v>54</x:v>
      </x:c>
      <x:c r="E2904" s="48" t="str"/>
      <x:c r="F2904" s="48" t="str">
        <x:v>Maa pengeatuan SA Pobetegan Naa Perbotiran Cact MA Uk Pep aa Bian</x:v>
      </x:c>
      <x:c r="G2904" s="48" t="str">
        <x:v>Obligation</x:v>
      </x:c>
      <x:c r="H2904" s="48" t="str">
        <x:v>Shared</x:v>
      </x:c>
      <x:c r="I2904" s="48" t="n">
        <x:v>0.45</x:v>
      </x:c>
      <x:c r="J2904" s="48" t="n">
        <x:v>0.4</x:v>
      </x:c>
      <x:c r="K2904" s="48" t="str">
        <x:v>Yes</x:v>
      </x:c>
      <x:c r="L2904" s="48" t="str">
        <x:v>OCR</x:v>
      </x:c>
    </x:row>
    <x:row r="2905">
      <x:c r="A2905" s="48" t="str">
        <x:v>UNI-2904</x:v>
      </x:c>
      <x:c r="B2905" s="48" t="str">
        <x:v>SILVER</x:v>
      </x:c>
      <x:c r="C2905" s="48" t="str">
        <x:v>Indonesian</x:v>
      </x:c>
      <x:c r="D2905" s="48" t="n">
        <x:v>54</x:v>
      </x:c>
      <x:c r="E2905" s="48" t="str"/>
      <x:c r="F2905" s="48" t="str">
        <x:v>kon Pake Ea Gang ata bawa Pb.</x:v>
      </x:c>
      <x:c r="G2905" s="48" t="str">
        <x:v>Obligation</x:v>
      </x:c>
      <x:c r="H2905" s="48" t="str">
        <x:v>Shared</x:v>
      </x:c>
      <x:c r="I2905" s="48" t="n">
        <x:v>0.45</x:v>
      </x:c>
      <x:c r="J2905" s="48" t="n">
        <x:v>0.4</x:v>
      </x:c>
      <x:c r="K2905" s="48" t="str">
        <x:v>Yes</x:v>
      </x:c>
      <x:c r="L2905" s="48" t="str">
        <x:v>OCR</x:v>
      </x:c>
    </x:row>
    <x:row r="2906">
      <x:c r="A2906" s="48" t="str">
        <x:v>UNI-2905</x:v>
      </x:c>
      <x:c r="B2906" s="48" t="str">
        <x:v>SILVER</x:v>
      </x:c>
      <x:c r="C2906" s="48" t="str">
        <x:v>Indonesian</x:v>
      </x:c>
      <x:c r="D2906" s="48" t="n">
        <x:v>54</x:v>
      </x:c>
      <x:c r="E2906" s="48" t="str"/>
      <x:c r="F2906" s="48" t="str">
        <x:v>Dag Pkn Ba)</x:v>
      </x:c>
      <x:c r="G2906" s="48" t="str">
        <x:v>Obligation</x:v>
      </x:c>
      <x:c r="H2906" s="48" t="str">
        <x:v>Shared</x:v>
      </x:c>
      <x:c r="I2906" s="48" t="n">
        <x:v>0.45</x:v>
      </x:c>
      <x:c r="J2906" s="48" t="n">
        <x:v>0.4</x:v>
      </x:c>
      <x:c r="K2906" s="48" t="str">
        <x:v>Yes</x:v>
      </x:c>
      <x:c r="L2906" s="48" t="str">
        <x:v>OCR</x:v>
      </x:c>
    </x:row>
    <x:row r="2907">
      <x:c r="A2907" s="48" t="str">
        <x:v>UNI-2906</x:v>
      </x:c>
      <x:c r="B2907" s="48" t="str">
        <x:v>SILVER</x:v>
      </x:c>
      <x:c r="C2907" s="48" t="str">
        <x:v>Indonesian</x:v>
      </x:c>
      <x:c r="D2907" s="48" t="n">
        <x:v>54</x:v>
      </x:c>
      <x:c r="E2907" s="48" t="str"/>
      <x:c r="F2907" s="48" t="str">
        <x:v>Dara GP Mr nira sk ea mtma Ya</x:v>
      </x:c>
      <x:c r="G2907" s="48" t="str">
        <x:v>Obligation</x:v>
      </x:c>
      <x:c r="H2907" s="48" t="str">
        <x:v>Shared</x:v>
      </x:c>
      <x:c r="I2907" s="48" t="n">
        <x:v>0.45</x:v>
      </x:c>
      <x:c r="J2907" s="48" t="n">
        <x:v>0.4</x:v>
      </x:c>
      <x:c r="K2907" s="48" t="str">
        <x:v>Yes</x:v>
      </x:c>
      <x:c r="L2907" s="48" t="str">
        <x:v>OCR</x:v>
      </x:c>
    </x:row>
    <x:row r="2908">
      <x:c r="A2908" s="48" t="str">
        <x:v>UNI-2907</x:v>
      </x:c>
      <x:c r="B2908" s="48" t="str">
        <x:v>SILVER</x:v>
      </x:c>
      <x:c r="C2908" s="48" t="str">
        <x:v>Indonesian</x:v>
      </x:c>
      <x:c r="D2908" s="48" t="n">
        <x:v>54</x:v>
      </x:c>
      <x:c r="E2908" s="48" t="str"/>
      <x:c r="F2908" s="48" t="str">
        <x:v>(abg dalan ten er bian sebgamura alan kara cacat bean, Man am Mba Penta Coc MA Tatan</x:v>
      </x:c>
      <x:c r="G2908" s="48" t="str">
        <x:v>Obligation</x:v>
      </x:c>
      <x:c r="H2908" s="48" t="str">
        <x:v>Shared</x:v>
      </x:c>
      <x:c r="I2908" s="48" t="n">
        <x:v>0.45</x:v>
      </x:c>
      <x:c r="J2908" s="48" t="n">
        <x:v>0.4</x:v>
      </x:c>
      <x:c r="K2908" s="48" t="str">
        <x:v>Yes</x:v>
      </x:c>
      <x:c r="L2908" s="48" t="str">
        <x:v>OCR</x:v>
      </x:c>
    </x:row>
    <x:row r="2909">
      <x:c r="A2909" s="48" t="str">
        <x:v>UNI-2908</x:v>
      </x:c>
      <x:c r="B2909" s="48" t="str">
        <x:v>SILVER</x:v>
      </x:c>
      <x:c r="C2909" s="48" t="str">
        <x:v>Indonesian</x:v>
      </x:c>
      <x:c r="D2909" s="48" t="n">
        <x:v>54</x:v>
      </x:c>
      <x:c r="E2909" s="48" t="str"/>
      <x:c r="F2909" s="48" t="str">
        <x:v>Tomooenea nda</x:v>
      </x:c>
      <x:c r="G2909" s="48" t="str">
        <x:v>Obligation</x:v>
      </x:c>
      <x:c r="H2909" s="48" t="str">
        <x:v>Shared</x:v>
      </x:c>
      <x:c r="I2909" s="48" t="n">
        <x:v>0.45</x:v>
      </x:c>
      <x:c r="J2909" s="48" t="n">
        <x:v>0.4</x:v>
      </x:c>
      <x:c r="K2909" s="48" t="str">
        <x:v>Yes</x:v>
      </x:c>
      <x:c r="L2909" s="48" t="str">
        <x:v>OCR</x:v>
      </x:c>
    </x:row>
    <x:row r="2910">
      <x:c r="A2910" s="48" t="str">
        <x:v>UNI-2909</x:v>
      </x:c>
      <x:c r="B2910" s="48" t="str">
        <x:v>SILVER</x:v>
      </x:c>
      <x:c r="C2910" s="48" t="str">
        <x:v>Indonesian</x:v>
      </x:c>
      <x:c r="D2910" s="48" t="n">
        <x:v>54</x:v>
      </x:c>
      <x:c r="E2910" s="48" t="str"/>
      <x:c r="F2910" s="48" t="str">
        <x:v>Mon pegiran nas perosrgan Hau rai Mn Geri Dfen</x:v>
      </x:c>
      <x:c r="G2910" s="48" t="str">
        <x:v>Obligation</x:v>
      </x:c>
      <x:c r="H2910" s="48" t="str">
        <x:v>Shared</x:v>
      </x:c>
      <x:c r="I2910" s="48" t="n">
        <x:v>0.45</x:v>
      </x:c>
      <x:c r="J2910" s="48" t="n">
        <x:v>0.4</x:v>
      </x:c>
      <x:c r="K2910" s="48" t="str">
        <x:v>Yes</x:v>
      </x:c>
      <x:c r="L2910" s="48" t="str">
        <x:v>OCR</x:v>
      </x:c>
    </x:row>
    <x:row r="2911">
      <x:c r="A2911" s="48" t="str">
        <x:v>UNI-2910</x:v>
      </x:c>
      <x:c r="B2911" s="48" t="str">
        <x:v>SILVER</x:v>
      </x:c>
      <x:c r="C2911" s="48" t="str">
        <x:v>Indonesian</x:v>
      </x:c>
      <x:c r="D2911" s="48" t="n">
        <x:v>54</x:v>
      </x:c>
      <x:c r="E2911" s="48" t="str"/>
      <x:c r="F2911" s="48" t="str">
        <x:v>an Desahan Sen 80 Pepartan Par atu Subcata</x:v>
      </x:c>
      <x:c r="G2911" s="48" t="str">
        <x:v>Obligation</x:v>
      </x:c>
      <x:c r="H2911" s="48" t="str">
        <x:v>Shared</x:v>
      </x:c>
      <x:c r="I2911" s="48" t="n">
        <x:v>0.45</x:v>
      </x:c>
      <x:c r="J2911" s="48" t="n">
        <x:v>0.4</x:v>
      </x:c>
      <x:c r="K2911" s="48" t="str">
        <x:v>Yes</x:v>
      </x:c>
      <x:c r="L2911" s="48" t="str">
        <x:v>OCR</x:v>
      </x:c>
    </x:row>
    <x:row r="2912">
      <x:c r="A2912" s="48" t="str">
        <x:v>UNI-2911</x:v>
      </x:c>
      <x:c r="B2912" s="48" t="str">
        <x:v>SILVER</x:v>
      </x:c>
      <x:c r="C2912" s="48" t="str">
        <x:v>Indonesian</x:v>
      </x:c>
      <x:c r="D2912" s="48" t="n">
        <x:v>54</x:v>
      </x:c>
      <x:c r="E2912" s="48" t="str"/>
      <x:c r="F2912" s="48" t="str">
        <x:v>SEN pakkrasey rak herba apa lanapan Krmokebedastan</x:v>
      </x:c>
      <x:c r="G2912" s="48" t="str">
        <x:v>Obligation</x:v>
      </x:c>
      <x:c r="H2912" s="48" t="str">
        <x:v>Shared</x:v>
      </x:c>
      <x:c r="I2912" s="48" t="n">
        <x:v>0.45</x:v>
      </x:c>
      <x:c r="J2912" s="48" t="n">
        <x:v>0.4</x:v>
      </x:c>
      <x:c r="K2912" s="48" t="str">
        <x:v>Yes</x:v>
      </x:c>
      <x:c r="L2912" s="48" t="str">
        <x:v>OCR</x:v>
      </x:c>
    </x:row>
    <x:row r="2913">
      <x:c r="A2913" s="48" t="str">
        <x:v>UNI-2912</x:v>
      </x:c>
      <x:c r="B2913" s="48" t="str">
        <x:v>SILVER</x:v>
      </x:c>
      <x:c r="C2913" s="48" t="str">
        <x:v>Indonesian</x:v>
      </x:c>
      <x:c r="D2913" s="48" t="n">
        <x:v>54</x:v>
      </x:c>
      <x:c r="E2913" s="48" t="str"/>
      <x:c r="F2913" s="48" t="str">
        <x:v>pena smema &amp;</x:v>
      </x:c>
      <x:c r="G2913" s="48" t="str">
        <x:v>Obligation</x:v>
      </x:c>
      <x:c r="H2913" s="48" t="str">
        <x:v>Shared</x:v>
      </x:c>
      <x:c r="I2913" s="48" t="n">
        <x:v>0.45</x:v>
      </x:c>
      <x:c r="J2913" s="48" t="n">
        <x:v>0.4</x:v>
      </x:c>
      <x:c r="K2913" s="48" t="str">
        <x:v>Yes</x:v>
      </x:c>
      <x:c r="L2913" s="48" t="str">
        <x:v>OCR</x:v>
      </x:c>
    </x:row>
    <x:row r="2914">
      <x:c r="A2914" s="48" t="str">
        <x:v>UNI-2913</x:v>
      </x:c>
      <x:c r="B2914" s="48" t="str">
        <x:v>SILVER</x:v>
      </x:c>
      <x:c r="C2914" s="48" t="str">
        <x:v>Indonesian</x:v>
      </x:c>
      <x:c r="D2914" s="48" t="n">
        <x:v>55</x:v>
      </x:c>
      <x:c r="E2914" s="48" t="str"/>
      <x:c r="F2914" s="48" t="str">
        <x:v>Wawan can dak ca mu ae yerg ad onda</x:v>
      </x:c>
      <x:c r="G2914" s="48" t="str">
        <x:v>Obligation</x:v>
      </x:c>
      <x:c r="H2914" s="48" t="str">
        <x:v>Shared</x:v>
      </x:c>
      <x:c r="I2914" s="48" t="n">
        <x:v>0.45</x:v>
      </x:c>
      <x:c r="J2914" s="48" t="n">
        <x:v>0.4</x:v>
      </x:c>
      <x:c r="K2914" s="48" t="str">
        <x:v>Yes</x:v>
      </x:c>
      <x:c r="L2914" s="48" t="str">
        <x:v>OCR</x:v>
      </x:c>
    </x:row>
    <x:row r="2915">
      <x:c r="A2915" s="48" t="str">
        <x:v>UNI-2914</x:v>
      </x:c>
      <x:c r="B2915" s="48" t="str">
        <x:v>SILVER</x:v>
      </x:c>
      <x:c r="C2915" s="48" t="str">
        <x:v>Indonesian</x:v>
      </x:c>
      <x:c r="D2915" s="48" t="n">
        <x:v>55</x:v>
      </x:c>
      <x:c r="E2915" s="48" t="str"/>
      <x:c r="F2915" s="48" t="str">
        <x:v>ra Ga da Mun set Ma Part Cr MA Pakan</x:v>
      </x:c>
      <x:c r="G2915" s="48" t="str">
        <x:v>Obligation</x:v>
      </x:c>
      <x:c r="H2915" s="48" t="str">
        <x:v>Shared</x:v>
      </x:c>
      <x:c r="I2915" s="48" t="n">
        <x:v>0.45</x:v>
      </x:c>
      <x:c r="J2915" s="48" t="n">
        <x:v>0.4</x:v>
      </x:c>
      <x:c r="K2915" s="48" t="str">
        <x:v>Yes</x:v>
      </x:c>
      <x:c r="L2915" s="48" t="str">
        <x:v>OCR</x:v>
      </x:c>
    </x:row>
    <x:row r="2916">
      <x:c r="A2916" s="48" t="str">
        <x:v>UNI-2915</x:v>
      </x:c>
      <x:c r="B2916" s="48" t="str">
        <x:v>SILVER</x:v>
      </x:c>
      <x:c r="C2916" s="48" t="str">
        <x:v>Indonesian</x:v>
      </x:c>
      <x:c r="D2916" s="48" t="n">
        <x:v>55</x:v>
      </x:c>
      <x:c r="E2916" s="48" t="str"/>
      <x:c r="F2916" s="48" t="str">
        <x:v>Menanam ren seeranabrte</x:v>
      </x:c>
      <x:c r="G2916" s="48" t="str">
        <x:v>Obligation</x:v>
      </x:c>
      <x:c r="H2916" s="48" t="str">
        <x:v>Shared</x:v>
      </x:c>
      <x:c r="I2916" s="48" t="n">
        <x:v>0.45</x:v>
      </x:c>
      <x:c r="J2916" s="48" t="n">
        <x:v>0.4</x:v>
      </x:c>
      <x:c r="K2916" s="48" t="str">
        <x:v>Yes</x:v>
      </x:c>
      <x:c r="L2916" s="48" t="str">
        <x:v>OCR</x:v>
      </x:c>
    </x:row>
    <x:row r="2917">
      <x:c r="A2917" s="48" t="str">
        <x:v>UNI-2916</x:v>
      </x:c>
      <x:c r="B2917" s="48" t="str">
        <x:v>SILVER</x:v>
      </x:c>
      <x:c r="C2917" s="48" t="str">
        <x:v>Indonesian</x:v>
      </x:c>
      <x:c r="D2917" s="48" t="n">
        <x:v>55</x:v>
      </x:c>
      <x:c r="E2917" s="48" t="str"/>
      <x:c r="F2917" s="48" t="str">
        <x:v>Kegeguan ARI Kate YA menetap cc MA Bln Ga</x:v>
      </x:c>
      <x:c r="G2917" s="48" t="str">
        <x:v>Obligation</x:v>
      </x:c>
      <x:c r="H2917" s="48" t="str">
        <x:v>Shared</x:v>
      </x:c>
      <x:c r="I2917" s="48" t="n">
        <x:v>0.45</x:v>
      </x:c>
      <x:c r="J2917" s="48" t="n">
        <x:v>0.4</x:v>
      </x:c>
      <x:c r="K2917" s="48" t="str">
        <x:v>Yes</x:v>
      </x:c>
      <x:c r="L2917" s="48" t="str">
        <x:v>OCR</x:v>
      </x:c>
    </x:row>
    <x:row r="2918">
      <x:c r="A2918" s="48" t="str">
        <x:v>UNI-2917</x:v>
      </x:c>
      <x:c r="B2918" s="48" t="str">
        <x:v>SILVER</x:v>
      </x:c>
      <x:c r="C2918" s="48" t="str">
        <x:v>Indonesian</x:v>
      </x:c>
      <x:c r="D2918" s="48" t="n">
        <x:v>55</x:v>
      </x:c>
      <x:c r="E2918" s="48" t="str"/>
      <x:c r="F2918" s="48" t="str">
        <x:v>Menpora Ia yg Saran vas ARI Wr toh Bean Gn La rr</x:v>
      </x:c>
      <x:c r="G2918" s="48" t="str">
        <x:v>Obligation</x:v>
      </x:c>
      <x:c r="H2918" s="48" t="str">
        <x:v>Shared</x:v>
      </x:c>
      <x:c r="I2918" s="48" t="n">
        <x:v>0.45</x:v>
      </x:c>
      <x:c r="J2918" s="48" t="n">
        <x:v>0.4</x:v>
      </x:c>
      <x:c r="K2918" s="48" t="str">
        <x:v>Yes</x:v>
      </x:c>
      <x:c r="L2918" s="48" t="str">
        <x:v>OCR</x:v>
      </x:c>
    </x:row>
    <x:row r="2919">
      <x:c r="A2919" s="48" t="str">
        <x:v>UNI-2918</x:v>
      </x:c>
      <x:c r="B2919" s="48" t="str">
        <x:v>SILVER</x:v>
      </x:c>
      <x:c r="C2919" s="48" t="str">
        <x:v>Indonesian</x:v>
      </x:c>
      <x:c r="D2919" s="48" t="n">
        <x:v>55</x:v>
      </x:c>
      <x:c r="E2919" s="48" t="str"/>
      <x:c r="F2919" s="48" t="str">
        <x:v>keset PESTA as Tara pe di mryrg brapa Won Ss ma Ai</x:v>
      </x:c>
      <x:c r="G2919" s="48" t="str">
        <x:v>Obligation</x:v>
      </x:c>
      <x:c r="H2919" s="48" t="str">
        <x:v>Shared</x:v>
      </x:c>
      <x:c r="I2919" s="48" t="n">
        <x:v>0.45</x:v>
      </x:c>
      <x:c r="J2919" s="48" t="n">
        <x:v>0.4</x:v>
      </x:c>
      <x:c r="K2919" s="48" t="str">
        <x:v>Yes</x:v>
      </x:c>
      <x:c r="L2919" s="48" t="str">
        <x:v>OCR</x:v>
      </x:c>
    </x:row>
    <x:row r="2920">
      <x:c r="A2920" s="48" t="str">
        <x:v>UNI-2919</x:v>
      </x:c>
      <x:c r="B2920" s="48" t="str">
        <x:v>SILVER</x:v>
      </x:c>
      <x:c r="C2920" s="48" t="str">
        <x:v>Indonesian</x:v>
      </x:c>
      <x:c r="D2920" s="48" t="n">
        <x:v>55</x:v>
      </x:c>
      <x:c r="E2920" s="48" t="str"/>
      <x:c r="F2920" s="48" t="str">
        <x:v>Tenan mn abatak Kerusex town doetruan menandingi</x:v>
      </x:c>
      <x:c r="G2920" s="48" t="str">
        <x:v>Obligation</x:v>
      </x:c>
      <x:c r="H2920" s="48" t="str">
        <x:v>Shared</x:v>
      </x:c>
      <x:c r="I2920" s="48" t="n">
        <x:v>0.45</x:v>
      </x:c>
      <x:c r="J2920" s="48" t="n">
        <x:v>0.4</x:v>
      </x:c>
      <x:c r="K2920" s="48" t="str">
        <x:v>Yes</x:v>
      </x:c>
      <x:c r="L2920" s="48" t="str">
        <x:v>OCR</x:v>
      </x:c>
    </x:row>
    <x:row r="2921">
      <x:c r="A2921" s="48" t="str">
        <x:v>UNI-2920</x:v>
      </x:c>
      <x:c r="B2921" s="48" t="str">
        <x:v>SILVER</x:v>
      </x:c>
      <x:c r="C2921" s="48" t="str">
        <x:v>Indonesian</x:v>
      </x:c>
      <x:c r="D2921" s="48" t="n">
        <x:v>55</x:v>
      </x:c>
      <x:c r="E2921" s="48" t="str"/>
      <x:c r="F2921" s="48" t="str">
        <x:v>Peter DOMmena spc mutan ra gan</x:v>
      </x:c>
      <x:c r="G2921" s="48" t="str">
        <x:v>Obligation</x:v>
      </x:c>
      <x:c r="H2921" s="48" t="str">
        <x:v>Shared</x:v>
      </x:c>
      <x:c r="I2921" s="48" t="n">
        <x:v>0.45</x:v>
      </x:c>
      <x:c r="J2921" s="48" t="n">
        <x:v>0.4</x:v>
      </x:c>
      <x:c r="K2921" s="48" t="str">
        <x:v>Yes</x:v>
      </x:c>
      <x:c r="L2921" s="48" t="str">
        <x:v>OCR</x:v>
      </x:c>
    </x:row>
    <x:row r="2922">
      <x:c r="A2922" s="48" t="str">
        <x:v>UNI-2921</x:v>
      </x:c>
      <x:c r="B2922" s="48" t="str">
        <x:v>SILVER</x:v>
      </x:c>
      <x:c r="C2922" s="48" t="str">
        <x:v>Indonesian</x:v>
      </x:c>
      <x:c r="D2922" s="48" t="n">
        <x:v>55</x:v>
      </x:c>
      <x:c r="E2922" s="48" t="str"/>
      <x:c r="F2922" s="48" t="str">
        <x:v>SDA yr Saran naa yr Sarana laa dn bi Karna</x:v>
      </x:c>
      <x:c r="G2922" s="48" t="str">
        <x:v>Obligation</x:v>
      </x:c>
      <x:c r="H2922" s="48" t="str">
        <x:v>Shared</x:v>
      </x:c>
      <x:c r="I2922" s="48" t="n">
        <x:v>0.45</x:v>
      </x:c>
      <x:c r="J2922" s="48" t="n">
        <x:v>0.4</x:v>
      </x:c>
      <x:c r="K2922" s="48" t="str">
        <x:v>Yes</x:v>
      </x:c>
      <x:c r="L2922" s="48" t="str">
        <x:v>OCR</x:v>
      </x:c>
    </x:row>
    <x:row r="2923">
      <x:c r="A2923" s="48" t="str">
        <x:v>UNI-2922</x:v>
      </x:c>
      <x:c r="B2923" s="48" t="str">
        <x:v>SILVER</x:v>
      </x:c>
      <x:c r="C2923" s="48" t="str">
        <x:v>Indonesian</x:v>
      </x:c>
      <x:c r="D2923" s="48" t="n">
        <x:v>55</x:v>
      </x:c>
      <x:c r="E2923" s="48" t="str"/>
      <x:c r="F2923" s="48" t="str">
        <x:v>iman Si lus 1.2 |aga Pata Eka MAL Pegora banana senam (Mob au mean per YG Naa Ds Pra Kera tai Aron So kma 2 Pesat (tra thr lsaknan mar Gt Patam aa agan La ( Peetr. memussan Kogan terapan bagan Lan 1 dat Daratan setganura mena Teca regina hastmt ya Bekatan Kr take Prgg du ptra tear</x:v>
      </x:c>
      <x:c r="G2923" s="48" t="str">
        <x:v>Obligation</x:v>
      </x:c>
      <x:c r="H2923" s="48" t="str">
        <x:v>Shared</x:v>
      </x:c>
      <x:c r="I2923" s="48" t="n">
        <x:v>0.45</x:v>
      </x:c>
      <x:c r="J2923" s="48" t="n">
        <x:v>0.4</x:v>
      </x:c>
      <x:c r="K2923" s="48" t="str">
        <x:v>Yes</x:v>
      </x:c>
      <x:c r="L2923" s="48" t="str">
        <x:v>OCR</x:v>
      </x:c>
    </x:row>
    <x:row r="2924">
      <x:c r="A2924" s="48" t="str">
        <x:v>UNI-2923</x:v>
      </x:c>
      <x:c r="B2924" s="48" t="str">
        <x:v>SILVER</x:v>
      </x:c>
      <x:c r="C2924" s="48" t="str">
        <x:v>Indonesian</x:v>
      </x:c>
      <x:c r="D2924" s="48" t="n">
        <x:v>55</x:v>
      </x:c>
      <x:c r="E2924" s="48" t="str"/>
      <x:c r="F2924" s="48" t="str">
        <x:v>YAK mengental ana ba yrg Beku wan Papan ma</x:v>
      </x:c>
      <x:c r="G2924" s="48" t="str">
        <x:v>Obligation</x:v>
      </x:c>
      <x:c r="H2924" s="48" t="str">
        <x:v>Shared</x:v>
      </x:c>
      <x:c r="I2924" s="48" t="n">
        <x:v>0.45</x:v>
      </x:c>
      <x:c r="J2924" s="48" t="n">
        <x:v>0.4</x:v>
      </x:c>
      <x:c r="K2924" s="48" t="str">
        <x:v>Yes</x:v>
      </x:c>
      <x:c r="L2924" s="48" t="str">
        <x:v>OCR</x:v>
      </x:c>
    </x:row>
    <x:row r="2925">
      <x:c r="A2925" s="48" t="str">
        <x:v>UNI-2924</x:v>
      </x:c>
      <x:c r="B2925" s="48" t="str">
        <x:v>SILVER</x:v>
      </x:c>
      <x:c r="C2925" s="48" t="str">
        <x:v>Indonesian</x:v>
      </x:c>
      <x:c r="D2925" s="48" t="n">
        <x:v>55</x:v>
      </x:c>
      <x:c r="E2925" s="48" t="str"/>
      <x:c r="F2925" s="48" t="str">
        <x:v>KN an Plan Pia Pa ma dana ren pertama</x:v>
      </x:c>
      <x:c r="G2925" s="48" t="str">
        <x:v>Obligation</x:v>
      </x:c>
      <x:c r="H2925" s="48" t="str">
        <x:v>Shared</x:v>
      </x:c>
      <x:c r="I2925" s="48" t="n">
        <x:v>0.45</x:v>
      </x:c>
      <x:c r="J2925" s="48" t="n">
        <x:v>0.4</x:v>
      </x:c>
      <x:c r="K2925" s="48" t="str">
        <x:v>Yes</x:v>
      </x:c>
      <x:c r="L2925" s="48" t="str">
        <x:v>OCR</x:v>
      </x:c>
    </x:row>
    <x:row r="2926">
      <x:c r="A2926" s="48" t="str">
        <x:v>UNI-2925</x:v>
      </x:c>
      <x:c r="B2926" s="48" t="str">
        <x:v>SILVER</x:v>
      </x:c>
      <x:c r="C2926" s="48" t="str">
        <x:v>Indonesian</x:v>
      </x:c>
      <x:c r="D2926" s="48" t="n">
        <x:v>55</x:v>
      </x:c>
      <x:c r="E2926" s="48" t="str"/>
      <x:c r="F2926" s="48" t="str">
        <x:v>Da pemwsrnertonuan serbentan Luwu On meronta" us — Penjogian at C8 mi enakan kn GAN Ta ca Lara</x:v>
      </x:c>
      <x:c r="G2926" s="48" t="str">
        <x:v>Obligation</x:v>
      </x:c>
      <x:c r="H2926" s="48" t="str">
        <x:v>Shared</x:v>
      </x:c>
      <x:c r="I2926" s="48" t="n">
        <x:v>0.45</x:v>
      </x:c>
      <x:c r="J2926" s="48" t="n">
        <x:v>0.4</x:v>
      </x:c>
      <x:c r="K2926" s="48" t="str">
        <x:v>Yes</x:v>
      </x:c>
      <x:c r="L2926" s="48" t="str">
        <x:v>OCR</x:v>
      </x:c>
    </x:row>
    <x:row r="2927">
      <x:c r="A2927" s="48" t="str">
        <x:v>UNI-2926</x:v>
      </x:c>
      <x:c r="B2927" s="48" t="str">
        <x:v>SILVER</x:v>
      </x:c>
      <x:c r="C2927" s="48" t="str">
        <x:v>Indonesian</x:v>
      </x:c>
      <x:c r="D2927" s="48" t="n">
        <x:v>55</x:v>
      </x:c>
      <x:c r="E2927" s="48" t="str"/>
      <x:c r="F2927" s="48" t="str">
        <x:v>Pein Cacat Mutu Gn PerGaru ds mena on Kran Ga mena da La</x:v>
      </x:c>
      <x:c r="G2927" s="48" t="str">
        <x:v>Obligation</x:v>
      </x:c>
      <x:c r="H2927" s="48" t="str">
        <x:v>Shared</x:v>
      </x:c>
      <x:c r="I2927" s="48" t="n">
        <x:v>0.45</x:v>
      </x:c>
      <x:c r="J2927" s="48" t="n">
        <x:v>0.4</x:v>
      </x:c>
      <x:c r="K2927" s="48" t="str">
        <x:v>Yes</x:v>
      </x:c>
      <x:c r="L2927" s="48" t="str">
        <x:v>OCR</x:v>
      </x:c>
    </x:row>
    <x:row r="2928">
      <x:c r="A2928" s="48" t="str">
        <x:v>UNI-2927</x:v>
      </x:c>
      <x:c r="B2928" s="48" t="str">
        <x:v>SILVER</x:v>
      </x:c>
      <x:c r="C2928" s="48" t="str">
        <x:v>Indonesian</x:v>
      </x:c>
      <x:c r="D2928" s="48" t="n">
        <x:v>55</x:v>
      </x:c>
      <x:c r="E2928" s="48" t="str"/>
      <x:c r="F2928" s="48" t="str">
        <x:v>Ik an petaka tin sn reka Mean yng menga Lt ma Ka</x:v>
      </x:c>
      <x:c r="G2928" s="48" t="str">
        <x:v>Obligation</x:v>
      </x:c>
      <x:c r="H2928" s="48" t="str">
        <x:v>Shared</x:v>
      </x:c>
      <x:c r="I2928" s="48" t="n">
        <x:v>0.45</x:v>
      </x:c>
      <x:c r="J2928" s="48" t="n">
        <x:v>0.4</x:v>
      </x:c>
      <x:c r="K2928" s="48" t="str">
        <x:v>Yes</x:v>
      </x:c>
      <x:c r="L2928" s="48" t="str">
        <x:v>OCR</x:v>
      </x:c>
    </x:row>
    <x:row r="2929">
      <x:c r="A2929" s="48" t="str">
        <x:v>UNI-2928</x:v>
      </x:c>
      <x:c r="B2929" s="48" t="str">
        <x:v>SILVER</x:v>
      </x:c>
      <x:c r="C2929" s="48" t="str">
        <x:v>Indonesian</x:v>
      </x:c>
      <x:c r="D2929" s="48" t="n">
        <x:v>55</x:v>
      </x:c>
      <x:c r="E2929" s="48" t="str"/>
      <x:c r="F2929" s="48" t="str">
        <x:v>Ienaan ni Gr merjaatan error UN erangan na Jonan</x:v>
      </x:c>
      <x:c r="G2929" s="48" t="str">
        <x:v>Obligation</x:v>
      </x:c>
      <x:c r="H2929" s="48" t="str">
        <x:v>Shared</x:v>
      </x:c>
      <x:c r="I2929" s="48" t="n">
        <x:v>0.45</x:v>
      </x:c>
      <x:c r="J2929" s="48" t="n">
        <x:v>0.4</x:v>
      </x:c>
      <x:c r="K2929" s="48" t="str">
        <x:v>Yes</x:v>
      </x:c>
      <x:c r="L2929" s="48" t="str">
        <x:v>OCR</x:v>
      </x:c>
    </x:row>
    <x:row r="2930">
      <x:c r="A2930" s="48" t="str">
        <x:v>UNI-2929</x:v>
      </x:c>
      <x:c r="B2930" s="48" t="str">
        <x:v>SILVER</x:v>
      </x:c>
      <x:c r="C2930" s="48" t="str">
        <x:v>Indonesian</x:v>
      </x:c>
      <x:c r="D2930" s="48" t="n">
        <x:v>55</x:v>
      </x:c>
      <x:c r="E2930" s="48" t="str"/>
      <x:c r="F2930" s="48" t="str">
        <x:v>Peran bsa boa prana bagan aga Wo menyewa rian</x:v>
      </x:c>
      <x:c r="G2930" s="48" t="str">
        <x:v>Obligation</x:v>
      </x:c>
      <x:c r="H2930" s="48" t="str">
        <x:v>Shared</x:v>
      </x:c>
      <x:c r="I2930" s="48" t="n">
        <x:v>0.45</x:v>
      </x:c>
      <x:c r="J2930" s="48" t="n">
        <x:v>0.4</x:v>
      </x:c>
      <x:c r="K2930" s="48" t="str">
        <x:v>Yes</x:v>
      </x:c>
      <x:c r="L2930" s="48" t="str">
        <x:v>OCR</x:v>
      </x:c>
    </x:row>
    <x:row r="2931">
      <x:c r="A2931" s="48" t="str">
        <x:v>UNI-2930</x:v>
      </x:c>
      <x:c r="B2931" s="48" t="str">
        <x:v>SILVER</x:v>
      </x:c>
      <x:c r="C2931" s="48" t="str">
        <x:v>Indonesian</x:v>
      </x:c>
      <x:c r="D2931" s="48" t="n">
        <x:v>55</x:v>
      </x:c>
      <x:c r="E2931" s="48" t="str"/>
      <x:c r="F2931" s="48" t="str">
        <x:v>Prgutan Pentopoean etakancaratmaisnonasaneatmencergnlenan</x:v>
      </x:c>
      <x:c r="G2931" s="48" t="str">
        <x:v>Obligation</x:v>
      </x:c>
      <x:c r="H2931" s="48" t="str">
        <x:v>Shared</x:v>
      </x:c>
      <x:c r="I2931" s="48" t="n">
        <x:v>0.45</x:v>
      </x:c>
      <x:c r="J2931" s="48" t="n">
        <x:v>0.4</x:v>
      </x:c>
      <x:c r="K2931" s="48" t="str">
        <x:v>Yes</x:v>
      </x:c>
      <x:c r="L2931" s="48" t="str">
        <x:v>OCR</x:v>
      </x:c>
    </x:row>
    <x:row r="2932">
      <x:c r="A2932" s="48" t="str">
        <x:v>UNI-2931</x:v>
      </x:c>
      <x:c r="B2932" s="48" t="str">
        <x:v>SILVER</x:v>
      </x:c>
      <x:c r="C2932" s="48" t="str">
        <x:v>Indonesian</x:v>
      </x:c>
      <x:c r="D2932" s="48" t="n">
        <x:v>55</x:v>
      </x:c>
      <x:c r="E2932" s="48" t="str"/>
      <x:c r="F2932" s="48" t="str">
        <x:v>tan tanat Peajar, Peroosa Jan ar mana prgarOn tegas Kengatg rn Gn Krn Pemanen du Ge Da peranan (akanbrga yak 2 pama Ge da tenan spot</x:v>
      </x:c>
      <x:c r="G2932" s="48" t="str">
        <x:v>Obligation</x:v>
      </x:c>
      <x:c r="H2932" s="48" t="str">
        <x:v>Shared</x:v>
      </x:c>
      <x:c r="I2932" s="48" t="n">
        <x:v>0.45</x:v>
      </x:c>
      <x:c r="J2932" s="48" t="n">
        <x:v>0.4</x:v>
      </x:c>
      <x:c r="K2932" s="48" t="str">
        <x:v>Yes</x:v>
      </x:c>
      <x:c r="L2932" s="48" t="str">
        <x:v>OCR</x:v>
      </x:c>
    </x:row>
    <x:row r="2933">
      <x:c r="A2933" s="48" t="str">
        <x:v>UNI-2932</x:v>
      </x:c>
      <x:c r="B2933" s="48" t="str">
        <x:v>SILVER</x:v>
      </x:c>
      <x:c r="C2933" s="48" t="str">
        <x:v>Indonesian</x:v>
      </x:c>
      <x:c r="D2933" s="48" t="n">
        <x:v>55</x:v>
      </x:c>
      <x:c r="E2933" s="48" t="str"/>
      <x:c r="F2933" s="48" t="str">
        <x:v>Pergentirona dksrwan ea Seganinan pratetsu id raden</x:v>
      </x:c>
      <x:c r="G2933" s="48" t="str">
        <x:v>Obligation</x:v>
      </x:c>
      <x:c r="H2933" s="48" t="str">
        <x:v>Shared</x:v>
      </x:c>
      <x:c r="I2933" s="48" t="n">
        <x:v>0.45</x:v>
      </x:c>
      <x:c r="J2933" s="48" t="n">
        <x:v>0.4</x:v>
      </x:c>
      <x:c r="K2933" s="48" t="str">
        <x:v>Yes</x:v>
      </x:c>
      <x:c r="L2933" s="48" t="str">
        <x:v>OCR</x:v>
      </x:c>
    </x:row>
    <x:row r="2934">
      <x:c r="A2934" s="48" t="str">
        <x:v>UNI-2933</x:v>
      </x:c>
      <x:c r="B2934" s="48" t="str">
        <x:v>SILVER</x:v>
      </x:c>
      <x:c r="C2934" s="48" t="str">
        <x:v>Indonesian</x:v>
      </x:c>
      <x:c r="D2934" s="48" t="n">
        <x:v>55</x:v>
      </x:c>
      <x:c r="E2934" s="48" t="str"/>
      <x:c r="F2934" s="48" t="str">
        <x:v>PRA MK Sarat hu San drake Gran mt aa</x:v>
      </x:c>
      <x:c r="G2934" s="48" t="str">
        <x:v>Obligation</x:v>
      </x:c>
      <x:c r="H2934" s="48" t="str">
        <x:v>Shared</x:v>
      </x:c>
      <x:c r="I2934" s="48" t="n">
        <x:v>0.45</x:v>
      </x:c>
      <x:c r="J2934" s="48" t="n">
        <x:v>0.4</x:v>
      </x:c>
      <x:c r="K2934" s="48" t="str">
        <x:v>Yes</x:v>
      </x:c>
      <x:c r="L2934" s="48" t="str">
        <x:v>OCR</x:v>
      </x:c>
    </x:row>
    <x:row r="2935">
      <x:c r="A2935" s="48" t="str">
        <x:v>UNI-2934</x:v>
      </x:c>
      <x:c r="B2935" s="48" t="str">
        <x:v>SILVER</x:v>
      </x:c>
      <x:c r="C2935" s="48" t="str">
        <x:v>Indonesian</x:v>
      </x:c>
      <x:c r="D2935" s="48" t="n">
        <x:v>55</x:v>
      </x:c>
      <x:c r="E2935" s="48" t="str"/>
      <x:c r="F2935" s="48" t="str">
        <x:v>De0 Phat yugtennganganan becnawan SD Ka 12 Patasan kesan</x:v>
      </x:c>
      <x:c r="G2935" s="48" t="str">
        <x:v>Obligation</x:v>
      </x:c>
      <x:c r="H2935" s="48" t="str">
        <x:v>Shared</x:v>
      </x:c>
      <x:c r="I2935" s="48" t="n">
        <x:v>0.45</x:v>
      </x:c>
      <x:c r="J2935" s="48" t="n">
        <x:v>0.4</x:v>
      </x:c>
      <x:c r="K2935" s="48" t="str">
        <x:v>Yes</x:v>
      </x:c>
      <x:c r="L2935" s="48" t="str">
        <x:v>OCR</x:v>
      </x:c>
    </x:row>
    <x:row r="2936">
      <x:c r="A2936" s="48" t="str">
        <x:v>UNI-2935</x:v>
      </x:c>
      <x:c r="B2936" s="48" t="str">
        <x:v>SILVER</x:v>
      </x:c>
      <x:c r="C2936" s="48" t="str">
        <x:v>Indonesian</x:v>
      </x:c>
      <x:c r="D2936" s="48" t="n">
        <x:v>56</x:v>
      </x:c>
      <x:c r="E2936" s="48" t="str"/>
      <x:c r="F2936" s="48" t="str">
        <x:v>an kortitor bot tegang</x:v>
      </x:c>
      <x:c r="G2936" s="48" t="str">
        <x:v>Obligation</x:v>
      </x:c>
      <x:c r="H2936" s="48" t="str">
        <x:v>Shared</x:v>
      </x:c>
      <x:c r="I2936" s="48" t="n">
        <x:v>0.45</x:v>
      </x:c>
      <x:c r="J2936" s="48" t="n">
        <x:v>0.4</x:v>
      </x:c>
      <x:c r="K2936" s="48" t="str">
        <x:v>Yes</x:v>
      </x:c>
      <x:c r="L2936" s="48" t="str">
        <x:v>OCR</x:v>
      </x:c>
    </x:row>
    <x:row r="2937">
      <x:c r="A2937" s="48" t="str">
        <x:v>UNI-2936</x:v>
      </x:c>
      <x:c r="B2937" s="48" t="str">
        <x:v>SILVER</x:v>
      </x:c>
      <x:c r="C2937" s="48" t="str">
        <x:v>Indonesian</x:v>
      </x:c>
      <x:c r="D2937" s="48" t="n">
        <x:v>57</x:v>
      </x:c>
      <x:c r="E2937" s="48" t="str"/>
      <x:c r="F2937" s="48" t="str">
        <x:v>(ata ar hai perusantrus data kada Koro: Aoi ang Fi enteridnbon argoketatancenPegaru hea Kratnten renta</x:v>
      </x:c>
      <x:c r="G2937" s="48" t="str">
        <x:v>Obligation</x:v>
      </x:c>
      <x:c r="H2937" s="48" t="str">
        <x:v>Shared</x:v>
      </x:c>
      <x:c r="I2937" s="48" t="n">
        <x:v>0.45</x:v>
      </x:c>
      <x:c r="J2937" s="48" t="n">
        <x:v>0.4</x:v>
      </x:c>
      <x:c r="K2937" s="48" t="str">
        <x:v>Yes</x:v>
      </x:c>
      <x:c r="L2937" s="48" t="str">
        <x:v>OCR</x:v>
      </x:c>
    </x:row>
    <x:row r="2938">
      <x:c r="A2938" s="48" t="str">
        <x:v>UNI-2937</x:v>
      </x:c>
      <x:c r="B2938" s="48" t="str">
        <x:v>SILVER</x:v>
      </x:c>
      <x:c r="C2938" s="48" t="str">
        <x:v>Indonesian</x:v>
      </x:c>
      <x:c r="D2938" s="48" t="n">
        <x:v>57</x:v>
      </x:c>
      <x:c r="E2938" s="48" t="str"/>
      <x:c r="F2938" s="48" t="str">
        <x:v>Letarornalepa Pagar</x:v>
      </x:c>
      <x:c r="G2938" s="48" t="str">
        <x:v>Obligation</x:v>
      </x:c>
      <x:c r="H2938" s="48" t="str">
        <x:v>Shared</x:v>
      </x:c>
      <x:c r="I2938" s="48" t="n">
        <x:v>0.45</x:v>
      </x:c>
      <x:c r="J2938" s="48" t="n">
        <x:v>0.4</x:v>
      </x:c>
      <x:c r="K2938" s="48" t="str">
        <x:v>Yes</x:v>
      </x:c>
      <x:c r="L2938" s="48" t="str">
        <x:v>OCR</x:v>
      </x:c>
    </x:row>
    <x:row r="2939">
      <x:c r="A2939" s="48" t="str">
        <x:v>UNI-2938</x:v>
      </x:c>
      <x:c r="B2939" s="48" t="str">
        <x:v>SILVER</x:v>
      </x:c>
      <x:c r="C2939" s="48" t="str">
        <x:v>Indonesian</x:v>
      </x:c>
      <x:c r="D2939" s="48" t="n">
        <x:v>57</x:v>
      </x:c>
      <x:c r="E2939" s="48" t="str"/>
      <x:c r="F2939" s="48" t="str">
        <x:v>Smu erna pertats1an Prgass bsafuna meraka tedkatan Pot tanu tetanga kan ang ban Seetten don Krn.</x:v>
      </x:c>
      <x:c r="G2939" s="48" t="str">
        <x:v>Obligation</x:v>
      </x:c>
      <x:c r="H2939" s="48" t="str">
        <x:v>Shared</x:v>
      </x:c>
      <x:c r="I2939" s="48" t="n">
        <x:v>0.45</x:v>
      </x:c>
      <x:c r="J2939" s="48" t="n">
        <x:v>0.4</x:v>
      </x:c>
      <x:c r="K2939" s="48" t="str">
        <x:v>Yes</x:v>
      </x:c>
      <x:c r="L2939" s="48" t="str">
        <x:v>OCR</x:v>
      </x:c>
    </x:row>
    <x:row r="2940">
      <x:c r="A2940" s="48" t="str">
        <x:v>UNI-2939</x:v>
      </x:c>
      <x:c r="B2940" s="48" t="str">
        <x:v>SILVER</x:v>
      </x:c>
      <x:c r="C2940" s="48" t="str">
        <x:v>Indonesian</x:v>
      </x:c>
      <x:c r="D2940" s="48" t="n">
        <x:v>57</x:v>
      </x:c>
      <x:c r="E2940" s="48" t="str"/>
      <x:c r="F2940" s="48" t="str">
        <x:v>Perbanas Peran ma Pempang Plan</x:v>
      </x:c>
      <x:c r="G2940" s="48" t="str">
        <x:v>Obligation</x:v>
      </x:c>
      <x:c r="H2940" s="48" t="str">
        <x:v>Shared</x:v>
      </x:c>
      <x:c r="I2940" s="48" t="n">
        <x:v>0.45</x:v>
      </x:c>
      <x:c r="J2940" s="48" t="n">
        <x:v>0.4</x:v>
      </x:c>
      <x:c r="K2940" s="48" t="str">
        <x:v>Yes</x:v>
      </x:c>
      <x:c r="L2940" s="48" t="str">
        <x:v>OCR</x:v>
      </x:c>
    </x:row>
    <x:row r="2941">
      <x:c r="A2941" s="48" t="str">
        <x:v>UNI-2940</x:v>
      </x:c>
      <x:c r="B2941" s="48" t="str">
        <x:v>SILVER</x:v>
      </x:c>
      <x:c r="C2941" s="48" t="str">
        <x:v>Indonesian</x:v>
      </x:c>
      <x:c r="D2941" s="48" t="n">
        <x:v>57</x:v>
      </x:c>
      <x:c r="E2941" s="48" t="str"/>
      <x:c r="F2941" s="48" t="str">
        <x:v>Ak doa dsoeskonenmahks Pentetanan st subropamann</x:v>
      </x:c>
      <x:c r="G2941" s="48" t="str">
        <x:v>Obligation</x:v>
      </x:c>
      <x:c r="H2941" s="48" t="str">
        <x:v>Shared</x:v>
      </x:c>
      <x:c r="I2941" s="48" t="n">
        <x:v>0.45</x:v>
      </x:c>
      <x:c r="J2941" s="48" t="n">
        <x:v>0.4</x:v>
      </x:c>
      <x:c r="K2941" s="48" t="str">
        <x:v>Yes</x:v>
      </x:c>
      <x:c r="L2941" s="48" t="str">
        <x:v>OCR</x:v>
      </x:c>
    </x:row>
    <x:row r="2942">
      <x:c r="A2942" s="48" t="str">
        <x:v>UNI-2941</x:v>
      </x:c>
      <x:c r="B2942" s="48" t="str">
        <x:v>SILVER</x:v>
      </x:c>
      <x:c r="C2942" s="48" t="str">
        <x:v>Indonesian</x:v>
      </x:c>
      <x:c r="D2942" s="48" t="n">
        <x:v>58</x:v>
      </x:c>
      <x:c r="E2942" s="48" t="str"/>
      <x:c r="F2942" s="48" t="str">
        <x:v>lan yag dipake pra Pt, iya Peta ta Bagan Plan</x:v>
      </x:c>
      <x:c r="G2942" s="48" t="str">
        <x:v>Obligation</x:v>
      </x:c>
      <x:c r="H2942" s="48" t="str">
        <x:v>Shared</x:v>
      </x:c>
      <x:c r="I2942" s="48" t="n">
        <x:v>0.45</x:v>
      </x:c>
      <x:c r="J2942" s="48" t="n">
        <x:v>0.4</x:v>
      </x:c>
      <x:c r="K2942" s="48" t="str">
        <x:v>Yes</x:v>
      </x:c>
      <x:c r="L2942" s="48" t="str">
        <x:v>OCR</x:v>
      </x:c>
    </x:row>
    <x:row r="2943">
      <x:c r="A2943" s="48" t="str">
        <x:v>UNI-2942</x:v>
      </x:c>
      <x:c r="B2943" s="48" t="str">
        <x:v>SILVER</x:v>
      </x:c>
      <x:c r="C2943" s="48" t="str">
        <x:v>Indonesian</x:v>
      </x:c>
      <x:c r="D2943" s="48" t="n">
        <x:v>58</x:v>
      </x:c>
      <x:c r="E2943" s="48" t="str"/>
      <x:c r="F2943" s="48" t="str">
        <x:v>Sa duta yan br rda San enda Pan</x:v>
      </x:c>
      <x:c r="G2943" s="48" t="str">
        <x:v>Obligation</x:v>
      </x:c>
      <x:c r="H2943" s="48" t="str">
        <x:v>Shared</x:v>
      </x:c>
      <x:c r="I2943" s="48" t="n">
        <x:v>0.45</x:v>
      </x:c>
      <x:c r="J2943" s="48" t="n">
        <x:v>0.4</x:v>
      </x:c>
      <x:c r="K2943" s="48" t="str">
        <x:v>Yes</x:v>
      </x:c>
      <x:c r="L2943" s="48" t="str">
        <x:v>OCR</x:v>
      </x:c>
    </x:row>
    <x:row r="2944">
      <x:c r="A2944" s="48" t="str">
        <x:v>UNI-2943</x:v>
      </x:c>
      <x:c r="B2944" s="48" t="str">
        <x:v>SILVER</x:v>
      </x:c>
      <x:c r="C2944" s="48" t="str">
        <x:v>Indonesian</x:v>
      </x:c>
      <x:c r="D2944" s="48" t="n">
        <x:v>58</x:v>
      </x:c>
      <x:c r="E2944" s="48" t="str"/>
      <x:c r="F2944" s="48" t="str">
        <x:v>Pangan wi Ex Prank bk Prof Sabah Peykosan</x:v>
      </x:c>
      <x:c r="G2944" s="48" t="str">
        <x:v>Obligation</x:v>
      </x:c>
      <x:c r="H2944" s="48" t="str">
        <x:v>Shared</x:v>
      </x:c>
      <x:c r="I2944" s="48" t="n">
        <x:v>0.45</x:v>
      </x:c>
      <x:c r="J2944" s="48" t="n">
        <x:v>0.4</x:v>
      </x:c>
      <x:c r="K2944" s="48" t="str">
        <x:v>Yes</x:v>
      </x:c>
      <x:c r="L2944" s="48" t="str">
        <x:v>OCR</x:v>
      </x:c>
    </x:row>
    <x:row r="2945">
      <x:c r="A2945" s="48" t="str">
        <x:v>UNI-2944</x:v>
      </x:c>
      <x:c r="B2945" s="48" t="str">
        <x:v>SILVER</x:v>
      </x:c>
      <x:c r="C2945" s="48" t="str">
        <x:v>Indonesian</x:v>
      </x:c>
      <x:c r="D2945" s="48" t="n">
        <x:v>58</x:v>
      </x:c>
      <x:c r="E2945" s="48" t="str"/>
      <x:c r="F2945" s="48" t="str">
        <x:v>megan PI ai Sin Oa Daan Pkn yag Bam</x:v>
      </x:c>
      <x:c r="G2945" s="48" t="str">
        <x:v>Obligation</x:v>
      </x:c>
      <x:c r="H2945" s="48" t="str">
        <x:v>Shared</x:v>
      </x:c>
      <x:c r="I2945" s="48" t="n">
        <x:v>0.45</x:v>
      </x:c>
      <x:c r="J2945" s="48" t="n">
        <x:v>0.4</x:v>
      </x:c>
      <x:c r="K2945" s="48" t="str">
        <x:v>Yes</x:v>
      </x:c>
      <x:c r="L2945" s="48" t="str">
        <x:v>OCR</x:v>
      </x:c>
    </x:row>
    <x:row r="2946">
      <x:c r="A2946" s="48" t="str">
        <x:v>UNI-2945</x:v>
      </x:c>
      <x:c r="B2946" s="48" t="str">
        <x:v>SILVER</x:v>
      </x:c>
      <x:c r="C2946" s="48" t="str">
        <x:v>Indonesian</x:v>
      </x:c>
      <x:c r="D2946" s="48" t="n">
        <x:v>58</x:v>
      </x:c>
      <x:c r="E2946" s="48" t="str"/>
      <x:c r="F2946" s="48" t="str">
        <x:v>Sekam petaan ar aan Gor co</x:v>
      </x:c>
      <x:c r="G2946" s="48" t="str">
        <x:v>Obligation</x:v>
      </x:c>
      <x:c r="H2946" s="48" t="str">
        <x:v>Shared</x:v>
      </x:c>
      <x:c r="I2946" s="48" t="n">
        <x:v>0.45</x:v>
      </x:c>
      <x:c r="J2946" s="48" t="n">
        <x:v>0.4</x:v>
      </x:c>
      <x:c r="K2946" s="48" t="str">
        <x:v>Yes</x:v>
      </x:c>
      <x:c r="L2946" s="48" t="str">
        <x:v>OCR</x:v>
      </x:c>
    </x:row>
    <x:row r="2947">
      <x:c r="A2947" s="48" t="str">
        <x:v>UNI-2946</x:v>
      </x:c>
      <x:c r="B2947" s="48" t="str">
        <x:v>SILVER</x:v>
      </x:c>
      <x:c r="C2947" s="48" t="str">
        <x:v>Indonesian</x:v>
      </x:c>
      <x:c r="D2947" s="48" t="n">
        <x:v>58</x:v>
      </x:c>
      <x:c r="E2947" s="48" t="str"/>
      <x:c r="F2947" s="48" t="str">
        <x:v>muntah Pra serueya pa menit ergdan yr ga Can Prafan “Sen Pnykasn Peta das tebang Pon bi rak Gr, rta degan Menhan ar teman mrgsenan tia an suro setan bu kgagn Peran Uang Geraan dp ompaP rt Wa Ga ay sa (GG Ka 112</x:v>
      </x:c>
      <x:c r="G2947" s="48" t="str">
        <x:v>Obligation</x:v>
      </x:c>
      <x:c r="H2947" s="48" t="str">
        <x:v>Shared</x:v>
      </x:c>
      <x:c r="I2947" s="48" t="n">
        <x:v>0.45</x:v>
      </x:c>
      <x:c r="J2947" s="48" t="n">
        <x:v>0.4</x:v>
      </x:c>
      <x:c r="K2947" s="48" t="str">
        <x:v>Yes</x:v>
      </x:c>
      <x:c r="L2947" s="48" t="str">
        <x:v>OCR</x:v>
      </x:c>
    </x:row>
    <x:row r="2948">
      <x:c r="A2948" s="48" t="str">
        <x:v>UNI-2947</x:v>
      </x:c>
      <x:c r="B2948" s="48" t="str">
        <x:v>SILVER</x:v>
      </x:c>
      <x:c r="C2948" s="48" t="str">
        <x:v>Indonesian</x:v>
      </x:c>
      <x:c r="D2948" s="48" t="n">
        <x:v>58</x:v>
      </x:c>
      <x:c r="E2948" s="48" t="str"/>
      <x:c r="F2948" s="48" t="str">
        <x:v>Wina Putatan Cat MA dn menatan Prog Ji mangan Ba</x:v>
      </x:c>
      <x:c r="G2948" s="48" t="str">
        <x:v>Obligation</x:v>
      </x:c>
      <x:c r="H2948" s="48" t="str">
        <x:v>Shared</x:v>
      </x:c>
      <x:c r="I2948" s="48" t="n">
        <x:v>0.45</x:v>
      </x:c>
      <x:c r="J2948" s="48" t="n">
        <x:v>0.4</x:v>
      </x:c>
      <x:c r="K2948" s="48" t="str">
        <x:v>Yes</x:v>
      </x:c>
      <x:c r="L2948" s="48" t="str">
        <x:v>OCR</x:v>
      </x:c>
    </x:row>
    <x:row r="2949">
      <x:c r="A2949" s="48" t="str">
        <x:v>UNI-2948</x:v>
      </x:c>
      <x:c r="B2949" s="48" t="str">
        <x:v>SILVER</x:v>
      </x:c>
      <x:c r="C2949" s="48" t="str">
        <x:v>Indonesian</x:v>
      </x:c>
      <x:c r="D2949" s="48" t="n">
        <x:v>58</x:v>
      </x:c>
      <x:c r="E2949" s="48" t="str"/>
      <x:c r="F2949" s="48" t="str">
        <x:v>'arttan rere eraaslan So a25 ace Angara sadrana mara bga mebuorsaPrgara Ja.</x:v>
      </x:c>
      <x:c r="G2949" s="48" t="str">
        <x:v>Obligation</x:v>
      </x:c>
      <x:c r="H2949" s="48" t="str">
        <x:v>Shared</x:v>
      </x:c>
      <x:c r="I2949" s="48" t="n">
        <x:v>0.45</x:v>
      </x:c>
      <x:c r="J2949" s="48" t="n">
        <x:v>0.4</x:v>
      </x:c>
      <x:c r="K2949" s="48" t="str">
        <x:v>Yes</x:v>
      </x:c>
      <x:c r="L2949" s="48" t="str">
        <x:v>OCR</x:v>
      </x:c>
    </x:row>
    <x:row r="2950">
      <x:c r="A2950" s="48" t="str">
        <x:v>UNI-2949</x:v>
      </x:c>
      <x:c r="B2950" s="48" t="str">
        <x:v>SILVER</x:v>
      </x:c>
      <x:c r="C2950" s="48" t="str">
        <x:v>Indonesian</x:v>
      </x:c>
      <x:c r="D2950" s="48" t="n">
        <x:v>58</x:v>
      </x:c>
      <x:c r="E2950" s="48" t="str"/>
      <x:c r="F2950" s="48" t="str">
        <x:v>“dak Lo Pngujan (8 Pkn is atu Bagan Peta, Kk ba la si Ss Shan</x:v>
      </x:c>
      <x:c r="G2950" s="48" t="str">
        <x:v>Obligation</x:v>
      </x:c>
      <x:c r="H2950" s="48" t="str">
        <x:v>Shared</x:v>
      </x:c>
      <x:c r="I2950" s="48" t="n">
        <x:v>0.45</x:v>
      </x:c>
      <x:c r="J2950" s="48" t="n">
        <x:v>0.4</x:v>
      </x:c>
      <x:c r="K2950" s="48" t="str">
        <x:v>Yes</x:v>
      </x:c>
      <x:c r="L2950" s="48" t="str">
        <x:v>OCR</x:v>
      </x:c>
    </x:row>
    <x:row r="2951">
      <x:c r="A2951" s="48" t="str">
        <x:v>UNI-2950</x:v>
      </x:c>
      <x:c r="B2951" s="48" t="str">
        <x:v>SILVER</x:v>
      </x:c>
      <x:c r="C2951" s="48" t="str">
        <x:v>Indonesian</x:v>
      </x:c>
      <x:c r="D2951" s="48" t="n">
        <x:v>58</x:v>
      </x:c>
      <x:c r="E2951" s="48" t="str"/>
      <x:c r="F2951" s="48" t="str">
        <x:v>Paran Soma Pykaaan Pra</x:v>
      </x:c>
      <x:c r="G2951" s="48" t="str">
        <x:v>Obligation</x:v>
      </x:c>
      <x:c r="H2951" s="48" t="str">
        <x:v>Shared</x:v>
      </x:c>
      <x:c r="I2951" s="48" t="n">
        <x:v>0.45</x:v>
      </x:c>
      <x:c r="J2951" s="48" t="n">
        <x:v>0.4</x:v>
      </x:c>
      <x:c r="K2951" s="48" t="str">
        <x:v>Yes</x:v>
      </x:c>
      <x:c r="L2951" s="48" t="str">
        <x:v>OCR</x:v>
      </x:c>
    </x:row>
    <x:row r="2952">
      <x:c r="A2952" s="48" t="str">
        <x:v>UNI-2951</x:v>
      </x:c>
      <x:c r="B2952" s="48" t="str">
        <x:v>SILVER</x:v>
      </x:c>
      <x:c r="C2952" s="48" t="str">
        <x:v>Indonesian</x:v>
      </x:c>
      <x:c r="D2952" s="48" t="n">
        <x:v>58</x:v>
      </x:c>
      <x:c r="E2952" s="48" t="str"/>
      <x:c r="F2952" s="48" t="str">
        <x:v>(ST ar lha yng Ghoul star tea kera ika gan many Ie mean Dnangenya Beras ae</x:v>
      </x:c>
      <x:c r="G2952" s="48" t="str">
        <x:v>Obligation</x:v>
      </x:c>
      <x:c r="H2952" s="48" t="str">
        <x:v>Shared</x:v>
      </x:c>
      <x:c r="I2952" s="48" t="n">
        <x:v>0.45</x:v>
      </x:c>
      <x:c r="J2952" s="48" t="n">
        <x:v>0.4</x:v>
      </x:c>
      <x:c r="K2952" s="48" t="str">
        <x:v>Yes</x:v>
      </x:c>
      <x:c r="L2952" s="48" t="str">
        <x:v>OCR</x:v>
      </x:c>
    </x:row>
    <x:row r="2953">
      <x:c r="A2953" s="48" t="str">
        <x:v>UNI-2952</x:v>
      </x:c>
      <x:c r="B2953" s="48" t="str">
        <x:v>SILVER</x:v>
      </x:c>
      <x:c r="C2953" s="48" t="str">
        <x:v>Indonesian</x:v>
      </x:c>
      <x:c r="D2953" s="48" t="n">
        <x:v>58</x:v>
      </x:c>
      <x:c r="E2953" s="48" t="str"/>
      <x:c r="F2953" s="48" t="str">
        <x:v>Kerak dn</x:v>
      </x:c>
      <x:c r="G2953" s="48" t="str">
        <x:v>Obligation</x:v>
      </x:c>
      <x:c r="H2953" s="48" t="str">
        <x:v>Shared</x:v>
      </x:c>
      <x:c r="I2953" s="48" t="n">
        <x:v>0.45</x:v>
      </x:c>
      <x:c r="J2953" s="48" t="n">
        <x:v>0.4</x:v>
      </x:c>
      <x:c r="K2953" s="48" t="str">
        <x:v>Yes</x:v>
      </x:c>
      <x:c r="L2953" s="48" t="str">
        <x:v>OCR</x:v>
      </x:c>
    </x:row>
    <x:row r="2954">
      <x:c r="A2954" s="48" t="str">
        <x:v>UNI-2953</x:v>
      </x:c>
      <x:c r="B2954" s="48" t="str">
        <x:v>SILVER</x:v>
      </x:c>
      <x:c r="C2954" s="48" t="str">
        <x:v>Indonesian</x:v>
      </x:c>
      <x:c r="D2954" s="48" t="n">
        <x:v>58</x:v>
      </x:c>
      <x:c r="E2954" s="48" t="str">
        <x:v>1</x:v>
      </x:c>
      <x:c r="F2954" s="48" t="str">
        <x:v>1 omar mantmar mh tan ec PGA ran amar mua senang Pelosa, as ti Bgon Pkajan tata drop es</x:v>
      </x:c>
      <x:c r="G2954" s="48" t="str">
        <x:v>Heading</x:v>
      </x:c>
      <x:c r="H2954" s="48" t="str"/>
      <x:c r="I2954" s="48" t="n">
        <x:v>0.9</x:v>
      </x:c>
      <x:c r="J2954" s="48" t="n">
        <x:v>0.99</x:v>
      </x:c>
      <x:c r="K2954" s="48" t="str">
        <x:v>No</x:v>
      </x:c>
      <x:c r="L2954" s="48" t="str">
        <x:v>OCR</x:v>
      </x:c>
    </x:row>
    <x:row r="2955">
      <x:c r="A2955" s="48" t="str">
        <x:v>UNI-2954</x:v>
      </x:c>
      <x:c r="B2955" s="48" t="str">
        <x:v>SILVER</x:v>
      </x:c>
      <x:c r="C2955" s="48" t="str">
        <x:v>Indonesian</x:v>
      </x:c>
      <x:c r="D2955" s="48" t="n">
        <x:v>58</x:v>
      </x:c>
      <x:c r="E2955" s="48" t="str"/>
      <x:c r="F2955" s="48" t="str">
        <x:v>Pan Persen ferar</x:v>
      </x:c>
      <x:c r="G2955" s="48" t="str">
        <x:v>Obligation</x:v>
      </x:c>
      <x:c r="H2955" s="48" t="str">
        <x:v>Shared</x:v>
      </x:c>
      <x:c r="I2955" s="48" t="n">
        <x:v>0.45</x:v>
      </x:c>
      <x:c r="J2955" s="48" t="n">
        <x:v>0.4</x:v>
      </x:c>
      <x:c r="K2955" s="48" t="str">
        <x:v>Yes</x:v>
      </x:c>
      <x:c r="L2955" s="48" t="str">
        <x:v>OCR</x:v>
      </x:c>
    </x:row>
    <x:row r="2956">
      <x:c r="A2956" s="48" t="str">
        <x:v>UNI-2955</x:v>
      </x:c>
      <x:c r="B2956" s="48" t="str">
        <x:v>SILVER</x:v>
      </x:c>
      <x:c r="C2956" s="48" t="str">
        <x:v>Indonesian</x:v>
      </x:c>
      <x:c r="D2956" s="48" t="n">
        <x:v>58</x:v>
      </x:c>
      <x:c r="E2956" s="48" t="str"/>
      <x:c r="F2956" s="48" t="str">
        <x:v>ata Pen at Ban Pesan Kh Wat Prgan Setan</x:v>
      </x:c>
      <x:c r="G2956" s="48" t="str">
        <x:v>Obligation</x:v>
      </x:c>
      <x:c r="H2956" s="48" t="str">
        <x:v>Shared</x:v>
      </x:c>
      <x:c r="I2956" s="48" t="n">
        <x:v>0.45</x:v>
      </x:c>
      <x:c r="J2956" s="48" t="n">
        <x:v>0.4</x:v>
      </x:c>
      <x:c r="K2956" s="48" t="str">
        <x:v>Yes</x:v>
      </x:c>
      <x:c r="L2956" s="48" t="str">
        <x:v>OCR</x:v>
      </x:c>
    </x:row>
    <x:row r="2957">
      <x:c r="A2957" s="48" t="str">
        <x:v>UNI-2956</x:v>
      </x:c>
      <x:c r="B2957" s="48" t="str">
        <x:v>SILVER</x:v>
      </x:c>
      <x:c r="C2957" s="48" t="str">
        <x:v>Indonesian</x:v>
      </x:c>
      <x:c r="D2957" s="48" t="n">
        <x:v>58</x:v>
      </x:c>
      <x:c r="E2957" s="48" t="str"/>
      <x:c r="F2957" s="48" t="str">
        <x:v>Atasan Pera Gan tok mergundan urak melan peyean</x:v>
      </x:c>
      <x:c r="G2957" s="48" t="str">
        <x:v>Obligation</x:v>
      </x:c>
      <x:c r="H2957" s="48" t="str">
        <x:v>Shared</x:v>
      </x:c>
      <x:c r="I2957" s="48" t="n">
        <x:v>0.45</x:v>
      </x:c>
      <x:c r="J2957" s="48" t="n">
        <x:v>0.4</x:v>
      </x:c>
      <x:c r="K2957" s="48" t="str">
        <x:v>Yes</x:v>
      </x:c>
      <x:c r="L2957" s="48" t="str">
        <x:v>OCR</x:v>
      </x:c>
    </x:row>
    <x:row r="2958">
      <x:c r="A2958" s="48" t="str">
        <x:v>UNI-2957</x:v>
      </x:c>
      <x:c r="B2958" s="48" t="str">
        <x:v>SILVER</x:v>
      </x:c>
      <x:c r="C2958" s="48" t="str">
        <x:v>Indonesian</x:v>
      </x:c>
      <x:c r="D2958" s="48" t="n">
        <x:v>58</x:v>
      </x:c>
      <x:c r="E2958" s="48" t="str"/>
      <x:c r="F2958" s="48" t="str">
        <x:v>(lp echo troco Pora ta aan Fan trs.</x:v>
      </x:c>
      <x:c r="G2958" s="48" t="str">
        <x:v>Obligation</x:v>
      </x:c>
      <x:c r="H2958" s="48" t="str">
        <x:v>Shared</x:v>
      </x:c>
      <x:c r="I2958" s="48" t="n">
        <x:v>0.45</x:v>
      </x:c>
      <x:c r="J2958" s="48" t="n">
        <x:v>0.4</x:v>
      </x:c>
      <x:c r="K2958" s="48" t="str">
        <x:v>Yes</x:v>
      </x:c>
      <x:c r="L2958" s="48" t="str">
        <x:v>OCR</x:v>
      </x:c>
    </x:row>
    <x:row r="2959">
      <x:c r="A2959" s="48" t="str">
        <x:v>UNI-2958</x:v>
      </x:c>
      <x:c r="B2959" s="48" t="str">
        <x:v>SILVER</x:v>
      </x:c>
      <x:c r="C2959" s="48" t="str">
        <x:v>Indonesian</x:v>
      </x:c>
      <x:c r="D2959" s="48" t="n">
        <x:v>58</x:v>
      </x:c>
      <x:c r="E2959" s="48" t="str"/>
      <x:c r="F2959" s="48" t="str">
        <x:v>Kerta eat eta ji sanrar PergaJu btwa lur rang Glen</x:v>
      </x:c>
      <x:c r="G2959" s="48" t="str">
        <x:v>Obligation</x:v>
      </x:c>
      <x:c r="H2959" s="48" t="str">
        <x:v>Shared</x:v>
      </x:c>
      <x:c r="I2959" s="48" t="n">
        <x:v>0.45</x:v>
      </x:c>
      <x:c r="J2959" s="48" t="n">
        <x:v>0.4</x:v>
      </x:c>
      <x:c r="K2959" s="48" t="str">
        <x:v>Yes</x:v>
      </x:c>
      <x:c r="L2959" s="48" t="str">
        <x:v>OCR</x:v>
      </x:c>
    </x:row>
    <x:row r="2960">
      <x:c r="A2960" s="48" t="str">
        <x:v>UNI-2959</x:v>
      </x:c>
      <x:c r="B2960" s="48" t="str">
        <x:v>SILVER</x:v>
      </x:c>
      <x:c r="C2960" s="48" t="str">
        <x:v>Indonesian</x:v>
      </x:c>
      <x:c r="D2960" s="48" t="n">
        <x:v>58</x:v>
      </x:c>
      <x:c r="E2960" s="48" t="str"/>
      <x:c r="F2960" s="48" t="str">
        <x:v>Peamodiastogo panah memb tnNeua aa gakrnIan</x:v>
      </x:c>
      <x:c r="G2960" s="48" t="str">
        <x:v>Obligation</x:v>
      </x:c>
      <x:c r="H2960" s="48" t="str">
        <x:v>Shared</x:v>
      </x:c>
      <x:c r="I2960" s="48" t="n">
        <x:v>0.45</x:v>
      </x:c>
      <x:c r="J2960" s="48" t="n">
        <x:v>0.4</x:v>
      </x:c>
      <x:c r="K2960" s="48" t="str">
        <x:v>Yes</x:v>
      </x:c>
      <x:c r="L2960" s="48" t="str">
        <x:v>OCR</x:v>
      </x:c>
    </x:row>
    <x:row r="2961">
      <x:c r="A2961" s="48" t="str">
        <x:v>UNI-2960</x:v>
      </x:c>
      <x:c r="B2961" s="48" t="str">
        <x:v>SILVER</x:v>
      </x:c>
      <x:c r="C2961" s="48" t="str">
        <x:v>Indonesian</x:v>
      </x:c>
      <x:c r="D2961" s="48" t="n">
        <x:v>58</x:v>
      </x:c>
      <x:c r="E2961" s="48" t="str"/>
      <x:c r="F2961" s="48" t="str">
        <x:v>Mede Prgara Ina Kol merias kt ontnngg pundak</x:v>
      </x:c>
      <x:c r="G2961" s="48" t="str">
        <x:v>Obligation</x:v>
      </x:c>
      <x:c r="H2961" s="48" t="str">
        <x:v>Shared</x:v>
      </x:c>
      <x:c r="I2961" s="48" t="n">
        <x:v>0.45</x:v>
      </x:c>
      <x:c r="J2961" s="48" t="n">
        <x:v>0.4</x:v>
      </x:c>
      <x:c r="K2961" s="48" t="str">
        <x:v>Yes</x:v>
      </x:c>
      <x:c r="L2961" s="48" t="str">
        <x:v>OCR</x:v>
      </x:c>
    </x:row>
    <x:row r="2962">
      <x:c r="A2962" s="48" t="str">
        <x:v>UNI-2961</x:v>
      </x:c>
      <x:c r="B2962" s="48" t="str">
        <x:v>SILVER</x:v>
      </x:c>
      <x:c r="C2962" s="48" t="str">
        <x:v>Indonesian</x:v>
      </x:c>
      <x:c r="D2962" s="48" t="n">
        <x:v>58</x:v>
      </x:c>
      <x:c r="E2962" s="48" t="str"/>
      <x:c r="F2962" s="48" t="str">
        <x:v>MAGETAN DENEON G Drafan NA me Pagu.</x:v>
      </x:c>
      <x:c r="G2962" s="48" t="str">
        <x:v>Obligation</x:v>
      </x:c>
      <x:c r="H2962" s="48" t="str">
        <x:v>Shared</x:v>
      </x:c>
      <x:c r="I2962" s="48" t="n">
        <x:v>0.45</x:v>
      </x:c>
      <x:c r="J2962" s="48" t="n">
        <x:v>0.4</x:v>
      </x:c>
      <x:c r="K2962" s="48" t="str">
        <x:v>Yes</x:v>
      </x:c>
      <x:c r="L2962" s="48" t="str">
        <x:v>OCR</x:v>
      </x:c>
    </x:row>
    <x:row r="2963">
      <x:c r="A2963" s="48" t="str">
        <x:v>UNI-2962</x:v>
      </x:c>
      <x:c r="B2963" s="48" t="str">
        <x:v>SILVER</x:v>
      </x:c>
      <x:c r="C2963" s="48" t="str">
        <x:v>Indonesian</x:v>
      </x:c>
      <x:c r="D2963" s="48" t="n">
        <x:v>58</x:v>
      </x:c>
      <x:c r="E2963" s="48" t="str"/>
      <x:c r="F2963" s="48" t="str">
        <x:v>(am mn nga preman Deretan ng Gara aa Gan ng rara Porgora daa pda var dara brt Ig Pegat</x:v>
      </x:c>
      <x:c r="G2963" s="48" t="str">
        <x:v>Obligation</x:v>
      </x:c>
      <x:c r="H2963" s="48" t="str">
        <x:v>Shared</x:v>
      </x:c>
      <x:c r="I2963" s="48" t="n">
        <x:v>0.45</x:v>
      </x:c>
      <x:c r="J2963" s="48" t="n">
        <x:v>0.4</x:v>
      </x:c>
      <x:c r="K2963" s="48" t="str">
        <x:v>Yes</x:v>
      </x:c>
      <x:c r="L2963" s="48" t="str">
        <x:v>OCR</x:v>
      </x:c>
    </x:row>
    <x:row r="2964">
      <x:c r="A2964" s="48" t="str">
        <x:v>UNI-2963</x:v>
      </x:c>
      <x:c r="B2964" s="48" t="str">
        <x:v>SILVER</x:v>
      </x:c>
      <x:c r="C2964" s="48" t="str">
        <x:v>Indonesian</x:v>
      </x:c>
      <x:c r="D2964" s="48" t="n">
        <x:v>58</x:v>
      </x:c>
      <x:c r="E2964" s="48" t="str"/>
      <x:c r="F2964" s="48" t="str">
        <x:v>Dhan mg ain Krn merem eren beta Man</x:v>
      </x:c>
      <x:c r="G2964" s="48" t="str">
        <x:v>Obligation</x:v>
      </x:c>
      <x:c r="H2964" s="48" t="str">
        <x:v>Shared</x:v>
      </x:c>
      <x:c r="I2964" s="48" t="n">
        <x:v>0.45</x:v>
      </x:c>
      <x:c r="J2964" s="48" t="n">
        <x:v>0.4</x:v>
      </x:c>
      <x:c r="K2964" s="48" t="str">
        <x:v>Yes</x:v>
      </x:c>
      <x:c r="L2964" s="48" t="str">
        <x:v>OCR</x:v>
      </x:c>
    </x:row>
    <x:row r="2965">
      <x:c r="A2965" s="48" t="str">
        <x:v>UNI-2964</x:v>
      </x:c>
      <x:c r="B2965" s="48" t="str">
        <x:v>SILVER</x:v>
      </x:c>
      <x:c r="C2965" s="48" t="str">
        <x:v>Indonesian</x:v>
      </x:c>
      <x:c r="D2965" s="48" t="n">
        <x:v>58</x:v>
      </x:c>
      <x:c r="E2965" s="48" t="str"/>
      <x:c r="F2965" s="48" t="str">
        <x:v>Pentataan Ceri: Korea ui bean stan rb Gen</x:v>
      </x:c>
      <x:c r="G2965" s="48" t="str">
        <x:v>Obligation</x:v>
      </x:c>
      <x:c r="H2965" s="48" t="str">
        <x:v>Shared</x:v>
      </x:c>
      <x:c r="I2965" s="48" t="n">
        <x:v>0.45</x:v>
      </x:c>
      <x:c r="J2965" s="48" t="n">
        <x:v>0.4</x:v>
      </x:c>
      <x:c r="K2965" s="48" t="str">
        <x:v>Yes</x:v>
      </x:c>
      <x:c r="L2965" s="48" t="str">
        <x:v>OCR</x:v>
      </x:c>
    </x:row>
    <x:row r="2966">
      <x:c r="A2966" s="48" t="str">
        <x:v>UNI-2965</x:v>
      </x:c>
      <x:c r="B2966" s="48" t="str">
        <x:v>SILVER</x:v>
      </x:c>
      <x:c r="C2966" s="48" t="str">
        <x:v>Indonesian</x:v>
      </x:c>
      <x:c r="D2966" s="48" t="n">
        <x:v>58</x:v>
      </x:c>
      <x:c r="E2966" s="48" t="str"/>
      <x:c r="F2966" s="48" t="str">
        <x:v>Aan maag Pera Bana MA Mura Ba OPO</x:v>
      </x:c>
      <x:c r="G2966" s="48" t="str">
        <x:v>Obligation</x:v>
      </x:c>
      <x:c r="H2966" s="48" t="str">
        <x:v>Shared</x:v>
      </x:c>
      <x:c r="I2966" s="48" t="n">
        <x:v>0.45</x:v>
      </x:c>
      <x:c r="J2966" s="48" t="n">
        <x:v>0.4</x:v>
      </x:c>
      <x:c r="K2966" s="48" t="str">
        <x:v>Yes</x:v>
      </x:c>
      <x:c r="L2966" s="48" t="str">
        <x:v>OCR</x:v>
      </x:c>
    </x:row>
    <x:row r="2967">
      <x:c r="A2967" s="48" t="str">
        <x:v>UNI-2966</x:v>
      </x:c>
      <x:c r="B2967" s="48" t="str">
        <x:v>SILVER</x:v>
      </x:c>
      <x:c r="C2967" s="48" t="str">
        <x:v>Indonesian</x:v>
      </x:c>
      <x:c r="D2967" s="48" t="n">
        <x:v>58</x:v>
      </x:c>
      <x:c r="E2967" s="48" t="str"/>
      <x:c r="F2967" s="48" t="str">
        <x:v>Sta penpsotan Puspen</x:v>
      </x:c>
      <x:c r="G2967" s="48" t="str">
        <x:v>Obligation</x:v>
      </x:c>
      <x:c r="H2967" s="48" t="str">
        <x:v>Shared</x:v>
      </x:c>
      <x:c r="I2967" s="48" t="n">
        <x:v>0.45</x:v>
      </x:c>
      <x:c r="J2967" s="48" t="n">
        <x:v>0.4</x:v>
      </x:c>
      <x:c r="K2967" s="48" t="str">
        <x:v>Yes</x:v>
      </x:c>
      <x:c r="L2967" s="48" t="str">
        <x:v>OCR</x:v>
      </x:c>
    </x:row>
    <x:row r="2968">
      <x:c r="A2968" s="48" t="str">
        <x:v>UNI-2967</x:v>
      </x:c>
      <x:c r="B2968" s="48" t="str">
        <x:v>SILVER</x:v>
      </x:c>
      <x:c r="C2968" s="48" t="str">
        <x:v>Indonesian</x:v>
      </x:c>
      <x:c r="D2968" s="48" t="n">
        <x:v>58</x:v>
      </x:c>
      <x:c r="E2968" s="48" t="str"/>
      <x:c r="F2968" s="48" t="str">
        <x:v>kebawa mengaaten Doa natan pd ka larut yang aa PNG an penba on mana AN rosa “</x:v>
      </x:c>
      <x:c r="G2968" s="48" t="str">
        <x:v>Obligation</x:v>
      </x:c>
      <x:c r="H2968" s="48" t="str">
        <x:v>Shared</x:v>
      </x:c>
      <x:c r="I2968" s="48" t="n">
        <x:v>0.45</x:v>
      </x:c>
      <x:c r="J2968" s="48" t="n">
        <x:v>0.4</x:v>
      </x:c>
      <x:c r="K2968" s="48" t="str">
        <x:v>Yes</x:v>
      </x:c>
      <x:c r="L2968" s="48" t="str">
        <x:v>OCR</x:v>
      </x:c>
    </x:row>
    <x:row r="2969">
      <x:c r="A2969" s="48" t="str">
        <x:v>UNI-2968</x:v>
      </x:c>
      <x:c r="B2969" s="48" t="str">
        <x:v>SILVER</x:v>
      </x:c>
      <x:c r="C2969" s="48" t="str">
        <x:v>Indonesian</x:v>
      </x:c>
      <x:c r="D2969" s="48" t="n">
        <x:v>59</x:v>
      </x:c>
      <x:c r="E2969" s="48" t="str"/>
      <x:c r="F2969" s="48" t="str">
        <x:v>Ns ea dear Den Pre ban et utk cara Data</x:v>
      </x:c>
      <x:c r="G2969" s="48" t="str">
        <x:v>Obligation</x:v>
      </x:c>
      <x:c r="H2969" s="48" t="str">
        <x:v>Shared</x:v>
      </x:c>
      <x:c r="I2969" s="48" t="n">
        <x:v>0.45</x:v>
      </x:c>
      <x:c r="J2969" s="48" t="n">
        <x:v>0.4</x:v>
      </x:c>
      <x:c r="K2969" s="48" t="str">
        <x:v>Yes</x:v>
      </x:c>
      <x:c r="L2969" s="48" t="str">
        <x:v>OCR</x:v>
      </x:c>
    </x:row>
    <x:row r="2970">
      <x:c r="A2970" s="48" t="str">
        <x:v>UNI-2969</x:v>
      </x:c>
      <x:c r="B2970" s="48" t="str">
        <x:v>SILVER</x:v>
      </x:c>
      <x:c r="C2970" s="48" t="str">
        <x:v>Indonesian</x:v>
      </x:c>
      <x:c r="D2970" s="48" t="n">
        <x:v>59</x:v>
      </x:c>
      <x:c r="E2970" s="48" t="str"/>
      <x:c r="F2970" s="48" t="str">
        <x:v>(kar Sr ia Peeparba mo ag renda megan mam para</x:v>
      </x:c>
      <x:c r="G2970" s="48" t="str">
        <x:v>Obligation</x:v>
      </x:c>
      <x:c r="H2970" s="48" t="str">
        <x:v>Shared</x:v>
      </x:c>
      <x:c r="I2970" s="48" t="n">
        <x:v>0.45</x:v>
      </x:c>
      <x:c r="J2970" s="48" t="n">
        <x:v>0.4</x:v>
      </x:c>
      <x:c r="K2970" s="48" t="str">
        <x:v>Yes</x:v>
      </x:c>
      <x:c r="L2970" s="48" t="str">
        <x:v>OCR</x:v>
      </x:c>
    </x:row>
    <x:row r="2971">
      <x:c r="A2971" s="48" t="str">
        <x:v>UNI-2970</x:v>
      </x:c>
      <x:c r="B2971" s="48" t="str">
        <x:v>SILVER</x:v>
      </x:c>
      <x:c r="C2971" s="48" t="str">
        <x:v>Indonesian</x:v>
      </x:c>
      <x:c r="D2971" s="48" t="n">
        <x:v>59</x:v>
      </x:c>
      <x:c r="E2971" s="48" t="str"/>
      <x:c r="F2971" s="48" t="str">
        <x:v>ISA rina yakrargalaninan Mesem peran</x:v>
      </x:c>
      <x:c r="G2971" s="48" t="str">
        <x:v>Obligation</x:v>
      </x:c>
      <x:c r="H2971" s="48" t="str">
        <x:v>Shared</x:v>
      </x:c>
      <x:c r="I2971" s="48" t="n">
        <x:v>0.45</x:v>
      </x:c>
      <x:c r="J2971" s="48" t="n">
        <x:v>0.4</x:v>
      </x:c>
      <x:c r="K2971" s="48" t="str">
        <x:v>Yes</x:v>
      </x:c>
      <x:c r="L2971" s="48" t="str">
        <x:v>OCR</x:v>
      </x:c>
    </x:row>
    <x:row r="2972">
      <x:c r="A2972" s="48" t="str">
        <x:v>UNI-2971</x:v>
      </x:c>
      <x:c r="B2972" s="48" t="str">
        <x:v>SILVER</x:v>
      </x:c>
      <x:c r="C2972" s="48" t="str">
        <x:v>Indonesian</x:v>
      </x:c>
      <x:c r="D2972" s="48" t="n">
        <x:v>59</x:v>
      </x:c>
      <x:c r="E2972" s="48" t="str"/>
      <x:c r="F2972" s="48" t="str">
        <x:v>PAN Wr MSN dau Se</x:v>
      </x:c>
      <x:c r="G2972" s="48" t="str">
        <x:v>Obligation</x:v>
      </x:c>
      <x:c r="H2972" s="48" t="str">
        <x:v>Shared</x:v>
      </x:c>
      <x:c r="I2972" s="48" t="n">
        <x:v>0.45</x:v>
      </x:c>
      <x:c r="J2972" s="48" t="n">
        <x:v>0.4</x:v>
      </x:c>
      <x:c r="K2972" s="48" t="str">
        <x:v>Yes</x:v>
      </x:c>
      <x:c r="L2972" s="48" t="str">
        <x:v>OCR</x:v>
      </x:c>
    </x:row>
    <x:row r="2973">
      <x:c r="A2973" s="48" t="str">
        <x:v>UNI-2972</x:v>
      </x:c>
      <x:c r="B2973" s="48" t="str">
        <x:v>SILVER</x:v>
      </x:c>
      <x:c r="C2973" s="48" t="str">
        <x:v>Indonesian</x:v>
      </x:c>
      <x:c r="D2973" s="48" t="n">
        <x:v>59</x:v>
      </x:c>
      <x:c r="E2973" s="48" t="str"/>
      <x:c r="F2973" s="48" t="str">
        <x:v>Keras tuna passandan Gen tt eran esp Ye, ci #atia</x:v>
      </x:c>
      <x:c r="G2973" s="48" t="str">
        <x:v>Obligation</x:v>
      </x:c>
      <x:c r="H2973" s="48" t="str">
        <x:v>Shared</x:v>
      </x:c>
      <x:c r="I2973" s="48" t="n">
        <x:v>0.45</x:v>
      </x:c>
      <x:c r="J2973" s="48" t="n">
        <x:v>0.4</x:v>
      </x:c>
      <x:c r="K2973" s="48" t="str">
        <x:v>Yes</x:v>
      </x:c>
      <x:c r="L2973" s="48" t="str">
        <x:v>OCR</x:v>
      </x:c>
    </x:row>
    <x:row r="2974">
      <x:c r="A2974" s="48" t="str">
        <x:v>UNI-2973</x:v>
      </x:c>
      <x:c r="B2974" s="48" t="str">
        <x:v>SILVER</x:v>
      </x:c>
      <x:c r="C2974" s="48" t="str">
        <x:v>Indonesian</x:v>
      </x:c>
      <x:c r="D2974" s="48" t="n">
        <x:v>59</x:v>
      </x:c>
      <x:c r="E2974" s="48" t="str"/>
      <x:c r="F2974" s="48" t="str">
        <x:v>Keras sea mentesanYan Peraga aa mejadan broo bas</x:v>
      </x:c>
      <x:c r="G2974" s="48" t="str">
        <x:v>Obligation</x:v>
      </x:c>
      <x:c r="H2974" s="48" t="str">
        <x:v>Shared</x:v>
      </x:c>
      <x:c r="I2974" s="48" t="n">
        <x:v>0.45</x:v>
      </x:c>
      <x:c r="J2974" s="48" t="n">
        <x:v>0.4</x:v>
      </x:c>
      <x:c r="K2974" s="48" t="str">
        <x:v>Yes</x:v>
      </x:c>
      <x:c r="L2974" s="48" t="str">
        <x:v>OCR</x:v>
      </x:c>
    </x:row>
    <x:row r="2975">
      <x:c r="A2975" s="48" t="str">
        <x:v>UNI-2974</x:v>
      </x:c>
      <x:c r="B2975" s="48" t="str">
        <x:v>SILVER</x:v>
      </x:c>
      <x:c r="C2975" s="48" t="str">
        <x:v>Indonesian</x:v>
      </x:c>
      <x:c r="D2975" s="48" t="n">
        <x:v>59</x:v>
      </x:c>
      <x:c r="E2975" s="48" t="str"/>
      <x:c r="F2975" s="48" t="str">
        <x:v>seranratana</x:v>
      </x:c>
      <x:c r="G2975" s="48" t="str">
        <x:v>Obligation</x:v>
      </x:c>
      <x:c r="H2975" s="48" t="str">
        <x:v>Shared</x:v>
      </x:c>
      <x:c r="I2975" s="48" t="n">
        <x:v>0.45</x:v>
      </x:c>
      <x:c r="J2975" s="48" t="n">
        <x:v>0.4</x:v>
      </x:c>
      <x:c r="K2975" s="48" t="str">
        <x:v>Yes</x:v>
      </x:c>
      <x:c r="L2975" s="48" t="str">
        <x:v>OCR</x:v>
      </x:c>
    </x:row>
    <x:row r="2976">
      <x:c r="A2976" s="48" t="str">
        <x:v>UNI-2975</x:v>
      </x:c>
      <x:c r="B2976" s="48" t="str">
        <x:v>SILVER</x:v>
      </x:c>
      <x:c r="C2976" s="48" t="str">
        <x:v>Indonesian</x:v>
      </x:c>
      <x:c r="D2976" s="48" t="n">
        <x:v>59</x:v>
      </x:c>
      <x:c r="E2976" s="48" t="str"/>
      <x:c r="F2976" s="48" t="str">
        <x:v>Kor Bo ronu meryasa baung SAH IA Yt</x:v>
      </x:c>
      <x:c r="G2976" s="48" t="str">
        <x:v>Obligation</x:v>
      </x:c>
      <x:c r="H2976" s="48" t="str">
        <x:v>Shared</x:v>
      </x:c>
      <x:c r="I2976" s="48" t="n">
        <x:v>0.45</x:v>
      </x:c>
      <x:c r="J2976" s="48" t="n">
        <x:v>0.4</x:v>
      </x:c>
      <x:c r="K2976" s="48" t="str">
        <x:v>Yes</x:v>
      </x:c>
      <x:c r="L2976" s="48" t="str">
        <x:v>OCR</x:v>
      </x:c>
    </x:row>
    <x:row r="2977">
      <x:c r="A2977" s="48" t="str">
        <x:v>UNI-2976</x:v>
      </x:c>
      <x:c r="B2977" s="48" t="str">
        <x:v>SILVER</x:v>
      </x:c>
      <x:c r="C2977" s="48" t="str">
        <x:v>Indonesian</x:v>
      </x:c>
      <x:c r="D2977" s="48" t="n">
        <x:v>59</x:v>
      </x:c>
      <x:c r="E2977" s="48" t="str"/>
      <x:c r="F2977" s="48" t="str">
        <x:v>WM MANTAB hemndan alesan Poejan y</x:v>
      </x:c>
      <x:c r="G2977" s="48" t="str">
        <x:v>Obligation</x:v>
      </x:c>
      <x:c r="H2977" s="48" t="str">
        <x:v>Shared</x:v>
      </x:c>
      <x:c r="I2977" s="48" t="n">
        <x:v>0.45</x:v>
      </x:c>
      <x:c r="J2977" s="48" t="n">
        <x:v>0.4</x:v>
      </x:c>
      <x:c r="K2977" s="48" t="str">
        <x:v>Yes</x:v>
      </x:c>
      <x:c r="L2977" s="48" t="str">
        <x:v>OCR</x:v>
      </x:c>
    </x:row>
    <x:row r="2978">
      <x:c r="A2978" s="48" t="str">
        <x:v>UNI-2977</x:v>
      </x:c>
      <x:c r="B2978" s="48" t="str">
        <x:v>SILVER</x:v>
      </x:c>
      <x:c r="C2978" s="48" t="str">
        <x:v>Indonesian</x:v>
      </x:c>
      <x:c r="D2978" s="48" t="n">
        <x:v>59</x:v>
      </x:c>
      <x:c r="E2978" s="48" t="str"/>
      <x:c r="F2978" s="48" t="str">
        <x:v>HSD baka oo debu Pan</x:v>
      </x:c>
      <x:c r="G2978" s="48" t="str">
        <x:v>Obligation</x:v>
      </x:c>
      <x:c r="H2978" s="48" t="str">
        <x:v>Shared</x:v>
      </x:c>
      <x:c r="I2978" s="48" t="n">
        <x:v>0.45</x:v>
      </x:c>
      <x:c r="J2978" s="48" t="n">
        <x:v>0.4</x:v>
      </x:c>
      <x:c r="K2978" s="48" t="str">
        <x:v>Yes</x:v>
      </x:c>
      <x:c r="L2978" s="48" t="str">
        <x:v>OCR</x:v>
      </x:c>
    </x:row>
    <x:row r="2979">
      <x:c r="A2979" s="48" t="str">
        <x:v>UNI-2978</x:v>
      </x:c>
      <x:c r="B2979" s="48" t="str">
        <x:v>SILVER</x:v>
      </x:c>
      <x:c r="C2979" s="48" t="str">
        <x:v>Indonesian</x:v>
      </x:c>
      <x:c r="D2979" s="48" t="n">
        <x:v>59</x:v>
      </x:c>
      <x:c r="E2979" s="48" t="str"/>
      <x:c r="F2979" s="48" t="str">
        <x:v>esamentmapetbetenanti Peraga sentana merbaston mereugkan munewanraua. petayaa ta Tertkan t.sao 2 menyangakan tadi Pra Ja dan Wa</x:v>
      </x:c>
      <x:c r="G2979" s="48" t="str">
        <x:v>Obligation</x:v>
      </x:c>
      <x:c r="H2979" s="48" t="str">
        <x:v>Shared</x:v>
      </x:c>
      <x:c r="I2979" s="48" t="n">
        <x:v>0.45</x:v>
      </x:c>
      <x:c r="J2979" s="48" t="n">
        <x:v>0.4</x:v>
      </x:c>
      <x:c r="K2979" s="48" t="str">
        <x:v>Yes</x:v>
      </x:c>
      <x:c r="L2979" s="48" t="str">
        <x:v>OCR</x:v>
      </x:c>
    </x:row>
    <x:row r="2980">
      <x:c r="A2980" s="48" t="str">
        <x:v>UNI-2979</x:v>
      </x:c>
      <x:c r="B2980" s="48" t="str">
        <x:v>SILVER</x:v>
      </x:c>
      <x:c r="C2980" s="48" t="str">
        <x:v>Indonesian</x:v>
      </x:c>
      <x:c r="D2980" s="48" t="n">
        <x:v>59</x:v>
      </x:c>
      <x:c r="E2980" s="48" t="str"/>
      <x:c r="F2980" s="48" t="str">
        <x:v>PPU BAG Pen Mar Kana Oma</x:v>
      </x:c>
      <x:c r="G2980" s="48" t="str">
        <x:v>Obligation</x:v>
      </x:c>
      <x:c r="H2980" s="48" t="str">
        <x:v>Shared</x:v>
      </x:c>
      <x:c r="I2980" s="48" t="n">
        <x:v>0.45</x:v>
      </x:c>
      <x:c r="J2980" s="48" t="n">
        <x:v>0.4</x:v>
      </x:c>
      <x:c r="K2980" s="48" t="str">
        <x:v>Yes</x:v>
      </x:c>
      <x:c r="L2980" s="48" t="str">
        <x:v>OCR</x:v>
      </x:c>
    </x:row>
    <x:row r="2981">
      <x:c r="A2981" s="48" t="str">
        <x:v>UNI-2980</x:v>
      </x:c>
      <x:c r="B2981" s="48" t="str">
        <x:v>SILVER</x:v>
      </x:c>
      <x:c r="C2981" s="48" t="str">
        <x:v>Indonesian</x:v>
      </x:c>
      <x:c r="D2981" s="48" t="n">
        <x:v>59</x:v>
      </x:c>
      <x:c r="E2981" s="48" t="str">
        <x:v>0</x:v>
      </x:c>
      <x:c r="F2981" s="48" t="str">
        <x:v>0 mono @ meorrg baa pro Galatan Pegara dn wak messwaan membaasa retrtorekan octa.</x:v>
      </x:c>
      <x:c r="G2981" s="48" t="str">
        <x:v>Heading</x:v>
      </x:c>
      <x:c r="H2981" s="48" t="str"/>
      <x:c r="I2981" s="48" t="n">
        <x:v>0.9</x:v>
      </x:c>
      <x:c r="J2981" s="48" t="n">
        <x:v>0.99</x:v>
      </x:c>
      <x:c r="K2981" s="48" t="str">
        <x:v>No</x:v>
      </x:c>
      <x:c r="L2981" s="48" t="str">
        <x:v>OCR</x:v>
      </x:c>
    </x:row>
    <x:row r="2982">
      <x:c r="A2982" s="48" t="str">
        <x:v>UNI-2981</x:v>
      </x:c>
      <x:c r="B2982" s="48" t="str">
        <x:v>SILVER</x:v>
      </x:c>
      <x:c r="C2982" s="48" t="str">
        <x:v>Indonesian</x:v>
      </x:c>
      <x:c r="D2982" s="48" t="n">
        <x:v>59</x:v>
      </x:c>
      <x:c r="E2982" s="48" t="str"/>
      <x:c r="F2982" s="48" t="str">
        <x:v>Tertuatan kkcoisnaPemjanyarg enakan tag Prara.dan 04 mentor menara Pgri (Una ratu Pata Geokan Arga ba Kogan non set Pi Owen Sa Mada 12 Par Wr!</x:v>
      </x:c>
      <x:c r="G2982" s="48" t="str">
        <x:v>Obligation</x:v>
      </x:c>
      <x:c r="H2982" s="48" t="str">
        <x:v>Shared</x:v>
      </x:c>
      <x:c r="I2982" s="48" t="n">
        <x:v>0.45</x:v>
      </x:c>
      <x:c r="J2982" s="48" t="n">
        <x:v>0.4</x:v>
      </x:c>
      <x:c r="K2982" s="48" t="str">
        <x:v>Yes</x:v>
      </x:c>
      <x:c r="L2982" s="48" t="str">
        <x:v>OCR</x:v>
      </x:c>
    </x:row>
    <x:row r="2983">
      <x:c r="A2983" s="48" t="str">
        <x:v>UNI-2982</x:v>
      </x:c>
      <x:c r="B2983" s="48" t="str">
        <x:v>SILVER</x:v>
      </x:c>
      <x:c r="C2983" s="48" t="str">
        <x:v>Indonesian</x:v>
      </x:c>
      <x:c r="D2983" s="48" t="n">
        <x:v>60</x:v>
      </x:c>
      <x:c r="E2983" s="48" t="str"/>
      <x:c r="F2983" s="48" t="str">
        <x:v>Segan Mt Uang</x:v>
      </x:c>
      <x:c r="G2983" s="48" t="str">
        <x:v>Obligation</x:v>
      </x:c>
      <x:c r="H2983" s="48" t="str">
        <x:v>Shared</x:v>
      </x:c>
      <x:c r="I2983" s="48" t="n">
        <x:v>0.45</x:v>
      </x:c>
      <x:c r="J2983" s="48" t="n">
        <x:v>0.4</x:v>
      </x:c>
      <x:c r="K2983" s="48" t="str">
        <x:v>Yes</x:v>
      </x:c>
      <x:c r="L2983" s="48" t="str">
        <x:v>OCR</x:v>
      </x:c>
    </x:row>
    <x:row r="2984">
      <x:c r="A2984" s="48" t="str">
        <x:v>UNI-2983</x:v>
      </x:c>
      <x:c r="B2984" s="48" t="str">
        <x:v>SILVER</x:v>
      </x:c>
      <x:c r="C2984" s="48" t="str">
        <x:v>Indonesian</x:v>
      </x:c>
      <x:c r="D2984" s="48" t="n">
        <x:v>60</x:v>
      </x:c>
      <x:c r="E2984" s="48" t="str"/>
      <x:c r="F2984" s="48" t="str">
        <x:v>Oaracatngan</x:v>
      </x:c>
      <x:c r="G2984" s="48" t="str">
        <x:v>Obligation</x:v>
      </x:c>
      <x:c r="H2984" s="48" t="str">
        <x:v>Shared</x:v>
      </x:c>
      <x:c r="I2984" s="48" t="n">
        <x:v>0.45</x:v>
      </x:c>
      <x:c r="J2984" s="48" t="n">
        <x:v>0.4</x:v>
      </x:c>
      <x:c r="K2984" s="48" t="str">
        <x:v>Yes</x:v>
      </x:c>
      <x:c r="L2984" s="48" t="str">
        <x:v>OCR</x:v>
      </x:c>
    </x:row>
    <x:row r="2985">
      <x:c r="A2985" s="48" t="str">
        <x:v>UNI-2984</x:v>
      </x:c>
      <x:c r="B2985" s="48" t="str">
        <x:v>SILVER</x:v>
      </x:c>
      <x:c r="C2985" s="48" t="str">
        <x:v>Indonesian</x:v>
      </x:c>
      <x:c r="D2985" s="48" t="n">
        <x:v>60</x:v>
      </x:c>
      <x:c r="E2985" s="48" t="str"/>
      <x:c r="F2985" s="48" t="str">
        <x:v>Seto Dra aaron Tana bkn Saraan serum rasun mexgan</x:v>
      </x:c>
      <x:c r="G2985" s="48" t="str">
        <x:v>Obligation</x:v>
      </x:c>
      <x:c r="H2985" s="48" t="str">
        <x:v>Shared</x:v>
      </x:c>
      <x:c r="I2985" s="48" t="n">
        <x:v>0.45</x:v>
      </x:c>
      <x:c r="J2985" s="48" t="n">
        <x:v>0.4</x:v>
      </x:c>
      <x:c r="K2985" s="48" t="str">
        <x:v>Yes</x:v>
      </x:c>
      <x:c r="L2985" s="48" t="str">
        <x:v>OCR</x:v>
      </x:c>
    </x:row>
    <x:row r="2986">
      <x:c r="A2986" s="48" t="str">
        <x:v>UNI-2985</x:v>
      </x:c>
      <x:c r="B2986" s="48" t="str">
        <x:v>SILVER</x:v>
      </x:c>
      <x:c r="C2986" s="48" t="str">
        <x:v>Indonesian</x:v>
      </x:c>
      <x:c r="D2986" s="48" t="n">
        <x:v>60</x:v>
      </x:c>
      <x:c r="E2986" s="48" t="str"/>
      <x:c r="F2986" s="48" t="str">
        <x:v>"ea1i ran rek Pro Ss Sa ga era Ha ra</x:v>
      </x:c>
      <x:c r="G2986" s="48" t="str">
        <x:v>Obligation</x:v>
      </x:c>
      <x:c r="H2986" s="48" t="str">
        <x:v>Shared</x:v>
      </x:c>
      <x:c r="I2986" s="48" t="n">
        <x:v>0.45</x:v>
      </x:c>
      <x:c r="J2986" s="48" t="n">
        <x:v>0.4</x:v>
      </x:c>
      <x:c r="K2986" s="48" t="str">
        <x:v>Yes</x:v>
      </x:c>
      <x:c r="L2986" s="48" t="str">
        <x:v>OCR</x:v>
      </x:c>
    </x:row>
    <x:row r="2987">
      <x:c r="A2987" s="48" t="str">
        <x:v>UNI-2986</x:v>
      </x:c>
      <x:c r="B2987" s="48" t="str">
        <x:v>SILVER</x:v>
      </x:c>
      <x:c r="C2987" s="48" t="str">
        <x:v>Indonesian</x:v>
      </x:c>
      <x:c r="D2987" s="48" t="n">
        <x:v>60</x:v>
      </x:c>
      <x:c r="E2987" s="48" t="str"/>
      <x:c r="F2987" s="48" t="str">
        <x:v>Gentan SMAN bal KryAmaranhepca Kru et mena sn</x:v>
      </x:c>
      <x:c r="G2987" s="48" t="str">
        <x:v>Obligation</x:v>
      </x:c>
      <x:c r="H2987" s="48" t="str">
        <x:v>Shared</x:v>
      </x:c>
      <x:c r="I2987" s="48" t="n">
        <x:v>0.45</x:v>
      </x:c>
      <x:c r="J2987" s="48" t="n">
        <x:v>0.4</x:v>
      </x:c>
      <x:c r="K2987" s="48" t="str">
        <x:v>Yes</x:v>
      </x:c>
      <x:c r="L2987" s="48" t="str">
        <x:v>OCR</x:v>
      </x:c>
    </x:row>
    <x:row r="2988">
      <x:c r="A2988" s="48" t="str">
        <x:v>UNI-2987</x:v>
      </x:c>
      <x:c r="B2988" s="48" t="str">
        <x:v>SILVER</x:v>
      </x:c>
      <x:c r="C2988" s="48" t="str">
        <x:v>Indonesian</x:v>
      </x:c>
      <x:c r="D2988" s="48" t="n">
        <x:v>60</x:v>
      </x:c>
      <x:c r="E2988" s="48" t="str"/>
      <x:c r="F2988" s="48" t="str">
        <x:v>Iran, ak Dewan aan ap ng beta engan Gua Can,</x:v>
      </x:c>
      <x:c r="G2988" s="48" t="str">
        <x:v>Obligation</x:v>
      </x:c>
      <x:c r="H2988" s="48" t="str">
        <x:v>Shared</x:v>
      </x:c>
      <x:c r="I2988" s="48" t="n">
        <x:v>0.45</x:v>
      </x:c>
      <x:c r="J2988" s="48" t="n">
        <x:v>0.4</x:v>
      </x:c>
      <x:c r="K2988" s="48" t="str">
        <x:v>Yes</x:v>
      </x:c>
      <x:c r="L2988" s="48" t="str">
        <x:v>OCR</x:v>
      </x:c>
    </x:row>
    <x:row r="2989">
      <x:c r="A2989" s="48" t="str">
        <x:v>UNI-2988</x:v>
      </x:c>
      <x:c r="B2989" s="48" t="str">
        <x:v>SILVER</x:v>
      </x:c>
      <x:c r="C2989" s="48" t="str">
        <x:v>Indonesian</x:v>
      </x:c>
      <x:c r="D2989" s="48" t="n">
        <x:v>60</x:v>
      </x:c>
      <x:c r="E2989" s="48" t="str"/>
      <x:c r="F2989" s="48" t="str">
        <x:v>“kengaraa an Grundaba ca Pengarahan (rak oewp Dira Gang Prgaro Jaa menerssa (pekan ng tawa ekaraan oran Ptk War at ut ja</x:v>
      </x:c>
      <x:c r="G2989" s="48" t="str">
        <x:v>Obligation</x:v>
      </x:c>
      <x:c r="H2989" s="48" t="str">
        <x:v>Shared</x:v>
      </x:c>
      <x:c r="I2989" s="48" t="n">
        <x:v>0.45</x:v>
      </x:c>
      <x:c r="J2989" s="48" t="n">
        <x:v>0.4</x:v>
      </x:c>
      <x:c r="K2989" s="48" t="str">
        <x:v>Yes</x:v>
      </x:c>
      <x:c r="L2989" s="48" t="str">
        <x:v>OCR</x:v>
      </x:c>
    </x:row>
    <x:row r="2990">
      <x:c r="A2990" s="48" t="str">
        <x:v>UNI-2989</x:v>
      </x:c>
      <x:c r="B2990" s="48" t="str">
        <x:v>SILVER</x:v>
      </x:c>
      <x:c r="C2990" s="48" t="str">
        <x:v>Indonesian</x:v>
      </x:c>
      <x:c r="D2990" s="48" t="n">
        <x:v>60</x:v>
      </x:c>
      <x:c r="E2990" s="48" t="str"/>
      <x:c r="F2990" s="48" t="str">
        <x:v>La Pan Bo en Kri Gan di Data Do Kn AS</x:v>
      </x:c>
      <x:c r="G2990" s="48" t="str">
        <x:v>Obligation</x:v>
      </x:c>
      <x:c r="H2990" s="48" t="str">
        <x:v>Shared</x:v>
      </x:c>
      <x:c r="I2990" s="48" t="n">
        <x:v>0.45</x:v>
      </x:c>
      <x:c r="J2990" s="48" t="n">
        <x:v>0.4</x:v>
      </x:c>
      <x:c r="K2990" s="48" t="str">
        <x:v>Yes</x:v>
      </x:c>
      <x:c r="L2990" s="48" t="str">
        <x:v>OCR</x:v>
      </x:c>
    </x:row>
    <x:row r="2991">
      <x:c r="A2991" s="48" t="str">
        <x:v>UNI-2990</x:v>
      </x:c>
      <x:c r="B2991" s="48" t="str">
        <x:v>SILVER</x:v>
      </x:c>
      <x:c r="C2991" s="48" t="str">
        <x:v>Indonesian</x:v>
      </x:c>
      <x:c r="D2991" s="48" t="n">
        <x:v>60</x:v>
      </x:c>
      <x:c r="E2991" s="48" t="str"/>
      <x:c r="F2991" s="48" t="str">
        <x:v>Pose tr aan,</x:v>
      </x:c>
      <x:c r="G2991" s="48" t="str">
        <x:v>Obligation</x:v>
      </x:c>
      <x:c r="H2991" s="48" t="str">
        <x:v>Shared</x:v>
      </x:c>
      <x:c r="I2991" s="48" t="n">
        <x:v>0.45</x:v>
      </x:c>
      <x:c r="J2991" s="48" t="n">
        <x:v>0.4</x:v>
      </x:c>
      <x:c r="K2991" s="48" t="str">
        <x:v>Yes</x:v>
      </x:c>
      <x:c r="L2991" s="48" t="str">
        <x:v>OCR</x:v>
      </x:c>
    </x:row>
    <x:row r="2992">
      <x:c r="A2992" s="48" t="str">
        <x:v>UNI-2991</x:v>
      </x:c>
      <x:c r="B2992" s="48" t="str">
        <x:v>SILVER</x:v>
      </x:c>
      <x:c r="C2992" s="48" t="str">
        <x:v>Indonesian</x:v>
      </x:c>
      <x:c r="D2992" s="48" t="n">
        <x:v>60</x:v>
      </x:c>
      <x:c r="E2992" s="48" t="str"/>
      <x:c r="F2992" s="48" t="str">
        <x:v>(Ika Ora Jun pr Oa Kran “Samba pa re Krvak deprg rga prm Dira Cara oma &amp;</x:v>
      </x:c>
      <x:c r="G2992" s="48" t="str">
        <x:v>Obligation</x:v>
      </x:c>
      <x:c r="H2992" s="48" t="str">
        <x:v>Shared</x:v>
      </x:c>
      <x:c r="I2992" s="48" t="n">
        <x:v>0.45</x:v>
      </x:c>
      <x:c r="J2992" s="48" t="n">
        <x:v>0.4</x:v>
      </x:c>
      <x:c r="K2992" s="48" t="str">
        <x:v>Yes</x:v>
      </x:c>
      <x:c r="L2992" s="48" t="str">
        <x:v>OCR</x:v>
      </x:c>
    </x:row>
    <x:row r="2993">
      <x:c r="A2993" s="48" t="str">
        <x:v>UNI-2992</x:v>
      </x:c>
      <x:c r="B2993" s="48" t="str">
        <x:v>SILVER</x:v>
      </x:c>
      <x:c r="C2993" s="48" t="str">
        <x:v>Indonesian</x:v>
      </x:c>
      <x:c r="D2993" s="48" t="n">
        <x:v>61</x:v>
      </x:c>
      <x:c r="E2993" s="48" t="str">
        <x:v>10</x:v>
      </x:c>
      <x:c r="F2993" s="48" t="str">
        <x:v>10 kemah yarg semiaguinna Gbajartan latau Pars Ghayaari Oh Kontak,</x:v>
      </x:c>
      <x:c r="G2993" s="48" t="str">
        <x:v>Heading</x:v>
      </x:c>
      <x:c r="H2993" s="48" t="str"/>
      <x:c r="I2993" s="48" t="n">
        <x:v>0.9</x:v>
      </x:c>
      <x:c r="J2993" s="48" t="n">
        <x:v>0.99</x:v>
      </x:c>
      <x:c r="K2993" s="48" t="str">
        <x:v>No</x:v>
      </x:c>
      <x:c r="L2993" s="48" t="str">
        <x:v>OCR</x:v>
      </x:c>
    </x:row>
    <x:row r="2994">
      <x:c r="A2994" s="48" t="str">
        <x:v>UNI-2993</x:v>
      </x:c>
      <x:c r="B2994" s="48" t="str">
        <x:v>SILVER</x:v>
      </x:c>
      <x:c r="C2994" s="48" t="str">
        <x:v>Indonesian</x:v>
      </x:c>
      <x:c r="D2994" s="48" t="n">
        <x:v>61</x:v>
      </x:c>
      <x:c r="E2994" s="48" t="str"/>
      <x:c r="F2994" s="48" t="str">
        <x:v>Wa urin wak baja eta in keuirgan hr seo Satu</x:v>
      </x:c>
      <x:c r="G2994" s="48" t="str">
        <x:v>Obligation</x:v>
      </x:c>
      <x:c r="H2994" s="48" t="str">
        <x:v>Shared</x:v>
      </x:c>
      <x:c r="I2994" s="48" t="n">
        <x:v>0.45</x:v>
      </x:c>
      <x:c r="J2994" s="48" t="n">
        <x:v>0.4</x:v>
      </x:c>
      <x:c r="K2994" s="48" t="str">
        <x:v>Yes</x:v>
      </x:c>
      <x:c r="L2994" s="48" t="str">
        <x:v>OCR</x:v>
      </x:c>
    </x:row>
    <x:row r="2995">
      <x:c r="A2995" s="48" t="str">
        <x:v>UNI-2994</x:v>
      </x:c>
      <x:c r="B2995" s="48" t="str">
        <x:v>SILVER</x:v>
      </x:c>
      <x:c r="C2995" s="48" t="str">
        <x:v>Indonesian</x:v>
      </x:c>
      <x:c r="D2995" s="48" t="n">
        <x:v>61</x:v>
      </x:c>
      <x:c r="E2995" s="48" t="str"/>
      <x:c r="F2995" s="48" t="str">
        <x:v>Amar ame seram ega enBarAn apem</x:v>
      </x:c>
      <x:c r="G2995" s="48" t="str">
        <x:v>Obligation</x:v>
      </x:c>
      <x:c r="H2995" s="48" t="str">
        <x:v>Shared</x:v>
      </x:c>
      <x:c r="I2995" s="48" t="n">
        <x:v>0.45</x:v>
      </x:c>
      <x:c r="J2995" s="48" t="n">
        <x:v>0.4</x:v>
      </x:c>
      <x:c r="K2995" s="48" t="str">
        <x:v>Yes</x:v>
      </x:c>
      <x:c r="L2995" s="48" t="str">
        <x:v>OCR</x:v>
      </x:c>
    </x:row>
    <x:row r="2996">
      <x:c r="A2996" s="48" t="str">
        <x:v>UNI-2995</x:v>
      </x:c>
      <x:c r="B2996" s="48" t="str">
        <x:v>SILVER</x:v>
      </x:c>
      <x:c r="C2996" s="48" t="str">
        <x:v>Indonesian</x:v>
      </x:c>
      <x:c r="D2996" s="48" t="n">
        <x:v>61</x:v>
      </x:c>
      <x:c r="E2996" s="48" t="str"/>
      <x:c r="F2996" s="48" t="str">
        <x:v>ha ar antam amen era orak tuna, son ra ce Pugara Jan renpadutan prmaan (ar Oon born aula mag aren ena, "YAL pn Ga br rOGUBA Pergara Jun pa rergransatan mu Wes unik dkurtan can ber Kat fara Panas ryya andr sa rr eta ba Karan ar we cb K</x:v>
      </x:c>
      <x:c r="G2996" s="48" t="str">
        <x:v>Obligation</x:v>
      </x:c>
      <x:c r="H2996" s="48" t="str">
        <x:v>Shared</x:v>
      </x:c>
      <x:c r="I2996" s="48" t="n">
        <x:v>0.45</x:v>
      </x:c>
      <x:c r="J2996" s="48" t="n">
        <x:v>0.4</x:v>
      </x:c>
      <x:c r="K2996" s="48" t="str">
        <x:v>Yes</x:v>
      </x:c>
      <x:c r="L2996" s="48" t="str">
        <x:v>OCR</x:v>
      </x:c>
    </x:row>
    <x:row r="2997">
      <x:c r="A2997" s="48" t="str">
        <x:v>UNI-2996</x:v>
      </x:c>
      <x:c r="B2997" s="48" t="str">
        <x:v>SILVER</x:v>
      </x:c>
      <x:c r="C2997" s="48" t="str">
        <x:v>Indonesian</x:v>
      </x:c>
      <x:c r="D2997" s="48" t="n">
        <x:v>61</x:v>
      </x:c>
      <x:c r="E2997" s="48" t="str"/>
      <x:c r="F2997" s="48" t="str">
        <x:v>Dow ita Fan bb Pot ca aa Ka ran Meat</x:v>
      </x:c>
      <x:c r="G2997" s="48" t="str">
        <x:v>Obligation</x:v>
      </x:c>
      <x:c r="H2997" s="48" t="str">
        <x:v>Shared</x:v>
      </x:c>
      <x:c r="I2997" s="48" t="n">
        <x:v>0.45</x:v>
      </x:c>
      <x:c r="J2997" s="48" t="n">
        <x:v>0.4</x:v>
      </x:c>
      <x:c r="K2997" s="48" t="str">
        <x:v>Yes</x:v>
      </x:c>
      <x:c r="L2997" s="48" t="str">
        <x:v>OCR</x:v>
      </x:c>
    </x:row>
    <x:row r="2998">
      <x:c r="A2998" s="48" t="str">
        <x:v>UNI-2997</x:v>
      </x:c>
      <x:c r="B2998" s="48" t="str">
        <x:v>SILVER</x:v>
      </x:c>
      <x:c r="C2998" s="48" t="str">
        <x:v>Indonesian</x:v>
      </x:c>
      <x:c r="D2998" s="48" t="n">
        <x:v>61</x:v>
      </x:c>
      <x:c r="E2998" s="48" t="str"/>
      <x:c r="F2998" s="48" t="str">
        <x:v>(Kr mala Da Da</x:v>
      </x:c>
      <x:c r="G2998" s="48" t="str">
        <x:v>Obligation</x:v>
      </x:c>
      <x:c r="H2998" s="48" t="str">
        <x:v>Shared</x:v>
      </x:c>
      <x:c r="I2998" s="48" t="n">
        <x:v>0.45</x:v>
      </x:c>
      <x:c r="J2998" s="48" t="n">
        <x:v>0.4</x:v>
      </x:c>
      <x:c r="K2998" s="48" t="str">
        <x:v>Yes</x:v>
      </x:c>
      <x:c r="L2998" s="48" t="str">
        <x:v>OCR</x:v>
      </x:c>
    </x:row>
    <x:row r="2999">
      <x:c r="A2999" s="48" t="str">
        <x:v>UNI-2998</x:v>
      </x:c>
      <x:c r="B2999" s="48" t="str">
        <x:v>SILVER</x:v>
      </x:c>
      <x:c r="C2999" s="48" t="str">
        <x:v>Indonesian</x:v>
      </x:c>
      <x:c r="D2999" s="48" t="n">
        <x:v>61</x:v>
      </x:c>
      <x:c r="E2999" s="48" t="str"/>
      <x:c r="F2999" s="48" t="str">
        <x:v>Set merasa Bong er rak peran Konate menareatan</x:v>
      </x:c>
      <x:c r="G2999" s="48" t="str">
        <x:v>Obligation</x:v>
      </x:c>
      <x:c r="H2999" s="48" t="str">
        <x:v>Shared</x:v>
      </x:c>
      <x:c r="I2999" s="48" t="n">
        <x:v>0.45</x:v>
      </x:c>
      <x:c r="J2999" s="48" t="n">
        <x:v>0.4</x:v>
      </x:c>
      <x:c r="K2999" s="48" t="str">
        <x:v>Yes</x:v>
      </x:c>
      <x:c r="L2999" s="48" t="str">
        <x:v>OCR</x:v>
      </x:c>
    </x:row>
    <x:row r="3000">
      <x:c r="A3000" s="48" t="str">
        <x:v>UNI-2999</x:v>
      </x:c>
      <x:c r="B3000" s="48" t="str">
        <x:v>SILVER</x:v>
      </x:c>
      <x:c r="C3000" s="48" t="str">
        <x:v>Indonesian</x:v>
      </x:c>
      <x:c r="D3000" s="48" t="n">
        <x:v>61</x:v>
      </x:c>
      <x:c r="E3000" s="48" t="str"/>
      <x:c r="F3000" s="48" t="str">
        <x:v>Ms ankle Pevara asi Kane eyalanpentaman Kemataan</x:v>
      </x:c>
      <x:c r="G3000" s="48" t="str">
        <x:v>Obligation</x:v>
      </x:c>
      <x:c r="H3000" s="48" t="str">
        <x:v>Shared</x:v>
      </x:c>
      <x:c r="I3000" s="48" t="n">
        <x:v>0.45</x:v>
      </x:c>
      <x:c r="J3000" s="48" t="n">
        <x:v>0.4</x:v>
      </x:c>
      <x:c r="K3000" s="48" t="str">
        <x:v>Yes</x:v>
      </x:c>
      <x:c r="L3000" s="48" t="str">
        <x:v>OCR</x:v>
      </x:c>
    </x:row>
    <x:row r="3001">
      <x:c r="A3001" s="48" t="str">
        <x:v>UNI-3000</x:v>
      </x:c>
      <x:c r="B3001" s="48" t="str">
        <x:v>SILVER</x:v>
      </x:c>
      <x:c r="C3001" s="48" t="str">
        <x:v>Indonesian</x:v>
      </x:c>
      <x:c r="D3001" s="48" t="n">
        <x:v>61</x:v>
      </x:c>
      <x:c r="E3001" s="48" t="str"/>
      <x:c r="F3001" s="48" t="str">
        <x:v>menyangakan ar INA Merger AB Bg, ck brrg er kemasan pentan eratn Gb</x:v>
      </x:c>
      <x:c r="G3001" s="48" t="str">
        <x:v>Obligation</x:v>
      </x:c>
      <x:c r="H3001" s="48" t="str">
        <x:v>Shared</x:v>
      </x:c>
      <x:c r="I3001" s="48" t="n">
        <x:v>0.45</x:v>
      </x:c>
      <x:c r="J3001" s="48" t="n">
        <x:v>0.4</x:v>
      </x:c>
      <x:c r="K3001" s="48" t="str">
        <x:v>Yes</x:v>
      </x:c>
      <x:c r="L3001" s="48" t="str">
        <x:v>OCR</x:v>
      </x:c>
    </x:row>
    <x:row r="3002">
      <x:c r="A3002" s="48" t="str">
        <x:v>UNI-3001</x:v>
      </x:c>
      <x:c r="B3002" s="48" t="str">
        <x:v>SILVER</x:v>
      </x:c>
      <x:c r="C3002" s="48" t="str">
        <x:v>Indonesian</x:v>
      </x:c>
      <x:c r="D3002" s="48" t="n">
        <x:v>61</x:v>
      </x:c>
      <x:c r="E3002" s="48" t="str"/>
      <x:c r="F3002" s="48" t="str">
        <x:v>Meonk hr meyangken tosca Penjas Ja pena yang</x:v>
      </x:c>
      <x:c r="G3002" s="48" t="str">
        <x:v>Obligation</x:v>
      </x:c>
      <x:c r="H3002" s="48" t="str">
        <x:v>Shared</x:v>
      </x:c>
      <x:c r="I3002" s="48" t="n">
        <x:v>0.45</x:v>
      </x:c>
      <x:c r="J3002" s="48" t="n">
        <x:v>0.4</x:v>
      </x:c>
      <x:c r="K3002" s="48" t="str">
        <x:v>Yes</x:v>
      </x:c>
      <x:c r="L3002" s="48" t="str">
        <x:v>OCR</x:v>
      </x:c>
    </x:row>
    <x:row r="3003">
      <x:c r="A3003" s="48" t="str">
        <x:v>UNI-3002</x:v>
      </x:c>
      <x:c r="B3003" s="48" t="str">
        <x:v>SILVER</x:v>
      </x:c>
      <x:c r="C3003" s="48" t="str">
        <x:v>Indonesian</x:v>
      </x:c>
      <x:c r="D3003" s="48" t="n">
        <x:v>61</x:v>
      </x:c>
      <x:c r="E3003" s="48" t="str"/>
      <x:c r="F3003" s="48" t="str">
        <x:v>Sk an kara gr ru merarurkan rn urea Gara</x:v>
      </x:c>
      <x:c r="G3003" s="48" t="str">
        <x:v>Obligation</x:v>
      </x:c>
      <x:c r="H3003" s="48" t="str">
        <x:v>Shared</x:v>
      </x:c>
      <x:c r="I3003" s="48" t="n">
        <x:v>0.45</x:v>
      </x:c>
      <x:c r="J3003" s="48" t="n">
        <x:v>0.4</x:v>
      </x:c>
      <x:c r="K3003" s="48" t="str">
        <x:v>Yes</x:v>
      </x:c>
      <x:c r="L3003" s="48" t="str">
        <x:v>OCR</x:v>
      </x:c>
    </x:row>
    <x:row r="3004">
      <x:c r="A3004" s="48" t="str">
        <x:v>UNI-3003</x:v>
      </x:c>
      <x:c r="B3004" s="48" t="str">
        <x:v>SILVER</x:v>
      </x:c>
      <x:c r="C3004" s="48" t="str">
        <x:v>Indonesian</x:v>
      </x:c>
      <x:c r="D3004" s="48" t="n">
        <x:v>61</x:v>
      </x:c>
      <x:c r="E3004" s="48" t="str"/>
      <x:c r="F3004" s="48" t="str">
        <x:v>Atep ken tan MeMey</x:v>
      </x:c>
      <x:c r="G3004" s="48" t="str">
        <x:v>Obligation</x:v>
      </x:c>
      <x:c r="H3004" s="48" t="str">
        <x:v>Shared</x:v>
      </x:c>
      <x:c r="I3004" s="48" t="n">
        <x:v>0.45</x:v>
      </x:c>
      <x:c r="J3004" s="48" t="n">
        <x:v>0.4</x:v>
      </x:c>
      <x:c r="K3004" s="48" t="str">
        <x:v>Yes</x:v>
      </x:c>
      <x:c r="L3004" s="48" t="str">
        <x:v>OCR</x:v>
      </x:c>
    </x:row>
    <x:row r="3005">
      <x:c r="A3005" s="48" t="str">
        <x:v>UNI-3004</x:v>
      </x:c>
      <x:c r="B3005" s="48" t="str">
        <x:v>SILVER</x:v>
      </x:c>
      <x:c r="C3005" s="48" t="str">
        <x:v>Indonesian</x:v>
      </x:c>
      <x:c r="D3005" s="48" t="n">
        <x:v>61</x:v>
      </x:c>
      <x:c r="E3005" s="48" t="str">
        <x:v>1</x:v>
      </x:c>
      <x:c r="F3005" s="48" t="str">
        <x:v>1 tune petnjan vkskaj PesasKorisa, (Bia pr. an wal Devgan rasan Kor ma Pan “dimedan bts Ikon an prgdarsan</x:v>
      </x:c>
      <x:c r="G3005" s="48" t="str">
        <x:v>Heading</x:v>
      </x:c>
      <x:c r="H3005" s="48" t="str"/>
      <x:c r="I3005" s="48" t="n">
        <x:v>0.9</x:v>
      </x:c>
      <x:c r="J3005" s="48" t="n">
        <x:v>0.99</x:v>
      </x:c>
      <x:c r="K3005" s="48" t="str">
        <x:v>No</x:v>
      </x:c>
      <x:c r="L3005" s="48" t="str">
        <x:v>OCR</x:v>
      </x:c>
    </x:row>
    <x:row r="3006">
      <x:c r="A3006" s="48" t="str">
        <x:v>UNI-3005</x:v>
      </x:c>
      <x:c r="B3006" s="48" t="str">
        <x:v>SILVER</x:v>
      </x:c>
      <x:c r="C3006" s="48" t="str">
        <x:v>Indonesian</x:v>
      </x:c>
      <x:c r="D3006" s="48" t="n">
        <x:v>61</x:v>
      </x:c>
      <x:c r="E3006" s="48" t="str"/>
      <x:c r="F3006" s="48" t="str">
        <x:v>SW puMyoaN rab Seberat Serba neng</x:v>
      </x:c>
      <x:c r="G3006" s="48" t="str">
        <x:v>Obligation</x:v>
      </x:c>
      <x:c r="H3006" s="48" t="str">
        <x:v>Shared</x:v>
      </x:c>
      <x:c r="I3006" s="48" t="n">
        <x:v>0.45</x:v>
      </x:c>
      <x:c r="J3006" s="48" t="n">
        <x:v>0.4</x:v>
      </x:c>
      <x:c r="K3006" s="48" t="str">
        <x:v>Yes</x:v>
      </x:c>
      <x:c r="L3006" s="48" t="str">
        <x:v>OCR</x:v>
      </x:c>
    </x:row>
    <x:row r="3007">
      <x:c r="A3007" s="48" t="str">
        <x:v>UNI-3006</x:v>
      </x:c>
      <x:c r="B3007" s="48" t="str">
        <x:v>SILVER</x:v>
      </x:c>
      <x:c r="C3007" s="48" t="str">
        <x:v>Indonesian</x:v>
      </x:c>
      <x:c r="D3007" s="48" t="n">
        <x:v>61</x:v>
      </x:c>
      <x:c r="E3007" s="48" t="str"/>
      <x:c r="F3007" s="48" t="str">
        <x:v>Sen Pegara as On Serbatan mui Kremes Terwnar eema</x:v>
      </x:c>
      <x:c r="G3007" s="48" t="str">
        <x:v>Obligation</x:v>
      </x:c>
      <x:c r="H3007" s="48" t="str">
        <x:v>Shared</x:v>
      </x:c>
      <x:c r="I3007" s="48" t="n">
        <x:v>0.45</x:v>
      </x:c>
      <x:c r="J3007" s="48" t="n">
        <x:v>0.4</x:v>
      </x:c>
      <x:c r="K3007" s="48" t="str">
        <x:v>Yes</x:v>
      </x:c>
      <x:c r="L3007" s="48" t="str">
        <x:v>OCR</x:v>
      </x:c>
    </x:row>
    <x:row r="3008">
      <x:c r="A3008" s="48" t="str">
        <x:v>UNI-3007</x:v>
      </x:c>
      <x:c r="B3008" s="48" t="str">
        <x:v>SILVER</x:v>
      </x:c>
      <x:c r="C3008" s="48" t="str">
        <x:v>Indonesian</x:v>
      </x:c>
      <x:c r="D3008" s="48" t="n">
        <x:v>61</x:v>
      </x:c>
      <x:c r="E3008" s="48" t="str"/>
      <x:c r="F3008" s="48" t="str">
        <x:v>MENTAL BIN TA sun dj Mn ep Pergar d meR</x:v>
      </x:c>
      <x:c r="G3008" s="48" t="str">
        <x:v>Obligation</x:v>
      </x:c>
      <x:c r="H3008" s="48" t="str">
        <x:v>Shared</x:v>
      </x:c>
      <x:c r="I3008" s="48" t="n">
        <x:v>0.45</x:v>
      </x:c>
      <x:c r="J3008" s="48" t="n">
        <x:v>0.4</x:v>
      </x:c>
      <x:c r="K3008" s="48" t="str">
        <x:v>Yes</x:v>
      </x:c>
      <x:c r="L3008" s="48" t="str">
        <x:v>OCR</x:v>
      </x:c>
    </x:row>
    <x:row r="3009">
      <x:c r="A3009" s="48" t="str">
        <x:v>UNI-3008</x:v>
      </x:c>
      <x:c r="B3009" s="48" t="str">
        <x:v>SILVER</x:v>
      </x:c>
      <x:c r="C3009" s="48" t="str">
        <x:v>Indonesian</x:v>
      </x:c>
      <x:c r="D3009" s="48" t="n">
        <x:v>61</x:v>
      </x:c>
      <x:c r="E3009" s="48" t="str"/>
      <x:c r="F3009" s="48" t="str">
        <x:v>raakan Oa Teten tekuaya berita Sp Ona TA KORAN penbamanPerturan</x:v>
      </x:c>
      <x:c r="G3009" s="48" t="str">
        <x:v>Obligation</x:v>
      </x:c>
      <x:c r="H3009" s="48" t="str">
        <x:v>Shared</x:v>
      </x:c>
      <x:c r="I3009" s="48" t="n">
        <x:v>0.45</x:v>
      </x:c>
      <x:c r="J3009" s="48" t="n">
        <x:v>0.4</x:v>
      </x:c>
      <x:c r="K3009" s="48" t="str">
        <x:v>Yes</x:v>
      </x:c>
      <x:c r="L3009" s="48" t="str">
        <x:v>OCR</x:v>
      </x:c>
    </x:row>
    <x:row r="3010">
      <x:c r="A3010" s="48" t="str">
        <x:v>UNI-3009</x:v>
      </x:c>
      <x:c r="B3010" s="48" t="str">
        <x:v>SILVER</x:v>
      </x:c>
      <x:c r="C3010" s="48" t="str">
        <x:v>Indonesian</x:v>
      </x:c>
      <x:c r="D3010" s="48" t="n">
        <x:v>61</x:v>
      </x:c>
      <x:c r="E3010" s="48" t="str"/>
      <x:c r="F3010" s="48" t="str">
        <x:v>Tuna rr tsns aeeaalan Aron mencerargan pewnttan Harun</x:v>
      </x:c>
      <x:c r="G3010" s="48" t="str">
        <x:v>Obligation</x:v>
      </x:c>
      <x:c r="H3010" s="48" t="str">
        <x:v>Shared</x:v>
      </x:c>
      <x:c r="I3010" s="48" t="n">
        <x:v>0.45</x:v>
      </x:c>
      <x:c r="J3010" s="48" t="n">
        <x:v>0.4</x:v>
      </x:c>
      <x:c r="K3010" s="48" t="str">
        <x:v>Yes</x:v>
      </x:c>
      <x:c r="L3010" s="48" t="str">
        <x:v>OCR</x:v>
      </x:c>
    </x:row>
    <x:row r="3011">
      <x:c r="A3011" s="48" t="str">
        <x:v>UNI-3010</x:v>
      </x:c>
      <x:c r="B3011" s="48" t="str">
        <x:v>SILVER</x:v>
      </x:c>
      <x:c r="C3011" s="48" t="str">
        <x:v>Indonesian</x:v>
      </x:c>
      <x:c r="D3011" s="48" t="n">
        <x:v>61</x:v>
      </x:c>
      <x:c r="E3011" s="48" t="str"/>
      <x:c r="F3011" s="48" t="str">
        <x:v>POTO bag kb pewbun Hm reg tom Pemaparan</x:v>
      </x:c>
      <x:c r="G3011" s="48" t="str">
        <x:v>Obligation</x:v>
      </x:c>
      <x:c r="H3011" s="48" t="str">
        <x:v>Shared</x:v>
      </x:c>
      <x:c r="I3011" s="48" t="n">
        <x:v>0.45</x:v>
      </x:c>
      <x:c r="J3011" s="48" t="n">
        <x:v>0.4</x:v>
      </x:c>
      <x:c r="K3011" s="48" t="str">
        <x:v>Yes</x:v>
      </x:c>
      <x:c r="L3011" s="48" t="str">
        <x:v>OCR</x:v>
      </x:c>
    </x:row>
    <x:row r="3012">
      <x:c r="A3012" s="48" t="str">
        <x:v>UNI-3011</x:v>
      </x:c>
      <x:c r="B3012" s="48" t="str">
        <x:v>SILVER</x:v>
      </x:c>
      <x:c r="C3012" s="48" t="str">
        <x:v>Indonesian</x:v>
      </x:c>
      <x:c r="D3012" s="48" t="n">
        <x:v>61</x:v>
      </x:c>
      <x:c r="E3012" s="48" t="str"/>
      <x:c r="F3012" s="48" t="str">
        <x:v>Pakam btuan peranan pewkapen Mn rgoda sa ratan</x:v>
      </x:c>
      <x:c r="G3012" s="48" t="str">
        <x:v>Obligation</x:v>
      </x:c>
      <x:c r="H3012" s="48" t="str">
        <x:v>Shared</x:v>
      </x:c>
      <x:c r="I3012" s="48" t="n">
        <x:v>0.45</x:v>
      </x:c>
      <x:c r="J3012" s="48" t="n">
        <x:v>0.4</x:v>
      </x:c>
      <x:c r="K3012" s="48" t="str">
        <x:v>Yes</x:v>
      </x:c>
      <x:c r="L3012" s="48" t="str">
        <x:v>OCR</x:v>
      </x:c>
    </x:row>
    <x:row r="3013">
      <x:c r="A3013" s="48" t="str">
        <x:v>UNI-3012</x:v>
      </x:c>
      <x:c r="B3013" s="48" t="str">
        <x:v>SILVER</x:v>
      </x:c>
      <x:c r="C3013" s="48" t="str">
        <x:v>Indonesian</x:v>
      </x:c>
      <x:c r="D3013" s="48" t="n">
        <x:v>61</x:v>
      </x:c>
      <x:c r="E3013" s="48" t="str"/>
      <x:c r="F3013" s="48" t="str">
        <x:v>Tutur su pertian meri Pererun ttsto Mun tea. yng laa</x:v>
      </x:c>
      <x:c r="G3013" s="48" t="str">
        <x:v>Obligation</x:v>
      </x:c>
      <x:c r="H3013" s="48" t="str">
        <x:v>Shared</x:v>
      </x:c>
      <x:c r="I3013" s="48" t="n">
        <x:v>0.45</x:v>
      </x:c>
      <x:c r="J3013" s="48" t="n">
        <x:v>0.4</x:v>
      </x:c>
      <x:c r="K3013" s="48" t="str">
        <x:v>Yes</x:v>
      </x:c>
      <x:c r="L3013" s="48" t="str">
        <x:v>OCR</x:v>
      </x:c>
    </x:row>
    <x:row r="3014">
      <x:c r="A3014" s="48" t="str">
        <x:v>UNI-3013</x:v>
      </x:c>
      <x:c r="B3014" s="48" t="str">
        <x:v>SILVER</x:v>
      </x:c>
      <x:c r="C3014" s="48" t="str">
        <x:v>Indonesian</x:v>
      </x:c>
      <x:c r="D3014" s="48" t="n">
        <x:v>61</x:v>
      </x:c>
      <x:c r="E3014" s="48" t="str"/>
      <x:c r="F3014" s="48" t="str">
        <x:v>Sem ra Da Srmereegavi Kara dm pesanan</x:v>
      </x:c>
      <x:c r="G3014" s="48" t="str">
        <x:v>Obligation</x:v>
      </x:c>
      <x:c r="H3014" s="48" t="str">
        <x:v>Shared</x:v>
      </x:c>
      <x:c r="I3014" s="48" t="n">
        <x:v>0.45</x:v>
      </x:c>
      <x:c r="J3014" s="48" t="n">
        <x:v>0.4</x:v>
      </x:c>
      <x:c r="K3014" s="48" t="str">
        <x:v>Yes</x:v>
      </x:c>
      <x:c r="L3014" s="48" t="str">
        <x:v>OCR</x:v>
      </x:c>
    </x:row>
    <x:row r="3015">
      <x:c r="A3015" s="48" t="str">
        <x:v>UNI-3014</x:v>
      </x:c>
      <x:c r="B3015" s="48" t="str">
        <x:v>SILVER</x:v>
      </x:c>
      <x:c r="C3015" s="48" t="str">
        <x:v>Indonesian</x:v>
      </x:c>
      <x:c r="D3015" s="48" t="n">
        <x:v>61</x:v>
      </x:c>
      <x:c r="E3015" s="48" t="str"/>
      <x:c r="F3015" s="48" t="str">
        <x:v>(ELIA ONE IM sana am mngaLatan</x:v>
      </x:c>
      <x:c r="G3015" s="48" t="str">
        <x:v>Obligation</x:v>
      </x:c>
      <x:c r="H3015" s="48" t="str">
        <x:v>Shared</x:v>
      </x:c>
      <x:c r="I3015" s="48" t="n">
        <x:v>0.45</x:v>
      </x:c>
      <x:c r="J3015" s="48" t="n">
        <x:v>0.4</x:v>
      </x:c>
      <x:c r="K3015" s="48" t="str">
        <x:v>Yes</x:v>
      </x:c>
      <x:c r="L3015" s="48" t="str">
        <x:v>OCR</x:v>
      </x:c>
    </x:row>
    <x:row r="3016">
      <x:c r="A3016" s="48" t="str">
        <x:v>UNI-3015</x:v>
      </x:c>
      <x:c r="B3016" s="48" t="str">
        <x:v>SILVER</x:v>
      </x:c>
      <x:c r="C3016" s="48" t="str">
        <x:v>Indonesian</x:v>
      </x:c>
      <x:c r="D3016" s="48" t="n">
        <x:v>61</x:v>
      </x:c>
      <x:c r="E3016" s="48" t="str"/>
      <x:c r="F3016" s="48" t="str">
        <x:v>Ia kan Mergaadori rbaan Bt proper Plum an priwan</x:v>
      </x:c>
      <x:c r="G3016" s="48" t="str">
        <x:v>Obligation</x:v>
      </x:c>
      <x:c r="H3016" s="48" t="str">
        <x:v>Shared</x:v>
      </x:c>
      <x:c r="I3016" s="48" t="n">
        <x:v>0.45</x:v>
      </x:c>
      <x:c r="J3016" s="48" t="n">
        <x:v>0.4</x:v>
      </x:c>
      <x:c r="K3016" s="48" t="str">
        <x:v>Yes</x:v>
      </x:c>
      <x:c r="L3016" s="48" t="str">
        <x:v>OCR</x:v>
      </x:c>
    </x:row>
    <x:row r="3017">
      <x:c r="A3017" s="48" t="str">
        <x:v>UNI-3016</x:v>
      </x:c>
      <x:c r="B3017" s="48" t="str">
        <x:v>SILVER</x:v>
      </x:c>
      <x:c r="C3017" s="48" t="str">
        <x:v>Indonesian</x:v>
      </x:c>
      <x:c r="D3017" s="48" t="n">
        <x:v>61</x:v>
      </x:c>
      <x:c r="E3017" s="48" t="str"/>
      <x:c r="F3017" s="48" t="str">
        <x:v>Iu ra letatan sean Tg Dasar Kost his menjanakan</x:v>
      </x:c>
      <x:c r="G3017" s="48" t="str">
        <x:v>Obligation</x:v>
      </x:c>
      <x:c r="H3017" s="48" t="str">
        <x:v>Shared</x:v>
      </x:c>
      <x:c r="I3017" s="48" t="n">
        <x:v>0.45</x:v>
      </x:c>
      <x:c r="J3017" s="48" t="n">
        <x:v>0.4</x:v>
      </x:c>
      <x:c r="K3017" s="48" t="str">
        <x:v>Yes</x:v>
      </x:c>
      <x:c r="L3017" s="48" t="str">
        <x:v>OCR</x:v>
      </x:c>
    </x:row>
    <x:row r="3018">
      <x:c r="A3018" s="48" t="str">
        <x:v>UNI-3017</x:v>
      </x:c>
      <x:c r="B3018" s="48" t="str">
        <x:v>SILVER</x:v>
      </x:c>
      <x:c r="C3018" s="48" t="str">
        <x:v>Indonesian</x:v>
      </x:c>
      <x:c r="D3018" s="48" t="n">
        <x:v>61</x:v>
      </x:c>
      <x:c r="E3018" s="48" t="str"/>
      <x:c r="F3018" s="48" t="str">
        <x:v>penetnaneraaPrgars oa dn botak se gan S2 MM 21</x:v>
      </x:c>
      <x:c r="G3018" s="48" t="str">
        <x:v>Obligation</x:v>
      </x:c>
      <x:c r="H3018" s="48" t="str">
        <x:v>Shared</x:v>
      </x:c>
      <x:c r="I3018" s="48" t="n">
        <x:v>0.45</x:v>
      </x:c>
      <x:c r="J3018" s="48" t="n">
        <x:v>0.4</x:v>
      </x:c>
      <x:c r="K3018" s="48" t="str">
        <x:v>Yes</x:v>
      </x:c>
      <x:c r="L3018" s="48" t="str">
        <x:v>OCR</x:v>
      </x:c>
    </x:row>
    <x:row r="3019">
      <x:c r="A3019" s="48" t="str">
        <x:v>UNI-3018</x:v>
      </x:c>
      <x:c r="B3019" s="48" t="str">
        <x:v>SILVER</x:v>
      </x:c>
      <x:c r="C3019" s="48" t="str">
        <x:v>Indonesian</x:v>
      </x:c>
      <x:c r="D3019" s="48" t="n">
        <x:v>61</x:v>
      </x:c>
      <x:c r="E3019" s="48" t="str"/>
      <x:c r="F3019" s="48" t="str">
        <x:v>Kamen ea</x:v>
      </x:c>
      <x:c r="G3019" s="48" t="str">
        <x:v>Obligation</x:v>
      </x:c>
      <x:c r="H3019" s="48" t="str">
        <x:v>Shared</x:v>
      </x:c>
      <x:c r="I3019" s="48" t="n">
        <x:v>0.45</x:v>
      </x:c>
      <x:c r="J3019" s="48" t="n">
        <x:v>0.4</x:v>
      </x:c>
      <x:c r="K3019" s="48" t="str">
        <x:v>Yes</x:v>
      </x:c>
      <x:c r="L3019" s="48" t="str">
        <x:v>OCR</x:v>
      </x:c>
    </x:row>
    <x:row r="3020">
      <x:c r="A3020" s="48" t="str">
        <x:v>UNI-3019</x:v>
      </x:c>
      <x:c r="B3020" s="48" t="str">
        <x:v>SILVER</x:v>
      </x:c>
      <x:c r="C3020" s="48" t="str">
        <x:v>Indonesian</x:v>
      </x:c>
      <x:c r="D3020" s="48" t="n">
        <x:v>62</x:v>
      </x:c>
      <x:c r="E3020" s="48" t="str"/>
      <x:c r="F3020" s="48" t="str">
        <x:v>Marga Korea Nct ts Gneskan n Gen Pn</x:v>
      </x:c>
      <x:c r="G3020" s="48" t="str">
        <x:v>Obligation</x:v>
      </x:c>
      <x:c r="H3020" s="48" t="str">
        <x:v>Shared</x:v>
      </x:c>
      <x:c r="I3020" s="48" t="n">
        <x:v>0.45</x:v>
      </x:c>
      <x:c r="J3020" s="48" t="n">
        <x:v>0.4</x:v>
      </x:c>
      <x:c r="K3020" s="48" t="str">
        <x:v>Yes</x:v>
      </x:c>
      <x:c r="L3020" s="48" t="str">
        <x:v>OCR</x:v>
      </x:c>
    </x:row>
    <x:row r="3021">
      <x:c r="A3021" s="48" t="str">
        <x:v>UNI-3020</x:v>
      </x:c>
      <x:c r="B3021" s="48" t="str">
        <x:v>SILVER</x:v>
      </x:c>
      <x:c r="C3021" s="48" t="str">
        <x:v>Indonesian</x:v>
      </x:c>
      <x:c r="D3021" s="48" t="n">
        <x:v>62</x:v>
      </x:c>
      <x:c r="E3021" s="48" t="str">
        <x:v>1</x:v>
      </x:c>
      <x:c r="F3021" s="48" t="str">
        <x:v>1 semboyan ak Pepa ana dilan beduatan Harga Kotak ump um ngan prjamaan go Br pena Er da (Karl Pata eat et ot ban Ga aja ye mn Gejatan tan ons neraka Gensaya alta ba Dwatu ec bagarura Gyakan dan Si wo 17 Preman</x:v>
      </x:c>
      <x:c r="G3021" s="48" t="str">
        <x:v>Obligation</x:v>
      </x:c>
      <x:c r="H3021" s="48" t="str">
        <x:v>Shared</x:v>
      </x:c>
      <x:c r="I3021" s="48" t="n">
        <x:v>0.45</x:v>
      </x:c>
      <x:c r="J3021" s="48" t="n">
        <x:v>0.4</x:v>
      </x:c>
      <x:c r="K3021" s="48" t="str">
        <x:v>Yes</x:v>
      </x:c>
      <x:c r="L3021" s="48" t="str">
        <x:v>OCR</x:v>
      </x:c>
    </x:row>
    <x:row r="3022">
      <x:c r="A3022" s="48" t="str">
        <x:v>UNI-3021</x:v>
      </x:c>
      <x:c r="B3022" s="48" t="str">
        <x:v>SILVER</x:v>
      </x:c>
      <x:c r="C3022" s="48" t="str">
        <x:v>Indonesian</x:v>
      </x:c>
      <x:c r="D3022" s="48" t="n">
        <x:v>62</x:v>
      </x:c>
      <x:c r="E3022" s="48" t="str"/>
      <x:c r="F3022" s="48" t="str">
        <x:v>Sa Anas Pemr</x:v>
      </x:c>
      <x:c r="G3022" s="48" t="str">
        <x:v>Obligation</x:v>
      </x:c>
      <x:c r="H3022" s="48" t="str">
        <x:v>Shared</x:v>
      </x:c>
      <x:c r="I3022" s="48" t="n">
        <x:v>0.45</x:v>
      </x:c>
      <x:c r="J3022" s="48" t="n">
        <x:v>0.4</x:v>
      </x:c>
      <x:c r="K3022" s="48" t="str">
        <x:v>Yes</x:v>
      </x:c>
      <x:c r="L3022" s="48" t="str">
        <x:v>OCR</x:v>
      </x:c>
    </x:row>
    <x:row r="3023">
      <x:c r="A3023" s="48" t="str">
        <x:v>UNI-3022</x:v>
      </x:c>
      <x:c r="B3023" s="48" t="str">
        <x:v>SILVER</x:v>
      </x:c>
      <x:c r="C3023" s="48" t="str">
        <x:v>Indonesian</x:v>
      </x:c>
      <x:c r="D3023" s="48" t="n">
        <x:v>62</x:v>
      </x:c>
      <x:c r="E3023" s="48" t="str"/>
      <x:c r="F3023" s="48" t="str">
        <x:v>Yengitaa Pragra Sa Put merbotan ra mba ep Gram Area ngak.</x:v>
      </x:c>
      <x:c r="G3023" s="48" t="str">
        <x:v>Obligation</x:v>
      </x:c>
      <x:c r="H3023" s="48" t="str">
        <x:v>Shared</x:v>
      </x:c>
      <x:c r="I3023" s="48" t="n">
        <x:v>0.45</x:v>
      </x:c>
      <x:c r="J3023" s="48" t="n">
        <x:v>0.4</x:v>
      </x:c>
      <x:c r="K3023" s="48" t="str">
        <x:v>Yes</x:v>
      </x:c>
      <x:c r="L3023" s="48" t="str">
        <x:v>OCR</x:v>
      </x:c>
    </x:row>
    <x:row r="3024">
      <x:c r="A3024" s="48" t="str">
        <x:v>UNI-3023</x:v>
      </x:c>
      <x:c r="B3024" s="48" t="str">
        <x:v>SILVER</x:v>
      </x:c>
      <x:c r="C3024" s="48" t="str">
        <x:v>Indonesian</x:v>
      </x:c>
      <x:c r="D3024" s="48" t="n">
        <x:v>62</x:v>
      </x:c>
      <x:c r="E3024" s="48" t="str"/>
      <x:c r="F3024" s="48" t="str">
        <x:v>Iebikas La ds cb Korea menyeaiar enra ma en S0.</x:v>
      </x:c>
      <x:c r="G3024" s="48" t="str">
        <x:v>Obligation</x:v>
      </x:c>
      <x:c r="H3024" s="48" t="str">
        <x:v>Shared</x:v>
      </x:c>
      <x:c r="I3024" s="48" t="n">
        <x:v>0.45</x:v>
      </x:c>
      <x:c r="J3024" s="48" t="n">
        <x:v>0.4</x:v>
      </x:c>
      <x:c r="K3024" s="48" t="str">
        <x:v>Yes</x:v>
      </x:c>
      <x:c r="L3024" s="48" t="str">
        <x:v>OCR</x:v>
      </x:c>
    </x:row>
    <x:row r="3025">
      <x:c r="A3025" s="48" t="str">
        <x:v>UNI-3024</x:v>
      </x:c>
      <x:c r="B3025" s="48" t="str">
        <x:v>SILVER</x:v>
      </x:c>
      <x:c r="C3025" s="48" t="str">
        <x:v>Indonesian</x:v>
      </x:c>
      <x:c r="D3025" s="48" t="n">
        <x:v>62</x:v>
      </x:c>
      <x:c r="E3025" s="48" t="str"/>
      <x:c r="F3025" s="48" t="str">
        <x:v>Wawa Fi ask Cas ar yan Gan Pro von Araban</x:v>
      </x:c>
      <x:c r="G3025" s="48" t="str">
        <x:v>Obligation</x:v>
      </x:c>
      <x:c r="H3025" s="48" t="str">
        <x:v>Shared</x:v>
      </x:c>
      <x:c r="I3025" s="48" t="n">
        <x:v>0.45</x:v>
      </x:c>
      <x:c r="J3025" s="48" t="n">
        <x:v>0.4</x:v>
      </x:c>
      <x:c r="K3025" s="48" t="str">
        <x:v>Yes</x:v>
      </x:c>
      <x:c r="L3025" s="48" t="str">
        <x:v>OCR</x:v>
      </x:c>
    </x:row>
    <x:row r="3026">
      <x:c r="A3026" s="48" t="str">
        <x:v>UNI-3025</x:v>
      </x:c>
      <x:c r="B3026" s="48" t="str">
        <x:v>SILVER</x:v>
      </x:c>
      <x:c r="C3026" s="48" t="str">
        <x:v>Indonesian</x:v>
      </x:c>
      <x:c r="D3026" s="48" t="n">
        <x:v>62</x:v>
      </x:c>
      <x:c r="E3026" s="48" t="str"/>
      <x:c r="F3026" s="48" t="str">
        <x:v>PENRMN LAN rendsa</x:v>
      </x:c>
      <x:c r="G3026" s="48" t="str">
        <x:v>Obligation</x:v>
      </x:c>
      <x:c r="H3026" s="48" t="str">
        <x:v>Shared</x:v>
      </x:c>
      <x:c r="I3026" s="48" t="n">
        <x:v>0.45</x:v>
      </x:c>
      <x:c r="J3026" s="48" t="n">
        <x:v>0.4</x:v>
      </x:c>
      <x:c r="K3026" s="48" t="str">
        <x:v>Yes</x:v>
      </x:c>
      <x:c r="L3026" s="48" t="str">
        <x:v>OCR</x:v>
      </x:c>
    </x:row>
    <x:row r="3027">
      <x:c r="A3027" s="48" t="str">
        <x:v>UNI-3026</x:v>
      </x:c>
      <x:c r="B3027" s="48" t="str">
        <x:v>SILVER</x:v>
      </x:c>
      <x:c r="C3027" s="48" t="str">
        <x:v>Indonesian</x:v>
      </x:c>
      <x:c r="D3027" s="48" t="n">
        <x:v>62</x:v>
      </x:c>
      <x:c r="E3027" s="48" t="str"/>
      <x:c r="F3027" s="48" t="str">
        <x:v>(mang sa ma b Kp b (8 mn urg prabu an pecoana. rae perbagoan Pee cam mata oma gn Kana tau (8 FOR parean pegerbawn naa pergantama era dng dngan</x:v>
      </x:c>
      <x:c r="G3027" s="48" t="str">
        <x:v>Obligation</x:v>
      </x:c>
      <x:c r="H3027" s="48" t="str">
        <x:v>Shared</x:v>
      </x:c>
      <x:c r="I3027" s="48" t="n">
        <x:v>0.45</x:v>
      </x:c>
      <x:c r="J3027" s="48" t="n">
        <x:v>0.4</x:v>
      </x:c>
      <x:c r="K3027" s="48" t="str">
        <x:v>Yes</x:v>
      </x:c>
      <x:c r="L3027" s="48" t="str">
        <x:v>OCR</x:v>
      </x:c>
    </x:row>
    <x:row r="3028">
      <x:c r="A3028" s="48" t="str">
        <x:v>UNI-3027</x:v>
      </x:c>
      <x:c r="B3028" s="48" t="str">
        <x:v>SILVER</x:v>
      </x:c>
      <x:c r="C3028" s="48" t="str">
        <x:v>Indonesian</x:v>
      </x:c>
      <x:c r="D3028" s="48" t="n">
        <x:v>62</x:v>
      </x:c>
      <x:c r="E3028" s="48" t="str"/>
      <x:c r="F3028" s="48" t="str">
        <x:v>Mag Lan ng mua ergn He Tr ar aan can</x:v>
      </x:c>
      <x:c r="G3028" s="48" t="str">
        <x:v>Obligation</x:v>
      </x:c>
      <x:c r="H3028" s="48" t="str">
        <x:v>Shared</x:v>
      </x:c>
      <x:c r="I3028" s="48" t="n">
        <x:v>0.45</x:v>
      </x:c>
      <x:c r="J3028" s="48" t="n">
        <x:v>0.4</x:v>
      </x:c>
      <x:c r="K3028" s="48" t="str">
        <x:v>Yes</x:v>
      </x:c>
      <x:c r="L3028" s="48" t="str">
        <x:v>OCR</x:v>
      </x:c>
    </x:row>
    <x:row r="3029">
      <x:c r="A3029" s="48" t="str">
        <x:v>UNI-3028</x:v>
      </x:c>
      <x:c r="B3029" s="48" t="str">
        <x:v>SILVER</x:v>
      </x:c>
      <x:c r="C3029" s="48" t="str">
        <x:v>Indonesian</x:v>
      </x:c>
      <x:c r="D3029" s="48" t="n">
        <x:v>62</x:v>
      </x:c>
      <x:c r="E3029" s="48" t="str"/>
      <x:c r="F3029" s="48" t="str">
        <x:v>eka Kerak dkerg area Dora Casing mama aroma &amp;</x:v>
      </x:c>
      <x:c r="G3029" s="48" t="str">
        <x:v>Obligation</x:v>
      </x:c>
      <x:c r="H3029" s="48" t="str">
        <x:v>Shared</x:v>
      </x:c>
      <x:c r="I3029" s="48" t="n">
        <x:v>0.45</x:v>
      </x:c>
      <x:c r="J3029" s="48" t="n">
        <x:v>0.4</x:v>
      </x:c>
      <x:c r="K3029" s="48" t="str">
        <x:v>Yes</x:v>
      </x:c>
      <x:c r="L3029" s="48" t="str">
        <x:v>OCR</x:v>
      </x:c>
    </x:row>
    <x:row r="3030">
      <x:c r="A3030" s="48" t="str">
        <x:v>UNI-3029</x:v>
      </x:c>
      <x:c r="B3030" s="48" t="str">
        <x:v>SILVER</x:v>
      </x:c>
      <x:c r="C3030" s="48" t="str">
        <x:v>Indonesian</x:v>
      </x:c>
      <x:c r="D3030" s="48" t="n">
        <x:v>63</x:v>
      </x:c>
      <x:c r="E3030" s="48" t="str"/>
      <x:c r="F3030" s="48" t="str">
        <x:v>Keatas na</x:v>
      </x:c>
      <x:c r="G3030" s="48" t="str">
        <x:v>Obligation</x:v>
      </x:c>
      <x:c r="H3030" s="48" t="str">
        <x:v>Shared</x:v>
      </x:c>
      <x:c r="I3030" s="48" t="n">
        <x:v>0.45</x:v>
      </x:c>
      <x:c r="J3030" s="48" t="n">
        <x:v>0.4</x:v>
      </x:c>
      <x:c r="K3030" s="48" t="str">
        <x:v>Yes</x:v>
      </x:c>
      <x:c r="L3030" s="48" t="str">
        <x:v>OCR</x:v>
      </x:c>
    </x:row>
    <x:row r="3031">
      <x:c r="A3031" s="48" t="str">
        <x:v>UNI-3030</x:v>
      </x:c>
      <x:c r="B3031" s="48" t="str">
        <x:v>SILVER</x:v>
      </x:c>
      <x:c r="C3031" s="48" t="str">
        <x:v>Indonesian</x:v>
      </x:c>
      <x:c r="D3031" s="48" t="n">
        <x:v>64</x:v>
      </x:c>
      <x:c r="E3031" s="48" t="str"/>
      <x:c r="F3031" s="48" t="str">
        <x:v>rak pesan</x:v>
      </x:c>
      <x:c r="G3031" s="48" t="str">
        <x:v>Obligation</x:v>
      </x:c>
      <x:c r="H3031" s="48" t="str">
        <x:v>Shared</x:v>
      </x:c>
      <x:c r="I3031" s="48" t="n">
        <x:v>0.45</x:v>
      </x:c>
      <x:c r="J3031" s="48" t="n">
        <x:v>0.4</x:v>
      </x:c>
      <x:c r="K3031" s="48" t="str">
        <x:v>Yes</x:v>
      </x:c>
      <x:c r="L3031" s="48" t="str">
        <x:v>OCR</x:v>
      </x:c>
    </x:row>
    <x:row r="3032">
      <x:c r="A3032" s="48" t="str">
        <x:v>UNI-3031</x:v>
      </x:c>
      <x:c r="B3032" s="48" t="str">
        <x:v>SILVER</x:v>
      </x:c>
      <x:c r="C3032" s="48" t="str">
        <x:v>Indonesian</x:v>
      </x:c>
      <x:c r="D3032" s="48" t="n">
        <x:v>64</x:v>
      </x:c>
      <x:c r="E3032" s="48" t="str"/>
      <x:c r="F3032" s="48" t="str">
        <x:v>Pata rak torak tncsatan Krwa YAK ma Pertjran Saran</x:v>
      </x:c>
      <x:c r="G3032" s="48" t="str">
        <x:v>Obligation</x:v>
      </x:c>
      <x:c r="H3032" s="48" t="str">
        <x:v>Shared</x:v>
      </x:c>
      <x:c r="I3032" s="48" t="n">
        <x:v>0.45</x:v>
      </x:c>
      <x:c r="J3032" s="48" t="n">
        <x:v>0.4</x:v>
      </x:c>
      <x:c r="K3032" s="48" t="str">
        <x:v>Yes</x:v>
      </x:c>
      <x:c r="L3032" s="48" t="str">
        <x:v>OCR</x:v>
      </x:c>
    </x:row>
    <x:row r="3033">
      <x:c r="A3033" s="48" t="str">
        <x:v>UNI-3032</x:v>
      </x:c>
      <x:c r="B3033" s="48" t="str">
        <x:v>SILVER</x:v>
      </x:c>
      <x:c r="C3033" s="48" t="str">
        <x:v>Indonesian</x:v>
      </x:c>
      <x:c r="D3033" s="48" t="n">
        <x:v>64</x:v>
      </x:c>
      <x:c r="E3033" s="48" t="str"/>
      <x:c r="F3033" s="48" t="str">
        <x:v>tg beta Mas Gan Bar jang ba Dena pngen KR Ka</x:v>
      </x:c>
      <x:c r="G3033" s="48" t="str">
        <x:v>Obligation</x:v>
      </x:c>
      <x:c r="H3033" s="48" t="str">
        <x:v>Shared</x:v>
      </x:c>
      <x:c r="I3033" s="48" t="n">
        <x:v>0.45</x:v>
      </x:c>
      <x:c r="J3033" s="48" t="n">
        <x:v>0.4</x:v>
      </x:c>
      <x:c r="K3033" s="48" t="str">
        <x:v>Yes</x:v>
      </x:c>
      <x:c r="L3033" s="48" t="str">
        <x:v>OCR</x:v>
      </x:c>
    </x:row>
    <x:row r="3034">
      <x:c r="A3034" s="48" t="str">
        <x:v>UNI-3033</x:v>
      </x:c>
      <x:c r="B3034" s="48" t="str">
        <x:v>SILVER</x:v>
      </x:c>
      <x:c r="C3034" s="48" t="str">
        <x:v>Indonesian</x:v>
      </x:c>
      <x:c r="D3034" s="48" t="n">
        <x:v>64</x:v>
      </x:c>
      <x:c r="E3034" s="48" t="str"/>
      <x:c r="F3034" s="48" t="str">
        <x:v>Setan port treb Ic</x:v>
      </x:c>
      <x:c r="G3034" s="48" t="str">
        <x:v>Obligation</x:v>
      </x:c>
      <x:c r="H3034" s="48" t="str">
        <x:v>Shared</x:v>
      </x:c>
      <x:c r="I3034" s="48" t="n">
        <x:v>0.45</x:v>
      </x:c>
      <x:c r="J3034" s="48" t="n">
        <x:v>0.4</x:v>
      </x:c>
      <x:c r="K3034" s="48" t="str">
        <x:v>Yes</x:v>
      </x:c>
      <x:c r="L3034" s="48" t="str">
        <x:v>OCR</x:v>
      </x:c>
    </x:row>
    <x:row r="3035">
      <x:c r="A3035" s="48" t="str">
        <x:v>UNI-3034</x:v>
      </x:c>
      <x:c r="B3035" s="48" t="str">
        <x:v>SILVER</x:v>
      </x:c>
      <x:c r="C3035" s="48" t="str">
        <x:v>Indonesian</x:v>
      </x:c>
      <x:c r="D3035" s="48" t="n">
        <x:v>64</x:v>
      </x:c>
      <x:c r="E3035" s="48" t="str"/>
      <x:c r="F3035" s="48" t="str">
        <x:v>(8 Tenkliah an arn sabda dNbora dn an as meng Pak</x:v>
      </x:c>
      <x:c r="G3035" s="48" t="str">
        <x:v>Obligation</x:v>
      </x:c>
      <x:c r="H3035" s="48" t="str">
        <x:v>Shared</x:v>
      </x:c>
      <x:c r="I3035" s="48" t="n">
        <x:v>0.45</x:v>
      </x:c>
      <x:c r="J3035" s="48" t="n">
        <x:v>0.4</x:v>
      </x:c>
      <x:c r="K3035" s="48" t="str">
        <x:v>Yes</x:v>
      </x:c>
      <x:c r="L3035" s="48" t="str">
        <x:v>OCR</x:v>
      </x:c>
    </x:row>
    <x:row r="3036">
      <x:c r="A3036" s="48" t="str">
        <x:v>UNI-3035</x:v>
      </x:c>
      <x:c r="B3036" s="48" t="str">
        <x:v>SILVER</x:v>
      </x:c>
      <x:c r="C3036" s="48" t="str">
        <x:v>Indonesian</x:v>
      </x:c>
      <x:c r="D3036" s="48" t="n">
        <x:v>64</x:v>
      </x:c>
      <x:c r="E3036" s="48" t="str"/>
      <x:c r="F3036" s="48" t="str">
        <x:v>PEG Ja sena dar menk Pegara Ja</x:v>
      </x:c>
      <x:c r="G3036" s="48" t="str">
        <x:v>Obligation</x:v>
      </x:c>
      <x:c r="H3036" s="48" t="str">
        <x:v>Shared</x:v>
      </x:c>
      <x:c r="I3036" s="48" t="n">
        <x:v>0.45</x:v>
      </x:c>
      <x:c r="J3036" s="48" t="n">
        <x:v>0.4</x:v>
      </x:c>
      <x:c r="K3036" s="48" t="str">
        <x:v>Yes</x:v>
      </x:c>
      <x:c r="L3036" s="48" t="str">
        <x:v>OCR</x:v>
      </x:c>
    </x:row>
    <x:row r="3037">
      <x:c r="A3037" s="48" t="str">
        <x:v>UNI-3036</x:v>
      </x:c>
      <x:c r="B3037" s="48" t="str">
        <x:v>SILVER</x:v>
      </x:c>
      <x:c r="C3037" s="48" t="str">
        <x:v>Indonesian</x:v>
      </x:c>
      <x:c r="D3037" s="48" t="n">
        <x:v>64</x:v>
      </x:c>
      <x:c r="E3037" s="48" t="str"/>
      <x:c r="F3037" s="48" t="str">
        <x:v>(AS Ban menga los Praya Aan bs tar dn mat (emun BeK MMO kana Dag rada</x:v>
      </x:c>
      <x:c r="G3037" s="48" t="str">
        <x:v>Obligation</x:v>
      </x:c>
      <x:c r="H3037" s="48" t="str">
        <x:v>Shared</x:v>
      </x:c>
      <x:c r="I3037" s="48" t="n">
        <x:v>0.45</x:v>
      </x:c>
      <x:c r="J3037" s="48" t="n">
        <x:v>0.4</x:v>
      </x:c>
      <x:c r="K3037" s="48" t="str">
        <x:v>Yes</x:v>
      </x:c>
      <x:c r="L3037" s="48" t="str">
        <x:v>OCR</x:v>
      </x:c>
    </x:row>
    <x:row r="3038">
      <x:c r="A3038" s="48" t="str">
        <x:v>UNI-3037</x:v>
      </x:c>
      <x:c r="B3038" s="48" t="str">
        <x:v>SILVER</x:v>
      </x:c>
      <x:c r="C3038" s="48" t="str">
        <x:v>Indonesian</x:v>
      </x:c>
      <x:c r="D3038" s="48" t="n">
        <x:v>64</x:v>
      </x:c>
      <x:c r="E3038" s="48" t="str"/>
      <x:c r="F3038" s="48" t="str">
        <x:v>Para an Gn krn Gn Ta Lg jr cl Sera perban</x:v>
      </x:c>
      <x:c r="G3038" s="48" t="str">
        <x:v>Obligation</x:v>
      </x:c>
      <x:c r="H3038" s="48" t="str">
        <x:v>Shared</x:v>
      </x:c>
      <x:c r="I3038" s="48" t="n">
        <x:v>0.45</x:v>
      </x:c>
      <x:c r="J3038" s="48" t="n">
        <x:v>0.4</x:v>
      </x:c>
      <x:c r="K3038" s="48" t="str">
        <x:v>Yes</x:v>
      </x:c>
      <x:c r="L3038" s="48" t="str">
        <x:v>OCR</x:v>
      </x:c>
    </x:row>
    <x:row r="3039">
      <x:c r="A3039" s="48" t="str">
        <x:v>UNI-3038</x:v>
      </x:c>
      <x:c r="B3039" s="48" t="str">
        <x:v>SILVER</x:v>
      </x:c>
      <x:c r="C3039" s="48" t="str">
        <x:v>Indonesian</x:v>
      </x:c>
      <x:c r="D3039" s="48" t="n">
        <x:v>64</x:v>
      </x:c>
      <x:c r="E3039" s="48" t="str"/>
      <x:c r="F3039" s="48" t="str">
        <x:v>Mag pan al ke br an NAGA DAK KT dn</x:v>
      </x:c>
      <x:c r="G3039" s="48" t="str">
        <x:v>Obligation</x:v>
      </x:c>
      <x:c r="H3039" s="48" t="str">
        <x:v>Shared</x:v>
      </x:c>
      <x:c r="I3039" s="48" t="n">
        <x:v>0.45</x:v>
      </x:c>
      <x:c r="J3039" s="48" t="n">
        <x:v>0.4</x:v>
      </x:c>
      <x:c r="K3039" s="48" t="str">
        <x:v>Yes</x:v>
      </x:c>
      <x:c r="L3039" s="48" t="str">
        <x:v>OCR</x:v>
      </x:c>
    </x:row>
    <x:row r="3040">
      <x:c r="A3040" s="48" t="str">
        <x:v>UNI-3039</x:v>
      </x:c>
      <x:c r="B3040" s="48" t="str">
        <x:v>SILVER</x:v>
      </x:c>
      <x:c r="C3040" s="48" t="str">
        <x:v>Indonesian</x:v>
      </x:c>
      <x:c r="D3040" s="48" t="n">
        <x:v>65</x:v>
      </x:c>
      <x:c r="E3040" s="48" t="str"/>
      <x:c r="F3040" s="48" t="str">
        <x:v>(an Sep nua 12 Pobayuan ar Ml Gn era bru tiga</x:v>
      </x:c>
      <x:c r="G3040" s="48" t="str">
        <x:v>Obligation</x:v>
      </x:c>
      <x:c r="H3040" s="48" t="str">
        <x:v>Shared</x:v>
      </x:c>
      <x:c r="I3040" s="48" t="n">
        <x:v>0.45</x:v>
      </x:c>
      <x:c r="J3040" s="48" t="n">
        <x:v>0.4</x:v>
      </x:c>
      <x:c r="K3040" s="48" t="str">
        <x:v>Yes</x:v>
      </x:c>
      <x:c r="L3040" s="48" t="str">
        <x:v>OCR</x:v>
      </x:c>
    </x:row>
    <x:row r="3041">
      <x:c r="A3041" s="48" t="str">
        <x:v>UNI-3040</x:v>
      </x:c>
      <x:c r="B3041" s="48" t="str">
        <x:v>SILVER</x:v>
      </x:c>
      <x:c r="C3041" s="48" t="str">
        <x:v>Indonesian</x:v>
      </x:c>
      <x:c r="D3041" s="48" t="n">
        <x:v>65</x:v>
      </x:c>
      <x:c r="E3041" s="48" t="str"/>
      <x:c r="F3041" s="48" t="str">
        <x:v>Inka Ken in rn duren can mk Urang an Wang Ga</x:v>
      </x:c>
      <x:c r="G3041" s="48" t="str">
        <x:v>Obligation</x:v>
      </x:c>
      <x:c r="H3041" s="48" t="str">
        <x:v>Shared</x:v>
      </x:c>
      <x:c r="I3041" s="48" t="n">
        <x:v>0.45</x:v>
      </x:c>
      <x:c r="J3041" s="48" t="n">
        <x:v>0.4</x:v>
      </x:c>
      <x:c r="K3041" s="48" t="str">
        <x:v>Yes</x:v>
      </x:c>
      <x:c r="L3041" s="48" t="str">
        <x:v>OCR</x:v>
      </x:c>
    </x:row>
    <x:row r="3042">
      <x:c r="A3042" s="48" t="str">
        <x:v>UNI-3041</x:v>
      </x:c>
      <x:c r="B3042" s="48" t="str">
        <x:v>SILVER</x:v>
      </x:c>
      <x:c r="C3042" s="48" t="str">
        <x:v>Indonesian</x:v>
      </x:c>
      <x:c r="D3042" s="48" t="n">
        <x:v>65</x:v>
      </x:c>
      <x:c r="E3042" s="48" t="str"/>
      <x:c r="F3042" s="48" t="str">
        <x:v>(enngrantarg kekal erramana.</x:v>
      </x:c>
      <x:c r="G3042" s="48" t="str">
        <x:v>Obligation</x:v>
      </x:c>
      <x:c r="H3042" s="48" t="str">
        <x:v>Shared</x:v>
      </x:c>
      <x:c r="I3042" s="48" t="n">
        <x:v>0.45</x:v>
      </x:c>
      <x:c r="J3042" s="48" t="n">
        <x:v>0.4</x:v>
      </x:c>
      <x:c r="K3042" s="48" t="str">
        <x:v>Yes</x:v>
      </x:c>
      <x:c r="L3042" s="48" t="str">
        <x:v>OCR</x:v>
      </x:c>
    </x:row>
    <x:row r="3043">
      <x:c r="A3043" s="48" t="str">
        <x:v>UNI-3042</x:v>
      </x:c>
      <x:c r="B3043" s="48" t="str">
        <x:v>SILVER</x:v>
      </x:c>
      <x:c r="C3043" s="48" t="str">
        <x:v>Indonesian</x:v>
      </x:c>
      <x:c r="D3043" s="48" t="n">
        <x:v>65</x:v>
      </x:c>
      <x:c r="E3043" s="48" t="str"/>
      <x:c r="F3043" s="48" t="str">
        <x:v>EA aa maa</x:v>
      </x:c>
      <x:c r="G3043" s="48" t="str">
        <x:v>Obligation</x:v>
      </x:c>
      <x:c r="H3043" s="48" t="str">
        <x:v>Shared</x:v>
      </x:c>
      <x:c r="I3043" s="48" t="n">
        <x:v>0.45</x:v>
      </x:c>
      <x:c r="J3043" s="48" t="n">
        <x:v>0.4</x:v>
      </x:c>
      <x:c r="K3043" s="48" t="str">
        <x:v>Yes</x:v>
      </x:c>
      <x:c r="L3043" s="48" t="str">
        <x:v>OCR</x:v>
      </x:c>
    </x:row>
    <x:row r="3044">
      <x:c r="A3044" s="48" t="str">
        <x:v>UNI-3043</x:v>
      </x:c>
      <x:c r="B3044" s="48" t="str">
        <x:v>SILVER</x:v>
      </x:c>
      <x:c r="C3044" s="48" t="str">
        <x:v>Indonesian</x:v>
      </x:c>
      <x:c r="D3044" s="48" t="n">
        <x:v>65</x:v>
      </x:c>
      <x:c r="E3044" s="48" t="str"/>
      <x:c r="F3044" s="48" t="str">
        <x:v>Ea angan</x:v>
      </x:c>
      <x:c r="G3044" s="48" t="str">
        <x:v>Obligation</x:v>
      </x:c>
      <x:c r="H3044" s="48" t="str">
        <x:v>Shared</x:v>
      </x:c>
      <x:c r="I3044" s="48" t="n">
        <x:v>0.45</x:v>
      </x:c>
      <x:c r="J3044" s="48" t="n">
        <x:v>0.4</x:v>
      </x:c>
      <x:c r="K3044" s="48" t="str">
        <x:v>Yes</x:v>
      </x:c>
      <x:c r="L3044" s="48" t="str">
        <x:v>OCR</x:v>
      </x:c>
    </x:row>
    <x:row r="3045">
      <x:c r="A3045" s="48" t="str">
        <x:v>UNI-3044</x:v>
      </x:c>
      <x:c r="B3045" s="48" t="str">
        <x:v>SILVER</x:v>
      </x:c>
      <x:c r="C3045" s="48" t="str">
        <x:v>Indonesian</x:v>
      </x:c>
      <x:c r="D3045" s="48" t="n">
        <x:v>65</x:v>
      </x:c>
      <x:c r="E3045" s="48" t="str"/>
      <x:c r="F3045" s="48" t="str">
        <x:v>| Aan aer !</x:v>
      </x:c>
      <x:c r="G3045" s="48" t="str">
        <x:v>Obligation</x:v>
      </x:c>
      <x:c r="H3045" s="48" t="str">
        <x:v>Shared</x:v>
      </x:c>
      <x:c r="I3045" s="48" t="n">
        <x:v>0.45</x:v>
      </x:c>
      <x:c r="J3045" s="48" t="n">
        <x:v>0.4</x:v>
      </x:c>
      <x:c r="K3045" s="48" t="str">
        <x:v>Yes</x:v>
      </x:c>
      <x:c r="L3045" s="48" t="str">
        <x:v>OCR</x:v>
      </x:c>
    </x:row>
    <x:row r="3046">
      <x:c r="A3046" s="48" t="str">
        <x:v>UNI-3045</x:v>
      </x:c>
      <x:c r="B3046" s="48" t="str">
        <x:v>SILVER</x:v>
      </x:c>
      <x:c r="C3046" s="48" t="str">
        <x:v>Indonesian</x:v>
      </x:c>
      <x:c r="D3046" s="48" t="n">
        <x:v>65</x:v>
      </x:c>
      <x:c r="E3046" s="48" t="str"/>
      <x:c r="F3046" s="48" t="str">
        <x:v>Penbanran Wak tok dar kesan</x:v>
      </x:c>
      <x:c r="G3046" s="48" t="str">
        <x:v>Obligation</x:v>
      </x:c>
      <x:c r="H3046" s="48" t="str">
        <x:v>Shared</x:v>
      </x:c>
      <x:c r="I3046" s="48" t="n">
        <x:v>0.45</x:v>
      </x:c>
      <x:c r="J3046" s="48" t="n">
        <x:v>0.4</x:v>
      </x:c>
      <x:c r="K3046" s="48" t="str">
        <x:v>Yes</x:v>
      </x:c>
      <x:c r="L3046" s="48" t="str">
        <x:v>OCR</x:v>
      </x:c>
    </x:row>
    <x:row r="3047">
      <x:c r="A3047" s="48" t="str">
        <x:v>UNI-3046</x:v>
      </x:c>
      <x:c r="B3047" s="48" t="str">
        <x:v>SILVER</x:v>
      </x:c>
      <x:c r="C3047" s="48" t="str">
        <x:v>Indonesian</x:v>
      </x:c>
      <x:c r="D3047" s="48" t="n">
        <x:v>65</x:v>
      </x:c>
      <x:c r="E3047" s="48" t="str"/>
      <x:c r="F3047" s="48" t="str">
        <x:v>(obeng er Oom mu eka jang scar ca Kerar (sena Organ Kiri, iga petakan 1 peweata ira aan</x:v>
      </x:c>
      <x:c r="G3047" s="48" t="str">
        <x:v>Obligation</x:v>
      </x:c>
      <x:c r="H3047" s="48" t="str">
        <x:v>Shared</x:v>
      </x:c>
      <x:c r="I3047" s="48" t="n">
        <x:v>0.45</x:v>
      </x:c>
      <x:c r="J3047" s="48" t="n">
        <x:v>0.4</x:v>
      </x:c>
      <x:c r="K3047" s="48" t="str">
        <x:v>Yes</x:v>
      </x:c>
      <x:c r="L3047" s="48" t="str">
        <x:v>OCR</x:v>
      </x:c>
    </x:row>
    <x:row r="3048">
      <x:c r="A3048" s="48" t="str">
        <x:v>UNI-3047</x:v>
      </x:c>
      <x:c r="B3048" s="48" t="str">
        <x:v>SILVER</x:v>
      </x:c>
      <x:c r="C3048" s="48" t="str">
        <x:v>Indonesian</x:v>
      </x:c>
      <x:c r="D3048" s="48" t="n">
        <x:v>65</x:v>
      </x:c>
      <x:c r="E3048" s="48" t="str"/>
      <x:c r="F3048" s="48" t="str">
        <x:v>Iga pebaln ma pegat dadokan Ga</x:v>
      </x:c>
      <x:c r="G3048" s="48" t="str">
        <x:v>Obligation</x:v>
      </x:c>
      <x:c r="H3048" s="48" t="str">
        <x:v>Shared</x:v>
      </x:c>
      <x:c r="I3048" s="48" t="n">
        <x:v>0.45</x:v>
      </x:c>
      <x:c r="J3048" s="48" t="n">
        <x:v>0.4</x:v>
      </x:c>
      <x:c r="K3048" s="48" t="str">
        <x:v>Yes</x:v>
      </x:c>
      <x:c r="L3048" s="48" t="str">
        <x:v>OCR</x:v>
      </x:c>
    </x:row>
    <x:row r="3049">
      <x:c r="A3049" s="48" t="str">
        <x:v>UNI-3048</x:v>
      </x:c>
      <x:c r="B3049" s="48" t="str">
        <x:v>SILVER</x:v>
      </x:c>
      <x:c r="C3049" s="48" t="str">
        <x:v>Indonesian</x:v>
      </x:c>
      <x:c r="D3049" s="48" t="n">
        <x:v>65</x:v>
      </x:c>
      <x:c r="E3049" s="48" t="str"/>
      <x:c r="F3049" s="48" t="str">
        <x:v>BI MEEIOLAM Mn pOLmeerden papan datonaban mi drgan</x:v>
      </x:c>
      <x:c r="G3049" s="48" t="str">
        <x:v>Obligation</x:v>
      </x:c>
      <x:c r="H3049" s="48" t="str">
        <x:v>Shared</x:v>
      </x:c>
      <x:c r="I3049" s="48" t="n">
        <x:v>0.45</x:v>
      </x:c>
      <x:c r="J3049" s="48" t="n">
        <x:v>0.4</x:v>
      </x:c>
      <x:c r="K3049" s="48" t="str">
        <x:v>Yes</x:v>
      </x:c>
      <x:c r="L3049" s="48" t="str">
        <x:v>OCR</x:v>
      </x:c>
    </x:row>
    <x:row r="3050">
      <x:c r="A3050" s="48" t="str">
        <x:v>UNI-3049</x:v>
      </x:c>
      <x:c r="B3050" s="48" t="str">
        <x:v>SILVER</x:v>
      </x:c>
      <x:c r="C3050" s="48" t="str">
        <x:v>Indonesian</x:v>
      </x:c>
      <x:c r="D3050" s="48" t="n">
        <x:v>65</x:v>
      </x:c>
      <x:c r="E3050" s="48" t="str"/>
      <x:c r="F3050" s="48" t="str">
        <x:v>Iertak dn an abtruan gn Pyar la pajangan</x:v>
      </x:c>
      <x:c r="G3050" s="48" t="str">
        <x:v>Obligation</x:v>
      </x:c>
      <x:c r="H3050" s="48" t="str">
        <x:v>Shared</x:v>
      </x:c>
      <x:c r="I3050" s="48" t="n">
        <x:v>0.45</x:v>
      </x:c>
      <x:c r="J3050" s="48" t="n">
        <x:v>0.4</x:v>
      </x:c>
      <x:c r="K3050" s="48" t="str">
        <x:v>Yes</x:v>
      </x:c>
      <x:c r="L3050" s="48" t="str">
        <x:v>OCR</x:v>
      </x:c>
    </x:row>
    <x:row r="3051">
      <x:c r="A3051" s="48" t="str">
        <x:v>UNI-3050</x:v>
      </x:c>
      <x:c r="B3051" s="48" t="str">
        <x:v>SILVER</x:v>
      </x:c>
      <x:c r="C3051" s="48" t="str">
        <x:v>Indonesian</x:v>
      </x:c>
      <x:c r="D3051" s="48" t="n">
        <x:v>65</x:v>
      </x:c>
      <x:c r="E3051" s="48" t="str"/>
      <x:c r="F3051" s="48" t="str">
        <x:v>MOU aga dan og Diajan anakan ntu dota</x:v>
      </x:c>
      <x:c r="G3051" s="48" t="str">
        <x:v>Obligation</x:v>
      </x:c>
      <x:c r="H3051" s="48" t="str">
        <x:v>Shared</x:v>
      </x:c>
      <x:c r="I3051" s="48" t="n">
        <x:v>0.45</x:v>
      </x:c>
      <x:c r="J3051" s="48" t="n">
        <x:v>0.4</x:v>
      </x:c>
      <x:c r="K3051" s="48" t="str">
        <x:v>Yes</x:v>
      </x:c>
      <x:c r="L3051" s="48" t="str">
        <x:v>OCR</x:v>
      </x:c>
    </x:row>
    <x:row r="3052">
      <x:c r="A3052" s="48" t="str">
        <x:v>UNI-3051</x:v>
      </x:c>
      <x:c r="B3052" s="48" t="str">
        <x:v>SILVER</x:v>
      </x:c>
      <x:c r="C3052" s="48" t="str">
        <x:v>Indonesian</x:v>
      </x:c>
      <x:c r="D3052" s="48" t="n">
        <x:v>65</x:v>
      </x:c>
      <x:c r="E3052" s="48" t="str"/>
      <x:c r="F3052" s="48" t="str">
        <x:v>Peran ka dpt mk pertejan yarg rar sh, mkn Kera</x:v>
      </x:c>
      <x:c r="G3052" s="48" t="str">
        <x:v>Obligation</x:v>
      </x:c>
      <x:c r="H3052" s="48" t="str">
        <x:v>Shared</x:v>
      </x:c>
      <x:c r="I3052" s="48" t="n">
        <x:v>0.45</x:v>
      </x:c>
      <x:c r="J3052" s="48" t="n">
        <x:v>0.4</x:v>
      </x:c>
      <x:c r="K3052" s="48" t="str">
        <x:v>Yes</x:v>
      </x:c>
      <x:c r="L3052" s="48" t="str">
        <x:v>OCR</x:v>
      </x:c>
    </x:row>
    <x:row r="3053">
      <x:c r="A3053" s="48" t="str">
        <x:v>UNI-3052</x:v>
      </x:c>
      <x:c r="B3053" s="48" t="str">
        <x:v>SILVER</x:v>
      </x:c>
      <x:c r="C3053" s="48" t="str">
        <x:v>Indonesian</x:v>
      </x:c>
      <x:c r="D3053" s="48" t="n">
        <x:v>65</x:v>
      </x:c>
      <x:c r="E3053" s="48" t="str"/>
      <x:c r="F3053" s="48" t="str">
        <x:v>Pebatan tao Ibn yng ebaLmadergos het bat Pentajan</x:v>
      </x:c>
      <x:c r="G3053" s="48" t="str">
        <x:v>Obligation</x:v>
      </x:c>
      <x:c r="H3053" s="48" t="str">
        <x:v>Shared</x:v>
      </x:c>
      <x:c r="I3053" s="48" t="n">
        <x:v>0.45</x:v>
      </x:c>
      <x:c r="J3053" s="48" t="n">
        <x:v>0.4</x:v>
      </x:c>
      <x:c r="K3053" s="48" t="str">
        <x:v>Yes</x:v>
      </x:c>
      <x:c r="L3053" s="48" t="str">
        <x:v>OCR</x:v>
      </x:c>
    </x:row>
    <x:row r="3054">
      <x:c r="A3054" s="48" t="str">
        <x:v>UNI-3053</x:v>
      </x:c>
      <x:c r="B3054" s="48" t="str">
        <x:v>SILVER</x:v>
      </x:c>
      <x:c r="C3054" s="48" t="str">
        <x:v>Indonesian</x:v>
      </x:c>
      <x:c r="D3054" s="48" t="n">
        <x:v>65</x:v>
      </x:c>
      <x:c r="E3054" s="48" t="str"/>
      <x:c r="F3054" s="48" t="str">
        <x:v>“Sak ara Goro age preman menahan nm Denata pan dat</x:v>
      </x:c>
      <x:c r="G3054" s="48" t="str">
        <x:v>Obligation</x:v>
      </x:c>
      <x:c r="H3054" s="48" t="str">
        <x:v>Shared</x:v>
      </x:c>
      <x:c r="I3054" s="48" t="n">
        <x:v>0.45</x:v>
      </x:c>
      <x:c r="J3054" s="48" t="n">
        <x:v>0.4</x:v>
      </x:c>
      <x:c r="K3054" s="48" t="str">
        <x:v>Yes</x:v>
      </x:c>
      <x:c r="L3054" s="48" t="str">
        <x:v>OCR</x:v>
      </x:c>
    </x:row>
    <x:row r="3055">
      <x:c r="A3055" s="48" t="str">
        <x:v>UNI-3054</x:v>
      </x:c>
      <x:c r="B3055" s="48" t="str">
        <x:v>SILVER</x:v>
      </x:c>
      <x:c r="C3055" s="48" t="str">
        <x:v>Indonesian</x:v>
      </x:c>
      <x:c r="D3055" s="48" t="n">
        <x:v>65</x:v>
      </x:c>
      <x:c r="E3055" s="48" t="str"/>
      <x:c r="F3055" s="48" t="str">
        <x:v>Pecorasea</x:v>
      </x:c>
      <x:c r="G3055" s="48" t="str">
        <x:v>Obligation</x:v>
      </x:c>
      <x:c r="H3055" s="48" t="str">
        <x:v>Shared</x:v>
      </x:c>
      <x:c r="I3055" s="48" t="n">
        <x:v>0.45</x:v>
      </x:c>
      <x:c r="J3055" s="48" t="n">
        <x:v>0.4</x:v>
      </x:c>
      <x:c r="K3055" s="48" t="str">
        <x:v>Yes</x:v>
      </x:c>
      <x:c r="L3055" s="48" t="str">
        <x:v>OCR</x:v>
      </x:c>
    </x:row>
    <x:row r="3056">
      <x:c r="A3056" s="48" t="str">
        <x:v>UNI-3055</x:v>
      </x:c>
      <x:c r="B3056" s="48" t="str">
        <x:v>SILVER</x:v>
      </x:c>
      <x:c r="C3056" s="48" t="str">
        <x:v>Indonesian</x:v>
      </x:c>
      <x:c r="D3056" s="48" t="n">
        <x:v>65</x:v>
      </x:c>
      <x:c r="E3056" s="48" t="str"/>
      <x:c r="F3056" s="48" t="str">
        <x:v>WNA Pembayaran Ketat eka an cam Sman 26 (Kam ce Png dd.</x:v>
      </x:c>
      <x:c r="G3056" s="48" t="str">
        <x:v>Obligation</x:v>
      </x:c>
      <x:c r="H3056" s="48" t="str">
        <x:v>Shared</x:v>
      </x:c>
      <x:c r="I3056" s="48" t="n">
        <x:v>0.55</x:v>
      </x:c>
      <x:c r="J3056" s="48" t="n">
        <x:v>0.4</x:v>
      </x:c>
      <x:c r="K3056" s="48" t="str">
        <x:v>Yes</x:v>
      </x:c>
      <x:c r="L3056" s="48" t="str">
        <x:v>OCR</x:v>
      </x:c>
    </x:row>
    <x:row r="3057">
      <x:c r="A3057" s="48" t="str">
        <x:v>UNI-3056</x:v>
      </x:c>
      <x:c r="B3057" s="48" t="str">
        <x:v>SILVER</x:v>
      </x:c>
      <x:c r="C3057" s="48" t="str">
        <x:v>Indonesian</x:v>
      </x:c>
      <x:c r="D3057" s="48" t="n">
        <x:v>65</x:v>
      </x:c>
      <x:c r="E3057" s="48" t="str"/>
      <x:c r="F3057" s="48" t="str">
        <x:v>Peoana keatata membara ora</x:v>
      </x:c>
      <x:c r="G3057" s="48" t="str">
        <x:v>Obligation</x:v>
      </x:c>
      <x:c r="H3057" s="48" t="str">
        <x:v>Shared</x:v>
      </x:c>
      <x:c r="I3057" s="48" t="n">
        <x:v>0.45</x:v>
      </x:c>
      <x:c r="J3057" s="48" t="n">
        <x:v>0.4</x:v>
      </x:c>
      <x:c r="K3057" s="48" t="str">
        <x:v>Yes</x:v>
      </x:c>
      <x:c r="L3057" s="48" t="str">
        <x:v>OCR</x:v>
      </x:c>
    </x:row>
    <x:row r="3058">
      <x:c r="A3058" s="48" t="str">
        <x:v>UNI-3057</x:v>
      </x:c>
      <x:c r="B3058" s="48" t="str">
        <x:v>SILVER</x:v>
      </x:c>
      <x:c r="C3058" s="48" t="str">
        <x:v>Indonesian</x:v>
      </x:c>
      <x:c r="D3058" s="48" t="n">
        <x:v>65</x:v>
      </x:c>
      <x:c r="E3058" s="48" t="str"/>
      <x:c r="F3058" s="48" t="str">
        <x:v>(8 Penta petang ma ker wkt 42 ha toa tra rara mr bola por li Gw 21 ta san Pra Tea Klu Sena degan SD KAL 12 Lantan Pasar can ipin</x:v>
      </x:c>
      <x:c r="G3058" s="48" t="str">
        <x:v>Obligation</x:v>
      </x:c>
      <x:c r="H3058" s="48" t="str">
        <x:v>Shared</x:v>
      </x:c>
      <x:c r="I3058" s="48" t="n">
        <x:v>0.45</x:v>
      </x:c>
      <x:c r="J3058" s="48" t="n">
        <x:v>0.4</x:v>
      </x:c>
      <x:c r="K3058" s="48" t="str">
        <x:v>Yes</x:v>
      </x:c>
      <x:c r="L3058" s="48" t="str">
        <x:v>OCR</x:v>
      </x:c>
    </x:row>
    <x:row r="3059">
      <x:c r="A3059" s="48" t="str">
        <x:v>UNI-3058</x:v>
      </x:c>
      <x:c r="B3059" s="48" t="str">
        <x:v>SILVER</x:v>
      </x:c>
      <x:c r="C3059" s="48" t="str">
        <x:v>Indonesian</x:v>
      </x:c>
      <x:c r="D3059" s="48" t="n">
        <x:v>65</x:v>
      </x:c>
      <x:c r="E3059" s="48" t="str">
        <x:v>1.2</x:v>
      </x:c>
      <x:c r="F3059" s="48" t="str">
        <x:v>1.2 Lag Ma. mur nyang bea tiara Saat At, Gn a r2m enmaa Pyahan Bean Ga</x:v>
      </x:c>
      <x:c r="G3059" s="48" t="str">
        <x:v>Heading</x:v>
      </x:c>
      <x:c r="H3059" s="48" t="str"/>
      <x:c r="I3059" s="48" t="n">
        <x:v>0.9</x:v>
      </x:c>
      <x:c r="J3059" s="48" t="n">
        <x:v>0.99</x:v>
      </x:c>
      <x:c r="K3059" s="48" t="str">
        <x:v>No</x:v>
      </x:c>
      <x:c r="L3059" s="48" t="str">
        <x:v>OCR</x:v>
      </x:c>
    </x:row>
    <x:row r="3060">
      <x:c r="A3060" s="48" t="str">
        <x:v>UNI-3059</x:v>
      </x:c>
      <x:c r="B3060" s="48" t="str">
        <x:v>SILVER</x:v>
      </x:c>
      <x:c r="C3060" s="48" t="str">
        <x:v>Indonesian</x:v>
      </x:c>
      <x:c r="D3060" s="48" t="n">
        <x:v>65</x:v>
      </x:c>
      <x:c r="E3060" s="48" t="str"/>
      <x:c r="F3060" s="48" t="str">
        <x:v>(kmu ate pr bata Baja, Gn wb 2 ta sean preman</x:v>
      </x:c>
      <x:c r="G3060" s="48" t="str">
        <x:v>Obligation</x:v>
      </x:c>
      <x:c r="H3060" s="48" t="str">
        <x:v>Shared</x:v>
      </x:c>
      <x:c r="I3060" s="48" t="n">
        <x:v>0.45</x:v>
      </x:c>
      <x:c r="J3060" s="48" t="n">
        <x:v>0.4</x:v>
      </x:c>
      <x:c r="K3060" s="48" t="str">
        <x:v>Yes</x:v>
      </x:c>
      <x:c r="L3060" s="48" t="str">
        <x:v>OCR</x:v>
      </x:c>
    </x:row>
    <x:row r="3061">
      <x:c r="A3061" s="48" t="str">
        <x:v>UNI-3060</x:v>
      </x:c>
      <x:c r="B3061" s="48" t="str">
        <x:v>SILVER</x:v>
      </x:c>
      <x:c r="C3061" s="48" t="str">
        <x:v>Indonesian</x:v>
      </x:c>
      <x:c r="D3061" s="48" t="n">
        <x:v>65</x:v>
      </x:c>
      <x:c r="E3061" s="48" t="str"/>
      <x:c r="F3061" s="48" t="str">
        <x:v>Panja Teten Ate Gn berbataan Get kenon roti</x:v>
      </x:c>
      <x:c r="G3061" s="48" t="str">
        <x:v>Obligation</x:v>
      </x:c>
      <x:c r="H3061" s="48" t="str">
        <x:v>Shared</x:v>
      </x:c>
      <x:c r="I3061" s="48" t="n">
        <x:v>0.45</x:v>
      </x:c>
      <x:c r="J3061" s="48" t="n">
        <x:v>0.4</x:v>
      </x:c>
      <x:c r="K3061" s="48" t="str">
        <x:v>Yes</x:v>
      </x:c>
      <x:c r="L3061" s="48" t="str">
        <x:v>OCR</x:v>
      </x:c>
    </x:row>
    <x:row r="3062">
      <x:c r="A3062" s="48" t="str">
        <x:v>UNI-3061</x:v>
      </x:c>
      <x:c r="B3062" s="48" t="str">
        <x:v>SILVER</x:v>
      </x:c>
      <x:c r="C3062" s="48" t="str">
        <x:v>Indonesian</x:v>
      </x:c>
      <x:c r="D3062" s="48" t="n">
        <x:v>65</x:v>
      </x:c>
      <x:c r="E3062" s="48" t="str"/>
      <x:c r="F3062" s="48" t="str">
        <x:v>jeratan Sib Gs 141 sad Praja Ak Gan GO ag 112 Pentet dang</x:v>
      </x:c>
      <x:c r="G3062" s="48" t="str">
        <x:v>Obligation</x:v>
      </x:c>
      <x:c r="H3062" s="48" t="str">
        <x:v>Shared</x:v>
      </x:c>
      <x:c r="I3062" s="48" t="n">
        <x:v>0.45</x:v>
      </x:c>
      <x:c r="J3062" s="48" t="n">
        <x:v>0.4</x:v>
      </x:c>
      <x:c r="K3062" s="48" t="str">
        <x:v>Yes</x:v>
      </x:c>
      <x:c r="L3062" s="48" t="str">
        <x:v>OCR</x:v>
      </x:c>
    </x:row>
    <x:row r="3063">
      <x:c r="A3063" s="48" t="str">
        <x:v>UNI-3062</x:v>
      </x:c>
      <x:c r="B3063" s="48" t="str">
        <x:v>SILVER</x:v>
      </x:c>
      <x:c r="C3063" s="48" t="str">
        <x:v>Indonesian</x:v>
      </x:c>
      <x:c r="D3063" s="48" t="n">
        <x:v>65</x:v>
      </x:c>
      <x:c r="E3063" s="48" t="str"/>
      <x:c r="F3063" s="48" t="str">
        <x:v>PebAMIN Gun man urgen SkantantorBorngLa ang Aausan</x:v>
      </x:c>
      <x:c r="G3063" s="48" t="str">
        <x:v>Obligation</x:v>
      </x:c>
      <x:c r="H3063" s="48" t="str">
        <x:v>Shared</x:v>
      </x:c>
      <x:c r="I3063" s="48" t="n">
        <x:v>0.45</x:v>
      </x:c>
      <x:c r="J3063" s="48" t="n">
        <x:v>0.4</x:v>
      </x:c>
      <x:c r="K3063" s="48" t="str">
        <x:v>Yes</x:v>
      </x:c>
      <x:c r="L3063" s="48" t="str">
        <x:v>OCR</x:v>
      </x:c>
    </x:row>
    <x:row r="3064">
      <x:c r="A3064" s="48" t="str">
        <x:v>UNI-3063</x:v>
      </x:c>
      <x:c r="B3064" s="48" t="str">
        <x:v>SILVER</x:v>
      </x:c>
      <x:c r="C3064" s="48" t="str">
        <x:v>Indonesian</x:v>
      </x:c>
      <x:c r="D3064" s="48" t="n">
        <x:v>65</x:v>
      </x:c>
      <x:c r="E3064" s="48" t="str"/>
      <x:c r="F3064" s="48" t="str">
        <x:v>Mi1c, dngan ros Jom ertojan Irak ml rang kemanan Dota Kart YO rerama portawan sos Srgn SKM 147</x:v>
      </x:c>
      <x:c r="G3064" s="48" t="str">
        <x:v>Obligation</x:v>
      </x:c>
      <x:c r="H3064" s="48" t="str">
        <x:v>Shared</x:v>
      </x:c>
      <x:c r="I3064" s="48" t="n">
        <x:v>0.45</x:v>
      </x:c>
      <x:c r="J3064" s="48" t="n">
        <x:v>0.4</x:v>
      </x:c>
      <x:c r="K3064" s="48" t="str">
        <x:v>Yes</x:v>
      </x:c>
      <x:c r="L3064" s="48" t="str">
        <x:v>OCR</x:v>
      </x:c>
    </x:row>
    <x:row r="3065">
      <x:c r="A3065" s="48" t="str">
        <x:v>UNI-3064</x:v>
      </x:c>
      <x:c r="B3065" s="48" t="str">
        <x:v>SILVER</x:v>
      </x:c>
      <x:c r="C3065" s="48" t="str">
        <x:v>Indonesian</x:v>
      </x:c>
      <x:c r="D3065" s="48" t="n">
        <x:v>65</x:v>
      </x:c>
      <x:c r="E3065" s="48" t="str"/>
      <x:c r="F3065" s="48" t="str">
        <x:v>Panen WVorfontasar Krmmartota momen png ran</x:v>
      </x:c>
      <x:c r="G3065" s="48" t="str">
        <x:v>Obligation</x:v>
      </x:c>
      <x:c r="H3065" s="48" t="str">
        <x:v>Shared</x:v>
      </x:c>
      <x:c r="I3065" s="48" t="n">
        <x:v>0.45</x:v>
      </x:c>
      <x:c r="J3065" s="48" t="n">
        <x:v>0.4</x:v>
      </x:c>
      <x:c r="K3065" s="48" t="str">
        <x:v>Yes</x:v>
      </x:c>
      <x:c r="L3065" s="48" t="str">
        <x:v>OCR</x:v>
      </x:c>
    </x:row>
    <x:row r="3066">
      <x:c r="A3066" s="48" t="str">
        <x:v>UNI-3065</x:v>
      </x:c>
      <x:c r="B3066" s="48" t="str">
        <x:v>SILVER</x:v>
      </x:c>
      <x:c r="C3066" s="48" t="str">
        <x:v>Indonesian</x:v>
      </x:c>
      <x:c r="D3066" s="48" t="n">
        <x:v>65</x:v>
      </x:c>
      <x:c r="E3066" s="48" t="str"/>
      <x:c r="F3066" s="48" t="str">
        <x:v>esa krn pa erbajn er Bee Bra Sya Nenn snaa.</x:v>
      </x:c>
      <x:c r="G3066" s="48" t="str">
        <x:v>Obligation</x:v>
      </x:c>
      <x:c r="H3066" s="48" t="str">
        <x:v>Shared</x:v>
      </x:c>
      <x:c r="I3066" s="48" t="n">
        <x:v>0.45</x:v>
      </x:c>
      <x:c r="J3066" s="48" t="n">
        <x:v>0.4</x:v>
      </x:c>
      <x:c r="K3066" s="48" t="str">
        <x:v>Yes</x:v>
      </x:c>
      <x:c r="L3066" s="48" t="str">
        <x:v>OCR</x:v>
      </x:c>
    </x:row>
    <x:row r="3067">
      <x:c r="A3067" s="48" t="str">
        <x:v>UNI-3066</x:v>
      </x:c>
      <x:c r="B3067" s="48" t="str">
        <x:v>SILVER</x:v>
      </x:c>
      <x:c r="C3067" s="48" t="str">
        <x:v>Indonesian</x:v>
      </x:c>
      <x:c r="D3067" s="48" t="n">
        <x:v>66</x:v>
      </x:c>
      <x:c r="E3067" s="48" t="str"/>
      <x:c r="F3067" s="48" t="str">
        <x:v>at seb naa an Gan Pena Ka Ba tra Fi cra</x:v>
      </x:c>
      <x:c r="G3067" s="48" t="str">
        <x:v>Obligation</x:v>
      </x:c>
      <x:c r="H3067" s="48" t="str">
        <x:v>Shared</x:v>
      </x:c>
      <x:c r="I3067" s="48" t="n">
        <x:v>0.45</x:v>
      </x:c>
      <x:c r="J3067" s="48" t="n">
        <x:v>0.4</x:v>
      </x:c>
      <x:c r="K3067" s="48" t="str">
        <x:v>Yes</x:v>
      </x:c>
      <x:c r="L3067" s="48" t="str">
        <x:v>OCR</x:v>
      </x:c>
    </x:row>
    <x:row r="3068">
      <x:c r="A3068" s="48" t="str">
        <x:v>UNI-3067</x:v>
      </x:c>
      <x:c r="B3068" s="48" t="str">
        <x:v>SILVER</x:v>
      </x:c>
      <x:c r="C3068" s="48" t="str">
        <x:v>Indonesian</x:v>
      </x:c>
      <x:c r="D3068" s="48" t="n">
        <x:v>66</x:v>
      </x:c>
      <x:c r="E3068" s="48" t="str"/>
      <x:c r="F3068" s="48" t="str">
        <x:v>MTA Bira ur Rn Deva Kn Ina Gta Da bara bar Sena</x:v>
      </x:c>
      <x:c r="G3068" s="48" t="str">
        <x:v>Obligation</x:v>
      </x:c>
      <x:c r="H3068" s="48" t="str">
        <x:v>Shared</x:v>
      </x:c>
      <x:c r="I3068" s="48" t="n">
        <x:v>0.45</x:v>
      </x:c>
      <x:c r="J3068" s="48" t="n">
        <x:v>0.4</x:v>
      </x:c>
      <x:c r="K3068" s="48" t="str">
        <x:v>Yes</x:v>
      </x:c>
      <x:c r="L3068" s="48" t="str">
        <x:v>OCR</x:v>
      </x:c>
    </x:row>
    <x:row r="3069">
      <x:c r="A3069" s="48" t="str">
        <x:v>UNI-3068</x:v>
      </x:c>
      <x:c r="B3069" s="48" t="str">
        <x:v>SILVER</x:v>
      </x:c>
      <x:c r="C3069" s="48" t="str">
        <x:v>Indonesian</x:v>
      </x:c>
      <x:c r="D3069" s="48" t="n">
        <x:v>66</x:v>
      </x:c>
      <x:c r="E3069" s="48" t="str"/>
      <x:c r="F3069" s="48" t="str">
        <x:v>“vegan Segan mal ar pertama, can ana dbeatan am me ar rta tata 9 perban Pi been perban meri an wrna merasa reka peruran ma 1 -</x:v>
      </x:c>
      <x:c r="G3069" s="48" t="str">
        <x:v>Obligation</x:v>
      </x:c>
      <x:c r="H3069" s="48" t="str">
        <x:v>Shared</x:v>
      </x:c>
      <x:c r="I3069" s="48" t="n">
        <x:v>0.45</x:v>
      </x:c>
      <x:c r="J3069" s="48" t="n">
        <x:v>0.4</x:v>
      </x:c>
      <x:c r="K3069" s="48" t="str">
        <x:v>Yes</x:v>
      </x:c>
      <x:c r="L3069" s="48" t="str">
        <x:v>OCR</x:v>
      </x:c>
    </x:row>
    <x:row r="3070">
      <x:c r="A3070" s="48" t="str">
        <x:v>UNI-3069</x:v>
      </x:c>
      <x:c r="B3070" s="48" t="str">
        <x:v>SILVER</x:v>
      </x:c>
      <x:c r="C3070" s="48" t="str">
        <x:v>Indonesian</x:v>
      </x:c>
      <x:c r="D3070" s="48" t="n">
        <x:v>66</x:v>
      </x:c>
      <x:c r="E3070" s="48" t="str"/>
      <x:c r="F3070" s="48" t="str">
        <x:v>Pemaarn De De Aca Ser Tara Pkn Sa Gta, Gan Pj ta</x:v>
      </x:c>
      <x:c r="G3070" s="48" t="str">
        <x:v>Obligation</x:v>
      </x:c>
      <x:c r="H3070" s="48" t="str">
        <x:v>Shared</x:v>
      </x:c>
      <x:c r="I3070" s="48" t="n">
        <x:v>0.45</x:v>
      </x:c>
      <x:c r="J3070" s="48" t="n">
        <x:v>0.4</x:v>
      </x:c>
      <x:c r="K3070" s="48" t="str">
        <x:v>Yes</x:v>
      </x:c>
      <x:c r="L3070" s="48" t="str">
        <x:v>OCR</x:v>
      </x:c>
    </x:row>
    <x:row r="3071">
      <x:c r="A3071" s="48" t="str">
        <x:v>UNI-3070</x:v>
      </x:c>
      <x:c r="B3071" s="48" t="str">
        <x:v>SILVER</x:v>
      </x:c>
      <x:c r="C3071" s="48" t="str">
        <x:v>Indonesian</x:v>
      </x:c>
      <x:c r="D3071" s="48" t="n">
        <x:v>66</x:v>
      </x:c>
      <x:c r="E3071" s="48" t="str"/>
      <x:c r="F3071" s="48" t="str">
        <x:v>Yang otursi 100 sap Peran yg akan Dara Perda Stan Prykasan</x:v>
      </x:c>
      <x:c r="G3071" s="48" t="str">
        <x:v>Obligation</x:v>
      </x:c>
      <x:c r="H3071" s="48" t="str">
        <x:v>Shared</x:v>
      </x:c>
      <x:c r="I3071" s="48" t="n">
        <x:v>0.45</x:v>
      </x:c>
      <x:c r="J3071" s="48" t="n">
        <x:v>0.4</x:v>
      </x:c>
      <x:c r="K3071" s="48" t="str">
        <x:v>Yes</x:v>
      </x:c>
      <x:c r="L3071" s="48" t="str">
        <x:v>OCR</x:v>
      </x:c>
    </x:row>
    <x:row r="3072">
      <x:c r="A3072" s="48" t="str">
        <x:v>UNI-3071</x:v>
      </x:c>
      <x:c r="B3072" s="48" t="str">
        <x:v>SILVER</x:v>
      </x:c>
      <x:c r="C3072" s="48" t="str">
        <x:v>Indonesian</x:v>
      </x:c>
      <x:c r="D3072" s="48" t="n">
        <x:v>66</x:v>
      </x:c>
      <x:c r="E3072" s="48" t="str"/>
      <x:c r="F3072" s="48" t="str">
        <x:v>Pa, ta SIM segan pama at Ur Ft Pata degan loan</x:v>
      </x:c>
      <x:c r="G3072" s="48" t="str">
        <x:v>Obligation</x:v>
      </x:c>
      <x:c r="H3072" s="48" t="str">
        <x:v>Shared</x:v>
      </x:c>
      <x:c r="I3072" s="48" t="n">
        <x:v>0.45</x:v>
      </x:c>
      <x:c r="J3072" s="48" t="n">
        <x:v>0.4</x:v>
      </x:c>
      <x:c r="K3072" s="48" t="str">
        <x:v>Yes</x:v>
      </x:c>
      <x:c r="L3072" s="48" t="str">
        <x:v>OCR</x:v>
      </x:c>
    </x:row>
    <x:row r="3073">
      <x:c r="A3073" s="48" t="str">
        <x:v>UNI-3072</x:v>
      </x:c>
      <x:c r="B3073" s="48" t="str">
        <x:v>SILVER</x:v>
      </x:c>
      <x:c r="C3073" s="48" t="str">
        <x:v>Indonesian</x:v>
      </x:c>
      <x:c r="D3073" s="48" t="n">
        <x:v>66</x:v>
      </x:c>
      <x:c r="E3073" s="48" t="str"/>
      <x:c r="F3073" s="48" t="str">
        <x:v>Keemaappda at ta ho Sun Tana Patam kta wak Sagan</x:v>
      </x:c>
      <x:c r="G3073" s="48" t="str">
        <x:v>Obligation</x:v>
      </x:c>
      <x:c r="H3073" s="48" t="str">
        <x:v>Shared</x:v>
      </x:c>
      <x:c r="I3073" s="48" t="n">
        <x:v>0.45</x:v>
      </x:c>
      <x:c r="J3073" s="48" t="n">
        <x:v>0.4</x:v>
      </x:c>
      <x:c r="K3073" s="48" t="str">
        <x:v>Yes</x:v>
      </x:c>
      <x:c r="L3073" s="48" t="str">
        <x:v>OCR</x:v>
      </x:c>
    </x:row>
    <x:row r="3074">
      <x:c r="A3074" s="48" t="str">
        <x:v>UNI-3073</x:v>
      </x:c>
      <x:c r="B3074" s="48" t="str">
        <x:v>SILVER</x:v>
      </x:c>
      <x:c r="C3074" s="48" t="str">
        <x:v>Indonesian</x:v>
      </x:c>
      <x:c r="D3074" s="48" t="n">
        <x:v>66</x:v>
      </x:c>
      <x:c r="E3074" s="48" t="str"/>
      <x:c r="F3074" s="48" t="str">
        <x:v>Plaju, erna skrg pra Gr Lag Petra ha dok jln</x:v>
      </x:c>
      <x:c r="G3074" s="48" t="str">
        <x:v>Obligation</x:v>
      </x:c>
      <x:c r="H3074" s="48" t="str">
        <x:v>Shared</x:v>
      </x:c>
      <x:c r="I3074" s="48" t="n">
        <x:v>0.45</x:v>
      </x:c>
      <x:c r="J3074" s="48" t="n">
        <x:v>0.4</x:v>
      </x:c>
      <x:c r="K3074" s="48" t="str">
        <x:v>Yes</x:v>
      </x:c>
      <x:c r="L3074" s="48" t="str">
        <x:v>OCR</x:v>
      </x:c>
    </x:row>
    <x:row r="3075">
      <x:c r="A3075" s="48" t="str">
        <x:v>UNI-3074</x:v>
      </x:c>
      <x:c r="B3075" s="48" t="str">
        <x:v>SILVER</x:v>
      </x:c>
      <x:c r="C3075" s="48" t="str">
        <x:v>Indonesian</x:v>
      </x:c>
      <x:c r="D3075" s="48" t="n">
        <x:v>66</x:v>
      </x:c>
      <x:c r="E3075" s="48" t="str"/>
      <x:c r="F3075" s="48" t="str">
        <x:v>Da Aam Sena Ra era</x:v>
      </x:c>
      <x:c r="G3075" s="48" t="str">
        <x:v>Obligation</x:v>
      </x:c>
      <x:c r="H3075" s="48" t="str">
        <x:v>Shared</x:v>
      </x:c>
      <x:c r="I3075" s="48" t="n">
        <x:v>0.45</x:v>
      </x:c>
      <x:c r="J3075" s="48" t="n">
        <x:v>0.4</x:v>
      </x:c>
      <x:c r="K3075" s="48" t="str">
        <x:v>Yes</x:v>
      </x:c>
      <x:c r="L3075" s="48" t="str">
        <x:v>OCR</x:v>
      </x:c>
    </x:row>
    <x:row r="3076">
      <x:c r="A3076" s="48" t="str">
        <x:v>UNI-3075</x:v>
      </x:c>
      <x:c r="B3076" s="48" t="str">
        <x:v>SILVER</x:v>
      </x:c>
      <x:c r="C3076" s="48" t="str">
        <x:v>Indonesian</x:v>
      </x:c>
      <x:c r="D3076" s="48" t="n">
        <x:v>66</x:v>
      </x:c>
      <x:c r="E3076" s="48" t="str"/>
      <x:c r="F3076" s="48" t="str">
        <x:v>koma sen ro Wii bkin Masa Perstan Ca Ma an “ra Powre tan Sayatan tra Kyo Acbia mu Du As Gran</x:v>
      </x:c>
      <x:c r="G3076" s="48" t="str">
        <x:v>Obligation</x:v>
      </x:c>
      <x:c r="H3076" s="48" t="str">
        <x:v>Shared</x:v>
      </x:c>
      <x:c r="I3076" s="48" t="n">
        <x:v>0.45</x:v>
      </x:c>
      <x:c r="J3076" s="48" t="n">
        <x:v>0.4</x:v>
      </x:c>
      <x:c r="K3076" s="48" t="str">
        <x:v>Yes</x:v>
      </x:c>
      <x:c r="L3076" s="48" t="str">
        <x:v>OCR</x:v>
      </x:c>
    </x:row>
    <x:row r="3077">
      <x:c r="A3077" s="48" t="str">
        <x:v>UNI-3076</x:v>
      </x:c>
      <x:c r="B3077" s="48" t="str">
        <x:v>SILVER</x:v>
      </x:c>
      <x:c r="C3077" s="48" t="str">
        <x:v>Indonesian</x:v>
      </x:c>
      <x:c r="D3077" s="48" t="n">
        <x:v>66</x:v>
      </x:c>
      <x:c r="E3077" s="48" t="str"/>
      <x:c r="F3077" s="48" t="str">
        <x:v>MIMIN YK Ba) Bag Pam peran mn ea Lang,</x:v>
      </x:c>
      <x:c r="G3077" s="48" t="str">
        <x:v>Obligation</x:v>
      </x:c>
      <x:c r="H3077" s="48" t="str">
        <x:v>Shared</x:v>
      </x:c>
      <x:c r="I3077" s="48" t="n">
        <x:v>0.45</x:v>
      </x:c>
      <x:c r="J3077" s="48" t="n">
        <x:v>0.4</x:v>
      </x:c>
      <x:c r="K3077" s="48" t="str">
        <x:v>Yes</x:v>
      </x:c>
      <x:c r="L3077" s="48" t="str">
        <x:v>OCR</x:v>
      </x:c>
    </x:row>
    <x:row r="3078">
      <x:c r="A3078" s="48" t="str">
        <x:v>UNI-3077</x:v>
      </x:c>
      <x:c r="B3078" s="48" t="str">
        <x:v>SILVER</x:v>
      </x:c>
      <x:c r="C3078" s="48" t="str">
        <x:v>Indonesian</x:v>
      </x:c>
      <x:c r="D3078" s="48" t="n">
        <x:v>66</x:v>
      </x:c>
      <x:c r="E3078" s="48" t="str"/>
      <x:c r="F3078" s="48" t="str">
        <x:v>Peran sega Setan mn brp beronya Maa Peter</x:v>
      </x:c>
      <x:c r="G3078" s="48" t="str">
        <x:v>Obligation</x:v>
      </x:c>
      <x:c r="H3078" s="48" t="str">
        <x:v>Shared</x:v>
      </x:c>
      <x:c r="I3078" s="48" t="n">
        <x:v>0.45</x:v>
      </x:c>
      <x:c r="J3078" s="48" t="n">
        <x:v>0.4</x:v>
      </x:c>
      <x:c r="K3078" s="48" t="str">
        <x:v>Yes</x:v>
      </x:c>
      <x:c r="L3078" s="48" t="str">
        <x:v>OCR</x:v>
      </x:c>
    </x:row>
    <x:row r="3079">
      <x:c r="A3079" s="48" t="str">
        <x:v>UNI-3078</x:v>
      </x:c>
      <x:c r="B3079" s="48" t="str">
        <x:v>SILVER</x:v>
      </x:c>
      <x:c r="C3079" s="48" t="str">
        <x:v>Indonesian</x:v>
      </x:c>
      <x:c r="D3079" s="48" t="n">
        <x:v>66</x:v>
      </x:c>
      <x:c r="E3079" s="48" t="str"/>
      <x:c r="F3079" s="48" t="str">
        <x:v>(SMS TA Bagan Pora Wa.</x:v>
      </x:c>
      <x:c r="G3079" s="48" t="str">
        <x:v>Obligation</x:v>
      </x:c>
      <x:c r="H3079" s="48" t="str">
        <x:v>Shared</x:v>
      </x:c>
      <x:c r="I3079" s="48" t="n">
        <x:v>0.45</x:v>
      </x:c>
      <x:c r="J3079" s="48" t="n">
        <x:v>0.4</x:v>
      </x:c>
      <x:c r="K3079" s="48" t="str">
        <x:v>Yes</x:v>
      </x:c>
      <x:c r="L3079" s="48" t="str">
        <x:v>OCR</x:v>
      </x:c>
    </x:row>
    <x:row r="3080">
      <x:c r="A3080" s="48" t="str">
        <x:v>UNI-3079</x:v>
      </x:c>
      <x:c r="B3080" s="48" t="str">
        <x:v>SILVER</x:v>
      </x:c>
      <x:c r="C3080" s="48" t="str">
        <x:v>Indonesian</x:v>
      </x:c>
      <x:c r="D3080" s="48" t="n">
        <x:v>66</x:v>
      </x:c>
      <x:c r="E3080" s="48" t="str"/>
      <x:c r="F3080" s="48" t="str">
        <x:v>(Man xp abis beton pebepan trus hain Gkalan brisatan Kania 11 (rggrg daa Cost IAAI sai Kana "2 Pra Saman “enakan Feat Pegora man beta wak rerata mara peta pke Bra plan Bas Sekaran</x:v>
      </x:c>
      <x:c r="G3080" s="48" t="str">
        <x:v>Obligation</x:v>
      </x:c>
      <x:c r="H3080" s="48" t="str">
        <x:v>Shared</x:v>
      </x:c>
      <x:c r="I3080" s="48" t="n">
        <x:v>0.45</x:v>
      </x:c>
      <x:c r="J3080" s="48" t="n">
        <x:v>0.4</x:v>
      </x:c>
      <x:c r="K3080" s="48" t="str">
        <x:v>Yes</x:v>
      </x:c>
      <x:c r="L3080" s="48" t="str">
        <x:v>OCR</x:v>
      </x:c>
    </x:row>
    <x:row r="3081">
      <x:c r="A3081" s="48" t="str">
        <x:v>UNI-3080</x:v>
      </x:c>
      <x:c r="B3081" s="48" t="str">
        <x:v>SILVER</x:v>
      </x:c>
      <x:c r="C3081" s="48" t="str">
        <x:v>Indonesian</x:v>
      </x:c>
      <x:c r="D3081" s="48" t="n">
        <x:v>66</x:v>
      </x:c>
      <x:c r="E3081" s="48" t="str"/>
      <x:c r="F3081" s="48" t="str">
        <x:v>Penetan Ik ttsn edan Plan Pns ri Deras cal Bagan</x:v>
      </x:c>
      <x:c r="G3081" s="48" t="str">
        <x:v>Obligation</x:v>
      </x:c>
      <x:c r="H3081" s="48" t="str">
        <x:v>Shared</x:v>
      </x:c>
      <x:c r="I3081" s="48" t="n">
        <x:v>0.45</x:v>
      </x:c>
      <x:c r="J3081" s="48" t="n">
        <x:v>0.4</x:v>
      </x:c>
      <x:c r="K3081" s="48" t="str">
        <x:v>Yes</x:v>
      </x:c>
      <x:c r="L3081" s="48" t="str">
        <x:v>OCR</x:v>
      </x:c>
    </x:row>
    <x:row r="3082">
      <x:c r="A3082" s="48" t="str">
        <x:v>UNI-3081</x:v>
      </x:c>
      <x:c r="B3082" s="48" t="str">
        <x:v>SILVER</x:v>
      </x:c>
      <x:c r="C3082" s="48" t="str">
        <x:v>Indonesian</x:v>
      </x:c>
      <x:c r="D3082" s="48" t="n">
        <x:v>66</x:v>
      </x:c>
      <x:c r="E3082" s="48" t="str"/>
      <x:c r="F3082" s="48" t="str">
        <x:v>Paajan Setara dngan daan Kota, Aa rs Perarte SA</x:v>
      </x:c>
      <x:c r="G3082" s="48" t="str">
        <x:v>Obligation</x:v>
      </x:c>
      <x:c r="H3082" s="48" t="str">
        <x:v>Shared</x:v>
      </x:c>
      <x:c r="I3082" s="48" t="n">
        <x:v>0.45</x:v>
      </x:c>
      <x:c r="J3082" s="48" t="n">
        <x:v>0.4</x:v>
      </x:c>
      <x:c r="K3082" s="48" t="str">
        <x:v>Yes</x:v>
      </x:c>
      <x:c r="L3082" s="48" t="str">
        <x:v>OCR</x:v>
      </x:c>
    </x:row>
    <x:row r="3083">
      <x:c r="A3083" s="48" t="str">
        <x:v>UNI-3082</x:v>
      </x:c>
      <x:c r="B3083" s="48" t="str">
        <x:v>SILVER</x:v>
      </x:c>
      <x:c r="C3083" s="48" t="str">
        <x:v>Indonesian</x:v>
      </x:c>
      <x:c r="D3083" s="48" t="n">
        <x:v>66</x:v>
      </x:c>
      <x:c r="E3083" s="48" t="str"/>
      <x:c r="F3083" s="48" t="str">
        <x:v>(ga Peeran okay demen ba penanda sa 1krg Patra jr tan bauton tecaatan So Ka cm Kota</x:v>
      </x:c>
      <x:c r="G3083" s="48" t="str">
        <x:v>Obligation</x:v>
      </x:c>
      <x:c r="H3083" s="48" t="str">
        <x:v>Shared</x:v>
      </x:c>
      <x:c r="I3083" s="48" t="n">
        <x:v>0.45</x:v>
      </x:c>
      <x:c r="J3083" s="48" t="n">
        <x:v>0.4</x:v>
      </x:c>
      <x:c r="K3083" s="48" t="str">
        <x:v>Yes</x:v>
      </x:c>
      <x:c r="L3083" s="48" t="str">
        <x:v>OCR</x:v>
      </x:c>
    </x:row>
    <x:row r="3084">
      <x:c r="A3084" s="48" t="str">
        <x:v>UNI-3083</x:v>
      </x:c>
      <x:c r="B3084" s="48" t="str">
        <x:v>SILVER</x:v>
      </x:c>
      <x:c r="C3084" s="48" t="str">
        <x:v>Indonesian</x:v>
      </x:c>
      <x:c r="D3084" s="48" t="n">
        <x:v>66</x:v>
      </x:c>
      <x:c r="E3084" s="48" t="str"/>
      <x:c r="F3084" s="48" t="str">
        <x:v>Sena Matan ma</x:v>
      </x:c>
      <x:c r="G3084" s="48" t="str">
        <x:v>Obligation</x:v>
      </x:c>
      <x:c r="H3084" s="48" t="str">
        <x:v>Shared</x:v>
      </x:c>
      <x:c r="I3084" s="48" t="n">
        <x:v>0.45</x:v>
      </x:c>
      <x:c r="J3084" s="48" t="n">
        <x:v>0.4</x:v>
      </x:c>
      <x:c r="K3084" s="48" t="str">
        <x:v>Yes</x:v>
      </x:c>
      <x:c r="L3084" s="48" t="str">
        <x:v>OCR</x:v>
      </x:c>
    </x:row>
    <x:row r="3085">
      <x:c r="A3085" s="48" t="str">
        <x:v>UNI-3084</x:v>
      </x:c>
      <x:c r="B3085" s="48" t="str">
        <x:v>SILVER</x:v>
      </x:c>
      <x:c r="C3085" s="48" t="str">
        <x:v>Indonesian</x:v>
      </x:c>
      <x:c r="D3085" s="48" t="n">
        <x:v>66</x:v>
      </x:c>
      <x:c r="E3085" s="48" t="str"/>
      <x:c r="F3085" s="48" t="str">
        <x:v>Tnatan pasa Dim jga va Bat Sen paretna Beta Aca Sea Tara Peran. penratan Naru Pin mejangakan toa Pyar Je tam saran Faryaan</x:v>
      </x:c>
      <x:c r="G3085" s="48" t="str">
        <x:v>Obligation</x:v>
      </x:c>
      <x:c r="H3085" s="48" t="str">
        <x:v>Shared</x:v>
      </x:c>
      <x:c r="I3085" s="48" t="n">
        <x:v>0.45</x:v>
      </x:c>
      <x:c r="J3085" s="48" t="n">
        <x:v>0.4</x:v>
      </x:c>
      <x:c r="K3085" s="48" t="str">
        <x:v>Yes</x:v>
      </x:c>
      <x:c r="L3085" s="48" t="str">
        <x:v>OCR</x:v>
      </x:c>
    </x:row>
    <x:row r="3086">
      <x:c r="A3086" s="48" t="str">
        <x:v>UNI-3085</x:v>
      </x:c>
      <x:c r="B3086" s="48" t="str">
        <x:v>SILVER</x:v>
      </x:c>
      <x:c r="C3086" s="48" t="str">
        <x:v>Indonesian</x:v>
      </x:c>
      <x:c r="D3086" s="48" t="n">
        <x:v>66</x:v>
      </x:c>
      <x:c r="E3086" s="48" t="str"/>
      <x:c r="F3086" s="48" t="str">
        <x:v>Tgk pada eka Brg lumen prdlurg Sat ran BAN</x:v>
      </x:c>
      <x:c r="G3086" s="48" t="str">
        <x:v>Obligation</x:v>
      </x:c>
      <x:c r="H3086" s="48" t="str">
        <x:v>Shared</x:v>
      </x:c>
      <x:c r="I3086" s="48" t="n">
        <x:v>0.45</x:v>
      </x:c>
      <x:c r="J3086" s="48" t="n">
        <x:v>0.4</x:v>
      </x:c>
      <x:c r="K3086" s="48" t="str">
        <x:v>Yes</x:v>
      </x:c>
      <x:c r="L3086" s="48" t="str">
        <x:v>OCR</x:v>
      </x:c>
    </x:row>
    <x:row r="3087">
      <x:c r="A3087" s="48" t="str">
        <x:v>UNI-3086</x:v>
      </x:c>
      <x:c r="B3087" s="48" t="str">
        <x:v>SILVER</x:v>
      </x:c>
      <x:c r="C3087" s="48" t="str">
        <x:v>Indonesian</x:v>
      </x:c>
      <x:c r="D3087" s="48" t="n">
        <x:v>66</x:v>
      </x:c>
      <x:c r="E3087" s="48" t="str"/>
      <x:c r="F3087" s="48" t="str">
        <x:v>Ha Mokasurak Perbaaan Semar png metasan</x:v>
      </x:c>
      <x:c r="G3087" s="48" t="str">
        <x:v>Obligation</x:v>
      </x:c>
      <x:c r="H3087" s="48" t="str">
        <x:v>Shared</x:v>
      </x:c>
      <x:c r="I3087" s="48" t="n">
        <x:v>0.45</x:v>
      </x:c>
      <x:c r="J3087" s="48" t="n">
        <x:v>0.4</x:v>
      </x:c>
      <x:c r="K3087" s="48" t="str">
        <x:v>Yes</x:v>
      </x:c>
      <x:c r="L3087" s="48" t="str">
        <x:v>OCR</x:v>
      </x:c>
    </x:row>
    <x:row r="3088">
      <x:c r="A3088" s="48" t="str">
        <x:v>UNI-3087</x:v>
      </x:c>
      <x:c r="B3088" s="48" t="str">
        <x:v>SILVER</x:v>
      </x:c>
      <x:c r="C3088" s="48" t="str">
        <x:v>Indonesian</x:v>
      </x:c>
      <x:c r="D3088" s="48" t="n">
        <x:v>66</x:v>
      </x:c>
      <x:c r="E3088" s="48" t="str"/>
      <x:c r="F3088" s="48" t="str">
        <x:v>(8 A8 AA pion ng an kran seni Gran Kertak Nan (raga ryan pa Beta Ac San "ma Pala, (Aan ngieraa Ke merahnya 1 petani anyng mer Kran ln ar Hanya ersentan Kawat Urin yg rotan an Gan setan Maan an.</x:v>
      </x:c>
      <x:c r="G3088" s="48" t="str">
        <x:v>Obligation</x:v>
      </x:c>
      <x:c r="H3088" s="48" t="str">
        <x:v>Shared</x:v>
      </x:c>
      <x:c r="I3088" s="48" t="n">
        <x:v>0.45</x:v>
      </x:c>
      <x:c r="J3088" s="48" t="n">
        <x:v>0.4</x:v>
      </x:c>
      <x:c r="K3088" s="48" t="str">
        <x:v>Yes</x:v>
      </x:c>
      <x:c r="L3088" s="48" t="str">
        <x:v>OCR</x:v>
      </x:c>
    </x:row>
    <x:row r="3089">
      <x:c r="A3089" s="48" t="str">
        <x:v>UNI-3088</x:v>
      </x:c>
      <x:c r="B3089" s="48" t="str">
        <x:v>SILVER</x:v>
      </x:c>
      <x:c r="C3089" s="48" t="str">
        <x:v>Indonesian</x:v>
      </x:c>
      <x:c r="D3089" s="48" t="n">
        <x:v>66</x:v>
      </x:c>
      <x:c r="E3089" s="48" t="str"/>
      <x:c r="F3089" s="48" t="str">
        <x:v>Pemakan tanpa at as,</x:v>
      </x:c>
      <x:c r="G3089" s="48" t="str">
        <x:v>Obligation</x:v>
      </x:c>
      <x:c r="H3089" s="48" t="str">
        <x:v>Shared</x:v>
      </x:c>
      <x:c r="I3089" s="48" t="n">
        <x:v>0.45</x:v>
      </x:c>
      <x:c r="J3089" s="48" t="n">
        <x:v>0.4</x:v>
      </x:c>
      <x:c r="K3089" s="48" t="str">
        <x:v>Yes</x:v>
      </x:c>
      <x:c r="L3089" s="48" t="str">
        <x:v>OCR</x:v>
      </x:c>
    </x:row>
    <x:row r="3090">
      <x:c r="A3090" s="48" t="str">
        <x:v>UNI-3089</x:v>
      </x:c>
      <x:c r="B3090" s="48" t="str">
        <x:v>SILVER</x:v>
      </x:c>
      <x:c r="C3090" s="48" t="str">
        <x:v>Indonesian</x:v>
      </x:c>
      <x:c r="D3090" s="48" t="n">
        <x:v>66</x:v>
      </x:c>
      <x:c r="E3090" s="48" t="str"/>
      <x:c r="F3090" s="48" t="str">
        <x:v>Pngora Ina skeuna n meengkan pendataan ed Krn</x:v>
      </x:c>
      <x:c r="G3090" s="48" t="str">
        <x:v>Obligation</x:v>
      </x:c>
      <x:c r="H3090" s="48" t="str">
        <x:v>Shared</x:v>
      </x:c>
      <x:c r="I3090" s="48" t="n">
        <x:v>0.45</x:v>
      </x:c>
      <x:c r="J3090" s="48" t="n">
        <x:v>0.4</x:v>
      </x:c>
      <x:c r="K3090" s="48" t="str">
        <x:v>Yes</x:v>
      </x:c>
      <x:c r="L3090" s="48" t="str">
        <x:v>OCR</x:v>
      </x:c>
    </x:row>
    <x:row r="3091">
      <x:c r="A3091" s="48" t="str">
        <x:v>UNI-3090</x:v>
      </x:c>
      <x:c r="B3091" s="48" t="str">
        <x:v>SILVER</x:v>
      </x:c>
      <x:c r="C3091" s="48" t="str">
        <x:v>Indonesian</x:v>
      </x:c>
      <x:c r="D3091" s="48" t="n">
        <x:v>66</x:v>
      </x:c>
      <x:c r="E3091" s="48" t="str"/>
      <x:c r="F3091" s="48" t="str">
        <x:v>Sar Ab kan arema Oren ammalanganaaan</x:v>
      </x:c>
      <x:c r="G3091" s="48" t="str">
        <x:v>Obligation</x:v>
      </x:c>
      <x:c r="H3091" s="48" t="str">
        <x:v>Shared</x:v>
      </x:c>
      <x:c r="I3091" s="48" t="n">
        <x:v>0.45</x:v>
      </x:c>
      <x:c r="J3091" s="48" t="n">
        <x:v>0.4</x:v>
      </x:c>
      <x:c r="K3091" s="48" t="str">
        <x:v>Yes</x:v>
      </x:c>
      <x:c r="L3091" s="48" t="str">
        <x:v>OCR</x:v>
      </x:c>
    </x:row>
    <x:row r="3092">
      <x:c r="A3092" s="48" t="str">
        <x:v>UNI-3091</x:v>
      </x:c>
      <x:c r="B3092" s="48" t="str">
        <x:v>SILVER</x:v>
      </x:c>
      <x:c r="C3092" s="48" t="str">
        <x:v>Indonesian</x:v>
      </x:c>
      <x:c r="D3092" s="48" t="n">
        <x:v>66</x:v>
      </x:c>
      <x:c r="E3092" s="48" t="str"/>
      <x:c r="F3092" s="48" t="str">
        <x:v>Sebatan ant Ma Parama</x:v>
      </x:c>
      <x:c r="G3092" s="48" t="str">
        <x:v>Obligation</x:v>
      </x:c>
      <x:c r="H3092" s="48" t="str">
        <x:v>Shared</x:v>
      </x:c>
      <x:c r="I3092" s="48" t="n">
        <x:v>0.45</x:v>
      </x:c>
      <x:c r="J3092" s="48" t="n">
        <x:v>0.4</x:v>
      </x:c>
      <x:c r="K3092" s="48" t="str">
        <x:v>Yes</x:v>
      </x:c>
      <x:c r="L3092" s="48" t="str">
        <x:v>OCR</x:v>
      </x:c>
    </x:row>
    <x:row r="3093">
      <x:c r="A3093" s="48" t="str">
        <x:v>UNI-3092</x:v>
      </x:c>
      <x:c r="B3093" s="48" t="str">
        <x:v>SILVER</x:v>
      </x:c>
      <x:c r="C3093" s="48" t="str">
        <x:v>Indonesian</x:v>
      </x:c>
      <x:c r="D3093" s="48" t="n">
        <x:v>67</x:v>
      </x:c>
      <x:c r="E3093" s="48" t="str"/>
      <x:c r="F3093" s="48" t="str">
        <x:v>Dean Da ega el 8 an mrerra Dra Aa Prakasa Keran</x:v>
      </x:c>
      <x:c r="G3093" s="48" t="str">
        <x:v>Obligation</x:v>
      </x:c>
      <x:c r="H3093" s="48" t="str">
        <x:v>Shared</x:v>
      </x:c>
      <x:c r="I3093" s="48" t="n">
        <x:v>0.45</x:v>
      </x:c>
      <x:c r="J3093" s="48" t="n">
        <x:v>0.4</x:v>
      </x:c>
      <x:c r="K3093" s="48" t="str">
        <x:v>Yes</x:v>
      </x:c>
      <x:c r="L3093" s="48" t="str">
        <x:v>OCR</x:v>
      </x:c>
    </x:row>
    <x:row r="3094">
      <x:c r="A3094" s="48" t="str">
        <x:v>UNI-3093</x:v>
      </x:c>
      <x:c r="B3094" s="48" t="str">
        <x:v>SILVER</x:v>
      </x:c>
      <x:c r="C3094" s="48" t="str">
        <x:v>Indonesian</x:v>
      </x:c>
      <x:c r="D3094" s="48" t="n">
        <x:v>67</x:v>
      </x:c>
      <x:c r="E3094" s="48" t="str"/>
      <x:c r="F3094" s="48" t="str">
        <x:v>TES Pegiat aren Me</x:v>
      </x:c>
      <x:c r="G3094" s="48" t="str">
        <x:v>Obligation</x:v>
      </x:c>
      <x:c r="H3094" s="48" t="str">
        <x:v>Shared</x:v>
      </x:c>
      <x:c r="I3094" s="48" t="n">
        <x:v>0.45</x:v>
      </x:c>
      <x:c r="J3094" s="48" t="n">
        <x:v>0.4</x:v>
      </x:c>
      <x:c r="K3094" s="48" t="str">
        <x:v>Yes</x:v>
      </x:c>
      <x:c r="L3094" s="48" t="str">
        <x:v>OCR</x:v>
      </x:c>
    </x:row>
    <x:row r="3095">
      <x:c r="A3095" s="48" t="str">
        <x:v>UNI-3094</x:v>
      </x:c>
      <x:c r="B3095" s="48" t="str">
        <x:v>SILVER</x:v>
      </x:c>
      <x:c r="C3095" s="48" t="str">
        <x:v>Indonesian</x:v>
      </x:c>
      <x:c r="D3095" s="48" t="n">
        <x:v>67</x:v>
      </x:c>
      <x:c r="E3095" s="48" t="str"/>
      <x:c r="F3095" s="48" t="str">
        <x:v>pembebasan Tata menyancakan heran re Kran tuna menynatan peran dakorakan “unt Ketrg pntabaan Gr lewtan jong meralan tua oran Pendant Sem drg Sanga WS Sya 147 Mts fertear.</x:v>
      </x:c>
      <x:c r="G3095" s="48" t="str">
        <x:v>Obligation</x:v>
      </x:c>
      <x:c r="H3095" s="48" t="str">
        <x:v>Shared</x:v>
      </x:c>
      <x:c r="I3095" s="48" t="n">
        <x:v>0.45</x:v>
      </x:c>
      <x:c r="J3095" s="48" t="n">
        <x:v>0.4</x:v>
      </x:c>
      <x:c r="K3095" s="48" t="str">
        <x:v>Yes</x:v>
      </x:c>
      <x:c r="L3095" s="48" t="str">
        <x:v>OCR</x:v>
      </x:c>
    </x:row>
    <x:row r="3096">
      <x:c r="A3096" s="48" t="str">
        <x:v>UNI-3095</x:v>
      </x:c>
      <x:c r="B3096" s="48" t="str">
        <x:v>SILVER</x:v>
      </x:c>
      <x:c r="C3096" s="48" t="str">
        <x:v>Indonesian</x:v>
      </x:c>
      <x:c r="D3096" s="48" t="n">
        <x:v>67</x:v>
      </x:c>
      <x:c r="E3096" s="48" t="str"/>
      <x:c r="F3096" s="48" t="str">
        <x:v>Pengentan Kawan Feraro Lan Wu mera hewan Ica Ker WAK aa Yara</x:v>
      </x:c>
      <x:c r="G3096" s="48" t="str">
        <x:v>Obligation</x:v>
      </x:c>
      <x:c r="H3096" s="48" t="str">
        <x:v>Shared</x:v>
      </x:c>
      <x:c r="I3096" s="48" t="n">
        <x:v>0.45</x:v>
      </x:c>
      <x:c r="J3096" s="48" t="n">
        <x:v>0.4</x:v>
      </x:c>
      <x:c r="K3096" s="48" t="str">
        <x:v>Yes</x:v>
      </x:c>
      <x:c r="L3096" s="48" t="str">
        <x:v>OCR</x:v>
      </x:c>
    </x:row>
    <x:row r="3097">
      <x:c r="A3097" s="48" t="str">
        <x:v>UNI-3096</x:v>
      </x:c>
      <x:c r="B3097" s="48" t="str">
        <x:v>SILVER</x:v>
      </x:c>
      <x:c r="C3097" s="48" t="str">
        <x:v>Indonesian</x:v>
      </x:c>
      <x:c r="D3097" s="48" t="n">
        <x:v>67</x:v>
      </x:c>
      <x:c r="E3097" s="48" t="str"/>
      <x:c r="F3097" s="48" t="str">
        <x:v>penanda terimatan sa betta Kotor au pemeran Pejantan &amp; oreemn Men Lunn maaa enam</x:v>
      </x:c>
      <x:c r="G3097" s="48" t="str">
        <x:v>Obligation</x:v>
      </x:c>
      <x:c r="H3097" s="48" t="str">
        <x:v>Shared</x:v>
      </x:c>
      <x:c r="I3097" s="48" t="n">
        <x:v>0.45</x:v>
      </x:c>
      <x:c r="J3097" s="48" t="n">
        <x:v>0.4</x:v>
      </x:c>
      <x:c r="K3097" s="48" t="str">
        <x:v>Yes</x:v>
      </x:c>
      <x:c r="L3097" s="48" t="str">
        <x:v>OCR</x:v>
      </x:c>
    </x:row>
    <x:row r="3098">
      <x:c r="A3098" s="48" t="str">
        <x:v>UNI-3097</x:v>
      </x:c>
      <x:c r="B3098" s="48" t="str">
        <x:v>SILVER</x:v>
      </x:c>
      <x:c r="C3098" s="48" t="str">
        <x:v>Indonesian</x:v>
      </x:c>
      <x:c r="D3098" s="48" t="n">
        <x:v>68</x:v>
      </x:c>
      <x:c r="E3098" s="48" t="str"/>
      <x:c r="F3098" s="48" t="str">
        <x:v>(8 san oran ten) (ac It yag In sa prt Dat cra So Ter,</x:v>
      </x:c>
      <x:c r="G3098" s="48" t="str">
        <x:v>Obligation</x:v>
      </x:c>
      <x:c r="H3098" s="48" t="str">
        <x:v>Shared</x:v>
      </x:c>
      <x:c r="I3098" s="48" t="n">
        <x:v>0.45</x:v>
      </x:c>
      <x:c r="J3098" s="48" t="n">
        <x:v>0.4</x:v>
      </x:c>
      <x:c r="K3098" s="48" t="str">
        <x:v>Yes</x:v>
      </x:c>
      <x:c r="L3098" s="48" t="str">
        <x:v>OCR</x:v>
      </x:c>
    </x:row>
    <x:row r="3099">
      <x:c r="A3099" s="48" t="str">
        <x:v>UNI-3098</x:v>
      </x:c>
      <x:c r="B3099" s="48" t="str">
        <x:v>SILVER</x:v>
      </x:c>
      <x:c r="C3099" s="48" t="str">
        <x:v>Indonesian</x:v>
      </x:c>
      <x:c r="D3099" s="48" t="n">
        <x:v>68</x:v>
      </x:c>
      <x:c r="E3099" s="48" t="str"/>
      <x:c r="F3099" s="48" t="str">
        <x:v>PAMA daan Tn Pa as bar eyang Si Mada</x:v>
      </x:c>
      <x:c r="G3099" s="48" t="str">
        <x:v>Obligation</x:v>
      </x:c>
      <x:c r="H3099" s="48" t="str">
        <x:v>Shared</x:v>
      </x:c>
      <x:c r="I3099" s="48" t="n">
        <x:v>0.45</x:v>
      </x:c>
      <x:c r="J3099" s="48" t="n">
        <x:v>0.4</x:v>
      </x:c>
      <x:c r="K3099" s="48" t="str">
        <x:v>Yes</x:v>
      </x:c>
      <x:c r="L3099" s="48" t="str">
        <x:v>OCR</x:v>
      </x:c>
    </x:row>
    <x:row r="3100">
      <x:c r="A3100" s="48" t="str">
        <x:v>UNI-3099</x:v>
      </x:c>
      <x:c r="B3100" s="48" t="str">
        <x:v>SILVER</x:v>
      </x:c>
      <x:c r="C3100" s="48" t="str">
        <x:v>Indonesian</x:v>
      </x:c>
      <x:c r="D3100" s="48" t="n">
        <x:v>68</x:v>
      </x:c>
      <x:c r="E3100" s="48" t="str"/>
      <x:c r="F3100" s="48" t="str">
        <x:v>Man wi Sibibunta 1 Kak on mental loan Pargara teramat kwnta yrg meras broordarasna, da henakan Praira “aradken taon On panbawanyageLergana enymeanan ea Arga La abang</x:v>
      </x:c>
      <x:c r="G3100" s="48" t="str">
        <x:v>Obligation</x:v>
      </x:c>
      <x:c r="H3100" s="48" t="str">
        <x:v>Shared</x:v>
      </x:c>
      <x:c r="I3100" s="48" t="n">
        <x:v>0.45</x:v>
      </x:c>
      <x:c r="J3100" s="48" t="n">
        <x:v>0.4</x:v>
      </x:c>
      <x:c r="K3100" s="48" t="str">
        <x:v>Yes</x:v>
      </x:c>
      <x:c r="L3100" s="48" t="str">
        <x:v>OCR</x:v>
      </x:c>
    </x:row>
    <x:row r="3101">
      <x:c r="A3101" s="48" t="str">
        <x:v>UNI-3100</x:v>
      </x:c>
      <x:c r="B3101" s="48" t="str">
        <x:v>SILVER</x:v>
      </x:c>
      <x:c r="C3101" s="48" t="str">
        <x:v>Indonesian</x:v>
      </x:c>
      <x:c r="D3101" s="48" t="n">
        <x:v>68</x:v>
      </x:c>
      <x:c r="E3101" s="48" t="str"/>
      <x:c r="F3101" s="48" t="str">
        <x:v>Tara Ku ata Batan daan ma ra yng oaukan ck Peetan</x:v>
      </x:c>
      <x:c r="G3101" s="48" t="str">
        <x:v>Obligation</x:v>
      </x:c>
      <x:c r="H3101" s="48" t="str">
        <x:v>Shared</x:v>
      </x:c>
      <x:c r="I3101" s="48" t="n">
        <x:v>0.45</x:v>
      </x:c>
      <x:c r="J3101" s="48" t="n">
        <x:v>0.4</x:v>
      </x:c>
      <x:c r="K3101" s="48" t="str">
        <x:v>Yes</x:v>
      </x:c>
      <x:c r="L3101" s="48" t="str">
        <x:v>OCR</x:v>
      </x:c>
    </x:row>
    <x:row r="3102">
      <x:c r="A3102" s="48" t="str">
        <x:v>UNI-3101</x:v>
      </x:c>
      <x:c r="B3102" s="48" t="str">
        <x:v>SILVER</x:v>
      </x:c>
      <x:c r="C3102" s="48" t="str">
        <x:v>Indonesian</x:v>
      </x:c>
      <x:c r="D3102" s="48" t="n">
        <x:v>68</x:v>
      </x:c>
      <x:c r="E3102" s="48" t="str"/>
      <x:c r="F3102" s="48" t="str">
        <x:v>Karvak Kos pb loan nam Pony Kuan #reta mcact</x:v>
      </x:c>
      <x:c r="G3102" s="48" t="str">
        <x:v>Obligation</x:v>
      </x:c>
      <x:c r="H3102" s="48" t="str">
        <x:v>Shared</x:v>
      </x:c>
      <x:c r="I3102" s="48" t="n">
        <x:v>0.45</x:v>
      </x:c>
      <x:c r="J3102" s="48" t="n">
        <x:v>0.4</x:v>
      </x:c>
      <x:c r="K3102" s="48" t="str">
        <x:v>Yes</x:v>
      </x:c>
      <x:c r="L3102" s="48" t="str">
        <x:v>OCR</x:v>
      </x:c>
    </x:row>
    <x:row r="3103">
      <x:c r="A3103" s="48" t="str">
        <x:v>UNI-3102</x:v>
      </x:c>
      <x:c r="B3103" s="48" t="str">
        <x:v>SILVER</x:v>
      </x:c>
      <x:c r="C3103" s="48" t="str">
        <x:v>Indonesian</x:v>
      </x:c>
      <x:c r="D3103" s="48" t="n">
        <x:v>68</x:v>
      </x:c>
      <x:c r="E3103" s="48" t="str"/>
      <x:c r="F3103" s="48" t="str">
        <x:v>Lem antem urg pertaa Pana daan eaga tt</x:v>
      </x:c>
      <x:c r="G3103" s="48" t="str">
        <x:v>Obligation</x:v>
      </x:c>
      <x:c r="H3103" s="48" t="str">
        <x:v>Shared</x:v>
      </x:c>
      <x:c r="I3103" s="48" t="n">
        <x:v>0.45</x:v>
      </x:c>
      <x:c r="J3103" s="48" t="n">
        <x:v>0.4</x:v>
      </x:c>
      <x:c r="K3103" s="48" t="str">
        <x:v>Yes</x:v>
      </x:c>
      <x:c r="L3103" s="48" t="str">
        <x:v>OCR</x:v>
      </x:c>
    </x:row>
    <x:row r="3104">
      <x:c r="A3104" s="48" t="str">
        <x:v>UNI-3103</x:v>
      </x:c>
      <x:c r="B3104" s="48" t="str">
        <x:v>SILVER</x:v>
      </x:c>
      <x:c r="C3104" s="48" t="str">
        <x:v>Indonesian</x:v>
      </x:c>
      <x:c r="D3104" s="48" t="n">
        <x:v>68</x:v>
      </x:c>
      <x:c r="E3104" s="48" t="str"/>
      <x:c r="F3104" s="48" t="str">
        <x:v>(8 Sebatas Kerak daan ana Gn an rgs:</x:v>
      </x:c>
      <x:c r="G3104" s="48" t="str">
        <x:v>Obligation</x:v>
      </x:c>
      <x:c r="H3104" s="48" t="str">
        <x:v>Shared</x:v>
      </x:c>
      <x:c r="I3104" s="48" t="n">
        <x:v>0.45</x:v>
      </x:c>
      <x:c r="J3104" s="48" t="n">
        <x:v>0.4</x:v>
      </x:c>
      <x:c r="K3104" s="48" t="str">
        <x:v>Yes</x:v>
      </x:c>
      <x:c r="L3104" s="48" t="str">
        <x:v>OCR</x:v>
      </x:c>
    </x:row>
    <x:row r="3105">
      <x:c r="A3105" s="48" t="str">
        <x:v>UNI-3104</x:v>
      </x:c>
      <x:c r="B3105" s="48" t="str">
        <x:v>SILVER</x:v>
      </x:c>
      <x:c r="C3105" s="48" t="str">
        <x:v>Indonesian</x:v>
      </x:c>
      <x:c r="D3105" s="48" t="n">
        <x:v>68</x:v>
      </x:c>
      <x:c r="E3105" s="48" t="str">
        <x:v>0</x:v>
      </x:c>
      <x:c r="F3105" s="48" t="str">
        <x:v>0 PEDE Ia era kt Lag La can Ara Gan</x:v>
      </x:c>
      <x:c r="G3105" s="48" t="str">
        <x:v>Heading</x:v>
      </x:c>
      <x:c r="H3105" s="48" t="str"/>
      <x:c r="I3105" s="48" t="n">
        <x:v>0.9</x:v>
      </x:c>
      <x:c r="J3105" s="48" t="n">
        <x:v>0.99</x:v>
      </x:c>
      <x:c r="K3105" s="48" t="str">
        <x:v>No</x:v>
      </x:c>
      <x:c r="L3105" s="48" t="str">
        <x:v>OCR</x:v>
      </x:c>
    </x:row>
    <x:row r="3106">
      <x:c r="A3106" s="48" t="str">
        <x:v>UNI-3105</x:v>
      </x:c>
      <x:c r="B3106" s="48" t="str">
        <x:v>SILVER</x:v>
      </x:c>
      <x:c r="C3106" s="48" t="str">
        <x:v>Indonesian</x:v>
      </x:c>
      <x:c r="D3106" s="48" t="n">
        <x:v>68</x:v>
      </x:c>
      <x:c r="E3106" s="48" t="str"/>
      <x:c r="F3106" s="48" t="str">
        <x:v>Iki Ur Ktp jang Batan ian beftnganterbajan Tawa</x:v>
      </x:c>
      <x:c r="G3106" s="48" t="str">
        <x:v>Obligation</x:v>
      </x:c>
      <x:c r="H3106" s="48" t="str">
        <x:v>Shared</x:v>
      </x:c>
      <x:c r="I3106" s="48" t="n">
        <x:v>0.45</x:v>
      </x:c>
      <x:c r="J3106" s="48" t="n">
        <x:v>0.4</x:v>
      </x:c>
      <x:c r="K3106" s="48" t="str">
        <x:v>Yes</x:v>
      </x:c>
      <x:c r="L3106" s="48" t="str">
        <x:v>OCR</x:v>
      </x:c>
    </x:row>
    <x:row r="3107">
      <x:c r="A3107" s="48" t="str">
        <x:v>UNI-3106</x:v>
      </x:c>
      <x:c r="B3107" s="48" t="str">
        <x:v>SILVER</x:v>
      </x:c>
      <x:c r="C3107" s="48" t="str">
        <x:v>Indonesian</x:v>
      </x:c>
      <x:c r="D3107" s="48" t="n">
        <x:v>68</x:v>
      </x:c>
      <x:c r="E3107" s="48" t="str"/>
      <x:c r="F3107" s="48" t="str">
        <x:v>Dear antanen ken ran con Ma aslam</x:v>
      </x:c>
      <x:c r="G3107" s="48" t="str">
        <x:v>Obligation</x:v>
      </x:c>
      <x:c r="H3107" s="48" t="str">
        <x:v>Shared</x:v>
      </x:c>
      <x:c r="I3107" s="48" t="n">
        <x:v>0.45</x:v>
      </x:c>
      <x:c r="J3107" s="48" t="n">
        <x:v>0.4</x:v>
      </x:c>
      <x:c r="K3107" s="48" t="str">
        <x:v>Yes</x:v>
      </x:c>
      <x:c r="L3107" s="48" t="str">
        <x:v>OCR</x:v>
      </x:c>
    </x:row>
    <x:row r="3108">
      <x:c r="A3108" s="48" t="str">
        <x:v>UNI-3107</x:v>
      </x:c>
      <x:c r="B3108" s="48" t="str">
        <x:v>SILVER</x:v>
      </x:c>
      <x:c r="C3108" s="48" t="str">
        <x:v>Indonesian</x:v>
      </x:c>
      <x:c r="D3108" s="48" t="n">
        <x:v>68</x:v>
      </x:c>
      <x:c r="E3108" s="48" t="str"/>
      <x:c r="F3108" s="48" t="str">
        <x:v>(endenaaban na. tenbagam din pewangan berasa SiKorusa Ya Dia Catrgr d1 MO Mam 137 PeneuamnataPonenPra</x:v>
      </x:c>
      <x:c r="G3108" s="48" t="str">
        <x:v>Obligation</x:v>
      </x:c>
      <x:c r="H3108" s="48" t="str">
        <x:v>Shared</x:v>
      </x:c>
      <x:c r="I3108" s="48" t="n">
        <x:v>0.45</x:v>
      </x:c>
      <x:c r="J3108" s="48" t="n">
        <x:v>0.4</x:v>
      </x:c>
      <x:c r="K3108" s="48" t="str">
        <x:v>Yes</x:v>
      </x:c>
      <x:c r="L3108" s="48" t="str">
        <x:v>OCR</x:v>
      </x:c>
    </x:row>
    <x:row r="3109">
      <x:c r="A3109" s="48" t="str">
        <x:v>UNI-3108</x:v>
      </x:c>
      <x:c r="B3109" s="48" t="str">
        <x:v>SILVER</x:v>
      </x:c>
      <x:c r="C3109" s="48" t="str">
        <x:v>Indonesian</x:v>
      </x:c>
      <x:c r="D3109" s="48" t="n">
        <x:v>68</x:v>
      </x:c>
      <x:c r="E3109" s="48" t="str"/>
      <x:c r="F3109" s="48" t="str">
        <x:v>Par Dan Gam LS Pra La So</x:v>
      </x:c>
      <x:c r="G3109" s="48" t="str">
        <x:v>Obligation</x:v>
      </x:c>
      <x:c r="H3109" s="48" t="str">
        <x:v>Shared</x:v>
      </x:c>
      <x:c r="I3109" s="48" t="n">
        <x:v>0.45</x:v>
      </x:c>
      <x:c r="J3109" s="48" t="n">
        <x:v>0.4</x:v>
      </x:c>
      <x:c r="K3109" s="48" t="str">
        <x:v>Yes</x:v>
      </x:c>
      <x:c r="L3109" s="48" t="str">
        <x:v>OCR</x:v>
      </x:c>
    </x:row>
    <x:row r="3110">
      <x:c r="A3110" s="48" t="str">
        <x:v>UNI-3109</x:v>
      </x:c>
      <x:c r="B3110" s="48" t="str">
        <x:v>SILVER</x:v>
      </x:c>
      <x:c r="C3110" s="48" t="str">
        <x:v>Indonesian</x:v>
      </x:c>
      <x:c r="D3110" s="48" t="n">
        <x:v>68</x:v>
      </x:c>
      <x:c r="E3110" s="48" t="str"/>
      <x:c r="F3110" s="48" t="str">
        <x:v>(@ ente perguruan bacaan pongaPnag Kl Biak 14 Dota wak Pujaan Sunu Ps nba (kurir dn pes ntagarar Gnytaan dam Meng tas</x:v>
      </x:c>
      <x:c r="G3110" s="48" t="str">
        <x:v>Obligation</x:v>
      </x:c>
      <x:c r="H3110" s="48" t="str">
        <x:v>Shared</x:v>
      </x:c>
      <x:c r="I3110" s="48" t="n">
        <x:v>0.45</x:v>
      </x:c>
      <x:c r="J3110" s="48" t="n">
        <x:v>0.4</x:v>
      </x:c>
      <x:c r="K3110" s="48" t="str">
        <x:v>Yes</x:v>
      </x:c>
      <x:c r="L3110" s="48" t="str">
        <x:v>OCR</x:v>
      </x:c>
    </x:row>
    <x:row r="3111">
      <x:c r="A3111" s="48" t="str">
        <x:v>UNI-3110</x:v>
      </x:c>
      <x:c r="B3111" s="48" t="str">
        <x:v>SILVER</x:v>
      </x:c>
      <x:c r="C3111" s="48" t="str">
        <x:v>Indonesian</x:v>
      </x:c>
      <x:c r="D3111" s="48" t="n">
        <x:v>68</x:v>
      </x:c>
      <x:c r="E3111" s="48" t="str"/>
      <x:c r="F3111" s="48" t="str">
        <x:v>II perban era segara oditan dn Penanaman aan</x:v>
      </x:c>
      <x:c r="G3111" s="48" t="str">
        <x:v>Obligation</x:v>
      </x:c>
      <x:c r="H3111" s="48" t="str">
        <x:v>Shared</x:v>
      </x:c>
      <x:c r="I3111" s="48" t="n">
        <x:v>0.45</x:v>
      </x:c>
      <x:c r="J3111" s="48" t="n">
        <x:v>0.4</x:v>
      </x:c>
      <x:c r="K3111" s="48" t="str">
        <x:v>Yes</x:v>
      </x:c>
      <x:c r="L3111" s="48" t="str">
        <x:v>OCR</x:v>
      </x:c>
    </x:row>
    <x:row r="3112">
      <x:c r="A3112" s="48" t="str">
        <x:v>UNI-3111</x:v>
      </x:c>
      <x:c r="B3112" s="48" t="str">
        <x:v>SILVER</x:v>
      </x:c>
      <x:c r="C3112" s="48" t="str">
        <x:v>Indonesian</x:v>
      </x:c>
      <x:c r="D3112" s="48" t="n">
        <x:v>68</x:v>
      </x:c>
      <x:c r="E3112" s="48" t="str"/>
      <x:c r="F3112" s="48" t="str">
        <x:v>ular Gb ra ng Gan DOTOT bsa Gabusan Gak</x:v>
      </x:c>
      <x:c r="G3112" s="48" t="str">
        <x:v>Obligation</x:v>
      </x:c>
      <x:c r="H3112" s="48" t="str">
        <x:v>Shared</x:v>
      </x:c>
      <x:c r="I3112" s="48" t="n">
        <x:v>0.45</x:v>
      </x:c>
      <x:c r="J3112" s="48" t="n">
        <x:v>0.4</x:v>
      </x:c>
      <x:c r="K3112" s="48" t="str">
        <x:v>Yes</x:v>
      </x:c>
      <x:c r="L3112" s="48" t="str">
        <x:v>OCR</x:v>
      </x:c>
    </x:row>
    <x:row r="3113">
      <x:c r="A3113" s="48" t="str">
        <x:v>UNI-3112</x:v>
      </x:c>
      <x:c r="B3113" s="48" t="str">
        <x:v>SILVER</x:v>
      </x:c>
      <x:c r="C3113" s="48" t="str">
        <x:v>Indonesian</x:v>
      </x:c>
      <x:c r="D3113" s="48" t="n">
        <x:v>68</x:v>
      </x:c>
      <x:c r="E3113" s="48" t="str"/>
      <x:c r="F3113" s="48" t="str">
        <x:v>Pengaman</x:v>
      </x:c>
      <x:c r="G3113" s="48" t="str">
        <x:v>Obligation</x:v>
      </x:c>
      <x:c r="H3113" s="48" t="str">
        <x:v>Shared</x:v>
      </x:c>
      <x:c r="I3113" s="48" t="n">
        <x:v>0.45</x:v>
      </x:c>
      <x:c r="J3113" s="48" t="n">
        <x:v>0.4</x:v>
      </x:c>
      <x:c r="K3113" s="48" t="str">
        <x:v>Yes</x:v>
      </x:c>
      <x:c r="L3113" s="48" t="str">
        <x:v>OCR</x:v>
      </x:c>
    </x:row>
    <x:row r="3114">
      <x:c r="A3114" s="48" t="str">
        <x:v>UNI-3113</x:v>
      </x:c>
      <x:c r="B3114" s="48" t="str">
        <x:v>SILVER</x:v>
      </x:c>
      <x:c r="C3114" s="48" t="str">
        <x:v>Indonesian</x:v>
      </x:c>
      <x:c r="D3114" s="48" t="n">
        <x:v>68</x:v>
      </x:c>
      <x:c r="E3114" s="48" t="str">
        <x:v>1</x:v>
      </x:c>
      <x:c r="F3114" s="48" t="str">
        <x:v>1 Sean ac PergaIn De Kr ea alasan Gen</x:v>
      </x:c>
      <x:c r="G3114" s="48" t="str">
        <x:v>Heading</x:v>
      </x:c>
      <x:c r="H3114" s="48" t="str"/>
      <x:c r="I3114" s="48" t="n">
        <x:v>0.9</x:v>
      </x:c>
      <x:c r="J3114" s="48" t="n">
        <x:v>0.99</x:v>
      </x:c>
      <x:c r="K3114" s="48" t="str">
        <x:v>No</x:v>
      </x:c>
      <x:c r="L3114" s="48" t="str">
        <x:v>OCR</x:v>
      </x:c>
    </x:row>
    <x:row r="3115">
      <x:c r="A3115" s="48" t="str">
        <x:v>UNI-3114</x:v>
      </x:c>
      <x:c r="B3115" s="48" t="str">
        <x:v>SILVER</x:v>
      </x:c>
      <x:c r="C3115" s="48" t="str">
        <x:v>Indonesian</x:v>
      </x:c>
      <x:c r="D3115" s="48" t="n">
        <x:v>68</x:v>
      </x:c>
      <x:c r="E3115" s="48" t="str"/>
      <x:c r="F3115" s="48" t="str">
        <x:v>Menur mar IMAN AU Gkokatan ch Pengaya Jan dam</x:v>
      </x:c>
      <x:c r="G3115" s="48" t="str">
        <x:v>Obligation</x:v>
      </x:c>
      <x:c r="H3115" s="48" t="str">
        <x:v>Shared</x:v>
      </x:c>
      <x:c r="I3115" s="48" t="n">
        <x:v>0.45</x:v>
      </x:c>
      <x:c r="J3115" s="48" t="n">
        <x:v>0.4</x:v>
      </x:c>
      <x:c r="K3115" s="48" t="str">
        <x:v>Yes</x:v>
      </x:c>
      <x:c r="L3115" s="48" t="str">
        <x:v>OCR</x:v>
      </x:c>
    </x:row>
    <x:row r="3116">
      <x:c r="A3116" s="48" t="str">
        <x:v>UNI-3115</x:v>
      </x:c>
      <x:c r="B3116" s="48" t="str">
        <x:v>SILVER</x:v>
      </x:c>
      <x:c r="C3116" s="48" t="str">
        <x:v>Indonesian</x:v>
      </x:c>
      <x:c r="D3116" s="48" t="n">
        <x:v>68</x:v>
      </x:c>
      <x:c r="E3116" s="48" t="str"/>
      <x:c r="F3116" s="48" t="str">
        <x:v>Pan Uru pLana go Untan Sen bag PP</x:v>
      </x:c>
      <x:c r="G3116" s="48" t="str">
        <x:v>Obligation</x:v>
      </x:c>
      <x:c r="H3116" s="48" t="str">
        <x:v>Shared</x:v>
      </x:c>
      <x:c r="I3116" s="48" t="n">
        <x:v>0.45</x:v>
      </x:c>
      <x:c r="J3116" s="48" t="n">
        <x:v>0.4</x:v>
      </x:c>
      <x:c r="K3116" s="48" t="str">
        <x:v>Yes</x:v>
      </x:c>
      <x:c r="L3116" s="48" t="str">
        <x:v>OCR</x:v>
      </x:c>
    </x:row>
    <x:row r="3117">
      <x:c r="A3117" s="48" t="str">
        <x:v>UNI-3116</x:v>
      </x:c>
      <x:c r="B3117" s="48" t="str">
        <x:v>SILVER</x:v>
      </x:c>
      <x:c r="C3117" s="48" t="str">
        <x:v>Indonesian</x:v>
      </x:c>
      <x:c r="D3117" s="48" t="n">
        <x:v>68</x:v>
      </x:c>
      <x:c r="E3117" s="48" t="str"/>
      <x:c r="F3117" s="48" t="str">
        <x:v>(eta an yag Pata Gan can Ker oa Porara Jasa Akan at mana Merta mama kr year darma Prgara.</x:v>
      </x:c>
      <x:c r="G3117" s="48" t="str">
        <x:v>Obligation</x:v>
      </x:c>
      <x:c r="H3117" s="48" t="str">
        <x:v>Shared</x:v>
      </x:c>
      <x:c r="I3117" s="48" t="n">
        <x:v>0.45</x:v>
      </x:c>
      <x:c r="J3117" s="48" t="n">
        <x:v>0.4</x:v>
      </x:c>
      <x:c r="K3117" s="48" t="str">
        <x:v>Yes</x:v>
      </x:c>
      <x:c r="L3117" s="48" t="str">
        <x:v>OCR</x:v>
      </x:c>
    </x:row>
    <x:row r="3118">
      <x:c r="A3118" s="48" t="str">
        <x:v>UNI-3117</x:v>
      </x:c>
      <x:c r="B3118" s="48" t="str">
        <x:v>SILVER</x:v>
      </x:c>
      <x:c r="C3118" s="48" t="str">
        <x:v>Indonesian</x:v>
      </x:c>
      <x:c r="D3118" s="48" t="n">
        <x:v>68</x:v>
      </x:c>
      <x:c r="E3118" s="48" t="str"/>
      <x:c r="F3118" s="48" t="str">
        <x:v>Sam hasi Kotak diam ma Lerg Web, Pra aa Gr</x:v>
      </x:c>
      <x:c r="G3118" s="48" t="str">
        <x:v>Obligation</x:v>
      </x:c>
      <x:c r="H3118" s="48" t="str">
        <x:v>Shared</x:v>
      </x:c>
      <x:c r="I3118" s="48" t="n">
        <x:v>0.45</x:v>
      </x:c>
      <x:c r="J3118" s="48" t="n">
        <x:v>0.4</x:v>
      </x:c>
      <x:c r="K3118" s="48" t="str">
        <x:v>Yes</x:v>
      </x:c>
      <x:c r="L3118" s="48" t="str">
        <x:v>OCR</x:v>
      </x:c>
    </x:row>
    <x:row r="3119">
      <x:c r="A3119" s="48" t="str">
        <x:v>UNI-3118</x:v>
      </x:c>
      <x:c r="B3119" s="48" t="str">
        <x:v>SILVER</x:v>
      </x:c>
      <x:c r="C3119" s="48" t="str">
        <x:v>Indonesian</x:v>
      </x:c>
      <x:c r="D3119" s="48" t="n">
        <x:v>68</x:v>
      </x:c>
      <x:c r="E3119" s="48" t="str"/>
      <x:c r="F3119" s="48" t="str">
        <x:v>En Mr La ang Me Bai</x:v>
      </x:c>
      <x:c r="G3119" s="48" t="str">
        <x:v>Obligation</x:v>
      </x:c>
      <x:c r="H3119" s="48" t="str">
        <x:v>Shared</x:v>
      </x:c>
      <x:c r="I3119" s="48" t="n">
        <x:v>0.45</x:v>
      </x:c>
      <x:c r="J3119" s="48" t="n">
        <x:v>0.4</x:v>
      </x:c>
      <x:c r="K3119" s="48" t="str">
        <x:v>Yes</x:v>
      </x:c>
      <x:c r="L3119" s="48" t="str">
        <x:v>OCR</x:v>
      </x:c>
    </x:row>
    <x:row r="3120">
      <x:c r="A3120" s="48" t="str">
        <x:v>UNI-3119</x:v>
      </x:c>
      <x:c r="B3120" s="48" t="str">
        <x:v>SILVER</x:v>
      </x:c>
      <x:c r="C3120" s="48" t="str">
        <x:v>Indonesian</x:v>
      </x:c>
      <x:c r="D3120" s="48" t="n">
        <x:v>68</x:v>
      </x:c>
      <x:c r="E3120" s="48" t="str"/>
      <x:c r="F3120" s="48" t="str">
        <x:v>Meri Gg mam ran</x:v>
      </x:c>
      <x:c r="G3120" s="48" t="str">
        <x:v>Obligation</x:v>
      </x:c>
      <x:c r="H3120" s="48" t="str">
        <x:v>Shared</x:v>
      </x:c>
      <x:c r="I3120" s="48" t="n">
        <x:v>0.45</x:v>
      </x:c>
      <x:c r="J3120" s="48" t="n">
        <x:v>0.4</x:v>
      </x:c>
      <x:c r="K3120" s="48" t="str">
        <x:v>Yes</x:v>
      </x:c>
      <x:c r="L3120" s="48" t="str">
        <x:v>OCR</x:v>
      </x:c>
    </x:row>
    <x:row r="3121">
      <x:c r="A3121" s="48" t="str">
        <x:v>UNI-3120</x:v>
      </x:c>
      <x:c r="B3121" s="48" t="str">
        <x:v>SILVER</x:v>
      </x:c>
      <x:c r="C3121" s="48" t="str">
        <x:v>Indonesian</x:v>
      </x:c>
      <x:c r="D3121" s="48" t="n">
        <x:v>68</x:v>
      </x:c>
      <x:c r="E3121" s="48" t="str"/>
      <x:c r="F3121" s="48" t="str">
        <x:v>ja en satosparta Larpngaryaan Gaunkerm rasa tenaan</x:v>
      </x:c>
      <x:c r="G3121" s="48" t="str">
        <x:v>Obligation</x:v>
      </x:c>
      <x:c r="H3121" s="48" t="str">
        <x:v>Shared</x:v>
      </x:c>
      <x:c r="I3121" s="48" t="n">
        <x:v>0.45</x:v>
      </x:c>
      <x:c r="J3121" s="48" t="n">
        <x:v>0.4</x:v>
      </x:c>
      <x:c r="K3121" s="48" t="str">
        <x:v>Yes</x:v>
      </x:c>
      <x:c r="L3121" s="48" t="str">
        <x:v>OCR</x:v>
      </x:c>
    </x:row>
    <x:row r="3122">
      <x:c r="A3122" s="48" t="str">
        <x:v>UNI-3121</x:v>
      </x:c>
      <x:c r="B3122" s="48" t="str">
        <x:v>SILVER</x:v>
      </x:c>
      <x:c r="C3122" s="48" t="str">
        <x:v>Indonesian</x:v>
      </x:c>
      <x:c r="D3122" s="48" t="n">
        <x:v>68</x:v>
      </x:c>
      <x:c r="E3122" s="48" t="str"/>
      <x:c r="F3122" s="48" t="str">
        <x:v>Iu beku paca Trggs Dan Gin aan cah De sr Nagan</x:v>
      </x:c>
      <x:c r="G3122" s="48" t="str">
        <x:v>Obligation</x:v>
      </x:c>
      <x:c r="H3122" s="48" t="str">
        <x:v>Shared</x:v>
      </x:c>
      <x:c r="I3122" s="48" t="n">
        <x:v>0.45</x:v>
      </x:c>
      <x:c r="J3122" s="48" t="n">
        <x:v>0.4</x:v>
      </x:c>
      <x:c r="K3122" s="48" t="str">
        <x:v>Yes</x:v>
      </x:c>
      <x:c r="L3122" s="48" t="str">
        <x:v>OCR</x:v>
      </x:c>
    </x:row>
    <x:row r="3123">
      <x:c r="A3123" s="48" t="str">
        <x:v>UNI-3122</x:v>
      </x:c>
      <x:c r="B3123" s="48" t="str">
        <x:v>SILVER</x:v>
      </x:c>
      <x:c r="C3123" s="48" t="str">
        <x:v>Indonesian</x:v>
      </x:c>
      <x:c r="D3123" s="48" t="n">
        <x:v>69</x:v>
      </x:c>
      <x:c r="E3123" s="48" t="str"/>
      <x:c r="F3123" s="48" t="str">
        <x:v>Amtk Petakan “as Gro pontfuan Gt meme Krmaer ur menga ga</x:v>
      </x:c>
      <x:c r="G3123" s="48" t="str">
        <x:v>Obligation</x:v>
      </x:c>
      <x:c r="H3123" s="48" t="str">
        <x:v>Shared</x:v>
      </x:c>
      <x:c r="I3123" s="48" t="n">
        <x:v>0.45</x:v>
      </x:c>
      <x:c r="J3123" s="48" t="n">
        <x:v>0.4</x:v>
      </x:c>
      <x:c r="K3123" s="48" t="str">
        <x:v>Yes</x:v>
      </x:c>
      <x:c r="L3123" s="48" t="str">
        <x:v>OCR</x:v>
      </x:c>
    </x:row>
    <x:row r="3124">
      <x:c r="A3124" s="48" t="str">
        <x:v>UNI-3123</x:v>
      </x:c>
      <x:c r="B3124" s="48" t="str">
        <x:v>SILVER</x:v>
      </x:c>
      <x:c r="C3124" s="48" t="str">
        <x:v>Indonesian</x:v>
      </x:c>
      <x:c r="D3124" s="48" t="n">
        <x:v>69</x:v>
      </x:c>
      <x:c r="E3124" s="48" t="str"/>
      <x:c r="F3124" s="48" t="str">
        <x:v>Pemiinan dah PENAK DNKULA Mean pemAsaN Ketat Kama</x:v>
      </x:c>
      <x:c r="G3124" s="48" t="str">
        <x:v>Obligation</x:v>
      </x:c>
      <x:c r="H3124" s="48" t="str">
        <x:v>Shared</x:v>
      </x:c>
      <x:c r="I3124" s="48" t="n">
        <x:v>0.45</x:v>
      </x:c>
      <x:c r="J3124" s="48" t="n">
        <x:v>0.4</x:v>
      </x:c>
      <x:c r="K3124" s="48" t="str">
        <x:v>Yes</x:v>
      </x:c>
      <x:c r="L3124" s="48" t="str">
        <x:v>OCR</x:v>
      </x:c>
    </x:row>
    <x:row r="3125">
      <x:c r="A3125" s="48" t="str">
        <x:v>UNI-3124</x:v>
      </x:c>
      <x:c r="B3125" s="48" t="str">
        <x:v>SILVER</x:v>
      </x:c>
      <x:c r="C3125" s="48" t="str">
        <x:v>Indonesian</x:v>
      </x:c>
      <x:c r="D3125" s="48" t="n">
        <x:v>70</x:v>
      </x:c>
      <x:c r="E3125" s="48" t="str"/>
      <x:c r="F3125" s="48" t="str">
        <x:v>Pevita asn</x:v>
      </x:c>
      <x:c r="G3125" s="48" t="str">
        <x:v>Obligation</x:v>
      </x:c>
      <x:c r="H3125" s="48" t="str">
        <x:v>Shared</x:v>
      </x:c>
      <x:c r="I3125" s="48" t="n">
        <x:v>0.45</x:v>
      </x:c>
      <x:c r="J3125" s="48" t="n">
        <x:v>0.4</x:v>
      </x:c>
      <x:c r="K3125" s="48" t="str">
        <x:v>Yes</x:v>
      </x:c>
      <x:c r="L3125" s="48" t="str">
        <x:v>OCR</x:v>
      </x:c>
    </x:row>
    <x:row r="3126">
      <x:c r="A3126" s="48" t="str">
        <x:v>UNI-3125</x:v>
      </x:c>
      <x:c r="B3126" s="48" t="str">
        <x:v>SILVER</x:v>
      </x:c>
      <x:c r="C3126" s="48" t="str">
        <x:v>Indonesian</x:v>
      </x:c>
      <x:c r="D3126" s="48" t="n">
        <x:v>70</x:v>
      </x:c>
      <x:c r="E3126" s="48" t="str"/>
      <x:c r="F3126" s="48" t="str">
        <x:v>Tangga Penuaan</x:v>
      </x:c>
      <x:c r="G3126" s="48" t="str">
        <x:v>Obligation</x:v>
      </x:c>
      <x:c r="H3126" s="48" t="str">
        <x:v>Shared</x:v>
      </x:c>
      <x:c r="I3126" s="48" t="n">
        <x:v>0.45</x:v>
      </x:c>
      <x:c r="J3126" s="48" t="n">
        <x:v>0.4</x:v>
      </x:c>
      <x:c r="K3126" s="48" t="str">
        <x:v>Yes</x:v>
      </x:c>
      <x:c r="L3126" s="48" t="str">
        <x:v>OCR</x:v>
      </x:c>
    </x:row>
    <x:row r="3127">
      <x:c r="A3127" s="48" t="str">
        <x:v>UNI-3126</x:v>
      </x:c>
      <x:c r="B3127" s="48" t="str">
        <x:v>SILVER</x:v>
      </x:c>
      <x:c r="C3127" s="48" t="str">
        <x:v>Indonesian</x:v>
      </x:c>
      <x:c r="D3127" s="48" t="n">
        <x:v>70</x:v>
      </x:c>
      <x:c r="E3127" s="48" t="str"/>
      <x:c r="F3127" s="48" t="str">
        <x:v>Mak pengun da</x:v>
      </x:c>
      <x:c r="G3127" s="48" t="str">
        <x:v>Obligation</x:v>
      </x:c>
      <x:c r="H3127" s="48" t="str">
        <x:v>Shared</x:v>
      </x:c>
      <x:c r="I3127" s="48" t="n">
        <x:v>0.45</x:v>
      </x:c>
      <x:c r="J3127" s="48" t="n">
        <x:v>0.4</x:v>
      </x:c>
      <x:c r="K3127" s="48" t="str">
        <x:v>Yes</x:v>
      </x:c>
      <x:c r="L3127" s="48" t="str">
        <x:v>OCR</x:v>
      </x:c>
    </x:row>
    <x:row r="3128">
      <x:c r="A3128" s="48" t="str">
        <x:v>UNI-3127</x:v>
      </x:c>
      <x:c r="B3128" s="48" t="str">
        <x:v>SILVER</x:v>
      </x:c>
      <x:c r="C3128" s="48" t="str">
        <x:v>Indonesian</x:v>
      </x:c>
      <x:c r="D3128" s="48" t="n">
        <x:v>71</x:v>
      </x:c>
      <x:c r="E3128" s="48" t="str"/>
      <x:c r="F3128" s="48" t="str">
        <x:v>Perggira Jon mengemban Jariran Pekaaraa.</x:v>
      </x:c>
      <x:c r="G3128" s="48" t="str">
        <x:v>Obligation</x:v>
      </x:c>
      <x:c r="H3128" s="48" t="str">
        <x:v>Shared</x:v>
      </x:c>
      <x:c r="I3128" s="48" t="n">
        <x:v>0.45</x:v>
      </x:c>
      <x:c r="J3128" s="48" t="n">
        <x:v>0.4</x:v>
      </x:c>
      <x:c r="K3128" s="48" t="str">
        <x:v>Yes</x:v>
      </x:c>
      <x:c r="L3128" s="48" t="str">
        <x:v>OCR</x:v>
      </x:c>
    </x:row>
    <x:row r="3129">
      <x:c r="A3129" s="48" t="str">
        <x:v>UNI-3128</x:v>
      </x:c>
      <x:c r="B3129" s="48" t="str">
        <x:v>SILVER</x:v>
      </x:c>
      <x:c r="C3129" s="48" t="str">
        <x:v>Indonesian</x:v>
      </x:c>
      <x:c r="D3129" s="48" t="n">
        <x:v>71</x:v>
      </x:c>
      <x:c r="E3129" s="48" t="str"/>
      <x:c r="F3129" s="48" t="str">
        <x:v>Pergna Jasa tak boh ebian Denasa erik mruu 20 Kata Fi La matra ara</x:v>
      </x:c>
      <x:c r="G3129" s="48" t="str">
        <x:v>Obligation</x:v>
      </x:c>
      <x:c r="H3129" s="48" t="str">
        <x:v>Shared</x:v>
      </x:c>
      <x:c r="I3129" s="48" t="n">
        <x:v>0.45</x:v>
      </x:c>
      <x:c r="J3129" s="48" t="n">
        <x:v>0.4</x:v>
      </x:c>
      <x:c r="K3129" s="48" t="str">
        <x:v>Yes</x:v>
      </x:c>
      <x:c r="L3129" s="48" t="str">
        <x:v>OCR</x:v>
      </x:c>
    </x:row>
    <x:row r="3130">
      <x:c r="A3130" s="48" t="str">
        <x:v>UNI-3129</x:v>
      </x:c>
      <x:c r="B3130" s="48" t="str">
        <x:v>SILVER</x:v>
      </x:c>
      <x:c r="C3130" s="48" t="str">
        <x:v>Indonesian</x:v>
      </x:c>
      <x:c r="D3130" s="48" t="n">
        <x:v>71</x:v>
      </x:c>
      <x:c r="E3130" s="48" t="str"/>
      <x:c r="F3130" s="48" t="str">
        <x:v>Pena Taro apn Pan dksandan Oo keren</x:v>
      </x:c>
      <x:c r="G3130" s="48" t="str">
        <x:v>Obligation</x:v>
      </x:c>
      <x:c r="H3130" s="48" t="str">
        <x:v>Shared</x:v>
      </x:c>
      <x:c r="I3130" s="48" t="n">
        <x:v>0.45</x:v>
      </x:c>
      <x:c r="J3130" s="48" t="n">
        <x:v>0.4</x:v>
      </x:c>
      <x:c r="K3130" s="48" t="str">
        <x:v>Yes</x:v>
      </x:c>
      <x:c r="L3130" s="48" t="str">
        <x:v>OCR</x:v>
      </x:c>
    </x:row>
    <x:row r="3131">
      <x:c r="A3131" s="48" t="str">
        <x:v>UNI-3130</x:v>
      </x:c>
      <x:c r="B3131" s="48" t="str">
        <x:v>SILVER</x:v>
      </x:c>
      <x:c r="C3131" s="48" t="str">
        <x:v>Indonesian</x:v>
      </x:c>
      <x:c r="D3131" s="48" t="n">
        <x:v>71</x:v>
      </x:c>
      <x:c r="E3131" s="48" t="str"/>
      <x:c r="F3131" s="48" t="str">
        <x:v>Semu emisi Kerak Pata mena em Gran bada</x:v>
      </x:c>
      <x:c r="G3131" s="48" t="str">
        <x:v>Obligation</x:v>
      </x:c>
      <x:c r="H3131" s="48" t="str">
        <x:v>Shared</x:v>
      </x:c>
      <x:c r="I3131" s="48" t="n">
        <x:v>0.45</x:v>
      </x:c>
      <x:c r="J3131" s="48" t="n">
        <x:v>0.4</x:v>
      </x:c>
      <x:c r="K3131" s="48" t="str">
        <x:v>Yes</x:v>
      </x:c>
      <x:c r="L3131" s="48" t="str">
        <x:v>OCR</x:v>
      </x:c>
    </x:row>
    <x:row r="3132">
      <x:c r="A3132" s="48" t="str">
        <x:v>UNI-3131</x:v>
      </x:c>
      <x:c r="B3132" s="48" t="str">
        <x:v>SILVER</x:v>
      </x:c>
      <x:c r="C3132" s="48" t="str">
        <x:v>Indonesian</x:v>
      </x:c>
      <x:c r="D3132" s="48" t="n">
        <x:v>71</x:v>
      </x:c>
      <x:c r="E3132" s="48" t="str"/>
      <x:c r="F3132" s="48" t="str">
        <x:v>1063 Pauntn Pwejan din Perntan Prman Konate Tuna abaya ti ran So Kagada 15 Lrslax Pemutaran can</x:v>
      </x:c>
      <x:c r="G3132" s="48" t="str">
        <x:v>Obligation</x:v>
      </x:c>
      <x:c r="H3132" s="48" t="str">
        <x:v>Shared</x:v>
      </x:c>
      <x:c r="I3132" s="48" t="n">
        <x:v>0.45</x:v>
      </x:c>
      <x:c r="J3132" s="48" t="n">
        <x:v>0.4</x:v>
      </x:c>
      <x:c r="K3132" s="48" t="str">
        <x:v>Yes</x:v>
      </x:c>
      <x:c r="L3132" s="48" t="str">
        <x:v>OCR</x:v>
      </x:c>
    </x:row>
    <x:row r="3133">
      <x:c r="A3133" s="48" t="str">
        <x:v>UNI-3132</x:v>
      </x:c>
      <x:c r="B3133" s="48" t="str">
        <x:v>SILVER</x:v>
      </x:c>
      <x:c r="C3133" s="48" t="str">
        <x:v>Indonesian</x:v>
      </x:c>
      <x:c r="D3133" s="48" t="n">
        <x:v>71</x:v>
      </x:c>
      <x:c r="E3133" s="48" t="str"/>
      <x:c r="F3133" s="48" t="str">
        <x:v>Pembesar</x:v>
      </x:c>
      <x:c r="G3133" s="48" t="str">
        <x:v>Obligation</x:v>
      </x:c>
      <x:c r="H3133" s="48" t="str">
        <x:v>Shared</x:v>
      </x:c>
      <x:c r="I3133" s="48" t="n">
        <x:v>0.45</x:v>
      </x:c>
      <x:c r="J3133" s="48" t="n">
        <x:v>0.4</x:v>
      </x:c>
      <x:c r="K3133" s="48" t="str">
        <x:v>Yes</x:v>
      </x:c>
      <x:c r="L3133" s="48" t="str">
        <x:v>OCR</x:v>
      </x:c>
    </x:row>
    <x:row r="3134">
      <x:c r="A3134" s="48" t="str">
        <x:v>UNI-3133</x:v>
      </x:c>
      <x:c r="B3134" s="48" t="str">
        <x:v>SILVER</x:v>
      </x:c>
      <x:c r="C3134" s="48" t="str">
        <x:v>Indonesian</x:v>
      </x:c>
      <x:c r="D3134" s="48" t="n">
        <x:v>71</x:v>
      </x:c>
      <x:c r="E3134" s="48" t="str"/>
      <x:c r="F3134" s="48" t="str">
        <x:v>No oma srt</x:v>
      </x:c>
      <x:c r="G3134" s="48" t="str">
        <x:v>Obligation</x:v>
      </x:c>
      <x:c r="H3134" s="48" t="str">
        <x:v>Shared</x:v>
      </x:c>
      <x:c r="I3134" s="48" t="n">
        <x:v>0.45</x:v>
      </x:c>
      <x:c r="J3134" s="48" t="n">
        <x:v>0.4</x:v>
      </x:c>
      <x:c r="K3134" s="48" t="str">
        <x:v>Yes</x:v>
      </x:c>
      <x:c r="L3134" s="48" t="str">
        <x:v>OCR</x:v>
      </x:c>
    </x:row>
    <x:row r="3135">
      <x:c r="A3135" s="48" t="str">
        <x:v>UNI-3134</x:v>
      </x:c>
      <x:c r="B3135" s="48" t="str">
        <x:v>SILVER</x:v>
      </x:c>
      <x:c r="C3135" s="48" t="str">
        <x:v>Indonesian</x:v>
      </x:c>
      <x:c r="D3135" s="48" t="n">
        <x:v>71</x:v>
      </x:c>
      <x:c r="E3135" s="48" t="str"/>
      <x:c r="F3135" s="48" t="str">
        <x:v>Mak Kontan</x:v>
      </x:c>
      <x:c r="G3135" s="48" t="str">
        <x:v>Obligation</x:v>
      </x:c>
      <x:c r="H3135" s="48" t="str">
        <x:v>Shared</x:v>
      </x:c>
      <x:c r="I3135" s="48" t="n">
        <x:v>0.45</x:v>
      </x:c>
      <x:c r="J3135" s="48" t="n">
        <x:v>0.4</x:v>
      </x:c>
      <x:c r="K3135" s="48" t="str">
        <x:v>Yes</x:v>
      </x:c>
      <x:c r="L3135" s="48" t="str">
        <x:v>OCR</x:v>
      </x:c>
    </x:row>
    <x:row r="3136">
      <x:c r="A3136" s="48" t="str">
        <x:v>UNI-3135</x:v>
      </x:c>
      <x:c r="B3136" s="48" t="str">
        <x:v>SILVER</x:v>
      </x:c>
      <x:c r="C3136" s="48" t="str">
        <x:v>Indonesian</x:v>
      </x:c>
      <x:c r="D3136" s="48" t="n">
        <x:v>71</x:v>
      </x:c>
      <x:c r="E3136" s="48" t="str"/>
      <x:c r="F3136" s="48" t="str">
        <x:v>“ea Mongratian</x:v>
      </x:c>
      <x:c r="G3136" s="48" t="str">
        <x:v>Obligation</x:v>
      </x:c>
      <x:c r="H3136" s="48" t="str">
        <x:v>Shared</x:v>
      </x:c>
      <x:c r="I3136" s="48" t="n">
        <x:v>0.45</x:v>
      </x:c>
      <x:c r="J3136" s="48" t="n">
        <x:v>0.4</x:v>
      </x:c>
      <x:c r="K3136" s="48" t="str">
        <x:v>Yes</x:v>
      </x:c>
      <x:c r="L3136" s="48" t="str">
        <x:v>OCR</x:v>
      </x:c>
    </x:row>
    <x:row r="3137">
      <x:c r="A3137" s="48" t="str">
        <x:v>UNI-3136</x:v>
      </x:c>
      <x:c r="B3137" s="48" t="str">
        <x:v>SILVER</x:v>
      </x:c>
      <x:c r="C3137" s="48" t="str">
        <x:v>Indonesian</x:v>
      </x:c>
      <x:c r="D3137" s="48" t="n">
        <x:v>71</x:v>
      </x:c>
      <x:c r="E3137" s="48" t="str"/>
      <x:c r="F3137" s="48" t="str">
        <x:v>PEMPEGITKANBELLAKMETENNN SA KAM APrgasnkgan</x:v>
      </x:c>
      <x:c r="G3137" s="48" t="str">
        <x:v>Obligation</x:v>
      </x:c>
      <x:c r="H3137" s="48" t="str">
        <x:v>Shared</x:v>
      </x:c>
      <x:c r="I3137" s="48" t="n">
        <x:v>0.45</x:v>
      </x:c>
      <x:c r="J3137" s="48" t="n">
        <x:v>0.4</x:v>
      </x:c>
      <x:c r="K3137" s="48" t="str">
        <x:v>Yes</x:v>
      </x:c>
      <x:c r="L3137" s="48" t="str">
        <x:v>OCR</x:v>
      </x:c>
    </x:row>
    <x:row r="3138">
      <x:c r="A3138" s="48" t="str">
        <x:v>UNI-3137</x:v>
      </x:c>
      <x:c r="B3138" s="48" t="str">
        <x:v>SILVER</x:v>
      </x:c>
      <x:c r="C3138" s="48" t="str">
        <x:v>Indonesian</x:v>
      </x:c>
      <x:c r="D3138" s="48" t="n">
        <x:v>71</x:v>
      </x:c>
      <x:c r="E3138" s="48" t="str"/>
      <x:c r="F3138" s="48" t="str">
        <x:v>Prgara sd sai Samin 167 Iheay Arbani Krnatr ea kkn manarvakan pertataan Sk org Omi 2 Pat ee Arga .X mergurkan pekan bts mentan can pkai te Gan</x:v>
      </x:c>
      <x:c r="G3138" s="48" t="str">
        <x:v>Obligation</x:v>
      </x:c>
      <x:c r="H3138" s="48" t="str">
        <x:v>Shared</x:v>
      </x:c>
      <x:c r="I3138" s="48" t="n">
        <x:v>0.45</x:v>
      </x:c>
      <x:c r="J3138" s="48" t="n">
        <x:v>0.4</x:v>
      </x:c>
      <x:c r="K3138" s="48" t="str">
        <x:v>Yes</x:v>
      </x:c>
      <x:c r="L3138" s="48" t="str">
        <x:v>OCR</x:v>
      </x:c>
    </x:row>
    <x:row r="3139">
      <x:c r="A3139" s="48" t="str">
        <x:v>UNI-3138</x:v>
      </x:c>
      <x:c r="B3139" s="48" t="str">
        <x:v>SILVER</x:v>
      </x:c>
      <x:c r="C3139" s="48" t="str">
        <x:v>Indonesian</x:v>
      </x:c>
      <x:c r="D3139" s="48" t="n">
        <x:v>71</x:v>
      </x:c>
      <x:c r="E3139" s="48" t="str"/>
      <x:c r="F3139" s="48" t="str">
        <x:v>Dag KN mar Da yang Ga Ga at pentn bin</x:v>
      </x:c>
      <x:c r="G3139" s="48" t="str">
        <x:v>Obligation</x:v>
      </x:c>
      <x:c r="H3139" s="48" t="str">
        <x:v>Shared</x:v>
      </x:c>
      <x:c r="I3139" s="48" t="n">
        <x:v>0.45</x:v>
      </x:c>
      <x:c r="J3139" s="48" t="n">
        <x:v>0.4</x:v>
      </x:c>
      <x:c r="K3139" s="48" t="str">
        <x:v>Yes</x:v>
      </x:c>
      <x:c r="L3139" s="48" t="str">
        <x:v>OCR</x:v>
      </x:c>
    </x:row>
    <x:row r="3140">
      <x:c r="A3140" s="48" t="str">
        <x:v>UNI-3139</x:v>
      </x:c>
      <x:c r="B3140" s="48" t="str">
        <x:v>SILVER</x:v>
      </x:c>
      <x:c r="C3140" s="48" t="str">
        <x:v>Indonesian</x:v>
      </x:c>
      <x:c r="D3140" s="48" t="n">
        <x:v>71</x:v>
      </x:c>
      <x:c r="E3140" s="48" t="str"/>
      <x:c r="F3140" s="48" t="str">
        <x:v>IMInp3 an eagunwu dnelaan km ertetanan Tekken tas Lk mean ea das ba br becwatan SD.</x:v>
      </x:c>
      <x:c r="G3140" s="48" t="str">
        <x:v>Obligation</x:v>
      </x:c>
      <x:c r="H3140" s="48" t="str">
        <x:v>Shared</x:v>
      </x:c>
      <x:c r="I3140" s="48" t="n">
        <x:v>0.45</x:v>
      </x:c>
      <x:c r="J3140" s="48" t="n">
        <x:v>0.4</x:v>
      </x:c>
      <x:c r="K3140" s="48" t="str">
        <x:v>Yes</x:v>
      </x:c>
      <x:c r="L3140" s="48" t="str">
        <x:v>OCR</x:v>
      </x:c>
    </x:row>
    <x:row r="3141">
      <x:c r="A3141" s="48" t="str">
        <x:v>UNI-3140</x:v>
      </x:c>
      <x:c r="B3141" s="48" t="str">
        <x:v>SILVER</x:v>
      </x:c>
      <x:c r="C3141" s="48" t="str">
        <x:v>Indonesian</x:v>
      </x:c>
      <x:c r="D3141" s="48" t="n">
        <x:v>71</x:v>
      </x:c>
      <x:c r="E3141" s="48" t="str"/>
      <x:c r="F3141" s="48" t="str">
        <x:v>Wana 148 Patront Serta ce pemuaa becatan Sl kada “og pemuamekn eren</x:v>
      </x:c>
      <x:c r="G3141" s="48" t="str">
        <x:v>Obligation</x:v>
      </x:c>
      <x:c r="H3141" s="48" t="str">
        <x:v>Shared</x:v>
      </x:c>
      <x:c r="I3141" s="48" t="n">
        <x:v>0.45</x:v>
      </x:c>
      <x:c r="J3141" s="48" t="n">
        <x:v>0.4</x:v>
      </x:c>
      <x:c r="K3141" s="48" t="str">
        <x:v>Yes</x:v>
      </x:c>
      <x:c r="L3141" s="48" t="str">
        <x:v>OCR</x:v>
      </x:c>
    </x:row>
    <x:row r="3142">
      <x:c r="A3142" s="48" t="str">
        <x:v>UNI-3141</x:v>
      </x:c>
      <x:c r="B3142" s="48" t="str">
        <x:v>SILVER</x:v>
      </x:c>
      <x:c r="C3142" s="48" t="str">
        <x:v>Indonesian</x:v>
      </x:c>
      <x:c r="D3142" s="48" t="n">
        <x:v>72</x:v>
      </x:c>
      <x:c r="E3142" s="48" t="str"/>
      <x:c r="F3142" s="48" t="str">
        <x:v>pon en Pemutaan</x:v>
      </x:c>
      <x:c r="G3142" s="48" t="str">
        <x:v>Obligation</x:v>
      </x:c>
      <x:c r="H3142" s="48" t="str">
        <x:v>Shared</x:v>
      </x:c>
      <x:c r="I3142" s="48" t="n">
        <x:v>0.45</x:v>
      </x:c>
      <x:c r="J3142" s="48" t="n">
        <x:v>0.4</x:v>
      </x:c>
      <x:c r="K3142" s="48" t="str">
        <x:v>Yes</x:v>
      </x:c>
      <x:c r="L3142" s="48" t="str">
        <x:v>OCR</x:v>
      </x:c>
    </x:row>
    <x:row r="3143">
      <x:c r="A3143" s="48" t="str">
        <x:v>UNI-3142</x:v>
      </x:c>
      <x:c r="B3143" s="48" t="str">
        <x:v>SILVER</x:v>
      </x:c>
      <x:c r="C3143" s="48" t="str">
        <x:v>Indonesian</x:v>
      </x:c>
      <x:c r="D3143" s="48" t="n">
        <x:v>73</x:v>
      </x:c>
      <x:c r="E3143" s="48" t="str"/>
      <x:c r="F3143" s="48" t="str">
        <x:v>Redko gan Tanggungjawab</x:v>
      </x:c>
      <x:c r="G3143" s="48" t="str">
        <x:v>Obligation</x:v>
      </x:c>
      <x:c r="H3143" s="48" t="str">
        <x:v>Shared</x:v>
      </x:c>
      <x:c r="I3143" s="48" t="n">
        <x:v>0.45</x:v>
      </x:c>
      <x:c r="J3143" s="48" t="n">
        <x:v>0.4</x:v>
      </x:c>
      <x:c r="K3143" s="48" t="str">
        <x:v>Yes</x:v>
      </x:c>
      <x:c r="L3143" s="48" t="str">
        <x:v>OCR</x:v>
      </x:c>
    </x:row>
    <x:row r="3144">
      <x:c r="A3144" s="48" t="str">
        <x:v>UNI-3143</x:v>
      </x:c>
      <x:c r="B3144" s="48" t="str">
        <x:v>SILVER</x:v>
      </x:c>
      <x:c r="C3144" s="48" t="str">
        <x:v>Indonesian</x:v>
      </x:c>
      <x:c r="D3144" s="48" t="n">
        <x:v>73</x:v>
      </x:c>
      <x:c r="E3144" s="48" t="str"/>
      <x:c r="F3144" s="48" t="str">
        <x:v>Pembatan Gan Rugi Kanak tara menbekan Bi Ng An menang PMT aa Peagil</x:v>
      </x:c>
      <x:c r="G3144" s="48" t="str">
        <x:v>Obligation</x:v>
      </x:c>
      <x:c r="H3144" s="48" t="str">
        <x:v>Shared</x:v>
      </x:c>
      <x:c r="I3144" s="48" t="n">
        <x:v>0.45</x:v>
      </x:c>
      <x:c r="J3144" s="48" t="n">
        <x:v>0.4</x:v>
      </x:c>
      <x:c r="K3144" s="48" t="str">
        <x:v>Yes</x:v>
      </x:c>
      <x:c r="L3144" s="48" t="str">
        <x:v>OCR</x:v>
      </x:c>
    </x:row>
    <x:row r="3145">
      <x:c r="A3145" s="48" t="str">
        <x:v>UNI-3144</x:v>
      </x:c>
      <x:c r="B3145" s="48" t="str">
        <x:v>SILVER</x:v>
      </x:c>
      <x:c r="C3145" s="48" t="str">
        <x:v>Indonesian</x:v>
      </x:c>
      <x:c r="D3145" s="48" t="n">
        <x:v>73</x:v>
      </x:c>
      <x:c r="E3145" s="48" t="str"/>
      <x:c r="F3145" s="48" t="str">
        <x:v>(ega Jaa Oa ed mera mesng muara tetep Gan dosa Ham.</x:v>
      </x:c>
      <x:c r="G3145" s="48" t="str">
        <x:v>Obligation</x:v>
      </x:c>
      <x:c r="H3145" s="48" t="str">
        <x:v>Shared</x:v>
      </x:c>
      <x:c r="I3145" s="48" t="n">
        <x:v>0.45</x:v>
      </x:c>
      <x:c r="J3145" s="48" t="n">
        <x:v>0.4</x:v>
      </x:c>
      <x:c r="K3145" s="48" t="str">
        <x:v>Yes</x:v>
      </x:c>
      <x:c r="L3145" s="48" t="str">
        <x:v>OCR</x:v>
      </x:c>
    </x:row>
    <x:row r="3146">
      <x:c r="A3146" s="48" t="str">
        <x:v>UNI-3145</x:v>
      </x:c>
      <x:c r="B3146" s="48" t="str">
        <x:v>SILVER</x:v>
      </x:c>
      <x:c r="C3146" s="48" t="str">
        <x:v>Indonesian</x:v>
      </x:c>
      <x:c r="D3146" s="48" t="n">
        <x:v>73</x:v>
      </x:c>
      <x:c r="E3146" s="48" t="str"/>
      <x:c r="F3146" s="48" t="str">
        <x:v>Gedangan dngn bemeai band opa nara teraan</x:v>
      </x:c>
      <x:c r="G3146" s="48" t="str">
        <x:v>Obligation</x:v>
      </x:c>
      <x:c r="H3146" s="48" t="str">
        <x:v>Shared</x:v>
      </x:c>
      <x:c r="I3146" s="48" t="n">
        <x:v>0.45</x:v>
      </x:c>
      <x:c r="J3146" s="48" t="n">
        <x:v>0.4</x:v>
      </x:c>
      <x:c r="K3146" s="48" t="str">
        <x:v>Yes</x:v>
      </x:c>
      <x:c r="L3146" s="48" t="str">
        <x:v>OCR</x:v>
      </x:c>
    </x:row>
    <x:row r="3147">
      <x:c r="A3147" s="48" t="str">
        <x:v>UNI-3146</x:v>
      </x:c>
      <x:c r="B3147" s="48" t="str">
        <x:v>SILVER</x:v>
      </x:c>
      <x:c r="C3147" s="48" t="str">
        <x:v>Indonesian</x:v>
      </x:c>
      <x:c r="D3147" s="48" t="n">
        <x:v>73</x:v>
      </x:c>
      <x:c r="E3147" s="48" t="str"/>
      <x:c r="F3147" s="48" t="str">
        <x:v>It, en Wan ban aer anu Get ls Gakan</x:v>
      </x:c>
      <x:c r="G3147" s="48" t="str">
        <x:v>Obligation</x:v>
      </x:c>
      <x:c r="H3147" s="48" t="str">
        <x:v>Shared</x:v>
      </x:c>
      <x:c r="I3147" s="48" t="n">
        <x:v>0.45</x:v>
      </x:c>
      <x:c r="J3147" s="48" t="n">
        <x:v>0.4</x:v>
      </x:c>
      <x:c r="K3147" s="48" t="str">
        <x:v>Yes</x:v>
      </x:c>
      <x:c r="L3147" s="48" t="str">
        <x:v>OCR</x:v>
      </x:c>
    </x:row>
    <x:row r="3148">
      <x:c r="A3148" s="48" t="str">
        <x:v>UNI-3147</x:v>
      </x:c>
      <x:c r="B3148" s="48" t="str">
        <x:v>SILVER</x:v>
      </x:c>
      <x:c r="C3148" s="48" t="str">
        <x:v>Indonesian</x:v>
      </x:c>
      <x:c r="D3148" s="48" t="n">
        <x:v>73</x:v>
      </x:c>
      <x:c r="E3148" s="48" t="str"/>
      <x:c r="F3148" s="48" t="str">
        <x:v>Dearan di bet oa, pebaram c edan etpan sr</x:v>
      </x:c>
      <x:c r="G3148" s="48" t="str">
        <x:v>Obligation</x:v>
      </x:c>
      <x:c r="H3148" s="48" t="str">
        <x:v>Shared</x:v>
      </x:c>
      <x:c r="I3148" s="48" t="n">
        <x:v>0.45</x:v>
      </x:c>
      <x:c r="J3148" s="48" t="n">
        <x:v>0.4</x:v>
      </x:c>
      <x:c r="K3148" s="48" t="str">
        <x:v>Yes</x:v>
      </x:c>
      <x:c r="L3148" s="48" t="str">
        <x:v>OCR</x:v>
      </x:c>
    </x:row>
    <x:row r="3149">
      <x:c r="A3149" s="48" t="str">
        <x:v>UNI-3148</x:v>
      </x:c>
      <x:c r="B3149" s="48" t="str">
        <x:v>SILVER</x:v>
      </x:c>
      <x:c r="C3149" s="48" t="str">
        <x:v>Indonesian</x:v>
      </x:c>
      <x:c r="D3149" s="48" t="n">
        <x:v>73</x:v>
      </x:c>
      <x:c r="E3149" s="48" t="str"/>
      <x:c r="F3149" s="48" t="str">
        <x:v>mba De Tt lc yg erdutan ON Haa, maros as peroguan Kota den Prgara daa Poso Praya Ja sa</x:v>
      </x:c>
      <x:c r="G3149" s="48" t="str">
        <x:v>Obligation</x:v>
      </x:c>
      <x:c r="H3149" s="48" t="str">
        <x:v>Shared</x:v>
      </x:c>
      <x:c r="I3149" s="48" t="n">
        <x:v>0.45</x:v>
      </x:c>
      <x:c r="J3149" s="48" t="n">
        <x:v>0.4</x:v>
      </x:c>
      <x:c r="K3149" s="48" t="str">
        <x:v>Yes</x:v>
      </x:c>
      <x:c r="L3149" s="48" t="str">
        <x:v>OCR</x:v>
      </x:c>
    </x:row>
    <x:row r="3150">
      <x:c r="A3150" s="48" t="str">
        <x:v>UNI-3149</x:v>
      </x:c>
      <x:c r="B3150" s="48" t="str">
        <x:v>SILVER</x:v>
      </x:c>
      <x:c r="C3150" s="48" t="str">
        <x:v>Indonesian</x:v>
      </x:c>
      <x:c r="D3150" s="48" t="n">
        <x:v>73</x:v>
      </x:c>
      <x:c r="E3150" s="48" t="str"/>
      <x:c r="F3150" s="48" t="str">
        <x:v>Dena Mamasa car</x:v>
      </x:c>
      <x:c r="G3150" s="48" t="str">
        <x:v>Obligation</x:v>
      </x:c>
      <x:c r="H3150" s="48" t="str">
        <x:v>Shared</x:v>
      </x:c>
      <x:c r="I3150" s="48" t="n">
        <x:v>0.45</x:v>
      </x:c>
      <x:c r="J3150" s="48" t="n">
        <x:v>0.4</x:v>
      </x:c>
      <x:c r="K3150" s="48" t="str">
        <x:v>Yes</x:v>
      </x:c>
      <x:c r="L3150" s="48" t="str">
        <x:v>OCR</x:v>
      </x:c>
    </x:row>
    <x:row r="3151">
      <x:c r="A3151" s="48" t="str">
        <x:v>UNI-3150</x:v>
      </x:c>
      <x:c r="B3151" s="48" t="str">
        <x:v>SILVER</x:v>
      </x:c>
      <x:c r="C3151" s="48" t="str">
        <x:v>Indonesian</x:v>
      </x:c>
      <x:c r="D3151" s="48" t="n">
        <x:v>73</x:v>
      </x:c>
      <x:c r="E3151" s="48" t="str"/>
      <x:c r="F3151" s="48" t="str">
        <x:v>(Matan aa lara Tata Dera bong Kk bego as brng (ra maan man! mena setan ea era er @ euoutaassampssuransauOrtetanoenean pksaran kar Puma Me Detak rm (tak Setan On Isa, Iecogaan li peran Karma (kn Pergara Ia ifa aa seorg ang ena asastaktroara cosoman aa reva.</x:v>
      </x:c>
      <x:c r="G3151" s="48" t="str">
        <x:v>Obligation</x:v>
      </x:c>
      <x:c r="H3151" s="48" t="str">
        <x:v>Shared</x:v>
      </x:c>
      <x:c r="I3151" s="48" t="n">
        <x:v>0.45</x:v>
      </x:c>
      <x:c r="J3151" s="48" t="n">
        <x:v>0.4</x:v>
      </x:c>
      <x:c r="K3151" s="48" t="str">
        <x:v>Yes</x:v>
      </x:c>
      <x:c r="L3151" s="48" t="str">
        <x:v>OCR</x:v>
      </x:c>
    </x:row>
    <x:row r="3152">
      <x:c r="A3152" s="48" t="str">
        <x:v>UNI-3151</x:v>
      </x:c>
      <x:c r="B3152" s="48" t="str">
        <x:v>SILVER</x:v>
      </x:c>
      <x:c r="C3152" s="48" t="str">
        <x:v>Indonesian</x:v>
      </x:c>
      <x:c r="D3152" s="48" t="n">
        <x:v>73</x:v>
      </x:c>
      <x:c r="E3152" s="48" t="str"/>
      <x:c r="F3152" s="48" t="str">
        <x:v>Perma Ina tata merbetan Ori 1g Gn menang Kwan, Pesoi Keenan ane mera Mr rn aa Gn Ba ama kam.</x:v>
      </x:c>
      <x:c r="G3152" s="48" t="str">
        <x:v>Obligation</x:v>
      </x:c>
      <x:c r="H3152" s="48" t="str">
        <x:v>Shared</x:v>
      </x:c>
      <x:c r="I3152" s="48" t="n">
        <x:v>0.45</x:v>
      </x:c>
      <x:c r="J3152" s="48" t="n">
        <x:v>0.4</x:v>
      </x:c>
      <x:c r="K3152" s="48" t="str">
        <x:v>Yes</x:v>
      </x:c>
      <x:c r="L3152" s="48" t="str">
        <x:v>OCR</x:v>
      </x:c>
    </x:row>
    <x:row r="3153">
      <x:c r="A3153" s="48" t="str">
        <x:v>UNI-3152</x:v>
      </x:c>
      <x:c r="B3153" s="48" t="str">
        <x:v>SILVER</x:v>
      </x:c>
      <x:c r="C3153" s="48" t="str">
        <x:v>Indonesian</x:v>
      </x:c>
      <x:c r="D3153" s="48" t="n">
        <x:v>73</x:v>
      </x:c>
      <x:c r="E3153" s="48" t="str"/>
      <x:c r="F3153" s="48" t="str">
        <x:v>Oa. hang Gin Drg Menaak San Gin Gios Karin eter ke (1 Mate.ot penaitamyaratan erodetatan ente losronan (at percouan Kor dan Prgara sasa Pon Arya Jaa Ba</x:v>
      </x:c>
      <x:c r="G3153" s="48" t="str">
        <x:v>Obligation</x:v>
      </x:c>
      <x:c r="H3153" s="48" t="str">
        <x:v>Shared</x:v>
      </x:c>
      <x:c r="I3153" s="48" t="n">
        <x:v>0.45</x:v>
      </x:c>
      <x:c r="J3153" s="48" t="n">
        <x:v>0.4</x:v>
      </x:c>
      <x:c r="K3153" s="48" t="str">
        <x:v>Yes</x:v>
      </x:c>
      <x:c r="L3153" s="48" t="str">
        <x:v>OCR</x:v>
      </x:c>
    </x:row>
    <x:row r="3154">
      <x:c r="A3154" s="48" t="str">
        <x:v>UNI-3153</x:v>
      </x:c>
      <x:c r="B3154" s="48" t="str">
        <x:v>SILVER</x:v>
      </x:c>
      <x:c r="C3154" s="48" t="str">
        <x:v>Indonesian</x:v>
      </x:c>
      <x:c r="D3154" s="48" t="n">
        <x:v>73</x:v>
      </x:c>
      <x:c r="E3154" s="48" t="str"/>
      <x:c r="F3154" s="48" t="str">
        <x:v>Aa meunanamara dn</x:v>
      </x:c>
      <x:c r="G3154" s="48" t="str">
        <x:v>Obligation</x:v>
      </x:c>
      <x:c r="H3154" s="48" t="str">
        <x:v>Shared</x:v>
      </x:c>
      <x:c r="I3154" s="48" t="n">
        <x:v>0.45</x:v>
      </x:c>
      <x:c r="J3154" s="48" t="n">
        <x:v>0.4</x:v>
      </x:c>
      <x:c r="K3154" s="48" t="str">
        <x:v>Yes</x:v>
      </x:c>
      <x:c r="L3154" s="48" t="str">
        <x:v>OCR</x:v>
      </x:c>
    </x:row>
    <x:row r="3155">
      <x:c r="A3155" s="48" t="str">
        <x:v>UNI-3154</x:v>
      </x:c>
      <x:c r="B3155" s="48" t="str">
        <x:v>SILVER</x:v>
      </x:c>
      <x:c r="C3155" s="48" t="str">
        <x:v>Indonesian</x:v>
      </x:c>
      <x:c r="D3155" s="48" t="n">
        <x:v>73</x:v>
      </x:c>
      <x:c r="E3155" s="48" t="str"/>
      <x:c r="F3155" s="48" t="str">
        <x:v>Gt Pata yag petrogroana man lak berak Gde sur,</x:v>
      </x:c>
      <x:c r="G3155" s="48" t="str">
        <x:v>Obligation</x:v>
      </x:c>
      <x:c r="H3155" s="48" t="str">
        <x:v>Shared</x:v>
      </x:c>
      <x:c r="I3155" s="48" t="n">
        <x:v>0.45</x:v>
      </x:c>
      <x:c r="J3155" s="48" t="n">
        <x:v>0.4</x:v>
      </x:c>
      <x:c r="K3155" s="48" t="str">
        <x:v>Yes</x:v>
      </x:c>
      <x:c r="L3155" s="48" t="str">
        <x:v>OCR</x:v>
      </x:c>
    </x:row>
    <x:row r="3156">
      <x:c r="A3156" s="48" t="str">
        <x:v>UNI-3155</x:v>
      </x:c>
      <x:c r="B3156" s="48" t="str">
        <x:v>SILVER</x:v>
      </x:c>
      <x:c r="C3156" s="48" t="str">
        <x:v>Indonesian</x:v>
      </x:c>
      <x:c r="D3156" s="48" t="n">
        <x:v>73</x:v>
      </x:c>
      <x:c r="E3156" s="48" t="str"/>
      <x:c r="F3156" s="48" t="str">
        <x:v>Sekagarra ryaan Gan pa HO at Sergai</x:v>
      </x:c>
      <x:c r="G3156" s="48" t="str">
        <x:v>Obligation</x:v>
      </x:c>
      <x:c r="H3156" s="48" t="str">
        <x:v>Shared</x:v>
      </x:c>
      <x:c r="I3156" s="48" t="n">
        <x:v>0.45</x:v>
      </x:c>
      <x:c r="J3156" s="48" t="n">
        <x:v>0.4</x:v>
      </x:c>
      <x:c r="K3156" s="48" t="str">
        <x:v>Yes</x:v>
      </x:c>
      <x:c r="L3156" s="48" t="str">
        <x:v>OCR</x:v>
      </x:c>
    </x:row>
    <x:row r="3157">
      <x:c r="A3157" s="48" t="str">
        <x:v>UNI-3156</x:v>
      </x:c>
      <x:c r="B3157" s="48" t="str">
        <x:v>SILVER</x:v>
      </x:c>
      <x:c r="C3157" s="48" t="str">
        <x:v>Indonesian</x:v>
      </x:c>
      <x:c r="D3157" s="48" t="n">
        <x:v>73</x:v>
      </x:c>
      <x:c r="E3157" s="48" t="str"/>
      <x:c r="F3157" s="48" t="str">
        <x:v>“ra net Kcetaen Ltd Katakan Peru Berat</x:v>
      </x:c>
      <x:c r="G3157" s="48" t="str">
        <x:v>Obligation</x:v>
      </x:c>
      <x:c r="H3157" s="48" t="str">
        <x:v>Shared</x:v>
      </x:c>
      <x:c r="I3157" s="48" t="n">
        <x:v>0.45</x:v>
      </x:c>
      <x:c r="J3157" s="48" t="n">
        <x:v>0.4</x:v>
      </x:c>
      <x:c r="K3157" s="48" t="str">
        <x:v>Yes</x:v>
      </x:c>
      <x:c r="L3157" s="48" t="str">
        <x:v>OCR</x:v>
      </x:c>
    </x:row>
    <x:row r="3158">
      <x:c r="A3158" s="48" t="str">
        <x:v>UNI-3157</x:v>
      </x:c>
      <x:c r="B3158" s="48" t="str">
        <x:v>SILVER</x:v>
      </x:c>
      <x:c r="C3158" s="48" t="str">
        <x:v>Indonesian</x:v>
      </x:c>
      <x:c r="D3158" s="48" t="n">
        <x:v>73</x:v>
      </x:c>
      <x:c r="E3158" s="48" t="str"/>
      <x:c r="F3158" s="48" t="str">
        <x:v>Pumetarsan Ter tanatetraga ngamen ga teneraan Par an ra</x:v>
      </x:c>
      <x:c r="G3158" s="48" t="str">
        <x:v>Obligation</x:v>
      </x:c>
      <x:c r="H3158" s="48" t="str">
        <x:v>Shared</x:v>
      </x:c>
      <x:c r="I3158" s="48" t="n">
        <x:v>0.45</x:v>
      </x:c>
      <x:c r="J3158" s="48" t="n">
        <x:v>0.4</x:v>
      </x:c>
      <x:c r="K3158" s="48" t="str">
        <x:v>Yes</x:v>
      </x:c>
      <x:c r="L3158" s="48" t="str">
        <x:v>OCR</x:v>
      </x:c>
    </x:row>
    <x:row r="3159">
      <x:c r="A3159" s="48" t="str">
        <x:v>UNI-3158</x:v>
      </x:c>
      <x:c r="B3159" s="48" t="str">
        <x:v>SILVER</x:v>
      </x:c>
      <x:c r="C3159" s="48" t="str">
        <x:v>Indonesian</x:v>
      </x:c>
      <x:c r="D3159" s="48" t="n">
        <x:v>73</x:v>
      </x:c>
      <x:c r="E3159" s="48" t="str"/>
      <x:c r="F3159" s="48" t="str">
        <x:v>para 3g apk Tr MM Par Prog Gbrya Bts Aan an ra</x:v>
      </x:c>
      <x:c r="G3159" s="48" t="str">
        <x:v>Obligation</x:v>
      </x:c>
      <x:c r="H3159" s="48" t="str">
        <x:v>Shared</x:v>
      </x:c>
      <x:c r="I3159" s="48" t="n">
        <x:v>0.45</x:v>
      </x:c>
      <x:c r="J3159" s="48" t="n">
        <x:v>0.4</x:v>
      </x:c>
      <x:c r="K3159" s="48" t="str">
        <x:v>Yes</x:v>
      </x:c>
      <x:c r="L3159" s="48" t="str">
        <x:v>OCR</x:v>
      </x:c>
    </x:row>
    <x:row r="3160">
      <x:c r="A3160" s="48" t="str">
        <x:v>UNI-3159</x:v>
      </x:c>
      <x:c r="B3160" s="48" t="str">
        <x:v>SILVER</x:v>
      </x:c>
      <x:c r="C3160" s="48" t="str">
        <x:v>Indonesian</x:v>
      </x:c>
      <x:c r="D3160" s="48" t="n">
        <x:v>73</x:v>
      </x:c>
      <x:c r="E3160" s="48" t="str"/>
      <x:c r="F3160" s="48" t="str">
        <x:v>Komar Par hiu er lan Batita meruu Sis Ka IIS ema</x:v>
      </x:c>
      <x:c r="G3160" s="48" t="str">
        <x:v>Obligation</x:v>
      </x:c>
      <x:c r="H3160" s="48" t="str">
        <x:v>Shared</x:v>
      </x:c>
      <x:c r="I3160" s="48" t="n">
        <x:v>0.45</x:v>
      </x:c>
      <x:c r="J3160" s="48" t="n">
        <x:v>0.4</x:v>
      </x:c>
      <x:c r="K3160" s="48" t="str">
        <x:v>Yes</x:v>
      </x:c>
      <x:c r="L3160" s="48" t="str">
        <x:v>OCR</x:v>
      </x:c>
    </x:row>
    <x:row r="3161">
      <x:c r="A3161" s="48" t="str">
        <x:v>UNI-3160</x:v>
      </x:c>
      <x:c r="B3161" s="48" t="str">
        <x:v>SILVER</x:v>
      </x:c>
      <x:c r="C3161" s="48" t="str">
        <x:v>Indonesian</x:v>
      </x:c>
      <x:c r="D3161" s="48" t="n">
        <x:v>73</x:v>
      </x:c>
      <x:c r="E3161" s="48" t="str"/>
      <x:c r="F3161" s="48" t="str">
        <x:v>Daan ikon Peran kebatrgargman erat ujan dan</x:v>
      </x:c>
      <x:c r="G3161" s="48" t="str">
        <x:v>Obligation</x:v>
      </x:c>
      <x:c r="H3161" s="48" t="str">
        <x:v>Shared</x:v>
      </x:c>
      <x:c r="I3161" s="48" t="n">
        <x:v>0.45</x:v>
      </x:c>
      <x:c r="J3161" s="48" t="n">
        <x:v>0.4</x:v>
      </x:c>
      <x:c r="K3161" s="48" t="str">
        <x:v>Yes</x:v>
      </x:c>
      <x:c r="L3161" s="48" t="str">
        <x:v>OCR</x:v>
      </x:c>
    </x:row>
    <x:row r="3162">
      <x:c r="A3162" s="48" t="str">
        <x:v>UNI-3161</x:v>
      </x:c>
      <x:c r="B3162" s="48" t="str">
        <x:v>SILVER</x:v>
      </x:c>
      <x:c r="C3162" s="48" t="str">
        <x:v>Indonesian</x:v>
      </x:c>
      <x:c r="D3162" s="48" t="n">
        <x:v>73</x:v>
      </x:c>
      <x:c r="E3162" s="48" t="str"/>
      <x:c r="F3162" s="48" t="str">
        <x:v>lari lp Peng ta Arta ot Oris Aca San Tora Gian (kn rpp an tk Lk Dn tgn Peran rogatdneh ea Band baga Pe Br nya Wan tarah ala ega mn ngan ben Ita Pras Jasa Ker an mangan “egardmeb perataan paman yr bikin asbes tra urgen (ian cam bt Aa Se Tema Mn pln er ok Sa</x:v>
      </x:c>
      <x:c r="G3162" s="48" t="str">
        <x:v>Obligation</x:v>
      </x:c>
      <x:c r="H3162" s="48" t="str">
        <x:v>Shared</x:v>
      </x:c>
      <x:c r="I3162" s="48" t="n">
        <x:v>0.45</x:v>
      </x:c>
      <x:c r="J3162" s="48" t="n">
        <x:v>0.4</x:v>
      </x:c>
      <x:c r="K3162" s="48" t="str">
        <x:v>Yes</x:v>
      </x:c>
      <x:c r="L3162" s="48" t="str">
        <x:v>OCR</x:v>
      </x:c>
    </x:row>
    <x:row r="3163">
      <x:c r="A3163" s="48" t="str">
        <x:v>UNI-3162</x:v>
      </x:c>
      <x:c r="B3163" s="48" t="str">
        <x:v>SILVER</x:v>
      </x:c>
      <x:c r="C3163" s="48" t="str">
        <x:v>Indonesian</x:v>
      </x:c>
      <x:c r="D3163" s="48" t="n">
        <x:v>74</x:v>
      </x:c>
      <x:c r="E3163" s="48" t="str"/>
      <x:c r="F3163" s="48" t="str">
        <x:v>PeRAngn hana esa Drg SnngaDhamen</x:v>
      </x:c>
      <x:c r="G3163" s="48" t="str">
        <x:v>Obligation</x:v>
      </x:c>
      <x:c r="H3163" s="48" t="str">
        <x:v>Shared</x:v>
      </x:c>
      <x:c r="I3163" s="48" t="n">
        <x:v>0.45</x:v>
      </x:c>
      <x:c r="J3163" s="48" t="n">
        <x:v>0.4</x:v>
      </x:c>
      <x:c r="K3163" s="48" t="str">
        <x:v>Yes</x:v>
      </x:c>
      <x:c r="L3163" s="48" t="str">
        <x:v>OCR</x:v>
      </x:c>
    </x:row>
    <x:row r="3164">
      <x:c r="A3164" s="48" t="str">
        <x:v>UNI-3163</x:v>
      </x:c>
      <x:c r="B3164" s="48" t="str">
        <x:v>SILVER</x:v>
      </x:c>
      <x:c r="C3164" s="48" t="str">
        <x:v>Indonesian</x:v>
      </x:c>
      <x:c r="D3164" s="48" t="n">
        <x:v>74</x:v>
      </x:c>
      <x:c r="E3164" s="48" t="str"/>
      <x:c r="F3164" s="48" t="str">
        <x:v>Kerak semar imra Kamar otr ab sa perebenarna.</x:v>
      </x:c>
      <x:c r="G3164" s="48" t="str">
        <x:v>Obligation</x:v>
      </x:c>
      <x:c r="H3164" s="48" t="str">
        <x:v>Shared</x:v>
      </x:c>
      <x:c r="I3164" s="48" t="n">
        <x:v>0.45</x:v>
      </x:c>
      <x:c r="J3164" s="48" t="n">
        <x:v>0.4</x:v>
      </x:c>
      <x:c r="K3164" s="48" t="str">
        <x:v>Yes</x:v>
      </x:c>
      <x:c r="L3164" s="48" t="str">
        <x:v>OCR</x:v>
      </x:c>
    </x:row>
    <x:row r="3165">
      <x:c r="A3165" s="48" t="str">
        <x:v>UNI-3164</x:v>
      </x:c>
      <x:c r="B3165" s="48" t="str">
        <x:v>SILVER</x:v>
      </x:c>
      <x:c r="C3165" s="48" t="str">
        <x:v>Indonesian</x:v>
      </x:c>
      <x:c r="D3165" s="48" t="n">
        <x:v>74</x:v>
      </x:c>
      <x:c r="E3165" s="48" t="str"/>
      <x:c r="F3165" s="48" t="str">
        <x:v>Dana seab jer Kok arm Gan Sion 13 P0 PU as Kerak tra mergarilaturon merata kanan gan baja. ame Kota, bovgga Pukan Brroasr Ga Dome Krn mud am ro ora. eren na erangan tenan yr dematan</x:v>
      </x:c>
      <x:c r="G3165" s="48" t="str">
        <x:v>Obligation</x:v>
      </x:c>
      <x:c r="H3165" s="48" t="str">
        <x:v>Shared</x:v>
      </x:c>
      <x:c r="I3165" s="48" t="n">
        <x:v>0.45</x:v>
      </x:c>
      <x:c r="J3165" s="48" t="n">
        <x:v>0.4</x:v>
      </x:c>
      <x:c r="K3165" s="48" t="str">
        <x:v>Yes</x:v>
      </x:c>
      <x:c r="L3165" s="48" t="str">
        <x:v>OCR</x:v>
      </x:c>
    </x:row>
    <x:row r="3166">
      <x:c r="A3166" s="48" t="str">
        <x:v>UNI-3165</x:v>
      </x:c>
      <x:c r="B3166" s="48" t="str">
        <x:v>SILVER</x:v>
      </x:c>
      <x:c r="C3166" s="48" t="str">
        <x:v>Indonesian</x:v>
      </x:c>
      <x:c r="D3166" s="48" t="n">
        <x:v>74</x:v>
      </x:c>
      <x:c r="E3166" s="48" t="str"/>
      <x:c r="F3166" s="48" t="str">
        <x:v>Sehtradan ar dklan ck rm san Gotarya Bal Dara tera</x:v>
      </x:c>
      <x:c r="G3166" s="48" t="str">
        <x:v>Obligation</x:v>
      </x:c>
      <x:c r="H3166" s="48" t="str">
        <x:v>Shared</x:v>
      </x:c>
      <x:c r="I3166" s="48" t="n">
        <x:v>0.45</x:v>
      </x:c>
      <x:c r="J3166" s="48" t="n">
        <x:v>0.4</x:v>
      </x:c>
      <x:c r="K3166" s="48" t="str">
        <x:v>Yes</x:v>
      </x:c>
      <x:c r="L3166" s="48" t="str">
        <x:v>OCR</x:v>
      </x:c>
    </x:row>
    <x:row r="3167">
      <x:c r="A3167" s="48" t="str">
        <x:v>UNI-3166</x:v>
      </x:c>
      <x:c r="B3167" s="48" t="str">
        <x:v>SILVER</x:v>
      </x:c>
      <x:c r="C3167" s="48" t="str">
        <x:v>Indonesian</x:v>
      </x:c>
      <x:c r="D3167" s="48" t="n">
        <x:v>74</x:v>
      </x:c>
      <x:c r="E3167" s="48" t="str"/>
      <x:c r="F3167" s="48" t="str">
        <x:v>“Sean Ketat oarmus rrgar pub afgan ukk 1g pa se hara Sana Aca Se Tara da An</x:v>
      </x:c>
      <x:c r="G3167" s="48" t="str">
        <x:v>Obligation</x:v>
      </x:c>
      <x:c r="H3167" s="48" t="str">
        <x:v>Shared</x:v>
      </x:c>
      <x:c r="I3167" s="48" t="n">
        <x:v>0.45</x:v>
      </x:c>
      <x:c r="J3167" s="48" t="n">
        <x:v>0.4</x:v>
      </x:c>
      <x:c r="K3167" s="48" t="str">
        <x:v>Yes</x:v>
      </x:c>
      <x:c r="L3167" s="48" t="str">
        <x:v>OCR</x:v>
      </x:c>
    </x:row>
    <x:row r="3168">
      <x:c r="A3168" s="48" t="str">
        <x:v>UNI-3167</x:v>
      </x:c>
      <x:c r="B3168" s="48" t="str">
        <x:v>SILVER</x:v>
      </x:c>
      <x:c r="C3168" s="48" t="str">
        <x:v>Indonesian</x:v>
      </x:c>
      <x:c r="D3168" s="48" t="n">
        <x:v>74</x:v>
      </x:c>
      <x:c r="E3168" s="48" t="str"/>
      <x:c r="F3168" s="48" t="str">
        <x:v>Tahan starya yr mena Irgardawa Korsa</x:v>
      </x:c>
      <x:c r="G3168" s="48" t="str">
        <x:v>Obligation</x:v>
      </x:c>
      <x:c r="H3168" s="48" t="str">
        <x:v>Shared</x:v>
      </x:c>
      <x:c r="I3168" s="48" t="n">
        <x:v>0.45</x:v>
      </x:c>
      <x:c r="J3168" s="48" t="n">
        <x:v>0.4</x:v>
      </x:c>
      <x:c r="K3168" s="48" t="str">
        <x:v>Yes</x:v>
      </x:c>
      <x:c r="L3168" s="48" t="str">
        <x:v>OCR</x:v>
      </x:c>
    </x:row>
    <x:row r="3169">
      <x:c r="A3169" s="48" t="str">
        <x:v>UNI-3168</x:v>
      </x:c>
      <x:c r="B3169" s="48" t="str">
        <x:v>SILVER</x:v>
      </x:c>
      <x:c r="C3169" s="48" t="str">
        <x:v>Indonesian</x:v>
      </x:c>
      <x:c r="D3169" s="48" t="n">
        <x:v>74</x:v>
      </x:c>
      <x:c r="E3169" s="48" t="str"/>
      <x:c r="F3169" s="48" t="str">
        <x:v>Pesta Penggna ———PENOMNO OGAN AMAN TA 1 sewooetain bergastteeapenaun prlihss seOaman (1 perborrusan wrtame mek hrta kis md ergnekatan</x:v>
      </x:c>
      <x:c r="G3169" s="48" t="str">
        <x:v>Obligation</x:v>
      </x:c>
      <x:c r="H3169" s="48" t="str">
        <x:v>Shared</x:v>
      </x:c>
      <x:c r="I3169" s="48" t="n">
        <x:v>0.45</x:v>
      </x:c>
      <x:c r="J3169" s="48" t="n">
        <x:v>0.4</x:v>
      </x:c>
      <x:c r="K3169" s="48" t="str">
        <x:v>Yes</x:v>
      </x:c>
      <x:c r="L3169" s="48" t="str">
        <x:v>OCR</x:v>
      </x:c>
    </x:row>
    <x:row r="3170">
      <x:c r="A3170" s="48" t="str">
        <x:v>UNI-3169</x:v>
      </x:c>
      <x:c r="B3170" s="48" t="str">
        <x:v>SILVER</x:v>
      </x:c>
      <x:c r="C3170" s="48" t="str">
        <x:v>Indonesian</x:v>
      </x:c>
      <x:c r="D3170" s="48" t="n">
        <x:v>74</x:v>
      </x:c>
      <x:c r="E3170" s="48" t="str"/>
      <x:c r="F3170" s="48" t="str">
        <x:v>Ietasan aa pesrg obi Sctemwd Ino,</x:v>
      </x:c>
      <x:c r="G3170" s="48" t="str">
        <x:v>Obligation</x:v>
      </x:c>
      <x:c r="H3170" s="48" t="str">
        <x:v>Shared</x:v>
      </x:c>
      <x:c r="I3170" s="48" t="n">
        <x:v>0.45</x:v>
      </x:c>
      <x:c r="J3170" s="48" t="n">
        <x:v>0.4</x:v>
      </x:c>
      <x:c r="K3170" s="48" t="str">
        <x:v>Yes</x:v>
      </x:c>
      <x:c r="L3170" s="48" t="str">
        <x:v>OCR</x:v>
      </x:c>
    </x:row>
    <x:row r="3171">
      <x:c r="A3171" s="48" t="str">
        <x:v>UNI-3170</x:v>
      </x:c>
      <x:c r="B3171" s="48" t="str">
        <x:v>SILVER</x:v>
      </x:c>
      <x:c r="C3171" s="48" t="str">
        <x:v>Indonesian</x:v>
      </x:c>
      <x:c r="D3171" s="48" t="n">
        <x:v>74</x:v>
      </x:c>
      <x:c r="E3171" s="48" t="str"/>
      <x:c r="F3171" s="48" t="str">
        <x:v>(0 Hanan, Maba, an helacaan ken map Nero oeh care</x:v>
      </x:c>
      <x:c r="G3171" s="48" t="str">
        <x:v>Obligation</x:v>
      </x:c>
      <x:c r="H3171" s="48" t="str">
        <x:v>Shared</x:v>
      </x:c>
      <x:c r="I3171" s="48" t="n">
        <x:v>0.45</x:v>
      </x:c>
      <x:c r="J3171" s="48" t="n">
        <x:v>0.4</x:v>
      </x:c>
      <x:c r="K3171" s="48" t="str">
        <x:v>Yes</x:v>
      </x:c>
      <x:c r="L3171" s="48" t="str">
        <x:v>OCR</x:v>
      </x:c>
    </x:row>
    <x:row r="3172">
      <x:c r="A3172" s="48" t="str">
        <x:v>UNI-3171</x:v>
      </x:c>
      <x:c r="B3172" s="48" t="str">
        <x:v>SILVER</x:v>
      </x:c>
      <x:c r="C3172" s="48" t="str">
        <x:v>Indonesian</x:v>
      </x:c>
      <x:c r="D3172" s="48" t="n">
        <x:v>74</x:v>
      </x:c>
      <x:c r="E3172" s="48" t="str"/>
      <x:c r="F3172" s="48" t="str">
        <x:v>TO Dan pan Kabar dn para ee an da Kera an</x:v>
      </x:c>
      <x:c r="G3172" s="48" t="str">
        <x:v>Obligation</x:v>
      </x:c>
      <x:c r="H3172" s="48" t="str">
        <x:v>Shared</x:v>
      </x:c>
      <x:c r="I3172" s="48" t="n">
        <x:v>0.45</x:v>
      </x:c>
      <x:c r="J3172" s="48" t="n">
        <x:v>0.4</x:v>
      </x:c>
      <x:c r="K3172" s="48" t="str">
        <x:v>Yes</x:v>
      </x:c>
      <x:c r="L3172" s="48" t="str">
        <x:v>OCR</x:v>
      </x:c>
    </x:row>
    <x:row r="3173">
      <x:c r="A3173" s="48" t="str">
        <x:v>UNI-3172</x:v>
      </x:c>
      <x:c r="B3173" s="48" t="str">
        <x:v>SILVER</x:v>
      </x:c>
      <x:c r="C3173" s="48" t="str">
        <x:v>Indonesian</x:v>
      </x:c>
      <x:c r="D3173" s="48" t="n">
        <x:v>74</x:v>
      </x:c>
      <x:c r="E3173" s="48" t="str"/>
      <x:c r="F3173" s="48" t="str">
        <x:v>perban 1 murtipowa bian past na c wa trambas mo &amp; san</x:v>
      </x:c>
      <x:c r="G3173" s="48" t="str">
        <x:v>Obligation</x:v>
      </x:c>
      <x:c r="H3173" s="48" t="str">
        <x:v>Shared</x:v>
      </x:c>
      <x:c r="I3173" s="48" t="n">
        <x:v>0.45</x:v>
      </x:c>
      <x:c r="J3173" s="48" t="n">
        <x:v>0.4</x:v>
      </x:c>
      <x:c r="K3173" s="48" t="str">
        <x:v>Yes</x:v>
      </x:c>
      <x:c r="L3173" s="48" t="str">
        <x:v>OCR</x:v>
      </x:c>
    </x:row>
    <x:row r="3174">
      <x:c r="A3174" s="48" t="str">
        <x:v>UNI-3173</x:v>
      </x:c>
      <x:c r="B3174" s="48" t="str">
        <x:v>SILVER</x:v>
      </x:c>
      <x:c r="C3174" s="48" t="str">
        <x:v>Indonesian</x:v>
      </x:c>
      <x:c r="D3174" s="48" t="n">
        <x:v>74</x:v>
      </x:c>
      <x:c r="E3174" s="48" t="str"/>
      <x:c r="F3174" s="48" t="str">
        <x:v>Kanekuaa da Ab Gn ralat bw to ng WM Glam Sb Mama 173 pung “as meoakatan harga dan tanaka Pee Own ng Ya Perggnsdaan —— Dotrun Keras Kowdt tata tepeamnamoala pentnan cad</x:v>
      </x:c>
      <x:c r="G3174" s="48" t="str">
        <x:v>Obligation</x:v>
      </x:c>
      <x:c r="H3174" s="48" t="str">
        <x:v>Shared</x:v>
      </x:c>
      <x:c r="I3174" s="48" t="n">
        <x:v>0.45</x:v>
      </x:c>
      <x:c r="J3174" s="48" t="n">
        <x:v>0.4</x:v>
      </x:c>
      <x:c r="K3174" s="48" t="str">
        <x:v>Yes</x:v>
      </x:c>
      <x:c r="L3174" s="48" t="str">
        <x:v>OCR</x:v>
      </x:c>
    </x:row>
    <x:row r="3175">
      <x:c r="A3175" s="48" t="str">
        <x:v>UNI-3174</x:v>
      </x:c>
      <x:c r="B3175" s="48" t="str">
        <x:v>SILVER</x:v>
      </x:c>
      <x:c r="C3175" s="48" t="str">
        <x:v>Indonesian</x:v>
      </x:c>
      <x:c r="D3175" s="48" t="n">
        <x:v>75</x:v>
      </x:c>
      <x:c r="E3175" s="48" t="str"/>
      <x:c r="F3175" s="48" t="str">
        <x:v>Hutatas Kekayaan</x:v>
      </x:c>
      <x:c r="G3175" s="48" t="str">
        <x:v>Obligation</x:v>
      </x:c>
      <x:c r="H3175" s="48" t="str">
        <x:v>Shared</x:v>
      </x:c>
      <x:c r="I3175" s="48" t="n">
        <x:v>0.45</x:v>
      </x:c>
      <x:c r="J3175" s="48" t="n">
        <x:v>0.4</x:v>
      </x:c>
      <x:c r="K3175" s="48" t="str">
        <x:v>Yes</x:v>
      </x:c>
      <x:c r="L3175" s="48" t="str">
        <x:v>OCR</x:v>
      </x:c>
    </x:row>
    <x:row r="3176">
      <x:c r="A3176" s="48" t="str">
        <x:v>UNI-3175</x:v>
      </x:c>
      <x:c r="B3176" s="48" t="str">
        <x:v>SILVER</x:v>
      </x:c>
      <x:c r="C3176" s="48" t="str">
        <x:v>Indonesian</x:v>
      </x:c>
      <x:c r="D3176" s="48" t="n">
        <x:v>75</x:v>
      </x:c>
      <x:c r="E3176" s="48" t="str"/>
      <x:c r="F3176" s="48" t="str">
        <x:v>Troging Jawab</x:v>
      </x:c>
      <x:c r="G3176" s="48" t="str">
        <x:v>Obligation</x:v>
      </x:c>
      <x:c r="H3176" s="48" t="str">
        <x:v>Shared</x:v>
      </x:c>
      <x:c r="I3176" s="48" t="n">
        <x:v>0.45</x:v>
      </x:c>
      <x:c r="J3176" s="48" t="n">
        <x:v>0.4</x:v>
      </x:c>
      <x:c r="K3176" s="48" t="str">
        <x:v>Yes</x:v>
      </x:c>
      <x:c r="L3176" s="48" t="str">
        <x:v>OCR</x:v>
      </x:c>
    </x:row>
    <x:row r="3177">
      <x:c r="A3177" s="48" t="str">
        <x:v>UNI-3176</x:v>
      </x:c>
      <x:c r="B3177" s="48" t="str">
        <x:v>SILVER</x:v>
      </x:c>
      <x:c r="C3177" s="48" t="str">
        <x:v>Indonesian</x:v>
      </x:c>
      <x:c r="D3177" s="48" t="n">
        <x:v>76</x:v>
      </x:c>
      <x:c r="E3177" s="48" t="str"/>
      <x:c r="F3177" s="48" t="str">
        <x:v>Pempantan Umum Oam Masih Hi. tuk yng Megan ben, Ak en pr pam Snp Pak yr brrooraiuan Yak mengapa di menpeakan</x:v>
      </x:c>
      <x:c r="G3177" s="48" t="str">
        <x:v>Obligation</x:v>
      </x:c>
      <x:c r="H3177" s="48" t="str">
        <x:v>Shared</x:v>
      </x:c>
      <x:c r="I3177" s="48" t="n">
        <x:v>0.45</x:v>
      </x:c>
      <x:c r="J3177" s="48" t="n">
        <x:v>0.4</x:v>
      </x:c>
      <x:c r="K3177" s="48" t="str">
        <x:v>Yes</x:v>
      </x:c>
      <x:c r="L3177" s="48" t="str">
        <x:v>OCR</x:v>
      </x:c>
    </x:row>
    <x:row r="3178">
      <x:c r="A3178" s="48" t="str">
        <x:v>UNI-3177</x:v>
      </x:c>
      <x:c r="B3178" s="48" t="str">
        <x:v>SILVER</x:v>
      </x:c>
      <x:c r="C3178" s="48" t="str">
        <x:v>Indonesian</x:v>
      </x:c>
      <x:c r="D3178" s="48" t="n">
        <x:v>76</x:v>
      </x:c>
      <x:c r="E3178" s="48" t="str"/>
      <x:c r="F3178" s="48" t="str">
        <x:v>EGA sr er dan mn Sl Ka ana</x:v>
      </x:c>
      <x:c r="G3178" s="48" t="str">
        <x:v>Obligation</x:v>
      </x:c>
      <x:c r="H3178" s="48" t="str">
        <x:v>Shared</x:v>
      </x:c>
      <x:c r="I3178" s="48" t="n">
        <x:v>0.45</x:v>
      </x:c>
      <x:c r="J3178" s="48" t="n">
        <x:v>0.4</x:v>
      </x:c>
      <x:c r="K3178" s="48" t="str">
        <x:v>Yes</x:v>
      </x:c>
      <x:c r="L3178" s="48" t="str">
        <x:v>OCR</x:v>
      </x:c>
    </x:row>
    <x:row r="3179">
      <x:c r="A3179" s="48" t="str">
        <x:v>UNI-3178</x:v>
      </x:c>
      <x:c r="B3179" s="48" t="str">
        <x:v>SILVER</x:v>
      </x:c>
      <x:c r="C3179" s="48" t="str">
        <x:v>Indonesian</x:v>
      </x:c>
      <x:c r="D3179" s="48" t="n">
        <x:v>76</x:v>
      </x:c>
      <x:c r="E3179" s="48" t="str"/>
      <x:c r="F3179" s="48" t="str">
        <x:v>Dsn term menakan Pr org mengatakan tk arasitonn</x:v>
      </x:c>
      <x:c r="G3179" s="48" t="str">
        <x:v>Obligation</x:v>
      </x:c>
      <x:c r="H3179" s="48" t="str">
        <x:v>Shared</x:v>
      </x:c>
      <x:c r="I3179" s="48" t="n">
        <x:v>0.45</x:v>
      </x:c>
      <x:c r="J3179" s="48" t="n">
        <x:v>0.4</x:v>
      </x:c>
      <x:c r="K3179" s="48" t="str">
        <x:v>Yes</x:v>
      </x:c>
      <x:c r="L3179" s="48" t="str">
        <x:v>OCR</x:v>
      </x:c>
    </x:row>
    <x:row r="3180">
      <x:c r="A3180" s="48" t="str">
        <x:v>UNI-3179</x:v>
      </x:c>
      <x:c r="B3180" s="48" t="str">
        <x:v>SILVER</x:v>
      </x:c>
      <x:c r="C3180" s="48" t="str">
        <x:v>Indonesian</x:v>
      </x:c>
      <x:c r="D3180" s="48" t="n">
        <x:v>76</x:v>
      </x:c>
      <x:c r="E3180" s="48" t="str"/>
      <x:c r="F3180" s="48" t="str">
        <x:v>Sekian argo ptk pewraang dm Grgn ntar jr Semi Oa</x:v>
      </x:c>
      <x:c r="G3180" s="48" t="str">
        <x:v>Obligation</x:v>
      </x:c>
      <x:c r="H3180" s="48" t="str">
        <x:v>Shared</x:v>
      </x:c>
      <x:c r="I3180" s="48" t="n">
        <x:v>0.45</x:v>
      </x:c>
      <x:c r="J3180" s="48" t="n">
        <x:v>0.4</x:v>
      </x:c>
      <x:c r="K3180" s="48" t="str">
        <x:v>Yes</x:v>
      </x:c>
      <x:c r="L3180" s="48" t="str">
        <x:v>OCR</x:v>
      </x:c>
    </x:row>
    <x:row r="3181">
      <x:c r="A3181" s="48" t="str">
        <x:v>UNI-3180</x:v>
      </x:c>
      <x:c r="B3181" s="48" t="str">
        <x:v>SILVER</x:v>
      </x:c>
      <x:c r="C3181" s="48" t="str">
        <x:v>Indonesian</x:v>
      </x:c>
      <x:c r="D3181" s="48" t="n">
        <x:v>76</x:v>
      </x:c>
      <x:c r="E3181" s="48" t="str"/>
      <x:c r="F3181" s="48" t="str">
        <x:v>Prog mat Siap Fhoto te Green aa Jr deatan</x:v>
      </x:c>
      <x:c r="G3181" s="48" t="str">
        <x:v>Obligation</x:v>
      </x:c>
      <x:c r="H3181" s="48" t="str">
        <x:v>Shared</x:v>
      </x:c>
      <x:c r="I3181" s="48" t="n">
        <x:v>0.45</x:v>
      </x:c>
      <x:c r="J3181" s="48" t="n">
        <x:v>0.4</x:v>
      </x:c>
      <x:c r="K3181" s="48" t="str">
        <x:v>Yes</x:v>
      </x:c>
      <x:c r="L3181" s="48" t="str">
        <x:v>OCR</x:v>
      </x:c>
    </x:row>
    <x:row r="3182">
      <x:c r="A3182" s="48" t="str">
        <x:v>UNI-3181</x:v>
      </x:c>
      <x:c r="B3182" s="48" t="str">
        <x:v>SILVER</x:v>
      </x:c>
      <x:c r="C3182" s="48" t="str">
        <x:v>Indonesian</x:v>
      </x:c>
      <x:c r="D3182" s="48" t="n">
        <x:v>76</x:v>
      </x:c>
      <x:c r="E3182" s="48" t="str"/>
      <x:c r="F3182" s="48" t="str">
        <x:v>toa Dean Prk en goa Pekan Kerta Keeosaan mengena</x:v>
      </x:c>
      <x:c r="G3182" s="48" t="str">
        <x:v>Obligation</x:v>
      </x:c>
      <x:c r="H3182" s="48" t="str">
        <x:v>Shared</x:v>
      </x:c>
      <x:c r="I3182" s="48" t="n">
        <x:v>0.45</x:v>
      </x:c>
      <x:c r="J3182" s="48" t="n">
        <x:v>0.4</x:v>
      </x:c>
      <x:c r="K3182" s="48" t="str">
        <x:v>Yes</x:v>
      </x:c>
      <x:c r="L3182" s="48" t="str">
        <x:v>OCR</x:v>
      </x:c>
    </x:row>
    <x:row r="3183">
      <x:c r="A3183" s="48" t="str">
        <x:v>UNI-3182</x:v>
      </x:c>
      <x:c r="B3183" s="48" t="str">
        <x:v>SILVER</x:v>
      </x:c>
      <x:c r="C3183" s="48" t="str">
        <x:v>Indonesian</x:v>
      </x:c>
      <x:c r="D3183" s="48" t="n">
        <x:v>76</x:v>
      </x:c>
      <x:c r="E3183" s="48" t="str"/>
      <x:c r="F3183" s="48" t="str">
        <x:v>Duag N fa dergpo Ka Hg Hi BAAK Garang Sega</x:v>
      </x:c>
      <x:c r="G3183" s="48" t="str">
        <x:v>Obligation</x:v>
      </x:c>
      <x:c r="H3183" s="48" t="str">
        <x:v>Shared</x:v>
      </x:c>
      <x:c r="I3183" s="48" t="n">
        <x:v>0.45</x:v>
      </x:c>
      <x:c r="J3183" s="48" t="n">
        <x:v>0.4</x:v>
      </x:c>
      <x:c r="K3183" s="48" t="str">
        <x:v>Yes</x:v>
      </x:c>
      <x:c r="L3183" s="48" t="str">
        <x:v>OCR</x:v>
      </x:c>
    </x:row>
    <x:row r="3184">
      <x:c r="A3184" s="48" t="str">
        <x:v>UNI-3183</x:v>
      </x:c>
      <x:c r="B3184" s="48" t="str">
        <x:v>SILVER</x:v>
      </x:c>
      <x:c r="C3184" s="48" t="str">
        <x:v>Indonesian</x:v>
      </x:c>
      <x:c r="D3184" s="48" t="n">
        <x:v>76</x:v>
      </x:c>
      <x:c r="E3184" s="48" t="str"/>
      <x:c r="F3184" s="48" t="str">
        <x:v>Dewa Pergara Ja mangan Pk yng mergaarrla. et areal</x:v>
      </x:c>
      <x:c r="G3184" s="48" t="str">
        <x:v>Obligation</x:v>
      </x:c>
      <x:c r="H3184" s="48" t="str">
        <x:v>Shared</x:v>
      </x:c>
      <x:c r="I3184" s="48" t="n">
        <x:v>0.45</x:v>
      </x:c>
      <x:c r="J3184" s="48" t="n">
        <x:v>0.4</x:v>
      </x:c>
      <x:c r="K3184" s="48" t="str">
        <x:v>Yes</x:v>
      </x:c>
      <x:c r="L3184" s="48" t="str">
        <x:v>OCR</x:v>
      </x:c>
    </x:row>
    <x:row r="3185">
      <x:c r="A3185" s="48" t="str">
        <x:v>UNI-3184</x:v>
      </x:c>
      <x:c r="B3185" s="48" t="str">
        <x:v>SILVER</x:v>
      </x:c>
      <x:c r="C3185" s="48" t="str">
        <x:v>Indonesian</x:v>
      </x:c>
      <x:c r="D3185" s="48" t="n">
        <x:v>76</x:v>
      </x:c>
      <x:c r="E3185" s="48" t="str"/>
      <x:c r="F3185" s="48" t="str">
        <x:v>Tar dksan an Bf bewngara Gn ngan mantap ega</x:v>
      </x:c>
      <x:c r="G3185" s="48" t="str">
        <x:v>Obligation</x:v>
      </x:c>
      <x:c r="H3185" s="48" t="str">
        <x:v>Shared</x:v>
      </x:c>
      <x:c r="I3185" s="48" t="n">
        <x:v>0.45</x:v>
      </x:c>
      <x:c r="J3185" s="48" t="n">
        <x:v>0.4</x:v>
      </x:c>
      <x:c r="K3185" s="48" t="str">
        <x:v>Yes</x:v>
      </x:c>
      <x:c r="L3185" s="48" t="str">
        <x:v>OCR</x:v>
      </x:c>
    </x:row>
    <x:row r="3186">
      <x:c r="A3186" s="48" t="str">
        <x:v>UNI-3185</x:v>
      </x:c>
      <x:c r="B3186" s="48" t="str">
        <x:v>SILVER</x:v>
      </x:c>
      <x:c r="C3186" s="48" t="str">
        <x:v>Indonesian</x:v>
      </x:c>
      <x:c r="D3186" s="48" t="n">
        <x:v>76</x:v>
      </x:c>
      <x:c r="E3186" s="48" t="str"/>
      <x:c r="F3186" s="48" t="str">
        <x:v>Organ ru leretan oz nara Kuan” kata atu pl Gowatan AK merarn ptk ag danyrsan benar,</x:v>
      </x:c>
      <x:c r="G3186" s="48" t="str">
        <x:v>Obligation</x:v>
      </x:c>
      <x:c r="H3186" s="48" t="str">
        <x:v>Shared</x:v>
      </x:c>
      <x:c r="I3186" s="48" t="n">
        <x:v>0.45</x:v>
      </x:c>
      <x:c r="J3186" s="48" t="n">
        <x:v>0.4</x:v>
      </x:c>
      <x:c r="K3186" s="48" t="str">
        <x:v>Yes</x:v>
      </x:c>
      <x:c r="L3186" s="48" t="str">
        <x:v>OCR</x:v>
      </x:c>
    </x:row>
    <x:row r="3187">
      <x:c r="A3187" s="48" t="str">
        <x:v>UNI-3186</x:v>
      </x:c>
      <x:c r="B3187" s="48" t="str">
        <x:v>SILVER</x:v>
      </x:c>
      <x:c r="C3187" s="48" t="str">
        <x:v>Indonesian</x:v>
      </x:c>
      <x:c r="D3187" s="48" t="n">
        <x:v>76</x:v>
      </x:c>
      <x:c r="E3187" s="48" t="str"/>
      <x:c r="F3187" s="48" t="str">
        <x:v>PMA Pane Datu can lap rak ta tar ar danyralan</x:v>
      </x:c>
      <x:c r="G3187" s="48" t="str">
        <x:v>Obligation</x:v>
      </x:c>
      <x:c r="H3187" s="48" t="str">
        <x:v>Shared</x:v>
      </x:c>
      <x:c r="I3187" s="48" t="n">
        <x:v>0.45</x:v>
      </x:c>
      <x:c r="J3187" s="48" t="n">
        <x:v>0.4</x:v>
      </x:c>
      <x:c r="K3187" s="48" t="str">
        <x:v>Yes</x:v>
      </x:c>
      <x:c r="L3187" s="48" t="str">
        <x:v>OCR</x:v>
      </x:c>
    </x:row>
    <x:row r="3188">
      <x:c r="A3188" s="48" t="str">
        <x:v>UNI-3187</x:v>
      </x:c>
      <x:c r="B3188" s="48" t="str">
        <x:v>SILVER</x:v>
      </x:c>
      <x:c r="C3188" s="48" t="str">
        <x:v>Indonesian</x:v>
      </x:c>
      <x:c r="D3188" s="48" t="n">
        <x:v>76</x:v>
      </x:c>
      <x:c r="E3188" s="48" t="str"/>
      <x:c r="F3188" s="48" t="str">
        <x:v>ian bla Getton scan Mp Ls mara CNg Blak yag</x:v>
      </x:c>
      <x:c r="G3188" s="48" t="str">
        <x:v>Obligation</x:v>
      </x:c>
      <x:c r="H3188" s="48" t="str">
        <x:v>Shared</x:v>
      </x:c>
      <x:c r="I3188" s="48" t="n">
        <x:v>0.45</x:v>
      </x:c>
      <x:c r="J3188" s="48" t="n">
        <x:v>0.4</x:v>
      </x:c>
      <x:c r="K3188" s="48" t="str">
        <x:v>Yes</x:v>
      </x:c>
      <x:c r="L3188" s="48" t="str">
        <x:v>OCR</x:v>
      </x:c>
    </x:row>
    <x:row r="3189">
      <x:c r="A3189" s="48" t="str">
        <x:v>UNI-3188</x:v>
      </x:c>
      <x:c r="B3189" s="48" t="str">
        <x:v>SILVER</x:v>
      </x:c>
      <x:c r="C3189" s="48" t="str">
        <x:v>Indonesian</x:v>
      </x:c>
      <x:c r="D3189" s="48" t="n">
        <x:v>76</x:v>
      </x:c>
      <x:c r="E3189" s="48" t="str"/>
      <x:c r="F3189" s="48" t="str">
        <x:v>Serkan berana KANAL Sele meemnorek near daur</x:v>
      </x:c>
      <x:c r="G3189" s="48" t="str">
        <x:v>Obligation</x:v>
      </x:c>
      <x:c r="H3189" s="48" t="str">
        <x:v>Shared</x:v>
      </x:c>
      <x:c r="I3189" s="48" t="n">
        <x:v>0.45</x:v>
      </x:c>
      <x:c r="J3189" s="48" t="n">
        <x:v>0.4</x:v>
      </x:c>
      <x:c r="K3189" s="48" t="str">
        <x:v>Yes</x:v>
      </x:c>
      <x:c r="L3189" s="48" t="str">
        <x:v>OCR</x:v>
      </x:c>
    </x:row>
    <x:row r="3190">
      <x:c r="A3190" s="48" t="str">
        <x:v>UNI-3189</x:v>
      </x:c>
      <x:c r="B3190" s="48" t="str">
        <x:v>SILVER</x:v>
      </x:c>
      <x:c r="C3190" s="48" t="str">
        <x:v>Indonesian</x:v>
      </x:c>
      <x:c r="D3190" s="48" t="n">
        <x:v>76</x:v>
      </x:c>
      <x:c r="E3190" s="48" t="str"/>
      <x:c r="F3190" s="48" t="str">
        <x:v>rama Ji rta ln pr yg Gmuaasan empat duatan</x:v>
      </x:c>
      <x:c r="G3190" s="48" t="str">
        <x:v>Obligation</x:v>
      </x:c>
      <x:c r="H3190" s="48" t="str">
        <x:v>Shared</x:v>
      </x:c>
      <x:c r="I3190" s="48" t="n">
        <x:v>0.45</x:v>
      </x:c>
      <x:c r="J3190" s="48" t="n">
        <x:v>0.4</x:v>
      </x:c>
      <x:c r="K3190" s="48" t="str">
        <x:v>Yes</x:v>
      </x:c>
      <x:c r="L3190" s="48" t="str">
        <x:v>OCR</x:v>
      </x:c>
    </x:row>
    <x:row r="3191">
      <x:c r="A3191" s="48" t="str">
        <x:v>UNI-3190</x:v>
      </x:c>
      <x:c r="B3191" s="48" t="str">
        <x:v>SILVER</x:v>
      </x:c>
      <x:c r="C3191" s="48" t="str">
        <x:v>Indonesian</x:v>
      </x:c>
      <x:c r="D3191" s="48" t="n">
        <x:v>76</x:v>
      </x:c>
      <x:c r="E3191" s="48" t="str"/>
      <x:c r="F3191" s="48" t="str">
        <x:v>Kera an btr bermtn poe datana tenbtan Gk yang</x:v>
      </x:c>
      <x:c r="G3191" s="48" t="str">
        <x:v>Obligation</x:v>
      </x:c>
      <x:c r="H3191" s="48" t="str">
        <x:v>Shared</x:v>
      </x:c>
      <x:c r="I3191" s="48" t="n">
        <x:v>0.45</x:v>
      </x:c>
      <x:c r="J3191" s="48" t="n">
        <x:v>0.4</x:v>
      </x:c>
      <x:c r="K3191" s="48" t="str">
        <x:v>Yes</x:v>
      </x:c>
      <x:c r="L3191" s="48" t="str">
        <x:v>OCR</x:v>
      </x:c>
    </x:row>
    <x:row r="3192">
      <x:c r="A3192" s="48" t="str">
        <x:v>UNI-3191</x:v>
      </x:c>
      <x:c r="B3192" s="48" t="str">
        <x:v>SILVER</x:v>
      </x:c>
      <x:c r="C3192" s="48" t="str">
        <x:v>Indonesian</x:v>
      </x:c>
      <x:c r="D3192" s="48" t="n">
        <x:v>76</x:v>
      </x:c>
      <x:c r="E3192" s="48" t="str"/>
      <x:c r="F3192" s="48" t="str">
        <x:v>enakan ena kesat cai Pegara ban man tw Lu.</x:v>
      </x:c>
      <x:c r="G3192" s="48" t="str">
        <x:v>Obligation</x:v>
      </x:c>
      <x:c r="H3192" s="48" t="str">
        <x:v>Shared</x:v>
      </x:c>
      <x:c r="I3192" s="48" t="n">
        <x:v>0.45</x:v>
      </x:c>
      <x:c r="J3192" s="48" t="n">
        <x:v>0.4</x:v>
      </x:c>
      <x:c r="K3192" s="48" t="str">
        <x:v>Yes</x:v>
      </x:c>
      <x:c r="L3192" s="48" t="str">
        <x:v>OCR</x:v>
      </x:c>
    </x:row>
    <x:row r="3193">
      <x:c r="A3193" s="48" t="str">
        <x:v>UNI-3192</x:v>
      </x:c>
      <x:c r="B3193" s="48" t="str">
        <x:v>SILVER</x:v>
      </x:c>
      <x:c r="C3193" s="48" t="str">
        <x:v>Indonesian</x:v>
      </x:c>
      <x:c r="D3193" s="48" t="n">
        <x:v>76</x:v>
      </x:c>
      <x:c r="E3193" s="48" t="str"/>
      <x:c r="F3193" s="48" t="str">
        <x:v>Panen Pergara ka</x:v>
      </x:c>
      <x:c r="G3193" s="48" t="str">
        <x:v>Obligation</x:v>
      </x:c>
      <x:c r="H3193" s="48" t="str">
        <x:v>Shared</x:v>
      </x:c>
      <x:c r="I3193" s="48" t="n">
        <x:v>0.45</x:v>
      </x:c>
      <x:c r="J3193" s="48" t="n">
        <x:v>0.4</x:v>
      </x:c>
      <x:c r="K3193" s="48" t="str">
        <x:v>Yes</x:v>
      </x:c>
      <x:c r="L3193" s="48" t="str">
        <x:v>OCR</x:v>
      </x:c>
    </x:row>
    <x:row r="3194">
      <x:c r="A3194" s="48" t="str">
        <x:v>UNI-3193</x:v>
      </x:c>
      <x:c r="B3194" s="48" t="str">
        <x:v>SILVER</x:v>
      </x:c>
      <x:c r="C3194" s="48" t="str">
        <x:v>Indonesian</x:v>
      </x:c>
      <x:c r="D3194" s="48" t="n">
        <x:v>76</x:v>
      </x:c>
      <x:c r="E3194" s="48" t="str"/>
      <x:c r="F3194" s="48" t="str">
        <x:v>@ Petambaen yag ananrehan beranak beta menata benbaran</x:v>
      </x:c>
      <x:c r="G3194" s="48" t="str">
        <x:v>Obligation</x:v>
      </x:c>
      <x:c r="H3194" s="48" t="str">
        <x:v>Shared</x:v>
      </x:c>
      <x:c r="I3194" s="48" t="n">
        <x:v>0.45</x:v>
      </x:c>
      <x:c r="J3194" s="48" t="n">
        <x:v>0.4</x:v>
      </x:c>
      <x:c r="K3194" s="48" t="str">
        <x:v>Yes</x:v>
      </x:c>
      <x:c r="L3194" s="48" t="str">
        <x:v>OCR</x:v>
      </x:c>
    </x:row>
    <x:row r="3195">
      <x:c r="A3195" s="48" t="str">
        <x:v>UNI-3194</x:v>
      </x:c>
      <x:c r="B3195" s="48" t="str">
        <x:v>SILVER</x:v>
      </x:c>
      <x:c r="C3195" s="48" t="str">
        <x:v>Indonesian</x:v>
      </x:c>
      <x:c r="D3195" s="48" t="n">
        <x:v>76</x:v>
      </x:c>
      <x:c r="E3195" s="48" t="str"/>
      <x:c r="F3195" s="48" t="str">
        <x:v>Invnng amen sa mergusga hdurga nyang angan pra</x:v>
      </x:c>
      <x:c r="G3195" s="48" t="str">
        <x:v>Obligation</x:v>
      </x:c>
      <x:c r="H3195" s="48" t="str">
        <x:v>Shared</x:v>
      </x:c>
      <x:c r="I3195" s="48" t="n">
        <x:v>0.45</x:v>
      </x:c>
      <x:c r="J3195" s="48" t="n">
        <x:v>0.4</x:v>
      </x:c>
      <x:c r="K3195" s="48" t="str">
        <x:v>Yes</x:v>
      </x:c>
      <x:c r="L3195" s="48" t="str">
        <x:v>OCR</x:v>
      </x:c>
    </x:row>
    <x:row r="3196">
      <x:c r="A3196" s="48" t="str">
        <x:v>UNI-3195</x:v>
      </x:c>
      <x:c r="B3196" s="48" t="str">
        <x:v>SILVER</x:v>
      </x:c>
      <x:c r="C3196" s="48" t="str">
        <x:v>Indonesian</x:v>
      </x:c>
      <x:c r="D3196" s="48" t="n">
        <x:v>76</x:v>
      </x:c>
      <x:c r="E3196" s="48" t="str"/>
      <x:c r="F3196" s="48" t="str">
        <x:v>(cra Teransarutan dan memakan ta ratan Bh ang uban batang Ira Ark Sa pemangku da sea</x:v>
      </x:c>
      <x:c r="G3196" s="48" t="str">
        <x:v>Obligation</x:v>
      </x:c>
      <x:c r="H3196" s="48" t="str">
        <x:v>Shared</x:v>
      </x:c>
      <x:c r="I3196" s="48" t="n">
        <x:v>0.45</x:v>
      </x:c>
      <x:c r="J3196" s="48" t="n">
        <x:v>0.4</x:v>
      </x:c>
      <x:c r="K3196" s="48" t="str">
        <x:v>Yes</x:v>
      </x:c>
      <x:c r="L3196" s="48" t="str">
        <x:v>OCR</x:v>
      </x:c>
    </x:row>
    <x:row r="3197">
      <x:c r="A3197" s="48" t="str">
        <x:v>UNI-3196</x:v>
      </x:c>
      <x:c r="B3197" s="48" t="str">
        <x:v>SILVER</x:v>
      </x:c>
      <x:c r="C3197" s="48" t="str">
        <x:v>Indonesian</x:v>
      </x:c>
      <x:c r="D3197" s="48" t="n">
        <x:v>76</x:v>
      </x:c>
      <x:c r="E3197" s="48" t="str"/>
      <x:c r="F3197" s="48" t="str">
        <x:v>Seto sn ro Peraga Ietngan das tenan ten mrngakan</x:v>
      </x:c>
      <x:c r="G3197" s="48" t="str">
        <x:v>Obligation</x:v>
      </x:c>
      <x:c r="H3197" s="48" t="str">
        <x:v>Shared</x:v>
      </x:c>
      <x:c r="I3197" s="48" t="n">
        <x:v>0.45</x:v>
      </x:c>
      <x:c r="J3197" s="48" t="n">
        <x:v>0.4</x:v>
      </x:c>
      <x:c r="K3197" s="48" t="str">
        <x:v>Yes</x:v>
      </x:c>
      <x:c r="L3197" s="48" t="str">
        <x:v>OCR</x:v>
      </x:c>
    </x:row>
    <x:row r="3198">
      <x:c r="A3198" s="48" t="str">
        <x:v>UNI-3197</x:v>
      </x:c>
      <x:c r="B3198" s="48" t="str">
        <x:v>SILVER</x:v>
      </x:c>
      <x:c r="C3198" s="48" t="str">
        <x:v>Indonesian</x:v>
      </x:c>
      <x:c r="D3198" s="48" t="n">
        <x:v>76</x:v>
      </x:c>
      <x:c r="E3198" s="48" t="str"/>
      <x:c r="F3198" s="48" t="str">
        <x:v>perban akn mala lrg yg GBAfIan Lk mega Senang ah Tenvetahi tera.</x:v>
      </x:c>
      <x:c r="G3198" s="48" t="str">
        <x:v>Obligation</x:v>
      </x:c>
      <x:c r="H3198" s="48" t="str">
        <x:v>Shared</x:v>
      </x:c>
      <x:c r="I3198" s="48" t="n">
        <x:v>0.45</x:v>
      </x:c>
      <x:c r="J3198" s="48" t="n">
        <x:v>0.4</x:v>
      </x:c>
      <x:c r="K3198" s="48" t="str">
        <x:v>Yes</x:v>
      </x:c>
      <x:c r="L3198" s="48" t="str">
        <x:v>OCR</x:v>
      </x:c>
    </x:row>
    <x:row r="3199">
      <x:c r="A3199" s="48" t="str">
        <x:v>UNI-3198</x:v>
      </x:c>
      <x:c r="B3199" s="48" t="str">
        <x:v>SILVER</x:v>
      </x:c>
      <x:c r="C3199" s="48" t="str">
        <x:v>Indonesian</x:v>
      </x:c>
      <x:c r="D3199" s="48" t="n">
        <x:v>76</x:v>
      </x:c>
      <x:c r="E3199" s="48" t="str"/>
      <x:c r="F3199" s="48" t="str">
        <x:v>Perbeman yag Burma Sat ru perpran ana</x:v>
      </x:c>
      <x:c r="G3199" s="48" t="str">
        <x:v>Obligation</x:v>
      </x:c>
      <x:c r="H3199" s="48" t="str">
        <x:v>Shared</x:v>
      </x:c>
      <x:c r="I3199" s="48" t="n">
        <x:v>0.45</x:v>
      </x:c>
      <x:c r="J3199" s="48" t="n">
        <x:v>0.4</x:v>
      </x:c>
      <x:c r="K3199" s="48" t="str">
        <x:v>Yes</x:v>
      </x:c>
      <x:c r="L3199" s="48" t="str">
        <x:v>OCR</x:v>
      </x:c>
    </x:row>
    <x:row r="3200">
      <x:c r="A3200" s="48" t="str">
        <x:v>UNI-3199</x:v>
      </x:c>
      <x:c r="B3200" s="48" t="str">
        <x:v>SILVER</x:v>
      </x:c>
      <x:c r="C3200" s="48" t="str">
        <x:v>Indonesian</x:v>
      </x:c>
      <x:c r="D3200" s="48" t="n">
        <x:v>76</x:v>
      </x:c>
      <x:c r="E3200" s="48" t="str"/>
      <x:c r="F3200" s="48" t="str">
        <x:v>IBAN UK MengOK IPA au manga an</x:v>
      </x:c>
      <x:c r="G3200" s="48" t="str">
        <x:v>Obligation</x:v>
      </x:c>
      <x:c r="H3200" s="48" t="str">
        <x:v>Shared</x:v>
      </x:c>
      <x:c r="I3200" s="48" t="n">
        <x:v>0.45</x:v>
      </x:c>
      <x:c r="J3200" s="48" t="n">
        <x:v>0.4</x:v>
      </x:c>
      <x:c r="K3200" s="48" t="str">
        <x:v>Yes</x:v>
      </x:c>
      <x:c r="L3200" s="48" t="str">
        <x:v>OCR</x:v>
      </x:c>
    </x:row>
    <x:row r="3201">
      <x:c r="A3201" s="48" t="str">
        <x:v>UNI-3200</x:v>
      </x:c>
      <x:c r="B3201" s="48" t="str">
        <x:v>SILVER</x:v>
      </x:c>
      <x:c r="C3201" s="48" t="str">
        <x:v>Indonesian</x:v>
      </x:c>
      <x:c r="D3201" s="48" t="n">
        <x:v>77</x:v>
      </x:c>
      <x:c r="E3201" s="48" t="str"/>
      <x:c r="F3201" s="48" t="str">
        <x:v>Ptakyarg merenarerakan. caam waktu er dnyaakn dm Pmprtan</x:v>
      </x:c>
      <x:c r="G3201" s="48" t="str">
        <x:v>Obligation</x:v>
      </x:c>
      <x:c r="H3201" s="48" t="str">
        <x:v>Shared</x:v>
      </x:c>
      <x:c r="I3201" s="48" t="n">
        <x:v>0.45</x:v>
      </x:c>
      <x:c r="J3201" s="48" t="n">
        <x:v>0.4</x:v>
      </x:c>
      <x:c r="K3201" s="48" t="str">
        <x:v>Yes</x:v>
      </x:c>
      <x:c r="L3201" s="48" t="str">
        <x:v>OCR</x:v>
      </x:c>
    </x:row>
    <x:row r="3202">
      <x:c r="A3202" s="48" t="str">
        <x:v>UNI-3201</x:v>
      </x:c>
      <x:c r="B3202" s="48" t="str">
        <x:v>SILVER</x:v>
      </x:c>
      <x:c r="C3202" s="48" t="str">
        <x:v>Indonesian</x:v>
      </x:c>
      <x:c r="D3202" s="48" t="n">
        <x:v>77</x:v>
      </x:c>
      <x:c r="E3202" s="48" t="str"/>
      <x:c r="F3202" s="48" t="str">
        <x:v>Ius Brg sg Tren MA Pekan, meangatan usa Mar</x:v>
      </x:c>
      <x:c r="G3202" s="48" t="str">
        <x:v>Obligation</x:v>
      </x:c>
      <x:c r="H3202" s="48" t="str">
        <x:v>Shared</x:v>
      </x:c>
      <x:c r="I3202" s="48" t="n">
        <x:v>0.45</x:v>
      </x:c>
      <x:c r="J3202" s="48" t="n">
        <x:v>0.4</x:v>
      </x:c>
      <x:c r="K3202" s="48" t="str">
        <x:v>Yes</x:v>
      </x:c>
      <x:c r="L3202" s="48" t="str">
        <x:v>OCR</x:v>
      </x:c>
    </x:row>
    <x:row r="3203">
      <x:c r="A3203" s="48" t="str">
        <x:v>UNI-3202</x:v>
      </x:c>
      <x:c r="B3203" s="48" t="str">
        <x:v>SILVER</x:v>
      </x:c>
      <x:c r="C3203" s="48" t="str">
        <x:v>Indonesian</x:v>
      </x:c>
      <x:c r="D3203" s="48" t="n">
        <x:v>77</x:v>
      </x:c>
      <x:c r="E3203" s="48" t="str"/>
      <x:c r="F3203" s="48" t="str">
        <x:v>(8 tua ba kar ra utan Gan Kla bet la, (Sian Ol san yang detutan Gan Kas 182 ar rak saja On Peran Kerta an Sr Mania Ta rr ma : aceh dan Kuat ba ena</x:v>
      </x:c>
      <x:c r="G3203" s="48" t="str">
        <x:v>Obligation</x:v>
      </x:c>
      <x:c r="H3203" s="48" t="str">
        <x:v>Shared</x:v>
      </x:c>
      <x:c r="I3203" s="48" t="n">
        <x:v>0.45</x:v>
      </x:c>
      <x:c r="J3203" s="48" t="n">
        <x:v>0.4</x:v>
      </x:c>
      <x:c r="K3203" s="48" t="str">
        <x:v>Yes</x:v>
      </x:c>
      <x:c r="L3203" s="48" t="str">
        <x:v>OCR</x:v>
      </x:c>
    </x:row>
    <x:row r="3204">
      <x:c r="A3204" s="48" t="str">
        <x:v>UNI-3203</x:v>
      </x:c>
      <x:c r="B3204" s="48" t="str">
        <x:v>SILVER</x:v>
      </x:c>
      <x:c r="C3204" s="48" t="str">
        <x:v>Indonesian</x:v>
      </x:c>
      <x:c r="D3204" s="48" t="n">
        <x:v>77</x:v>
      </x:c>
      <x:c r="E3204" s="48" t="str"/>
      <x:c r="F3204" s="48" t="str">
        <x:v>Data pari Geatan, Sta rg mergaararkan has menyngakan tki</x:v>
      </x:c>
      <x:c r="G3204" s="48" t="str">
        <x:v>Obligation</x:v>
      </x:c>
      <x:c r="H3204" s="48" t="str">
        <x:v>Shared</x:v>
      </x:c>
      <x:c r="I3204" s="48" t="n">
        <x:v>0.45</x:v>
      </x:c>
      <x:c r="J3204" s="48" t="n">
        <x:v>0.4</x:v>
      </x:c>
      <x:c r="K3204" s="48" t="str">
        <x:v>Yes</x:v>
      </x:c>
      <x:c r="L3204" s="48" t="str">
        <x:v>OCR</x:v>
      </x:c>
    </x:row>
    <x:row r="3205">
      <x:c r="A3205" s="48" t="str">
        <x:v>UNI-3204</x:v>
      </x:c>
      <x:c r="B3205" s="48" t="str">
        <x:v>SILVER</x:v>
      </x:c>
      <x:c r="C3205" s="48" t="str">
        <x:v>Indonesian</x:v>
      </x:c>
      <x:c r="D3205" s="48" t="n">
        <x:v>77</x:v>
      </x:c>
      <x:c r="E3205" s="48" t="str"/>
      <x:c r="F3205" s="48" t="str">
        <x:v>pentas makan</x:v>
      </x:c>
      <x:c r="G3205" s="48" t="str">
        <x:v>Obligation</x:v>
      </x:c>
      <x:c r="H3205" s="48" t="str">
        <x:v>Shared</x:v>
      </x:c>
      <x:c r="I3205" s="48" t="n">
        <x:v>0.45</x:v>
      </x:c>
      <x:c r="J3205" s="48" t="n">
        <x:v>0.4</x:v>
      </x:c>
      <x:c r="K3205" s="48" t="str">
        <x:v>Yes</x:v>
      </x:c>
      <x:c r="L3205" s="48" t="str">
        <x:v>OCR</x:v>
      </x:c>
    </x:row>
    <x:row r="3206">
      <x:c r="A3206" s="48" t="str">
        <x:v>UNI-3205</x:v>
      </x:c>
      <x:c r="B3206" s="48" t="str">
        <x:v>SILVER</x:v>
      </x:c>
      <x:c r="C3206" s="48" t="str">
        <x:v>Indonesian</x:v>
      </x:c>
      <x:c r="D3206" s="48" t="n">
        <x:v>77</x:v>
      </x:c>
      <x:c r="E3206" s="48" t="str"/>
      <x:c r="F3206" s="48" t="str">
        <x:v>SEPRAILEOndapeNunaN yr msanam edan,</x:v>
      </x:c>
      <x:c r="G3206" s="48" t="str">
        <x:v>Obligation</x:v>
      </x:c>
      <x:c r="H3206" s="48" t="str">
        <x:v>Shared</x:v>
      </x:c>
      <x:c r="I3206" s="48" t="n">
        <x:v>0.45</x:v>
      </x:c>
      <x:c r="J3206" s="48" t="n">
        <x:v>0.4</x:v>
      </x:c>
      <x:c r="K3206" s="48" t="str">
        <x:v>Yes</x:v>
      </x:c>
      <x:c r="L3206" s="48" t="str">
        <x:v>OCR</x:v>
      </x:c>
    </x:row>
    <x:row r="3207">
      <x:c r="A3207" s="48" t="str">
        <x:v>UNI-3206</x:v>
      </x:c>
      <x:c r="B3207" s="48" t="str">
        <x:v>SILVER</x:v>
      </x:c>
      <x:c r="C3207" s="48" t="str">
        <x:v>Indonesian</x:v>
      </x:c>
      <x:c r="D3207" s="48" t="n">
        <x:v>77</x:v>
      </x:c>
      <x:c r="E3207" s="48" t="str"/>
      <x:c r="F3207" s="48" t="str">
        <x:v>Pte yag merganrakan hana Sewa menbwnan tunas laman pra</x:v>
      </x:c>
      <x:c r="G3207" s="48" t="str">
        <x:v>Obligation</x:v>
      </x:c>
      <x:c r="H3207" s="48" t="str">
        <x:v>Shared</x:v>
      </x:c>
      <x:c r="I3207" s="48" t="n">
        <x:v>0.45</x:v>
      </x:c>
      <x:c r="J3207" s="48" t="n">
        <x:v>0.4</x:v>
      </x:c>
      <x:c r="K3207" s="48" t="str">
        <x:v>Yes</x:v>
      </x:c>
      <x:c r="L3207" s="48" t="str">
        <x:v>OCR</x:v>
      </x:c>
    </x:row>
    <x:row r="3208">
      <x:c r="A3208" s="48" t="str">
        <x:v>UNI-3207</x:v>
      </x:c>
      <x:c r="B3208" s="48" t="str">
        <x:v>SILVER</x:v>
      </x:c>
      <x:c r="C3208" s="48" t="str">
        <x:v>Indonesian</x:v>
      </x:c>
      <x:c r="D3208" s="48" t="n">
        <x:v>77</x:v>
      </x:c>
      <x:c r="E3208" s="48" t="str"/>
      <x:c r="F3208" s="48" t="str">
        <x:v>PEGANG MOU pena Gam pekan Pagar dn mana</x:v>
      </x:c>
      <x:c r="G3208" s="48" t="str">
        <x:v>Obligation</x:v>
      </x:c>
      <x:c r="H3208" s="48" t="str">
        <x:v>Shared</x:v>
      </x:c>
      <x:c r="I3208" s="48" t="n">
        <x:v>0.45</x:v>
      </x:c>
      <x:c r="J3208" s="48" t="n">
        <x:v>0.4</x:v>
      </x:c>
      <x:c r="K3208" s="48" t="str">
        <x:v>Yes</x:v>
      </x:c>
      <x:c r="L3208" s="48" t="str">
        <x:v>OCR</x:v>
      </x:c>
    </x:row>
    <x:row r="3209">
      <x:c r="A3209" s="48" t="str">
        <x:v>UNI-3208</x:v>
      </x:c>
      <x:c r="B3209" s="48" t="str">
        <x:v>SILVER</x:v>
      </x:c>
      <x:c r="C3209" s="48" t="str">
        <x:v>Indonesian</x:v>
      </x:c>
      <x:c r="D3209" s="48" t="n">
        <x:v>77</x:v>
      </x:c>
      <x:c r="E3209" s="48" t="str"/>
      <x:c r="F3209" s="48" t="str">
        <x:v>Terasa Gharguman ski dayan asa</x:v>
      </x:c>
      <x:c r="G3209" s="48" t="str">
        <x:v>Obligation</x:v>
      </x:c>
      <x:c r="H3209" s="48" t="str">
        <x:v>Shared</x:v>
      </x:c>
      <x:c r="I3209" s="48" t="n">
        <x:v>0.45</x:v>
      </x:c>
      <x:c r="J3209" s="48" t="n">
        <x:v>0.4</x:v>
      </x:c>
      <x:c r="K3209" s="48" t="str">
        <x:v>Yes</x:v>
      </x:c>
      <x:c r="L3209" s="48" t="str">
        <x:v>OCR</x:v>
      </x:c>
    </x:row>
    <x:row r="3210">
      <x:c r="A3210" s="48" t="str">
        <x:v>UNI-3209</x:v>
      </x:c>
      <x:c r="B3210" s="48" t="str">
        <x:v>SILVER</x:v>
      </x:c>
      <x:c r="C3210" s="48" t="str">
        <x:v>Indonesian</x:v>
      </x:c>
      <x:c r="D3210" s="48" t="n">
        <x:v>77</x:v>
      </x:c>
      <x:c r="E3210" s="48" t="str"/>
      <x:c r="F3210" s="48" t="str">
        <x:v>Toska sa Pata ar ek ekhsan patner me nasa</x:v>
      </x:c>
      <x:c r="G3210" s="48" t="str">
        <x:v>Obligation</x:v>
      </x:c>
      <x:c r="H3210" s="48" t="str">
        <x:v>Shared</x:v>
      </x:c>
      <x:c r="I3210" s="48" t="n">
        <x:v>0.45</x:v>
      </x:c>
      <x:c r="J3210" s="48" t="n">
        <x:v>0.4</x:v>
      </x:c>
      <x:c r="K3210" s="48" t="str">
        <x:v>Yes</x:v>
      </x:c>
      <x:c r="L3210" s="48" t="str">
        <x:v>OCR</x:v>
      </x:c>
    </x:row>
    <x:row r="3211">
      <x:c r="A3211" s="48" t="str">
        <x:v>UNI-3210</x:v>
      </x:c>
      <x:c r="B3211" s="48" t="str">
        <x:v>SILVER</x:v>
      </x:c>
      <x:c r="C3211" s="48" t="str">
        <x:v>Indonesian</x:v>
      </x:c>
      <x:c r="D3211" s="48" t="n">
        <x:v>77</x:v>
      </x:c>
      <x:c r="E3211" s="48" t="str"/>
      <x:c r="F3211" s="48" t="str">
        <x:v>Deitapa ana va Desakan an en On Pra Lab pn</x:v>
      </x:c>
      <x:c r="G3211" s="48" t="str">
        <x:v>Obligation</x:v>
      </x:c>
      <x:c r="H3211" s="48" t="str">
        <x:v>Shared</x:v>
      </x:c>
      <x:c r="I3211" s="48" t="n">
        <x:v>0.45</x:v>
      </x:c>
      <x:c r="J3211" s="48" t="n">
        <x:v>0.4</x:v>
      </x:c>
      <x:c r="K3211" s="48" t="str">
        <x:v>Yes</x:v>
      </x:c>
      <x:c r="L3211" s="48" t="str">
        <x:v>OCR</x:v>
      </x:c>
    </x:row>
    <x:row r="3212">
      <x:c r="A3212" s="48" t="str">
        <x:v>UNI-3211</x:v>
      </x:c>
      <x:c r="B3212" s="48" t="str">
        <x:v>SILVER</x:v>
      </x:c>
      <x:c r="C3212" s="48" t="str">
        <x:v>Indonesian</x:v>
      </x:c>
      <x:c r="D3212" s="48" t="n">
        <x:v>77</x:v>
      </x:c>
      <x:c r="E3212" s="48" t="str"/>
      <x:c r="F3212" s="48" t="str">
        <x:v>PIA mika lt trwaru mean petakan Pal yag pena</x:v>
      </x:c>
      <x:c r="G3212" s="48" t="str">
        <x:v>Obligation</x:v>
      </x:c>
      <x:c r="H3212" s="48" t="str">
        <x:v>Shared</x:v>
      </x:c>
      <x:c r="I3212" s="48" t="n">
        <x:v>0.45</x:v>
      </x:c>
      <x:c r="J3212" s="48" t="n">
        <x:v>0.4</x:v>
      </x:c>
      <x:c r="K3212" s="48" t="str">
        <x:v>Yes</x:v>
      </x:c>
      <x:c r="L3212" s="48" t="str">
        <x:v>OCR</x:v>
      </x:c>
    </x:row>
    <x:row r="3213">
      <x:c r="A3213" s="48" t="str">
        <x:v>UNI-3212</x:v>
      </x:c>
      <x:c r="B3213" s="48" t="str">
        <x:v>SILVER</x:v>
      </x:c>
      <x:c r="C3213" s="48" t="str">
        <x:v>Indonesian</x:v>
      </x:c>
      <x:c r="D3213" s="48" t="n">
        <x:v>77</x:v>
      </x:c>
      <x:c r="E3213" s="48" t="str"/>
      <x:c r="F3213" s="48" t="str">
        <x:v>out sn ptepewgarg Ima meamangaanertenguna penang s0 eter yrg doprkan ak delta Ga bansren ana Keruai Bai (On mena Ia yr memuaskan da man tea mus degan Se</x:v>
      </x:c>
      <x:c r="G3213" s="48" t="str">
        <x:v>Obligation</x:v>
      </x:c>
      <x:c r="H3213" s="48" t="str">
        <x:v>Shared</x:v>
      </x:c>
      <x:c r="I3213" s="48" t="n">
        <x:v>0.45</x:v>
      </x:c>
      <x:c r="J3213" s="48" t="n">
        <x:v>0.4</x:v>
      </x:c>
      <x:c r="K3213" s="48" t="str">
        <x:v>Yes</x:v>
      </x:c>
      <x:c r="L3213" s="48" t="str">
        <x:v>OCR</x:v>
      </x:c>
    </x:row>
    <x:row r="3214">
      <x:c r="A3214" s="48" t="str">
        <x:v>UNI-3213</x:v>
      </x:c>
      <x:c r="B3214" s="48" t="str">
        <x:v>SILVER</x:v>
      </x:c>
      <x:c r="C3214" s="48" t="str">
        <x:v>Indonesian</x:v>
      </x:c>
      <x:c r="D3214" s="48" t="n">
        <x:v>77</x:v>
      </x:c>
      <x:c r="E3214" s="48" t="str"/>
      <x:c r="F3214" s="48" t="str">
        <x:v>Mma Pan cp tara Gmn tr mer Pk puan</x:v>
      </x:c>
      <x:c r="G3214" s="48" t="str">
        <x:v>Obligation</x:v>
      </x:c>
      <x:c r="H3214" s="48" t="str">
        <x:v>Shared</x:v>
      </x:c>
      <x:c r="I3214" s="48" t="n">
        <x:v>0.45</x:v>
      </x:c>
      <x:c r="J3214" s="48" t="n">
        <x:v>0.4</x:v>
      </x:c>
      <x:c r="K3214" s="48" t="str">
        <x:v>Yes</x:v>
      </x:c>
      <x:c r="L3214" s="48" t="str">
        <x:v>OCR</x:v>
      </x:c>
    </x:row>
    <x:row r="3215">
      <x:c r="A3215" s="48" t="str">
        <x:v>UNI-3214</x:v>
      </x:c>
      <x:c r="B3215" s="48" t="str">
        <x:v>SILVER</x:v>
      </x:c>
      <x:c r="C3215" s="48" t="str">
        <x:v>Indonesian</x:v>
      </x:c>
      <x:c r="D3215" s="48" t="n">
        <x:v>77</x:v>
      </x:c>
      <x:c r="E3215" s="48" t="str"/>
      <x:c r="F3215" s="48" t="str">
        <x:v>“amal meroisttan oarra Organ etrgargn yng sat an matan gann Pang mrosesaan ena mana La Dena (Com Pr Kroak paya an data</x:v>
      </x:c>
      <x:c r="G3215" s="48" t="str">
        <x:v>Obligation</x:v>
      </x:c>
      <x:c r="H3215" s="48" t="str">
        <x:v>Shared</x:v>
      </x:c>
      <x:c r="I3215" s="48" t="n">
        <x:v>0.45</x:v>
      </x:c>
      <x:c r="J3215" s="48" t="n">
        <x:v>0.4</x:v>
      </x:c>
      <x:c r="K3215" s="48" t="str">
        <x:v>Yes</x:v>
      </x:c>
      <x:c r="L3215" s="48" t="str">
        <x:v>OCR</x:v>
      </x:c>
    </x:row>
    <x:row r="3216">
      <x:c r="A3216" s="48" t="str">
        <x:v>UNI-3215</x:v>
      </x:c>
      <x:c r="B3216" s="48" t="str">
        <x:v>SILVER</x:v>
      </x:c>
      <x:c r="C3216" s="48" t="str">
        <x:v>Indonesian</x:v>
      </x:c>
      <x:c r="D3216" s="48" t="n">
        <x:v>77</x:v>
      </x:c>
      <x:c r="E3216" s="48" t="str"/>
      <x:c r="F3216" s="48" t="str">
        <x:v>Tak en Shan Gian Mania Ii yrg mantan lensan Urgargaes</x:v>
      </x:c>
      <x:c r="G3216" s="48" t="str">
        <x:v>Obligation</x:v>
      </x:c>
      <x:c r="H3216" s="48" t="str">
        <x:v>Shared</x:v>
      </x:c>
      <x:c r="I3216" s="48" t="n">
        <x:v>0.45</x:v>
      </x:c>
      <x:c r="J3216" s="48" t="n">
        <x:v>0.4</x:v>
      </x:c>
      <x:c r="K3216" s="48" t="str">
        <x:v>Yes</x:v>
      </x:c>
      <x:c r="L3216" s="48" t="str">
        <x:v>OCR</x:v>
      </x:c>
    </x:row>
    <x:row r="3217">
      <x:c r="A3217" s="48" t="str">
        <x:v>UNI-3216</x:v>
      </x:c>
      <x:c r="B3217" s="48" t="str">
        <x:v>SILVER</x:v>
      </x:c>
      <x:c r="C3217" s="48" t="str">
        <x:v>Indonesian</x:v>
      </x:c>
      <x:c r="D3217" s="48" t="n">
        <x:v>77</x:v>
      </x:c>
      <x:c r="E3217" s="48" t="str"/>
      <x:c r="F3217" s="48" t="str">
        <x:v>Ietunatatungargaab Letak ami Peras mena Dana apaan</x:v>
      </x:c>
      <x:c r="G3217" s="48" t="str">
        <x:v>Obligation</x:v>
      </x:c>
      <x:c r="H3217" s="48" t="str">
        <x:v>Shared</x:v>
      </x:c>
      <x:c r="I3217" s="48" t="n">
        <x:v>0.45</x:v>
      </x:c>
      <x:c r="J3217" s="48" t="n">
        <x:v>0.4</x:v>
      </x:c>
      <x:c r="K3217" s="48" t="str">
        <x:v>Yes</x:v>
      </x:c>
      <x:c r="L3217" s="48" t="str">
        <x:v>OCR</x:v>
      </x:c>
    </x:row>
    <x:row r="3218">
      <x:c r="A3218" s="48" t="str">
        <x:v>UNI-3217</x:v>
      </x:c>
      <x:c r="B3218" s="48" t="str">
        <x:v>SILVER</x:v>
      </x:c>
      <x:c r="C3218" s="48" t="str">
        <x:v>Indonesian</x:v>
      </x:c>
      <x:c r="D3218" s="48" t="n">
        <x:v>77</x:v>
      </x:c>
      <x:c r="E3218" s="48" t="str"/>
      <x:c r="F3218" s="48" t="str">
        <x:v>(Kr an ma anjar Wa ata Lam dekan</x:v>
      </x:c>
      <x:c r="G3218" s="48" t="str">
        <x:v>Obligation</x:v>
      </x:c>
      <x:c r="H3218" s="48" t="str">
        <x:v>Shared</x:v>
      </x:c>
      <x:c r="I3218" s="48" t="n">
        <x:v>0.45</x:v>
      </x:c>
      <x:c r="J3218" s="48" t="n">
        <x:v>0.4</x:v>
      </x:c>
      <x:c r="K3218" s="48" t="str">
        <x:v>Yes</x:v>
      </x:c>
      <x:c r="L3218" s="48" t="str">
        <x:v>OCR</x:v>
      </x:c>
    </x:row>
    <x:row r="3219">
      <x:c r="A3219" s="48" t="str">
        <x:v>UNI-3218</x:v>
      </x:c>
      <x:c r="B3219" s="48" t="str">
        <x:v>SILVER</x:v>
      </x:c>
      <x:c r="C3219" s="48" t="str">
        <x:v>Indonesian</x:v>
      </x:c>
      <x:c r="D3219" s="48" t="n">
        <x:v>77</x:v>
      </x:c>
      <x:c r="E3219" s="48" t="str"/>
      <x:c r="F3219" s="48" t="str">
        <x:v>Sen ptk pearuaso one dngarg dan Kanvas da</x:v>
      </x:c>
      <x:c r="G3219" s="48" t="str">
        <x:v>Obligation</x:v>
      </x:c>
      <x:c r="H3219" s="48" t="str">
        <x:v>Shared</x:v>
      </x:c>
      <x:c r="I3219" s="48" t="n">
        <x:v>0.45</x:v>
      </x:c>
      <x:c r="J3219" s="48" t="n">
        <x:v>0.4</x:v>
      </x:c>
      <x:c r="K3219" s="48" t="str">
        <x:v>Yes</x:v>
      </x:c>
      <x:c r="L3219" s="48" t="str">
        <x:v>OCR</x:v>
      </x:c>
    </x:row>
    <x:row r="3220">
      <x:c r="A3220" s="48" t="str">
        <x:v>UNI-3219</x:v>
      </x:c>
      <x:c r="B3220" s="48" t="str">
        <x:v>SILVER</x:v>
      </x:c>
      <x:c r="C3220" s="48" t="str">
        <x:v>Indonesian</x:v>
      </x:c>
      <x:c r="D3220" s="48" t="n">
        <x:v>77</x:v>
      </x:c>
      <x:c r="E3220" s="48" t="str"/>
      <x:c r="F3220" s="48" t="str">
        <x:v>SEL Gro kesakan roda human urgaryam Fl Manasi</x:v>
      </x:c>
      <x:c r="G3220" s="48" t="str">
        <x:v>Obligation</x:v>
      </x:c>
      <x:c r="H3220" s="48" t="str">
        <x:v>Shared</x:v>
      </x:c>
      <x:c r="I3220" s="48" t="n">
        <x:v>0.45</x:v>
      </x:c>
      <x:c r="J3220" s="48" t="n">
        <x:v>0.4</x:v>
      </x:c>
      <x:c r="K3220" s="48" t="str">
        <x:v>Yes</x:v>
      </x:c>
      <x:c r="L3220" s="48" t="str">
        <x:v>OCR</x:v>
      </x:c>
    </x:row>
    <x:row r="3221">
      <x:c r="A3221" s="48" t="str">
        <x:v>UNI-3220</x:v>
      </x:c>
      <x:c r="B3221" s="48" t="str">
        <x:v>SILVER</x:v>
      </x:c>
      <x:c r="C3221" s="48" t="str">
        <x:v>Indonesian</x:v>
      </x:c>
      <x:c r="D3221" s="48" t="n">
        <x:v>77</x:v>
      </x:c>
      <x:c r="E3221" s="48" t="str"/>
      <x:c r="F3221" s="48" t="str">
        <x:v>(Se Pak yg mergakarkan Opi mergetanan Gn meetnetan knp ar nye doyan ak Selatan ce tan mena Nerta. an Ptk ca menpadiberguosanmurun engaltan anjani</x:v>
      </x:c>
      <x:c r="G3221" s="48" t="str">
        <x:v>Obligation</x:v>
      </x:c>
      <x:c r="H3221" s="48" t="str">
        <x:v>Shared</x:v>
      </x:c>
      <x:c r="I3221" s="48" t="n">
        <x:v>0.45</x:v>
      </x:c>
      <x:c r="J3221" s="48" t="n">
        <x:v>0.4</x:v>
      </x:c>
      <x:c r="K3221" s="48" t="str">
        <x:v>Yes</x:v>
      </x:c>
      <x:c r="L3221" s="48" t="str">
        <x:v>OCR</x:v>
      </x:c>
    </x:row>
    <x:row r="3222">
      <x:c r="A3222" s="48" t="str">
        <x:v>UNI-3221</x:v>
      </x:c>
      <x:c r="B3222" s="48" t="str">
        <x:v>SILVER</x:v>
      </x:c>
      <x:c r="C3222" s="48" t="str">
        <x:v>Indonesian</x:v>
      </x:c>
      <x:c r="D3222" s="48" t="n">
        <x:v>77</x:v>
      </x:c>
      <x:c r="E3222" s="48" t="str"/>
      <x:c r="F3222" s="48" t="str">
        <x:v>ILK engan la aan Pang yeg rat Org mELaA</x:v>
      </x:c>
      <x:c r="G3222" s="48" t="str">
        <x:v>Obligation</x:v>
      </x:c>
      <x:c r="H3222" s="48" t="str">
        <x:v>Shared</x:v>
      </x:c>
      <x:c r="I3222" s="48" t="n">
        <x:v>0.45</x:v>
      </x:c>
      <x:c r="J3222" s="48" t="n">
        <x:v>0.4</x:v>
      </x:c>
      <x:c r="K3222" s="48" t="str">
        <x:v>Yes</x:v>
      </x:c>
      <x:c r="L3222" s="48" t="str">
        <x:v>OCR</x:v>
      </x:c>
    </x:row>
    <x:row r="3223">
      <x:c r="A3223" s="48" t="str">
        <x:v>UNI-3222</x:v>
      </x:c>
      <x:c r="B3223" s="48" t="str">
        <x:v>SILVER</x:v>
      </x:c>
      <x:c r="C3223" s="48" t="str">
        <x:v>Indonesian</x:v>
      </x:c>
      <x:c r="D3223" s="48" t="n">
        <x:v>77</x:v>
      </x:c>
      <x:c r="E3223" s="48" t="str"/>
      <x:c r="F3223" s="48" t="str">
        <x:v>SANA Ke Ga Pkyag menga</x:v>
      </x:c>
      <x:c r="G3223" s="48" t="str">
        <x:v>Obligation</x:v>
      </x:c>
      <x:c r="H3223" s="48" t="str">
        <x:v>Shared</x:v>
      </x:c>
      <x:c r="I3223" s="48" t="n">
        <x:v>0.45</x:v>
      </x:c>
      <x:c r="J3223" s="48" t="n">
        <x:v>0.4</x:v>
      </x:c>
      <x:c r="K3223" s="48" t="str">
        <x:v>Yes</x:v>
      </x:c>
      <x:c r="L3223" s="48" t="str">
        <x:v>OCR</x:v>
      </x:c>
    </x:row>
    <x:row r="3224">
      <x:c r="A3224" s="48" t="str">
        <x:v>UNI-3223</x:v>
      </x:c>
      <x:c r="B3224" s="48" t="str">
        <x:v>SILVER</x:v>
      </x:c>
      <x:c r="C3224" s="48" t="str">
        <x:v>Indonesian</x:v>
      </x:c>
      <x:c r="D3224" s="48" t="n">
        <x:v>77</x:v>
      </x:c>
      <x:c r="E3224" s="48" t="str"/>
      <x:c r="F3224" s="48" t="str">
        <x:v>Pentagran Gt au Pat supada Pak Ian has erkentan SubiCasda</x:v>
      </x:c>
      <x:c r="G3224" s="48" t="str">
        <x:v>Obligation</x:v>
      </x:c>
      <x:c r="H3224" s="48" t="str">
        <x:v>Shared</x:v>
      </x:c>
      <x:c r="I3224" s="48" t="n">
        <x:v>0.45</x:v>
      </x:c>
      <x:c r="J3224" s="48" t="n">
        <x:v>0.4</x:v>
      </x:c>
      <x:c r="K3224" s="48" t="str">
        <x:v>Yes</x:v>
      </x:c>
      <x:c r="L3224" s="48" t="str">
        <x:v>OCR</x:v>
      </x:c>
    </x:row>
    <x:row r="3225">
      <x:c r="A3225" s="48" t="str">
        <x:v>UNI-3224</x:v>
      </x:c>
      <x:c r="B3225" s="48" t="str">
        <x:v>SILVER</x:v>
      </x:c>
      <x:c r="C3225" s="48" t="str">
        <x:v>Indonesian</x:v>
      </x:c>
      <x:c r="D3225" s="48" t="n">
        <x:v>77</x:v>
      </x:c>
      <x:c r="E3225" s="48" t="str">
        <x:v>28</x:v>
      </x:c>
      <x:c r="F3225" s="48" t="str">
        <x:v>28 Im Oh PGA Ls ls Bb Aman PI PA en Kera</x:v>
      </x:c>
      <x:c r="G3225" s="48" t="str">
        <x:v>Heading</x:v>
      </x:c>
      <x:c r="H3225" s="48" t="str"/>
      <x:c r="I3225" s="48" t="n">
        <x:v>0.9</x:v>
      </x:c>
      <x:c r="J3225" s="48" t="n">
        <x:v>0.99</x:v>
      </x:c>
      <x:c r="K3225" s="48" t="str">
        <x:v>No</x:v>
      </x:c>
      <x:c r="L3225" s="48" t="str">
        <x:v>OCR</x:v>
      </x:c>
    </x:row>
    <x:row r="3226">
      <x:c r="A3226" s="48" t="str">
        <x:v>UNI-3225</x:v>
      </x:c>
      <x:c r="B3226" s="48" t="str">
        <x:v>SILVER</x:v>
      </x:c>
      <x:c r="C3226" s="48" t="str">
        <x:v>Indonesian</x:v>
      </x:c>
      <x:c r="D3226" s="48" t="n">
        <x:v>77</x:v>
      </x:c>
      <x:c r="E3226" s="48" t="str"/>
      <x:c r="F3226" s="48" t="str">
        <x:v>menara peemtan Pra aro mengamaraan tata mergaaswetan Puja Pa Man,</x:v>
      </x:c>
      <x:c r="G3226" s="48" t="str">
        <x:v>Obligation</x:v>
      </x:c>
      <x:c r="H3226" s="48" t="str">
        <x:v>Shared</x:v>
      </x:c>
      <x:c r="I3226" s="48" t="n">
        <x:v>0.45</x:v>
      </x:c>
      <x:c r="J3226" s="48" t="n">
        <x:v>0.4</x:v>
      </x:c>
      <x:c r="K3226" s="48" t="str">
        <x:v>Yes</x:v>
      </x:c>
      <x:c r="L3226" s="48" t="str">
        <x:v>OCR</x:v>
      </x:c>
    </x:row>
    <x:row r="3227">
      <x:c r="A3227" s="48" t="str">
        <x:v>UNI-3226</x:v>
      </x:c>
      <x:c r="B3227" s="48" t="str">
        <x:v>SILVER</x:v>
      </x:c>
      <x:c r="C3227" s="48" t="str">
        <x:v>Indonesian</x:v>
      </x:c>
      <x:c r="D3227" s="48" t="n">
        <x:v>77</x:v>
      </x:c>
      <x:c r="E3227" s="48" t="str"/>
      <x:c r="F3227" s="48" t="str">
        <x:v>Peta dan (ten Dikta Kertak on rng pemanenan</x:v>
      </x:c>
      <x:c r="G3227" s="48" t="str">
        <x:v>Obligation</x:v>
      </x:c>
      <x:c r="H3227" s="48" t="str">
        <x:v>Shared</x:v>
      </x:c>
      <x:c r="I3227" s="48" t="n">
        <x:v>0.45</x:v>
      </x:c>
      <x:c r="J3227" s="48" t="n">
        <x:v>0.4</x:v>
      </x:c>
      <x:c r="K3227" s="48" t="str">
        <x:v>Yes</x:v>
      </x:c>
      <x:c r="L3227" s="48" t="str">
        <x:v>OCR</x:v>
      </x:c>
    </x:row>
    <x:row r="3228">
      <x:c r="A3228" s="48" t="str">
        <x:v>UNI-3227</x:v>
      </x:c>
      <x:c r="B3228" s="48" t="str">
        <x:v>SILVER</x:v>
      </x:c>
      <x:c r="C3228" s="48" t="str">
        <x:v>Indonesian</x:v>
      </x:c>
      <x:c r="D3228" s="48" t="n">
        <x:v>77</x:v>
      </x:c>
      <x:c r="E3228" s="48" t="str"/>
      <x:c r="F3228" s="48" t="str">
        <x:v>Peritan Konrtr USA ita Sembada Perean bra de Ju Dea Gn</x:v>
      </x:c>
      <x:c r="G3228" s="48" t="str">
        <x:v>Obligation</x:v>
      </x:c>
      <x:c r="H3228" s="48" t="str">
        <x:v>Shared</x:v>
      </x:c>
      <x:c r="I3228" s="48" t="n">
        <x:v>0.45</x:v>
      </x:c>
      <x:c r="J3228" s="48" t="n">
        <x:v>0.4</x:v>
      </x:c>
      <x:c r="K3228" s="48" t="str">
        <x:v>Yes</x:v>
      </x:c>
      <x:c r="L3228" s="48" t="str">
        <x:v>OCR</x:v>
      </x:c>
    </x:row>
    <x:row r="3229">
      <x:c r="A3229" s="48" t="str">
        <x:v>UNI-3228</x:v>
      </x:c>
      <x:c r="B3229" s="48" t="str">
        <x:v>SILVER</x:v>
      </x:c>
      <x:c r="C3229" s="48" t="str">
        <x:v>Indonesian</x:v>
      </x:c>
      <x:c r="D3229" s="48" t="n">
        <x:v>78</x:v>
      </x:c>
      <x:c r="E3229" s="48" t="str"/>
      <x:c r="F3229" s="48" t="str">
        <x:v>Merr Aa Fr Bt ta Ur penaraan pl</x:v>
      </x:c>
      <x:c r="G3229" s="48" t="str">
        <x:v>Obligation</x:v>
      </x:c>
      <x:c r="H3229" s="48" t="str">
        <x:v>Shared</x:v>
      </x:c>
      <x:c r="I3229" s="48" t="n">
        <x:v>0.45</x:v>
      </x:c>
      <x:c r="J3229" s="48" t="n">
        <x:v>0.4</x:v>
      </x:c>
      <x:c r="K3229" s="48" t="str">
        <x:v>Yes</x:v>
      </x:c>
      <x:c r="L3229" s="48" t="str">
        <x:v>OCR</x:v>
      </x:c>
    </x:row>
    <x:row r="3230">
      <x:c r="A3230" s="48" t="str">
        <x:v>UNI-3229</x:v>
      </x:c>
      <x:c r="B3230" s="48" t="str">
        <x:v>SILVER</x:v>
      </x:c>
      <x:c r="C3230" s="48" t="str">
        <x:v>Indonesian</x:v>
      </x:c>
      <x:c r="D3230" s="48" t="n">
        <x:v>78</x:v>
      </x:c>
      <x:c r="E3230" s="48" t="str"/>
      <x:c r="F3230" s="48" t="str">
        <x:v>Pangan Oon nga Sottarnya Be aa Peyang</x:v>
      </x:c>
      <x:c r="G3230" s="48" t="str">
        <x:v>Obligation</x:v>
      </x:c>
      <x:c r="H3230" s="48" t="str">
        <x:v>Shared</x:v>
      </x:c>
      <x:c r="I3230" s="48" t="n">
        <x:v>0.45</x:v>
      </x:c>
      <x:c r="J3230" s="48" t="n">
        <x:v>0.4</x:v>
      </x:c>
      <x:c r="K3230" s="48" t="str">
        <x:v>Yes</x:v>
      </x:c>
      <x:c r="L3230" s="48" t="str">
        <x:v>OCR</x:v>
      </x:c>
    </x:row>
    <x:row r="3231">
      <x:c r="A3231" s="48" t="str">
        <x:v>UNI-3230</x:v>
      </x:c>
      <x:c r="B3231" s="48" t="str">
        <x:v>SILVER</x:v>
      </x:c>
      <x:c r="C3231" s="48" t="str">
        <x:v>Indonesian</x:v>
      </x:c>
      <x:c r="D3231" s="48" t="n">
        <x:v>78</x:v>
      </x:c>
      <x:c r="E3231" s="48" t="str"/>
      <x:c r="F3231" s="48" t="str">
        <x:v>(kanan yr mena tegar Kera gr db pa mob tc dkakterya Oa Ae Se Tn dn kera (an bran yng dewan ce er tara pan lega Semak ang Dedsatn Kao 11 onggrgaseb sar Carr Mal Gen Ika 12 Pran Son Pa</x:v>
      </x:c>
      <x:c r="G3231" s="48" t="str">
        <x:v>Obligation</x:v>
      </x:c>
      <x:c r="H3231" s="48" t="str">
        <x:v>Shared</x:v>
      </x:c>
      <x:c r="I3231" s="48" t="n">
        <x:v>0.45</x:v>
      </x:c>
      <x:c r="J3231" s="48" t="n">
        <x:v>0.4</x:v>
      </x:c>
      <x:c r="K3231" s="48" t="str">
        <x:v>Yes</x:v>
      </x:c>
      <x:c r="L3231" s="48" t="str">
        <x:v>OCR</x:v>
      </x:c>
    </x:row>
    <x:row r="3232">
      <x:c r="A3232" s="48" t="str">
        <x:v>UNI-3231</x:v>
      </x:c>
      <x:c r="B3232" s="48" t="str">
        <x:v>SILVER</x:v>
      </x:c>
      <x:c r="C3232" s="48" t="str">
        <x:v>Indonesian</x:v>
      </x:c>
      <x:c r="D3232" s="48" t="n">
        <x:v>78</x:v>
      </x:c>
      <x:c r="E3232" s="48" t="str"/>
      <x:c r="F3232" s="48" t="str">
        <x:v>Prana mrgsnsandan ta merganpraan Pesan Kemat sera Kk</x:v>
      </x:c>
      <x:c r="G3232" s="48" t="str">
        <x:v>Obligation</x:v>
      </x:c>
      <x:c r="H3232" s="48" t="str">
        <x:v>Shared</x:v>
      </x:c>
      <x:c r="I3232" s="48" t="n">
        <x:v>0.45</x:v>
      </x:c>
      <x:c r="J3232" s="48" t="n">
        <x:v>0.4</x:v>
      </x:c>
      <x:c r="K3232" s="48" t="str">
        <x:v>Yes</x:v>
      </x:c>
      <x:c r="L3232" s="48" t="str">
        <x:v>OCR</x:v>
      </x:c>
    </x:row>
    <x:row r="3233">
      <x:c r="A3233" s="48" t="str">
        <x:v>UNI-3232</x:v>
      </x:c>
      <x:c r="B3233" s="48" t="str">
        <x:v>SILVER</x:v>
      </x:c>
      <x:c r="C3233" s="48" t="str">
        <x:v>Indonesian</x:v>
      </x:c>
      <x:c r="D3233" s="48" t="n">
        <x:v>78</x:v>
      </x:c>
      <x:c r="E3233" s="48" t="str"/>
      <x:c r="F3233" s="48" t="str">
        <x:v>Ikang iri erat can pen tera preman Acuan UK</x:v>
      </x:c>
      <x:c r="G3233" s="48" t="str">
        <x:v>Obligation</x:v>
      </x:c>
      <x:c r="H3233" s="48" t="str">
        <x:v>Shared</x:v>
      </x:c>
      <x:c r="I3233" s="48" t="n">
        <x:v>0.45</x:v>
      </x:c>
      <x:c r="J3233" s="48" t="n">
        <x:v>0.4</x:v>
      </x:c>
      <x:c r="K3233" s="48" t="str">
        <x:v>Yes</x:v>
      </x:c>
      <x:c r="L3233" s="48" t="str">
        <x:v>OCR</x:v>
      </x:c>
    </x:row>
    <x:row r="3234">
      <x:c r="A3234" s="48" t="str">
        <x:v>UNI-3233</x:v>
      </x:c>
      <x:c r="B3234" s="48" t="str">
        <x:v>SILVER</x:v>
      </x:c>
      <x:c r="C3234" s="48" t="str">
        <x:v>Indonesian</x:v>
      </x:c>
      <x:c r="D3234" s="48" t="n">
        <x:v>78</x:v>
      </x:c>
      <x:c r="E3234" s="48" t="str"/>
      <x:c r="F3234" s="48" t="str">
        <x:v>Sea pr Pena Kere, ara hara Me Da toa drgut</x:v>
      </x:c>
      <x:c r="G3234" s="48" t="str">
        <x:v>Obligation</x:v>
      </x:c>
      <x:c r="H3234" s="48" t="str">
        <x:v>Shared</x:v>
      </x:c>
      <x:c r="I3234" s="48" t="n">
        <x:v>0.45</x:v>
      </x:c>
      <x:c r="J3234" s="48" t="n">
        <x:v>0.4</x:v>
      </x:c>
      <x:c r="K3234" s="48" t="str">
        <x:v>Yes</x:v>
      </x:c>
      <x:c r="L3234" s="48" t="str">
        <x:v>OCR</x:v>
      </x:c>
    </x:row>
    <x:row r="3235">
      <x:c r="A3235" s="48" t="str">
        <x:v>UNI-3234</x:v>
      </x:c>
      <x:c r="B3235" s="48" t="str">
        <x:v>SILVER</x:v>
      </x:c>
      <x:c r="C3235" s="48" t="str">
        <x:v>Indonesian</x:v>
      </x:c>
      <x:c r="D3235" s="48" t="n">
        <x:v>78</x:v>
      </x:c>
      <x:c r="E3235" s="48" t="str"/>
      <x:c r="F3235" s="48" t="str">
        <x:v>Pa Agro aen Prog Ka dak bag Pn er</x:v>
      </x:c>
      <x:c r="G3235" s="48" t="str">
        <x:v>Obligation</x:v>
      </x:c>
      <x:c r="H3235" s="48" t="str">
        <x:v>Shared</x:v>
      </x:c>
      <x:c r="I3235" s="48" t="n">
        <x:v>0.45</x:v>
      </x:c>
      <x:c r="J3235" s="48" t="n">
        <x:v>0.4</x:v>
      </x:c>
      <x:c r="K3235" s="48" t="str">
        <x:v>Yes</x:v>
      </x:c>
      <x:c r="L3235" s="48" t="str">
        <x:v>OCR</x:v>
      </x:c>
    </x:row>
    <x:row r="3236">
      <x:c r="A3236" s="48" t="str">
        <x:v>UNI-3235</x:v>
      </x:c>
      <x:c r="B3236" s="48" t="str">
        <x:v>SILVER</x:v>
      </x:c>
      <x:c r="C3236" s="48" t="str">
        <x:v>Indonesian</x:v>
      </x:c>
      <x:c r="D3236" s="48" t="n">
        <x:v>78</x:v>
      </x:c>
      <x:c r="E3236" s="48" t="str"/>
      <x:c r="F3236" s="48" t="str">
        <x:v>Mecu waba nyaman un en Ker an ari bedaatan S0 (8 Pena dksthan dan Gorabatan Oh Ketan ng Pak ara</x:v>
      </x:c>
      <x:c r="G3236" s="48" t="str">
        <x:v>Obligation</x:v>
      </x:c>
      <x:c r="H3236" s="48" t="str">
        <x:v>Shared</x:v>
      </x:c>
      <x:c r="I3236" s="48" t="n">
        <x:v>0.45</x:v>
      </x:c>
      <x:c r="J3236" s="48" t="n">
        <x:v>0.4</x:v>
      </x:c>
      <x:c r="K3236" s="48" t="str">
        <x:v>Yes</x:v>
      </x:c>
      <x:c r="L3236" s="48" t="str">
        <x:v>OCR</x:v>
      </x:c>
    </x:row>
    <x:row r="3237">
      <x:c r="A3237" s="48" t="str">
        <x:v>UNI-3236</x:v>
      </x:c>
      <x:c r="B3237" s="48" t="str">
        <x:v>SILVER</x:v>
      </x:c>
      <x:c r="C3237" s="48" t="str">
        <x:v>Indonesian</x:v>
      </x:c>
      <x:c r="D3237" s="48" t="n">
        <x:v>78</x:v>
      </x:c>
      <x:c r="E3237" s="48" t="str">
        <x:v>1</x:v>
      </x:c>
      <x:c r="F3237" s="48" t="str">
        <x:v>1 Pengimarera ar Pbat yng seorabesana car aan tuk merasra</x:v>
      </x:c>
      <x:c r="G3237" s="48" t="str">
        <x:v>Heading</x:v>
      </x:c>
      <x:c r="H3237" s="48" t="str"/>
      <x:c r="I3237" s="48" t="n">
        <x:v>0.9</x:v>
      </x:c>
      <x:c r="J3237" s="48" t="n">
        <x:v>0.99</x:v>
      </x:c>
      <x:c r="K3237" s="48" t="str">
        <x:v>No</x:v>
      </x:c>
      <x:c r="L3237" s="48" t="str">
        <x:v>OCR</x:v>
      </x:c>
    </x:row>
    <x:row r="3238">
      <x:c r="A3238" s="48" t="str">
        <x:v>UNI-3237</x:v>
      </x:c>
      <x:c r="B3238" s="48" t="str">
        <x:v>SILVER</x:v>
      </x:c>
      <x:c r="C3238" s="48" t="str">
        <x:v>Indonesian</x:v>
      </x:c>
      <x:c r="D3238" s="48" t="n">
        <x:v>78</x:v>
      </x:c>
      <x:c r="E3238" s="48" t="str"/>
      <x:c r="F3238" s="48" t="str">
        <x:v>pertama Cat stek pewUarD. peraaan yg Suuban adan Ora pre Ou rAk an Yara pia endang (&amp; P1 MAN SATA heigan din keran it penebar Kak Mean aan Go 1 Yaa Prosa ogangal 4 S1 bata 173 Pest Pegangan</x:v>
      </x:c>
      <x:c r="G3238" s="48" t="str">
        <x:v>Obligation</x:v>
      </x:c>
      <x:c r="H3238" s="48" t="str">
        <x:v>Shared</x:v>
      </x:c>
      <x:c r="I3238" s="48" t="n">
        <x:v>0.45</x:v>
      </x:c>
      <x:c r="J3238" s="48" t="n">
        <x:v>0.4</x:v>
      </x:c>
      <x:c r="K3238" s="48" t="str">
        <x:v>Yes</x:v>
      </x:c>
      <x:c r="L3238" s="48" t="str">
        <x:v>OCR</x:v>
      </x:c>
    </x:row>
    <x:row r="3239">
      <x:c r="A3239" s="48" t="str">
        <x:v>UNI-3238</x:v>
      </x:c>
      <x:c r="B3239" s="48" t="str">
        <x:v>SILVER</x:v>
      </x:c>
      <x:c r="C3239" s="48" t="str">
        <x:v>Indonesian</x:v>
      </x:c>
      <x:c r="D3239" s="48" t="n">
        <x:v>78</x:v>
      </x:c>
      <x:c r="E3239" s="48" t="str"/>
      <x:c r="F3239" s="48" t="str">
        <x:v>Senen yng dan chat pink KO men inka yag ajakan</x:v>
      </x:c>
      <x:c r="G3239" s="48" t="str">
        <x:v>Obligation</x:v>
      </x:c>
      <x:c r="H3239" s="48" t="str">
        <x:v>Shared</x:v>
      </x:c>
      <x:c r="I3239" s="48" t="n">
        <x:v>0.45</x:v>
      </x:c>
      <x:c r="J3239" s="48" t="n">
        <x:v>0.4</x:v>
      </x:c>
      <x:c r="K3239" s="48" t="str">
        <x:v>Yes</x:v>
      </x:c>
      <x:c r="L3239" s="48" t="str">
        <x:v>OCR</x:v>
      </x:c>
    </x:row>
    <x:row r="3240">
      <x:c r="A3240" s="48" t="str">
        <x:v>UNI-3239</x:v>
      </x:c>
      <x:c r="B3240" s="48" t="str">
        <x:v>SILVER</x:v>
      </x:c>
      <x:c r="C3240" s="48" t="str">
        <x:v>Indonesian</x:v>
      </x:c>
      <x:c r="D3240" s="48" t="n">
        <x:v>78</x:v>
      </x:c>
      <x:c r="E3240" s="48" t="str"/>
      <x:c r="F3240" s="48" t="str">
        <x:v>Men penaan Ona rata imei ayasan pan</x:v>
      </x:c>
      <x:c r="G3240" s="48" t="str">
        <x:v>Obligation</x:v>
      </x:c>
      <x:c r="H3240" s="48" t="str">
        <x:v>Shared</x:v>
      </x:c>
      <x:c r="I3240" s="48" t="n">
        <x:v>0.45</x:v>
      </x:c>
      <x:c r="J3240" s="48" t="n">
        <x:v>0.4</x:v>
      </x:c>
      <x:c r="K3240" s="48" t="str">
        <x:v>Yes</x:v>
      </x:c>
      <x:c r="L3240" s="48" t="str">
        <x:v>OCR</x:v>
      </x:c>
    </x:row>
    <x:row r="3241">
      <x:c r="A3241" s="48" t="str">
        <x:v>UNI-3240</x:v>
      </x:c>
      <x:c r="B3241" s="48" t="str">
        <x:v>SILVER</x:v>
      </x:c>
      <x:c r="C3241" s="48" t="str">
        <x:v>Indonesian</x:v>
      </x:c>
      <x:c r="D3241" s="48" t="n">
        <x:v>78</x:v>
      </x:c>
      <x:c r="E3241" s="48" t="str"/>
      <x:c r="F3241" s="48" t="str">
        <x:v>umat. can</x:v>
      </x:c>
      <x:c r="G3241" s="48" t="str">
        <x:v>Obligation</x:v>
      </x:c>
      <x:c r="H3241" s="48" t="str">
        <x:v>Shared</x:v>
      </x:c>
      <x:c r="I3241" s="48" t="n">
        <x:v>0.45</x:v>
      </x:c>
      <x:c r="J3241" s="48" t="n">
        <x:v>0.4</x:v>
      </x:c>
      <x:c r="K3241" s="48" t="str">
        <x:v>Yes</x:v>
      </x:c>
      <x:c r="L3241" s="48" t="str">
        <x:v>OCR</x:v>
      </x:c>
    </x:row>
    <x:row r="3242">
      <x:c r="A3242" s="48" t="str">
        <x:v>UNI-3241</x:v>
      </x:c>
      <x:c r="B3242" s="48" t="str">
        <x:v>SILVER</x:v>
      </x:c>
      <x:c r="C3242" s="48" t="str">
        <x:v>Indonesian</x:v>
      </x:c>
      <x:c r="D3242" s="48" t="n">
        <x:v>78</x:v>
      </x:c>
      <x:c r="E3242" s="48" t="str">
        <x:v>1</x:v>
      </x:c>
      <x:c r="F3242" s="48" t="str">
        <x:v>1 San mi Ga ak emak Iga su kran Ga pena</x:v>
      </x:c>
      <x:c r="G3242" s="48" t="str">
        <x:v>Heading</x:v>
      </x:c>
      <x:c r="H3242" s="48" t="str"/>
      <x:c r="I3242" s="48" t="n">
        <x:v>0.9</x:v>
      </x:c>
      <x:c r="J3242" s="48" t="n">
        <x:v>0.99</x:v>
      </x:c>
      <x:c r="K3242" s="48" t="str">
        <x:v>No</x:v>
      </x:c>
      <x:c r="L3242" s="48" t="str">
        <x:v>OCR</x:v>
      </x:c>
    </x:row>
    <x:row r="3243">
      <x:c r="A3243" s="48" t="str">
        <x:v>UNI-3242</x:v>
      </x:c>
      <x:c r="B3243" s="48" t="str">
        <x:v>SILVER</x:v>
      </x:c>
      <x:c r="C3243" s="48" t="str">
        <x:v>Indonesian</x:v>
      </x:c>
      <x:c r="D3243" s="48" t="n">
        <x:v>78</x:v>
      </x:c>
      <x:c r="E3243" s="48" t="str"/>
      <x:c r="F3243" s="48" t="str">
        <x:v>(engan Pon yr br Gt Ian Ce mutu kt cacat .mansan branusicanproejan en putragn tenstonaak “gn ar rgs og ita Bar on ceat (MAL in Dhan bkgwrura yan dm Kp pung Hd ban 8 iaganPanjanyrarng ku sek cun ang men bagan</x:v>
      </x:c>
      <x:c r="G3243" s="48" t="str">
        <x:v>Obligation</x:v>
      </x:c>
      <x:c r="H3243" s="48" t="str">
        <x:v>Shared</x:v>
      </x:c>
      <x:c r="I3243" s="48" t="n">
        <x:v>0.45</x:v>
      </x:c>
      <x:c r="J3243" s="48" t="n">
        <x:v>0.4</x:v>
      </x:c>
      <x:c r="K3243" s="48" t="str">
        <x:v>Yes</x:v>
      </x:c>
      <x:c r="L3243" s="48" t="str">
        <x:v>OCR</x:v>
      </x:c>
    </x:row>
    <x:row r="3244">
      <x:c r="A3244" s="48" t="str">
        <x:v>UNI-3243</x:v>
      </x:c>
      <x:c r="B3244" s="48" t="str">
        <x:v>SILVER</x:v>
      </x:c>
      <x:c r="C3244" s="48" t="str">
        <x:v>Indonesian</x:v>
      </x:c>
      <x:c r="D3244" s="48" t="n">
        <x:v>78</x:v>
      </x:c>
      <x:c r="E3244" s="48" t="str"/>
      <x:c r="F3244" s="48" t="str">
        <x:v>Tanpa soda jr renda Gan bean crime</x:v>
      </x:c>
      <x:c r="G3244" s="48" t="str">
        <x:v>Obligation</x:v>
      </x:c>
      <x:c r="H3244" s="48" t="str">
        <x:v>Shared</x:v>
      </x:c>
      <x:c r="I3244" s="48" t="n">
        <x:v>0.45</x:v>
      </x:c>
      <x:c r="J3244" s="48" t="n">
        <x:v>0.4</x:v>
      </x:c>
      <x:c r="K3244" s="48" t="str">
        <x:v>Yes</x:v>
      </x:c>
      <x:c r="L3244" s="48" t="str">
        <x:v>OCR</x:v>
      </x:c>
    </x:row>
    <x:row r="3245">
      <x:c r="A3245" s="48" t="str">
        <x:v>UNI-3244</x:v>
      </x:c>
      <x:c r="B3245" s="48" t="str">
        <x:v>SILVER</x:v>
      </x:c>
      <x:c r="C3245" s="48" t="str">
        <x:v>Indonesian</x:v>
      </x:c>
      <x:c r="D3245" s="48" t="n">
        <x:v>78</x:v>
      </x:c>
      <x:c r="E3245" s="48" t="str"/>
      <x:c r="F3245" s="48" t="str">
        <x:v>Sa Sk oran btanawpn wsproan</x:v>
      </x:c>
      <x:c r="G3245" s="48" t="str">
        <x:v>Obligation</x:v>
      </x:c>
      <x:c r="H3245" s="48" t="str">
        <x:v>Shared</x:v>
      </x:c>
      <x:c r="I3245" s="48" t="n">
        <x:v>0.45</x:v>
      </x:c>
      <x:c r="J3245" s="48" t="n">
        <x:v>0.4</x:v>
      </x:c>
      <x:c r="K3245" s="48" t="str">
        <x:v>Yes</x:v>
      </x:c>
      <x:c r="L3245" s="48" t="str">
        <x:v>OCR</x:v>
      </x:c>
    </x:row>
    <x:row r="3246">
      <x:c r="A3246" s="48" t="str">
        <x:v>UNI-3245</x:v>
      </x:c>
      <x:c r="B3246" s="48" t="str">
        <x:v>SILVER</x:v>
      </x:c>
      <x:c r="C3246" s="48" t="str">
        <x:v>Indonesian</x:v>
      </x:c>
      <x:c r="D3246" s="48" t="n">
        <x:v>78</x:v>
      </x:c>
      <x:c r="E3246" s="48" t="str"/>
      <x:c r="F3246" s="48" t="str">
        <x:v>Tentara setan Amor Kran Brargardman angan</x:v>
      </x:c>
      <x:c r="G3246" s="48" t="str">
        <x:v>Obligation</x:v>
      </x:c>
      <x:c r="H3246" s="48" t="str">
        <x:v>Shared</x:v>
      </x:c>
      <x:c r="I3246" s="48" t="n">
        <x:v>0.45</x:v>
      </x:c>
      <x:c r="J3246" s="48" t="n">
        <x:v>0.4</x:v>
      </x:c>
      <x:c r="K3246" s="48" t="str">
        <x:v>Yes</x:v>
      </x:c>
      <x:c r="L3246" s="48" t="str">
        <x:v>OCR</x:v>
      </x:c>
    </x:row>
    <x:row r="3247">
      <x:c r="A3247" s="48" t="str">
        <x:v>UNI-3246</x:v>
      </x:c>
      <x:c r="B3247" s="48" t="str">
        <x:v>SILVER</x:v>
      </x:c>
      <x:c r="C3247" s="48" t="str">
        <x:v>Indonesian</x:v>
      </x:c>
      <x:c r="D3247" s="48" t="n">
        <x:v>78</x:v>
      </x:c>
      <x:c r="E3247" s="48" t="str"/>
      <x:c r="F3247" s="48" t="str">
        <x:v>enam Pra Ga</x:v>
      </x:c>
      <x:c r="G3247" s="48" t="str">
        <x:v>Obligation</x:v>
      </x:c>
      <x:c r="H3247" s="48" t="str">
        <x:v>Shared</x:v>
      </x:c>
      <x:c r="I3247" s="48" t="n">
        <x:v>0.45</x:v>
      </x:c>
      <x:c r="J3247" s="48" t="n">
        <x:v>0.4</x:v>
      </x:c>
      <x:c r="K3247" s="48" t="str">
        <x:v>Yes</x:v>
      </x:c>
      <x:c r="L3247" s="48" t="str">
        <x:v>OCR</x:v>
      </x:c>
    </x:row>
    <x:row r="3248">
      <x:c r="A3248" s="48" t="str">
        <x:v>UNI-3247</x:v>
      </x:c>
      <x:c r="B3248" s="48" t="str">
        <x:v>SILVER</x:v>
      </x:c>
      <x:c r="C3248" s="48" t="str">
        <x:v>Indonesian</x:v>
      </x:c>
      <x:c r="D3248" s="48" t="n">
        <x:v>78</x:v>
      </x:c>
      <x:c r="E3248" s="48" t="str">
        <x:v>04</x:v>
      </x:c>
      <x:c r="F3248" s="48" t="str">
        <x:v>04 Brangbanrg Isa bk banda dion wigan Nigun bercsatan</x:v>
      </x:c>
      <x:c r="G3248" s="48" t="str">
        <x:v>Heading</x:v>
      </x:c>
      <x:c r="H3248" s="48" t="str"/>
      <x:c r="I3248" s="48" t="n">
        <x:v>0.9</x:v>
      </x:c>
      <x:c r="J3248" s="48" t="n">
        <x:v>0.99</x:v>
      </x:c>
      <x:c r="K3248" s="48" t="str">
        <x:v>No</x:v>
      </x:c>
      <x:c r="L3248" s="48" t="str">
        <x:v>OCR</x:v>
      </x:c>
    </x:row>
    <x:row r="3249">
      <x:c r="A3249" s="48" t="str">
        <x:v>UNI-3248</x:v>
      </x:c>
      <x:c r="B3249" s="48" t="str">
        <x:v>SILVER</x:v>
      </x:c>
      <x:c r="C3249" s="48" t="str">
        <x:v>Indonesian</x:v>
      </x:c>
      <x:c r="D3249" s="48" t="n">
        <x:v>79</x:v>
      </x:c>
      <x:c r="E3249" s="48" t="str">
        <x:v>0</x:v>
      </x:c>
      <x:c r="F3249" s="48" t="str">
        <x:v>0 benktstastanSib Kam 5PRaNceNPargara dam paraaan</x:v>
      </x:c>
      <x:c r="G3249" s="48" t="str">
        <x:v>Heading</x:v>
      </x:c>
      <x:c r="H3249" s="48" t="str"/>
      <x:c r="I3249" s="48" t="n">
        <x:v>0.9</x:v>
      </x:c>
      <x:c r="J3249" s="48" t="n">
        <x:v>0.99</x:v>
      </x:c>
      <x:c r="K3249" s="48" t="str">
        <x:v>No</x:v>
      </x:c>
      <x:c r="L3249" s="48" t="str">
        <x:v>OCR</x:v>
      </x:c>
    </x:row>
    <x:row r="3250">
      <x:c r="A3250" s="48" t="str">
        <x:v>UNI-3249</x:v>
      </x:c>
      <x:c r="B3250" s="48" t="str">
        <x:v>SILVER</x:v>
      </x:c>
      <x:c r="C3250" s="48" t="str">
        <x:v>Indonesian</x:v>
      </x:c>
      <x:c r="D3250" s="48" t="n">
        <x:v>79</x:v>
      </x:c>
      <x:c r="E3250" s="48" t="str"/>
      <x:c r="F3250" s="48" t="str">
        <x:v>Jah yag sa Aron prtrgarOa men eganan ca,</x:v>
      </x:c>
      <x:c r="G3250" s="48" t="str">
        <x:v>Obligation</x:v>
      </x:c>
      <x:c r="H3250" s="48" t="str">
        <x:v>Shared</x:v>
      </x:c>
      <x:c r="I3250" s="48" t="n">
        <x:v>0.45</x:v>
      </x:c>
      <x:c r="J3250" s="48" t="n">
        <x:v>0.4</x:v>
      </x:c>
      <x:c r="K3250" s="48" t="str">
        <x:v>Yes</x:v>
      </x:c>
      <x:c r="L3250" s="48" t="str">
        <x:v>OCR</x:v>
      </x:c>
    </x:row>
    <x:row r="3251">
      <x:c r="A3251" s="48" t="str">
        <x:v>UNI-3250</x:v>
      </x:c>
      <x:c r="B3251" s="48" t="str">
        <x:v>SILVER</x:v>
      </x:c>
      <x:c r="C3251" s="48" t="str">
        <x:v>Indonesian</x:v>
      </x:c>
      <x:c r="D3251" s="48" t="n">
        <x:v>79</x:v>
      </x:c>
      <x:c r="E3251" s="48" t="str"/>
      <x:c r="F3251" s="48" t="str">
        <x:v>IU ek yr Gran Ge Krn Gran mena Dra</x:v>
      </x:c>
      <x:c r="G3251" s="48" t="str">
        <x:v>Obligation</x:v>
      </x:c>
      <x:c r="H3251" s="48" t="str">
        <x:v>Shared</x:v>
      </x:c>
      <x:c r="I3251" s="48" t="n">
        <x:v>0.45</x:v>
      </x:c>
      <x:c r="J3251" s="48" t="n">
        <x:v>0.4</x:v>
      </x:c>
      <x:c r="K3251" s="48" t="str">
        <x:v>Yes</x:v>
      </x:c>
      <x:c r="L3251" s="48" t="str">
        <x:v>OCR</x:v>
      </x:c>
    </x:row>
    <x:row r="3252">
      <x:c r="A3252" s="48" t="str">
        <x:v>UNI-3251</x:v>
      </x:c>
      <x:c r="B3252" s="48" t="str">
        <x:v>SILVER</x:v>
      </x:c>
      <x:c r="C3252" s="48" t="str">
        <x:v>Indonesian</x:v>
      </x:c>
      <x:c r="D3252" s="48" t="n">
        <x:v>79</x:v>
      </x:c>
      <x:c r="E3252" s="48" t="str"/>
      <x:c r="F3252" s="48" t="str">
        <x:v>Goo, metal ata Pergi da remOarun petrgaaa pemutar epe0 pr va h meNmUR penganan menua Ma</x:v>
      </x:c>
      <x:c r="G3252" s="48" t="str">
        <x:v>Obligation</x:v>
      </x:c>
      <x:c r="H3252" s="48" t="str">
        <x:v>Shared</x:v>
      </x:c>
      <x:c r="I3252" s="48" t="n">
        <x:v>0.45</x:v>
      </x:c>
      <x:c r="J3252" s="48" t="n">
        <x:v>0.4</x:v>
      </x:c>
      <x:c r="K3252" s="48" t="str">
        <x:v>Yes</x:v>
      </x:c>
      <x:c r="L3252" s="48" t="str">
        <x:v>OCR</x:v>
      </x:c>
    </x:row>
    <x:row r="3253">
      <x:c r="A3253" s="48" t="str">
        <x:v>UNI-3252</x:v>
      </x:c>
      <x:c r="B3253" s="48" t="str">
        <x:v>SILVER</x:v>
      </x:c>
      <x:c r="C3253" s="48" t="str">
        <x:v>Indonesian</x:v>
      </x:c>
      <x:c r="D3253" s="48" t="n">
        <x:v>79</x:v>
      </x:c>
      <x:c r="E3253" s="48" t="str"/>
      <x:c r="F3253" s="48" t="str">
        <x:v>KN Pememan Unud</x:v>
      </x:c>
      <x:c r="G3253" s="48" t="str">
        <x:v>Obligation</x:v>
      </x:c>
      <x:c r="H3253" s="48" t="str">
        <x:v>Shared</x:v>
      </x:c>
      <x:c r="I3253" s="48" t="n">
        <x:v>0.45</x:v>
      </x:c>
      <x:c r="J3253" s="48" t="n">
        <x:v>0.4</x:v>
      </x:c>
      <x:c r="K3253" s="48" t="str">
        <x:v>Yes</x:v>
      </x:c>
      <x:c r="L3253" s="48" t="str">
        <x:v>OCR</x:v>
      </x:c>
    </x:row>
    <x:row r="3254">
      <x:c r="A3254" s="48" t="str">
        <x:v>UNI-3253</x:v>
      </x:c>
      <x:c r="B3254" s="48" t="str">
        <x:v>SILVER</x:v>
      </x:c>
      <x:c r="C3254" s="48" t="str">
        <x:v>Indonesian</x:v>
      </x:c>
      <x:c r="D3254" s="48" t="n">
        <x:v>79</x:v>
      </x:c>
      <x:c r="E3254" s="48" t="str"/>
      <x:c r="F3254" s="48" t="str">
        <x:v>Merstetadan</x:v>
      </x:c>
      <x:c r="G3254" s="48" t="str">
        <x:v>Obligation</x:v>
      </x:c>
      <x:c r="H3254" s="48" t="str">
        <x:v>Shared</x:v>
      </x:c>
      <x:c r="I3254" s="48" t="n">
        <x:v>0.45</x:v>
      </x:c>
      <x:c r="J3254" s="48" t="n">
        <x:v>0.4</x:v>
      </x:c>
      <x:c r="K3254" s="48" t="str">
        <x:v>Yes</x:v>
      </x:c>
      <x:c r="L3254" s="48" t="str">
        <x:v>OCR</x:v>
      </x:c>
    </x:row>
    <x:row r="3255">
      <x:c r="A3255" s="48" t="str">
        <x:v>UNI-3254</x:v>
      </x:c>
      <x:c r="B3255" s="48" t="str">
        <x:v>SILVER</x:v>
      </x:c>
      <x:c r="C3255" s="48" t="str">
        <x:v>Indonesian</x:v>
      </x:c>
      <x:c r="D3255" s="48" t="n">
        <x:v>79</x:v>
      </x:c>
      <x:c r="E3255" s="48" t="str"/>
      <x:c r="F3255" s="48" t="str">
        <x:v>dan erat</x:v>
      </x:c>
      <x:c r="G3255" s="48" t="str">
        <x:v>Obligation</x:v>
      </x:c>
      <x:c r="H3255" s="48" t="str">
        <x:v>Shared</x:v>
      </x:c>
      <x:c r="I3255" s="48" t="n">
        <x:v>0.45</x:v>
      </x:c>
      <x:c r="J3255" s="48" t="n">
        <x:v>0.4</x:v>
      </x:c>
      <x:c r="K3255" s="48" t="str">
        <x:v>Yes</x:v>
      </x:c>
      <x:c r="L3255" s="48" t="str">
        <x:v>OCR</x:v>
      </x:c>
    </x:row>
    <x:row r="3256">
      <x:c r="A3256" s="48" t="str">
        <x:v>UNI-3255</x:v>
      </x:c>
      <x:c r="B3256" s="48" t="str">
        <x:v>SILVER</x:v>
      </x:c>
      <x:c r="C3256" s="48" t="str">
        <x:v>Indonesian</x:v>
      </x:c>
      <x:c r="D3256" s="48" t="n">
        <x:v>79</x:v>
      </x:c>
      <x:c r="E3256" s="48" t="str"/>
      <x:c r="F3256" s="48" t="str">
        <x:v>Pra aro merosnrrkan tata mengakali Pm ma Pak</x:v>
      </x:c>
      <x:c r="G3256" s="48" t="str">
        <x:v>Obligation</x:v>
      </x:c>
      <x:c r="H3256" s="48" t="str">
        <x:v>Shared</x:v>
      </x:c>
      <x:c r="I3256" s="48" t="n">
        <x:v>0.45</x:v>
      </x:c>
      <x:c r="J3256" s="48" t="n">
        <x:v>0.4</x:v>
      </x:c>
      <x:c r="K3256" s="48" t="str">
        <x:v>Yes</x:v>
      </x:c>
      <x:c r="L3256" s="48" t="str">
        <x:v>OCR</x:v>
      </x:c>
    </x:row>
    <x:row r="3257">
      <x:c r="A3257" s="48" t="str">
        <x:v>UNI-3256</x:v>
      </x:c>
      <x:c r="B3257" s="48" t="str">
        <x:v>SILVER</x:v>
      </x:c>
      <x:c r="C3257" s="48" t="str">
        <x:v>Indonesian</x:v>
      </x:c>
      <x:c r="D3257" s="48" t="n">
        <x:v>79</x:v>
      </x:c>
      <x:c r="E3257" s="48" t="str"/>
      <x:c r="F3257" s="48" t="str">
        <x:v>Ariklongan Ira erat sa sa krg menga jd ras ama</x:v>
      </x:c>
      <x:c r="G3257" s="48" t="str">
        <x:v>Obligation</x:v>
      </x:c>
      <x:c r="H3257" s="48" t="str">
        <x:v>Shared</x:v>
      </x:c>
      <x:c r="I3257" s="48" t="n">
        <x:v>0.45</x:v>
      </x:c>
      <x:c r="J3257" s="48" t="n">
        <x:v>0.4</x:v>
      </x:c>
      <x:c r="K3257" s="48" t="str">
        <x:v>Yes</x:v>
      </x:c>
      <x:c r="L3257" s="48" t="str">
        <x:v>OCR</x:v>
      </x:c>
    </x:row>
    <x:row r="3258">
      <x:c r="A3258" s="48" t="str">
        <x:v>UNI-3257</x:v>
      </x:c>
      <x:c r="B3258" s="48" t="str">
        <x:v>SILVER</x:v>
      </x:c>
      <x:c r="C3258" s="48" t="str">
        <x:v>Indonesian</x:v>
      </x:c>
      <x:c r="D3258" s="48" t="n">
        <x:v>79</x:v>
      </x:c>
      <x:c r="E3258" s="48" t="str"/>
      <x:c r="F3258" s="48" t="str">
        <x:v>tera ha bedatartn pegdaareran PENA Mama 12 er</x:v>
      </x:c>
      <x:c r="G3258" s="48" t="str">
        <x:v>Obligation</x:v>
      </x:c>
      <x:c r="H3258" s="48" t="str">
        <x:v>Shared</x:v>
      </x:c>
      <x:c r="I3258" s="48" t="n">
        <x:v>0.45</x:v>
      </x:c>
      <x:c r="J3258" s="48" t="n">
        <x:v>0.4</x:v>
      </x:c>
      <x:c r="K3258" s="48" t="str">
        <x:v>Yes</x:v>
      </x:c>
      <x:c r="L3258" s="48" t="str">
        <x:v>OCR</x:v>
      </x:c>
    </x:row>
    <x:row r="3259">
      <x:c r="A3259" s="48" t="str">
        <x:v>UNI-3258</x:v>
      </x:c>
      <x:c r="B3259" s="48" t="str">
        <x:v>SILVER</x:v>
      </x:c>
      <x:c r="C3259" s="48" t="str">
        <x:v>Indonesian</x:v>
      </x:c>
      <x:c r="D3259" s="48" t="n">
        <x:v>79</x:v>
      </x:c>
      <x:c r="E3259" s="48" t="str"/>
      <x:c r="F3259" s="48" t="str">
        <x:v>LTAK Peoja can Pok Kere sai orgonng Prodi tg cara</x:v>
      </x:c>
      <x:c r="G3259" s="48" t="str">
        <x:v>Obligation</x:v>
      </x:c>
      <x:c r="H3259" s="48" t="str">
        <x:v>Shared</x:v>
      </x:c>
      <x:c r="I3259" s="48" t="n">
        <x:v>0.45</x:v>
      </x:c>
      <x:c r="J3259" s="48" t="n">
        <x:v>0.4</x:v>
      </x:c>
      <x:c r="K3259" s="48" t="str">
        <x:v>Yes</x:v>
      </x:c>
      <x:c r="L3259" s="48" t="str">
        <x:v>OCR</x:v>
      </x:c>
    </x:row>
    <x:row r="3260">
      <x:c r="A3260" s="48" t="str">
        <x:v>UNI-3259</x:v>
      </x:c>
      <x:c r="B3260" s="48" t="str">
        <x:v>SILVER</x:v>
      </x:c>
      <x:c r="C3260" s="48" t="str">
        <x:v>Indonesian</x:v>
      </x:c>
      <x:c r="D3260" s="48" t="n">
        <x:v>79</x:v>
      </x:c>
      <x:c r="E3260" s="48" t="str"/>
      <x:c r="F3260" s="48" t="str">
        <x:v>Wr danuatn mena Sio Ka 14 Mana YA Peer erna</x:v>
      </x:c>
      <x:c r="G3260" s="48" t="str">
        <x:v>Obligation</x:v>
      </x:c>
      <x:c r="H3260" s="48" t="str">
        <x:v>Shared</x:v>
      </x:c>
      <x:c r="I3260" s="48" t="n">
        <x:v>0.45</x:v>
      </x:c>
      <x:c r="J3260" s="48" t="n">
        <x:v>0.4</x:v>
      </x:c>
      <x:c r="K3260" s="48" t="str">
        <x:v>Yes</x:v>
      </x:c>
      <x:c r="L3260" s="48" t="str">
        <x:v>OCR</x:v>
      </x:c>
    </x:row>
    <x:row r="3261">
      <x:c r="A3261" s="48" t="str">
        <x:v>UNI-3260</x:v>
      </x:c>
      <x:c r="B3261" s="48" t="str">
        <x:v>SILVER</x:v>
      </x:c>
      <x:c r="C3261" s="48" t="str">
        <x:v>Indonesian</x:v>
      </x:c>
      <x:c r="D3261" s="48" t="n">
        <x:v>79</x:v>
      </x:c>
      <x:c r="E3261" s="48" t="str"/>
      <x:c r="F3261" s="48" t="str">
        <x:v>Dmna IMO ea para eror dana meMaN</x:v>
      </x:c>
      <x:c r="G3261" s="48" t="str">
        <x:v>Obligation</x:v>
      </x:c>
      <x:c r="H3261" s="48" t="str">
        <x:v>Shared</x:v>
      </x:c>
      <x:c r="I3261" s="48" t="n">
        <x:v>0.45</x:v>
      </x:c>
      <x:c r="J3261" s="48" t="n">
        <x:v>0.4</x:v>
      </x:c>
      <x:c r="K3261" s="48" t="str">
        <x:v>Yes</x:v>
      </x:c>
      <x:c r="L3261" s="48" t="str">
        <x:v>OCR</x:v>
      </x:c>
    </x:row>
    <x:row r="3262">
      <x:c r="A3262" s="48" t="str">
        <x:v>UNI-3261</x:v>
      </x:c>
      <x:c r="B3262" s="48" t="str">
        <x:v>SILVER</x:v>
      </x:c>
      <x:c r="C3262" s="48" t="str">
        <x:v>Indonesian</x:v>
      </x:c>
      <x:c r="D3262" s="48" t="n">
        <x:v>79</x:v>
      </x:c>
      <x:c r="E3262" s="48" t="str"/>
      <x:c r="F3262" s="48" t="str">
        <x:v>Sekam serah</x:v>
      </x:c>
      <x:c r="G3262" s="48" t="str">
        <x:v>Obligation</x:v>
      </x:c>
      <x:c r="H3262" s="48" t="str">
        <x:v>Shared</x:v>
      </x:c>
      <x:c r="I3262" s="48" t="n">
        <x:v>0.45</x:v>
      </x:c>
      <x:c r="J3262" s="48" t="n">
        <x:v>0.4</x:v>
      </x:c>
      <x:c r="K3262" s="48" t="str">
        <x:v>Yes</x:v>
      </x:c>
      <x:c r="L3262" s="48" t="str">
        <x:v>OCR</x:v>
      </x:c>
    </x:row>
    <x:row r="3263">
      <x:c r="A3263" s="48" t="str">
        <x:v>UNI-3262</x:v>
      </x:c>
      <x:c r="B3263" s="48" t="str">
        <x:v>SILVER</x:v>
      </x:c>
      <x:c r="C3263" s="48" t="str">
        <x:v>Indonesian</x:v>
      </x:c>
      <x:c r="D3263" s="48" t="n">
        <x:v>80</x:v>
      </x:c>
      <x:c r="E3263" s="48" t="str"/>
      <x:c r="F3263" s="48" t="str">
        <x:v>(baya Kia rg Kr Bat Wa Dea teman car wayru dodormen an Kemala ai Pi Kena Bana,</x:v>
      </x:c>
      <x:c r="G3263" s="48" t="str">
        <x:v>Obligation</x:v>
      </x:c>
      <x:c r="H3263" s="48" t="str">
        <x:v>Shared</x:v>
      </x:c>
      <x:c r="I3263" s="48" t="n">
        <x:v>0.45</x:v>
      </x:c>
      <x:c r="J3263" s="48" t="n">
        <x:v>0.4</x:v>
      </x:c>
      <x:c r="K3263" s="48" t="str">
        <x:v>Yes</x:v>
      </x:c>
      <x:c r="L3263" s="48" t="str">
        <x:v>OCR</x:v>
      </x:c>
    </x:row>
    <x:row r="3264">
      <x:c r="A3264" s="48" t="str">
        <x:v>UNI-3263</x:v>
      </x:c>
      <x:c r="B3264" s="48" t="str">
        <x:v>SILVER</x:v>
      </x:c>
      <x:c r="C3264" s="48" t="str">
        <x:v>Indonesian</x:v>
      </x:c>
      <x:c r="D3264" s="48" t="n">
        <x:v>80</x:v>
      </x:c>
      <x:c r="E3264" s="48" t="str"/>
      <x:c r="F3264" s="48" t="str">
        <x:v>PegaaJaPu hg ba ar ntt oa Or Kou ain</x:v>
      </x:c>
      <x:c r="G3264" s="48" t="str">
        <x:v>Obligation</x:v>
      </x:c>
      <x:c r="H3264" s="48" t="str">
        <x:v>Shared</x:v>
      </x:c>
      <x:c r="I3264" s="48" t="n">
        <x:v>0.45</x:v>
      </x:c>
      <x:c r="J3264" s="48" t="n">
        <x:v>0.4</x:v>
      </x:c>
      <x:c r="K3264" s="48" t="str">
        <x:v>Yes</x:v>
      </x:c>
      <x:c r="L3264" s="48" t="str">
        <x:v>OCR</x:v>
      </x:c>
    </x:row>
    <x:row r="3265">
      <x:c r="A3265" s="48" t="str">
        <x:v>UNI-3264</x:v>
      </x:c>
      <x:c r="B3265" s="48" t="str">
        <x:v>SILVER</x:v>
      </x:c>
      <x:c r="C3265" s="48" t="str">
        <x:v>Indonesian</x:v>
      </x:c>
      <x:c r="D3265" s="48" t="n">
        <x:v>80</x:v>
      </x:c>
      <x:c r="E3265" s="48" t="str"/>
      <x:c r="F3265" s="48" t="str">
        <x:v>Sekar Pk menulkan Ian Gn Ham aer ten ma Bina.</x:v>
      </x:c>
      <x:c r="G3265" s="48" t="str">
        <x:v>Obligation</x:v>
      </x:c>
      <x:c r="H3265" s="48" t="str">
        <x:v>Shared</x:v>
      </x:c>
      <x:c r="I3265" s="48" t="n">
        <x:v>0.45</x:v>
      </x:c>
      <x:c r="J3265" s="48" t="n">
        <x:v>0.4</x:v>
      </x:c>
      <x:c r="K3265" s="48" t="str">
        <x:v>Yes</x:v>
      </x:c>
      <x:c r="L3265" s="48" t="str">
        <x:v>OCR</x:v>
      </x:c>
    </x:row>
    <x:row r="3266">
      <x:c r="A3266" s="48" t="str">
        <x:v>UNI-3265</x:v>
      </x:c>
      <x:c r="B3266" s="48" t="str">
        <x:v>SILVER</x:v>
      </x:c>
      <x:c r="C3266" s="48" t="str">
        <x:v>Indonesian</x:v>
      </x:c>
      <x:c r="D3266" s="48" t="n">
        <x:v>80</x:v>
      </x:c>
      <x:c r="E3266" s="48" t="str"/>
      <x:c r="F3266" s="48" t="str">
        <x:v>Waka en Ian da kesan Prog aa sa rara Pengya</x:v>
      </x:c>
      <x:c r="G3266" s="48" t="str">
        <x:v>Obligation</x:v>
      </x:c>
      <x:c r="H3266" s="48" t="str">
        <x:v>Shared</x:v>
      </x:c>
      <x:c r="I3266" s="48" t="n">
        <x:v>0.45</x:v>
      </x:c>
      <x:c r="J3266" s="48" t="n">
        <x:v>0.4</x:v>
      </x:c>
      <x:c r="K3266" s="48" t="str">
        <x:v>Yes</x:v>
      </x:c>
      <x:c r="L3266" s="48" t="str">
        <x:v>OCR</x:v>
      </x:c>
    </x:row>
    <x:row r="3267">
      <x:c r="A3267" s="48" t="str">
        <x:v>UNI-3266</x:v>
      </x:c>
      <x:c r="B3267" s="48" t="str">
        <x:v>SILVER</x:v>
      </x:c>
      <x:c r="C3267" s="48" t="str">
        <x:v>Indonesian</x:v>
      </x:c>
      <x:c r="D3267" s="48" t="n">
        <x:v>80</x:v>
      </x:c>
      <x:c r="E3267" s="48" t="str"/>
      <x:c r="F3267" s="48" t="str">
        <x:v>Panai ana Gpentuian tecra pruh din tp batu sana pena</x:v>
      </x:c>
      <x:c r="G3267" s="48" t="str">
        <x:v>Obligation</x:v>
      </x:c>
      <x:c r="H3267" s="48" t="str">
        <x:v>Shared</x:v>
      </x:c>
      <x:c r="I3267" s="48" t="n">
        <x:v>0.45</x:v>
      </x:c>
      <x:c r="J3267" s="48" t="n">
        <x:v>0.4</x:v>
      </x:c>
      <x:c r="K3267" s="48" t="str">
        <x:v>Yes</x:v>
      </x:c>
      <x:c r="L3267" s="48" t="str">
        <x:v>OCR</x:v>
      </x:c>
    </x:row>
    <x:row r="3268">
      <x:c r="A3268" s="48" t="str">
        <x:v>UNI-3267</x:v>
      </x:c>
      <x:c r="B3268" s="48" t="str">
        <x:v>SILVER</x:v>
      </x:c>
      <x:c r="C3268" s="48" t="str">
        <x:v>Indonesian</x:v>
      </x:c>
      <x:c r="D3268" s="48" t="n">
        <x:v>80</x:v>
      </x:c>
      <x:c r="E3268" s="48" t="str"/>
      <x:c r="F3268" s="48" t="str">
        <x:v>(1 mentari pekaram Peoan Uak teywan Sesermaex dara (kei atitan oa Slorato, wi Krvako, Arga Kania Fi Fota (ENGKAU MeMaNLI Bd (ON Oi Kekar Dam on nh (8 yeratemtn dhan san Ptk.</x:v>
      </x:c>
      <x:c r="G3268" s="48" t="str">
        <x:v>Obligation</x:v>
      </x:c>
      <x:c r="H3268" s="48" t="str">
        <x:v>Shared</x:v>
      </x:c>
      <x:c r="I3268" s="48" t="n">
        <x:v>0.45</x:v>
      </x:c>
      <x:c r="J3268" s="48" t="n">
        <x:v>0.4</x:v>
      </x:c>
      <x:c r="K3268" s="48" t="str">
        <x:v>Yes</x:v>
      </x:c>
      <x:c r="L3268" s="48" t="str">
        <x:v>OCR</x:v>
      </x:c>
    </x:row>
    <x:row r="3269">
      <x:c r="A3269" s="48" t="str">
        <x:v>UNI-3268</x:v>
      </x:c>
      <x:c r="B3269" s="48" t="str">
        <x:v>SILVER</x:v>
      </x:c>
      <x:c r="C3269" s="48" t="str">
        <x:v>Indonesian</x:v>
      </x:c>
      <x:c r="D3269" s="48" t="n">
        <x:v>80</x:v>
      </x:c>
      <x:c r="E3269" s="48" t="str"/>
      <x:c r="F3269" s="48" t="str">
        <x:v>AI SG Brg Ka ap rai Gn Pra Was, sebaum merana</x:v>
      </x:c>
      <x:c r="G3269" s="48" t="str">
        <x:v>Obligation</x:v>
      </x:c>
      <x:c r="H3269" s="48" t="str">
        <x:v>Shared</x:v>
      </x:c>
      <x:c r="I3269" s="48" t="n">
        <x:v>0.45</x:v>
      </x:c>
      <x:c r="J3269" s="48" t="n">
        <x:v>0.4</x:v>
      </x:c>
      <x:c r="K3269" s="48" t="str">
        <x:v>Yes</x:v>
      </x:c>
      <x:c r="L3269" s="48" t="str">
        <x:v>OCR</x:v>
      </x:c>
    </x:row>
    <x:row r="3270">
      <x:c r="A3270" s="48" t="str">
        <x:v>UNI-3269</x:v>
      </x:c>
      <x:c r="B3270" s="48" t="str">
        <x:v>SILVER</x:v>
      </x:c>
      <x:c r="C3270" s="48" t="str">
        <x:v>Indonesian</x:v>
      </x:c>
      <x:c r="D3270" s="48" t="n">
        <x:v>80</x:v>
      </x:c>
      <x:c r="E3270" s="48" t="str"/>
      <x:c r="F3270" s="48" t="str">
        <x:v>(SA, ear Bina Kat Gn aa Gta ch Pake</x:v>
      </x:c>
      <x:c r="G3270" s="48" t="str">
        <x:v>Obligation</x:v>
      </x:c>
      <x:c r="H3270" s="48" t="str">
        <x:v>Shared</x:v>
      </x:c>
      <x:c r="I3270" s="48" t="n">
        <x:v>0.45</x:v>
      </x:c>
      <x:c r="J3270" s="48" t="n">
        <x:v>0.4</x:v>
      </x:c>
      <x:c r="K3270" s="48" t="str">
        <x:v>Yes</x:v>
      </x:c>
      <x:c r="L3270" s="48" t="str">
        <x:v>OCR</x:v>
      </x:c>
    </x:row>
    <x:row r="3271">
      <x:c r="A3271" s="48" t="str">
        <x:v>UNI-3270</x:v>
      </x:c>
      <x:c r="B3271" s="48" t="str">
        <x:v>SILVER</x:v>
      </x:c>
      <x:c r="C3271" s="48" t="str">
        <x:v>Indonesian</x:v>
      </x:c>
      <x:c r="D3271" s="48" t="n">
        <x:v>80</x:v>
      </x:c>
      <x:c r="E3271" s="48" t="str"/>
      <x:c r="F3271" s="48" t="str">
        <x:v>IG yenincra mendaratkan an Pakan</x:v>
      </x:c>
      <x:c r="G3271" s="48" t="str">
        <x:v>Obligation</x:v>
      </x:c>
      <x:c r="H3271" s="48" t="str">
        <x:v>Shared</x:v>
      </x:c>
      <x:c r="I3271" s="48" t="n">
        <x:v>0.45</x:v>
      </x:c>
      <x:c r="J3271" s="48" t="n">
        <x:v>0.4</x:v>
      </x:c>
      <x:c r="K3271" s="48" t="str">
        <x:v>Yes</x:v>
      </x:c>
      <x:c r="L3271" s="48" t="str">
        <x:v>OCR</x:v>
      </x:c>
    </x:row>
    <x:row r="3272">
      <x:c r="A3272" s="48" t="str">
        <x:v>UNI-3271</x:v>
      </x:c>
      <x:c r="B3272" s="48" t="str">
        <x:v>SILVER</x:v>
      </x:c>
      <x:c r="C3272" s="48" t="str">
        <x:v>Indonesian</x:v>
      </x:c>
      <x:c r="D3272" s="48" t="n">
        <x:v>80</x:v>
      </x:c>
      <x:c r="E3272" s="48" t="str"/>
      <x:c r="F3272" s="48" t="str">
        <x:v>Nan Kar Ma la kn pc aan da an Na</x:v>
      </x:c>
      <x:c r="G3272" s="48" t="str">
        <x:v>Obligation</x:v>
      </x:c>
      <x:c r="H3272" s="48" t="str">
        <x:v>Shared</x:v>
      </x:c>
      <x:c r="I3272" s="48" t="n">
        <x:v>0.45</x:v>
      </x:c>
      <x:c r="J3272" s="48" t="n">
        <x:v>0.4</x:v>
      </x:c>
      <x:c r="K3272" s="48" t="str">
        <x:v>Yes</x:v>
      </x:c>
      <x:c r="L3272" s="48" t="str">
        <x:v>OCR</x:v>
      </x:c>
    </x:row>
    <x:row r="3273">
      <x:c r="A3273" s="48" t="str">
        <x:v>UNI-3272</x:v>
      </x:c>
      <x:c r="B3273" s="48" t="str">
        <x:v>SILVER</x:v>
      </x:c>
      <x:c r="C3273" s="48" t="str">
        <x:v>Indonesian</x:v>
      </x:c>
      <x:c r="D3273" s="48" t="n">
        <x:v>80</x:v>
      </x:c>
      <x:c r="E3273" s="48" t="str"/>
      <x:c r="F3273" s="48" t="str">
        <x:v>Tia Gan pg Mam Gan Ih #parprg Sewa Bl ane K3 man ps 0 peraertakn engmutroapemyasnpeNn. hak srrganman</x:v>
      </x:c>
      <x:c r="G3273" s="48" t="str">
        <x:v>Obligation</x:v>
      </x:c>
      <x:c r="H3273" s="48" t="str">
        <x:v>Shared</x:v>
      </x:c>
      <x:c r="I3273" s="48" t="n">
        <x:v>0.45</x:v>
      </x:c>
      <x:c r="J3273" s="48" t="n">
        <x:v>0.4</x:v>
      </x:c>
      <x:c r="K3273" s="48" t="str">
        <x:v>Yes</x:v>
      </x:c>
      <x:c r="L3273" s="48" t="str">
        <x:v>OCR</x:v>
      </x:c>
    </x:row>
    <x:row r="3274">
      <x:c r="A3274" s="48" t="str">
        <x:v>UNI-3273</x:v>
      </x:c>
      <x:c r="B3274" s="48" t="str">
        <x:v>SILVER</x:v>
      </x:c>
      <x:c r="C3274" s="48" t="str">
        <x:v>Indonesian</x:v>
      </x:c>
      <x:c r="D3274" s="48" t="n">
        <x:v>80</x:v>
      </x:c>
      <x:c r="E3274" s="48" t="str"/>
      <x:c r="F3274" s="48" t="str">
        <x:v>Karta, meal Mouur ka rae Bi ergataatu eka</x:v>
      </x:c>
      <x:c r="G3274" s="48" t="str">
        <x:v>Obligation</x:v>
      </x:c>
      <x:c r="H3274" s="48" t="str">
        <x:v>Shared</x:v>
      </x:c>
      <x:c r="I3274" s="48" t="n">
        <x:v>0.45</x:v>
      </x:c>
      <x:c r="J3274" s="48" t="n">
        <x:v>0.4</x:v>
      </x:c>
      <x:c r="K3274" s="48" t="str">
        <x:v>Yes</x:v>
      </x:c>
      <x:c r="L3274" s="48" t="str">
        <x:v>OCR</x:v>
      </x:c>
    </x:row>
    <x:row r="3275">
      <x:c r="A3275" s="48" t="str">
        <x:v>UNI-3274</x:v>
      </x:c>
      <x:c r="B3275" s="48" t="str">
        <x:v>SILVER</x:v>
      </x:c>
      <x:c r="C3275" s="48" t="str">
        <x:v>Indonesian</x:v>
      </x:c>
      <x:c r="D3275" s="48" t="n">
        <x:v>80</x:v>
      </x:c>
      <x:c r="E3275" s="48" t="str"/>
      <x:c r="F3275" s="48" t="str">
        <x:v>mms ponrgari (@ Fenatan jantan Isacaan ponecan gas eyegan cencarg cara ata Peri ermatr, (4 Tmpepowg erat minlknautoruninsinaekilenaharg “kaatl denprgar sn ersmeransorar enek ea Mn (9 Beren an 01 gan bur. rana nd ih tuna ata Pr art au an terur G mebsrkan kentan merksana berbaran Kwek ox Hasan Ka ewjana ana</x:v>
      </x:c>
      <x:c r="G3275" s="48" t="str">
        <x:v>Obligation</x:v>
      </x:c>
      <x:c r="H3275" s="48" t="str">
        <x:v>Shared</x:v>
      </x:c>
      <x:c r="I3275" s="48" t="n">
        <x:v>0.45</x:v>
      </x:c>
      <x:c r="J3275" s="48" t="n">
        <x:v>0.4</x:v>
      </x:c>
      <x:c r="K3275" s="48" t="str">
        <x:v>Yes</x:v>
      </x:c>
      <x:c r="L3275" s="48" t="str">
        <x:v>OCR</x:v>
      </x:c>
    </x:row>
    <x:row r="3276">
      <x:c r="A3276" s="48" t="str">
        <x:v>UNI-3275</x:v>
      </x:c>
      <x:c r="B3276" s="48" t="str">
        <x:v>SILVER</x:v>
      </x:c>
      <x:c r="C3276" s="48" t="str">
        <x:v>Indonesian</x:v>
      </x:c>
      <x:c r="D3276" s="48" t="n">
        <x:v>80</x:v>
      </x:c>
      <x:c r="E3276" s="48" t="str"/>
      <x:c r="F3276" s="48" t="str">
        <x:v>Wanyryakan pertstaan lara Pc merora hepan Au an</x:v>
      </x:c>
      <x:c r="G3276" s="48" t="str">
        <x:v>Obligation</x:v>
      </x:c>
      <x:c r="H3276" s="48" t="str">
        <x:v>Shared</x:v>
      </x:c>
      <x:c r="I3276" s="48" t="n">
        <x:v>0.45</x:v>
      </x:c>
      <x:c r="J3276" s="48" t="n">
        <x:v>0.4</x:v>
      </x:c>
      <x:c r="K3276" s="48" t="str">
        <x:v>Yes</x:v>
      </x:c>
      <x:c r="L3276" s="48" t="str">
        <x:v>OCR</x:v>
      </x:c>
    </x:row>
    <x:row r="3277">
      <x:c r="A3277" s="48" t="str">
        <x:v>UNI-3276</x:v>
      </x:c>
      <x:c r="B3277" s="48" t="str">
        <x:v>SILVER</x:v>
      </x:c>
      <x:c r="C3277" s="48" t="str">
        <x:v>Indonesian</x:v>
      </x:c>
      <x:c r="D3277" s="48" t="n">
        <x:v>80</x:v>
      </x:c>
      <x:c r="E3277" s="48" t="str"/>
      <x:c r="F3277" s="48" t="str">
        <x:v>Sa mangan Kar Kp Gn ha Merta lewat Keajana ang</x:v>
      </x:c>
      <x:c r="G3277" s="48" t="str">
        <x:v>Obligation</x:v>
      </x:c>
      <x:c r="H3277" s="48" t="str">
        <x:v>Shared</x:v>
      </x:c>
      <x:c r="I3277" s="48" t="n">
        <x:v>0.45</x:v>
      </x:c>
      <x:c r="J3277" s="48" t="n">
        <x:v>0.4</x:v>
      </x:c>
      <x:c r="K3277" s="48" t="str">
        <x:v>Yes</x:v>
      </x:c>
      <x:c r="L3277" s="48" t="str">
        <x:v>OCR</x:v>
      </x:c>
    </x:row>
    <x:row r="3278">
      <x:c r="A3278" s="48" t="str">
        <x:v>UNI-3277</x:v>
      </x:c>
      <x:c r="B3278" s="48" t="str">
        <x:v>SILVER</x:v>
      </x:c>
      <x:c r="C3278" s="48" t="str">
        <x:v>Indonesian</x:v>
      </x:c>
      <x:c r="D3278" s="48" t="n">
        <x:v>81</x:v>
      </x:c>
      <x:c r="E3278" s="48" t="str"/>
      <x:c r="F3278" s="48" t="str">
        <x:v>#eharnbat atu akan hambat Pembortahuan Fifara dkampskan dlam tenggang ed 1 ot za Pura menja seraya mana Ian</x:v>
      </x:c>
      <x:c r="G3278" s="48" t="str">
        <x:v>Obligation</x:v>
      </x:c>
      <x:c r="H3278" s="48" t="str">
        <x:v>Shared</x:v>
      </x:c>
      <x:c r="I3278" s="48" t="n">
        <x:v>0.45</x:v>
      </x:c>
      <x:c r="J3278" s="48" t="n">
        <x:v>0.4</x:v>
      </x:c>
      <x:c r="K3278" s="48" t="str">
        <x:v>Yes</x:v>
      </x:c>
      <x:c r="L3278" s="48" t="str">
        <x:v>OCR</x:v>
      </x:c>
    </x:row>
    <x:row r="3279">
      <x:c r="A3279" s="48" t="str">
        <x:v>UNI-3278</x:v>
      </x:c>
      <x:c r="B3279" s="48" t="str">
        <x:v>SILVER</x:v>
      </x:c>
      <x:c r="C3279" s="48" t="str">
        <x:v>Indonesian</x:v>
      </x:c>
      <x:c r="D3279" s="48" t="n">
        <x:v>81</x:v>
      </x:c>
      <x:c r="E3279" s="48" t="str"/>
      <x:c r="F3279" s="48" t="str">
        <x:v>Santan tar menga Ka Kara</x:v>
      </x:c>
      <x:c r="G3279" s="48" t="str">
        <x:v>Obligation</x:v>
      </x:c>
      <x:c r="H3279" s="48" t="str">
        <x:v>Shared</x:v>
      </x:c>
      <x:c r="I3279" s="48" t="n">
        <x:v>0.45</x:v>
      </x:c>
      <x:c r="J3279" s="48" t="n">
        <x:v>0.4</x:v>
      </x:c>
      <x:c r="K3279" s="48" t="str">
        <x:v>Yes</x:v>
      </x:c>
      <x:c r="L3279" s="48" t="str">
        <x:v>OCR</x:v>
      </x:c>
    </x:row>
    <x:row r="3280">
      <x:c r="A3280" s="48" t="str">
        <x:v>UNI-3279</x:v>
      </x:c>
      <x:c r="B3280" s="48" t="str">
        <x:v>SILVER</x:v>
      </x:c>
      <x:c r="C3280" s="48" t="str">
        <x:v>Indonesian</x:v>
      </x:c>
      <x:c r="D3280" s="48" t="n">
        <x:v>81</x:v>
      </x:c>
      <x:c r="E3280" s="48" t="str"/>
      <x:c r="F3280" s="48" t="str">
        <x:v>Ptak wrap sen menanetan perborutun, atatasen Gi</x:v>
      </x:c>
      <x:c r="G3280" s="48" t="str">
        <x:v>Obligation</x:v>
      </x:c>
      <x:c r="H3280" s="48" t="str">
        <x:v>Shared</x:v>
      </x:c>
      <x:c r="I3280" s="48" t="n">
        <x:v>0.45</x:v>
      </x:c>
      <x:c r="J3280" s="48" t="n">
        <x:v>0.4</x:v>
      </x:c>
      <x:c r="K3280" s="48" t="str">
        <x:v>Yes</x:v>
      </x:c>
      <x:c r="L3280" s="48" t="str">
        <x:v>OCR</x:v>
      </x:c>
    </x:row>
    <x:row r="3281">
      <x:c r="A3281" s="48" t="str">
        <x:v>UNI-3280</x:v>
      </x:c>
      <x:c r="B3281" s="48" t="str">
        <x:v>SILVER</x:v>
      </x:c>
      <x:c r="C3281" s="48" t="str">
        <x:v>Indonesian</x:v>
      </x:c>
      <x:c r="D3281" s="48" t="n">
        <x:v>81</x:v>
      </x:c>
      <x:c r="E3281" s="48" t="str"/>
      <x:c r="F3281" s="48" t="str">
        <x:v>pesanan tenan sera Kosan Ning” merpaargna Utk mesardantasabana. uga mempapatan kta Honu Fi Kan or ok ba Uk kene mtor perbaason 2 ar Pa pas Pacar</x:v>
      </x:c>
      <x:c r="G3281" s="48" t="str">
        <x:v>Obligation</x:v>
      </x:c>
      <x:c r="H3281" s="48" t="str">
        <x:v>Shared</x:v>
      </x:c>
      <x:c r="I3281" s="48" t="n">
        <x:v>0.45</x:v>
      </x:c>
      <x:c r="J3281" s="48" t="n">
        <x:v>0.4</x:v>
      </x:c>
      <x:c r="K3281" s="48" t="str">
        <x:v>Yes</x:v>
      </x:c>
      <x:c r="L3281" s="48" t="str">
        <x:v>OCR</x:v>
      </x:c>
    </x:row>
    <x:row r="3282">
      <x:c r="A3282" s="48" t="str">
        <x:v>UNI-3281</x:v>
      </x:c>
      <x:c r="B3282" s="48" t="str">
        <x:v>SILVER</x:v>
      </x:c>
      <x:c r="C3282" s="48" t="str">
        <x:v>Indonesian</x:v>
      </x:c>
      <x:c r="D3282" s="48" t="n">
        <x:v>81</x:v>
      </x:c>
      <x:c r="E3282" s="48" t="str"/>
      <x:c r="F3282" s="48" t="str">
        <x:v>Kemdiban truk Sp Pok Pt to bencana Enny Ak menunan lean</x:v>
      </x:c>
      <x:c r="G3282" s="48" t="str">
        <x:v>Obligation</x:v>
      </x:c>
      <x:c r="H3282" s="48" t="str">
        <x:v>Shared</x:v>
      </x:c>
      <x:c r="I3282" s="48" t="n">
        <x:v>0.45</x:v>
      </x:c>
      <x:c r="J3282" s="48" t="n">
        <x:v>0.4</x:v>
      </x:c>
      <x:c r="K3282" s="48" t="str">
        <x:v>Yes</x:v>
      </x:c>
      <x:c r="L3282" s="48" t="str">
        <x:v>OCR</x:v>
      </x:c>
    </x:row>
    <x:row r="3283">
      <x:c r="A3283" s="48" t="str">
        <x:v>UNI-3282</x:v>
      </x:c>
      <x:c r="B3283" s="48" t="str">
        <x:v>SILVER</x:v>
      </x:c>
      <x:c r="C3283" s="48" t="str">
        <x:v>Indonesian</x:v>
      </x:c>
      <x:c r="D3283" s="48" t="n">
        <x:v>81</x:v>
      </x:c>
      <x:c r="E3283" s="48" t="str"/>
      <x:c r="F3283" s="48" t="str">
        <x:v>(par Krk Sta BN Kan Kar</x:v>
      </x:c>
      <x:c r="G3283" s="48" t="str">
        <x:v>Obligation</x:v>
      </x:c>
      <x:c r="H3283" s="48" t="str">
        <x:v>Shared</x:v>
      </x:c>
      <x:c r="I3283" s="48" t="n">
        <x:v>0.45</x:v>
      </x:c>
      <x:c r="J3283" s="48" t="n">
        <x:v>0.4</x:v>
      </x:c>
      <x:c r="K3283" s="48" t="str">
        <x:v>Yes</x:v>
      </x:c>
      <x:c r="L3283" s="48" t="str">
        <x:v>OCR</x:v>
      </x:c>
    </x:row>
    <x:row r="3284">
      <x:c r="A3284" s="48" t="str">
        <x:v>UNI-3283</x:v>
      </x:c>
      <x:c r="B3284" s="48" t="str">
        <x:v>SILVER</x:v>
      </x:c>
      <x:c r="C3284" s="48" t="str">
        <x:v>Indonesian</x:v>
      </x:c>
      <x:c r="D3284" s="48" t="n">
        <x:v>81</x:v>
      </x:c>
      <x:c r="E3284" s="48" t="str"/>
      <x:c r="F3284" s="48" t="str">
        <x:v>San ati Pro tata penjngatan perbetatan kada Ptk lin lia</x:v>
      </x:c>
      <x:c r="G3284" s="48" t="str">
        <x:v>Obligation</x:v>
      </x:c>
      <x:c r="H3284" s="48" t="str">
        <x:v>Shared</x:v>
      </x:c>
      <x:c r="I3284" s="48" t="n">
        <x:v>0.45</x:v>
      </x:c>
      <x:c r="J3284" s="48" t="n">
        <x:v>0.4</x:v>
      </x:c>
      <x:c r="K3284" s="48" t="str">
        <x:v>Yes</x:v>
      </x:c>
      <x:c r="L3284" s="48" t="str">
        <x:v>OCR</x:v>
      </x:c>
    </x:row>
    <x:row r="3285">
      <x:c r="A3285" s="48" t="str">
        <x:v>UNI-3284</x:v>
      </x:c>
      <x:c r="B3285" s="48" t="str">
        <x:v>SILVER</x:v>
      </x:c>
      <x:c r="C3285" s="48" t="str">
        <x:v>Indonesian</x:v>
      </x:c>
      <x:c r="D3285" s="48" t="n">
        <x:v>81</x:v>
      </x:c>
      <x:c r="E3285" s="48" t="str"/>
      <x:c r="F3285" s="48" t="str">
        <x:v>PRO Kosan ara bm</x:v>
      </x:c>
      <x:c r="G3285" s="48" t="str">
        <x:v>Obligation</x:v>
      </x:c>
      <x:c r="H3285" s="48" t="str">
        <x:v>Shared</x:v>
      </x:c>
      <x:c r="I3285" s="48" t="n">
        <x:v>0.45</x:v>
      </x:c>
      <x:c r="J3285" s="48" t="n">
        <x:v>0.4</x:v>
      </x:c>
      <x:c r="K3285" s="48" t="str">
        <x:v>Yes</x:v>
      </x:c>
      <x:c r="L3285" s="48" t="str">
        <x:v>OCR</x:v>
      </x:c>
    </x:row>
    <x:row r="3286">
      <x:c r="A3286" s="48" t="str">
        <x:v>UNI-3285</x:v>
      </x:c>
      <x:c r="B3286" s="48" t="str">
        <x:v>SILVER</x:v>
      </x:c>
      <x:c r="C3286" s="48" t="str">
        <x:v>Indonesian</x:v>
      </x:c>
      <x:c r="D3286" s="48" t="n">
        <x:v>81</x:v>
      </x:c>
      <x:c r="E3286" s="48" t="str"/>
      <x:c r="F3286" s="48" t="str">
        <x:v>kematuai kabin KS rara Gam pesuaea kengarnyateatan Kak enakan Katue eh Kmdun Ki JG erbotirama man eungakan Deck Se Kama 102 Panbettar Katun Kart. can mergar hamtertaan 2 (merata Bada Kacan Kat Kontan an ber bean</x:v>
      </x:c>
      <x:c r="G3286" s="48" t="str">
        <x:v>Obligation</x:v>
      </x:c>
      <x:c r="H3286" s="48" t="str">
        <x:v>Shared</x:v>
      </x:c>
      <x:c r="I3286" s="48" t="n">
        <x:v>0.45</x:v>
      </x:c>
      <x:c r="J3286" s="48" t="n">
        <x:v>0.4</x:v>
      </x:c>
      <x:c r="K3286" s="48" t="str">
        <x:v>Yes</x:v>
      </x:c>
      <x:c r="L3286" s="48" t="str">
        <x:v>OCR</x:v>
      </x:c>
    </x:row>
    <x:row r="3287">
      <x:c r="A3287" s="48" t="str">
        <x:v>UNI-3286</x:v>
      </x:c>
      <x:c r="B3287" s="48" t="str">
        <x:v>SILVER</x:v>
      </x:c>
      <x:c r="C3287" s="48" t="str">
        <x:v>Indonesian</x:v>
      </x:c>
      <x:c r="D3287" s="48" t="n">
        <x:v>81</x:v>
      </x:c>
      <x:c r="E3287" s="48" t="str"/>
      <x:c r="F3287" s="48" t="str">
        <x:v>Stnk Imo Kr</x:v>
      </x:c>
      <x:c r="G3287" s="48" t="str">
        <x:v>Obligation</x:v>
      </x:c>
      <x:c r="H3287" s="48" t="str">
        <x:v>Shared</x:v>
      </x:c>
      <x:c r="I3287" s="48" t="n">
        <x:v>0.45</x:v>
      </x:c>
      <x:c r="J3287" s="48" t="n">
        <x:v>0.4</x:v>
      </x:c>
      <x:c r="K3287" s="48" t="str">
        <x:v>Yes</x:v>
      </x:c>
      <x:c r="L3287" s="48" t="str">
        <x:v>OCR</x:v>
      </x:c>
    </x:row>
    <x:row r="3288">
      <x:c r="A3288" s="48" t="str">
        <x:v>UNI-3287</x:v>
      </x:c>
      <x:c r="B3288" s="48" t="str">
        <x:v>SILVER</x:v>
      </x:c>
      <x:c r="C3288" s="48" t="str">
        <x:v>Indonesian</x:v>
      </x:c>
      <x:c r="D3288" s="48" t="n">
        <x:v>81</x:v>
      </x:c>
      <x:c r="E3288" s="48" t="str"/>
      <x:c r="F3288" s="48" t="str">
        <x:v>(at penrtrgan wet AK ttp tetotertemn, in pananasan</x:v>
      </x:c>
      <x:c r="G3288" s="48" t="str">
        <x:v>Obligation</x:v>
      </x:c>
      <x:c r="H3288" s="48" t="str">
        <x:v>Shared</x:v>
      </x:c>
      <x:c r="I3288" s="48" t="n">
        <x:v>0.45</x:v>
      </x:c>
      <x:c r="J3288" s="48" t="n">
        <x:v>0.4</x:v>
      </x:c>
      <x:c r="K3288" s="48" t="str">
        <x:v>Yes</x:v>
      </x:c>
      <x:c r="L3288" s="48" t="str">
        <x:v>OCR</x:v>
      </x:c>
    </x:row>
    <x:row r="3289">
      <x:c r="A3289" s="48" t="str">
        <x:v>UNI-3288</x:v>
      </x:c>
      <x:c r="B3289" s="48" t="str">
        <x:v>SILVER</x:v>
      </x:c>
      <x:c r="C3289" s="48" t="str">
        <x:v>Indonesian</x:v>
      </x:c>
      <x:c r="D3289" s="48" t="n">
        <x:v>81</x:v>
      </x:c>
      <x:c r="E3289" s="48" t="str"/>
      <x:c r="F3289" s="48" t="str">
        <x:v>Metro ni dan Want Degan Sa asia BA Parera</x:v>
      </x:c>
      <x:c r="G3289" s="48" t="str">
        <x:v>Obligation</x:v>
      </x:c>
      <x:c r="H3289" s="48" t="str">
        <x:v>Shared</x:v>
      </x:c>
      <x:c r="I3289" s="48" t="n">
        <x:v>0.45</x:v>
      </x:c>
      <x:c r="J3289" s="48" t="n">
        <x:v>0.4</x:v>
      </x:c>
      <x:c r="K3289" s="48" t="str">
        <x:v>Yes</x:v>
      </x:c>
      <x:c r="L3289" s="48" t="str">
        <x:v>OCR</x:v>
      </x:c>
    </x:row>
    <x:row r="3290">
      <x:c r="A3290" s="48" t="str">
        <x:v>UNI-3289</x:v>
      </x:c>
      <x:c r="B3290" s="48" t="str">
        <x:v>SILVER</x:v>
      </x:c>
      <x:c r="C3290" s="48" t="str">
        <x:v>Indonesian</x:v>
      </x:c>
      <x:c r="D3290" s="48" t="n">
        <x:v>81</x:v>
      </x:c>
      <x:c r="E3290" s="48" t="str"/>
      <x:c r="F3290" s="48" t="str">
        <x:v>Yg Pearari Oa</x:v>
      </x:c>
      <x:c r="G3290" s="48" t="str">
        <x:v>Obligation</x:v>
      </x:c>
      <x:c r="H3290" s="48" t="str">
        <x:v>Shared</x:v>
      </x:c>
      <x:c r="I3290" s="48" t="n">
        <x:v>0.45</x:v>
      </x:c>
      <x:c r="J3290" s="48" t="n">
        <x:v>0.4</x:v>
      </x:c>
      <x:c r="K3290" s="48" t="str">
        <x:v>Yes</x:v>
      </x:c>
      <x:c r="L3290" s="48" t="str">
        <x:v>OCR</x:v>
      </x:c>
    </x:row>
    <x:row r="3291">
      <x:c r="A3291" s="48" t="str">
        <x:v>UNI-3290</x:v>
      </x:c>
      <x:c r="B3291" s="48" t="str">
        <x:v>SILVER</x:v>
      </x:c>
      <x:c r="C3291" s="48" t="str">
        <x:v>Indonesian</x:v>
      </x:c>
      <x:c r="D3291" s="48" t="n">
        <x:v>81</x:v>
      </x:c>
      <x:c r="E3291" s="48" t="str"/>
      <x:c r="F3291" s="48" t="str">
        <x:v>(Demam Dai, Kila lady ah dapa IA Mearum dan apn arabic So On 11 Dn “kaan Kan an dana lb nga res Wp Gde aan</x:v>
      </x:c>
      <x:c r="G3291" s="48" t="str">
        <x:v>Obligation</x:v>
      </x:c>
      <x:c r="H3291" s="48" t="str">
        <x:v>Shared</x:v>
      </x:c>
      <x:c r="I3291" s="48" t="n">
        <x:v>0.45</x:v>
      </x:c>
      <x:c r="J3291" s="48" t="n">
        <x:v>0.4</x:v>
      </x:c>
      <x:c r="K3291" s="48" t="str">
        <x:v>Yes</x:v>
      </x:c>
      <x:c r="L3291" s="48" t="str">
        <x:v>OCR</x:v>
      </x:c>
    </x:row>
    <x:row r="3292">
      <x:c r="A3292" s="48" t="str">
        <x:v>UNI-3291</x:v>
      </x:c>
      <x:c r="B3292" s="48" t="str">
        <x:v>SILVER</x:v>
      </x:c>
      <x:c r="C3292" s="48" t="str">
        <x:v>Indonesian</x:v>
      </x:c>
      <x:c r="D3292" s="48" t="n">
        <x:v>81</x:v>
      </x:c>
      <x:c r="E3292" s="48" t="str"/>
      <x:c r="F3292" s="48" t="str">
        <x:v>Sen mertra perban F Para ds haus menta sni</x:v>
      </x:c>
      <x:c r="G3292" s="48" t="str">
        <x:v>Obligation</x:v>
      </x:c>
      <x:c r="H3292" s="48" t="str">
        <x:v>Shared</x:v>
      </x:c>
      <x:c r="I3292" s="48" t="n">
        <x:v>0.45</x:v>
      </x:c>
      <x:c r="J3292" s="48" t="n">
        <x:v>0.4</x:v>
      </x:c>
      <x:c r="K3292" s="48" t="str">
        <x:v>Yes</x:v>
      </x:c>
      <x:c r="L3292" s="48" t="str">
        <x:v>OCR</x:v>
      </x:c>
    </x:row>
    <x:row r="3293">
      <x:c r="A3293" s="48" t="str">
        <x:v>UNI-3292</x:v>
      </x:c>
      <x:c r="B3293" s="48" t="str">
        <x:v>SILVER</x:v>
      </x:c>
      <x:c r="C3293" s="48" t="str">
        <x:v>Indonesian</x:v>
      </x:c>
      <x:c r="D3293" s="48" t="n">
        <x:v>81</x:v>
      </x:c>
      <x:c r="E3293" s="48" t="str"/>
      <x:c r="F3293" s="48" t="str">
        <x:v>On Siam 35 Peran va mena B memlan MNT</x:v>
      </x:c>
      <x:c r="G3293" s="48" t="str">
        <x:v>Obligation</x:v>
      </x:c>
      <x:c r="H3293" s="48" t="str">
        <x:v>Shared</x:v>
      </x:c>
      <x:c r="I3293" s="48" t="n">
        <x:v>0.45</x:v>
      </x:c>
      <x:c r="J3293" s="48" t="n">
        <x:v>0.4</x:v>
      </x:c>
      <x:c r="K3293" s="48" t="str">
        <x:v>Yes</x:v>
      </x:c>
      <x:c r="L3293" s="48" t="str">
        <x:v>OCR</x:v>
      </x:c>
    </x:row>
    <x:row r="3294">
      <x:c r="A3294" s="48" t="str">
        <x:v>UNI-3293</x:v>
      </x:c>
      <x:c r="B3294" s="48" t="str">
        <x:v>SILVER</x:v>
      </x:c>
      <x:c r="C3294" s="48" t="str">
        <x:v>Indonesian</x:v>
      </x:c>
      <x:c r="D3294" s="48" t="n">
        <x:v>81</x:v>
      </x:c>
      <x:c r="E3294" s="48" t="str"/>
      <x:c r="F3294" s="48" t="str">
        <x:v>Kendam Katr yang Abi cetak maran tocaatan rak penang bella</x:v>
      </x:c>
      <x:c r="G3294" s="48" t="str">
        <x:v>Obligation</x:v>
      </x:c>
      <x:c r="H3294" s="48" t="str">
        <x:v>Shared</x:v>
      </x:c>
      <x:c r="I3294" s="48" t="n">
        <x:v>0.45</x:v>
      </x:c>
      <x:c r="J3294" s="48" t="n">
        <x:v>0.4</x:v>
      </x:c>
      <x:c r="K3294" s="48" t="str">
        <x:v>Yes</x:v>
      </x:c>
      <x:c r="L3294" s="48" t="str">
        <x:v>OCR</x:v>
      </x:c>
    </x:row>
    <x:row r="3295">
      <x:c r="A3295" s="48" t="str">
        <x:v>UNI-3294</x:v>
      </x:c>
      <x:c r="B3295" s="48" t="str">
        <x:v>SILVER</x:v>
      </x:c>
      <x:c r="C3295" s="48" t="str">
        <x:v>Indonesian</x:v>
      </x:c>
      <x:c r="D3295" s="48" t="n">
        <x:v>81</x:v>
      </x:c>
      <x:c r="E3295" s="48" t="str"/>
      <x:c r="F3295" s="48" t="str">
        <x:v>empang “On Pan beta ds kenari Kon Kara ro erran peron Stan yr MO ha ar dns Kn Tp aah</x:v>
      </x:c>
      <x:c r="G3295" s="48" t="str">
        <x:v>Obligation</x:v>
      </x:c>
      <x:c r="H3295" s="48" t="str">
        <x:v>Shared</x:v>
      </x:c>
      <x:c r="I3295" s="48" t="n">
        <x:v>0.45</x:v>
      </x:c>
      <x:c r="J3295" s="48" t="n">
        <x:v>0.4</x:v>
      </x:c>
      <x:c r="K3295" s="48" t="str">
        <x:v>Yes</x:v>
      </x:c>
      <x:c r="L3295" s="48" t="str">
        <x:v>OCR</x:v>
      </x:c>
    </x:row>
    <x:row r="3296">
      <x:c r="A3296" s="48" t="str">
        <x:v>UNI-3295</x:v>
      </x:c>
      <x:c r="B3296" s="48" t="str">
        <x:v>SILVER</x:v>
      </x:c>
      <x:c r="C3296" s="48" t="str">
        <x:v>Indonesian</x:v>
      </x:c>
      <x:c r="D3296" s="48" t="n">
        <x:v>81</x:v>
      </x:c>
      <x:c r="E3296" s="48" t="str"/>
      <x:c r="F3296" s="48" t="str">
        <x:v>Tatanan ko La ip menelan Kr wa Bak</x:v>
      </x:c>
      <x:c r="G3296" s="48" t="str">
        <x:v>Obligation</x:v>
      </x:c>
      <x:c r="H3296" s="48" t="str">
        <x:v>Shared</x:v>
      </x:c>
      <x:c r="I3296" s="48" t="n">
        <x:v>0.45</x:v>
      </x:c>
      <x:c r="J3296" s="48" t="n">
        <x:v>0.4</x:v>
      </x:c>
      <x:c r="K3296" s="48" t="str">
        <x:v>Yes</x:v>
      </x:c>
      <x:c r="L3296" s="48" t="str">
        <x:v>OCR</x:v>
      </x:c>
    </x:row>
    <x:row r="3297">
      <x:c r="A3297" s="48" t="str">
        <x:v>UNI-3296</x:v>
      </x:c>
      <x:c r="B3297" s="48" t="str">
        <x:v>SILVER</x:v>
      </x:c>
      <x:c r="C3297" s="48" t="str">
        <x:v>Indonesian</x:v>
      </x:c>
      <x:c r="D3297" s="48" t="n">
        <x:v>81</x:v>
      </x:c>
      <x:c r="E3297" s="48" t="str"/>
      <x:c r="F3297" s="48" t="str">
        <x:v>Opauna Toto men mera essay Pejan yeg mar ttwang</x:v>
      </x:c>
      <x:c r="G3297" s="48" t="str">
        <x:v>Obligation</x:v>
      </x:c>
      <x:c r="H3297" s="48" t="str">
        <x:v>Shared</x:v>
      </x:c>
      <x:c r="I3297" s="48" t="n">
        <x:v>0.45</x:v>
      </x:c>
      <x:c r="J3297" s="48" t="n">
        <x:v>0.4</x:v>
      </x:c>
      <x:c r="K3297" s="48" t="str">
        <x:v>Yes</x:v>
      </x:c>
      <x:c r="L3297" s="48" t="str">
        <x:v>OCR</x:v>
      </x:c>
    </x:row>
    <x:row r="3298">
      <x:c r="A3298" s="48" t="str">
        <x:v>UNI-3297</x:v>
      </x:c>
      <x:c r="B3298" s="48" t="str">
        <x:v>SILVER</x:v>
      </x:c>
      <x:c r="C3298" s="48" t="str">
        <x:v>Indonesian</x:v>
      </x:c>
      <x:c r="D3298" s="48" t="n">
        <x:v>81</x:v>
      </x:c>
      <x:c r="E3298" s="48" t="str"/>
      <x:c r="F3298" s="48" t="str">
        <x:v>Pemcaman, IMAM AK pra pa Oi Fa ra Un mera Bat Kan Ya</x:v>
      </x:c>
      <x:c r="G3298" s="48" t="str">
        <x:v>Obligation</x:v>
      </x:c>
      <x:c r="H3298" s="48" t="str">
        <x:v>Shared</x:v>
      </x:c>
      <x:c r="I3298" s="48" t="n">
        <x:v>0.45</x:v>
      </x:c>
      <x:c r="J3298" s="48" t="n">
        <x:v>0.4</x:v>
      </x:c>
      <x:c r="K3298" s="48" t="str">
        <x:v>Yes</x:v>
      </x:c>
      <x:c r="L3298" s="48" t="str">
        <x:v>OCR</x:v>
      </x:c>
    </x:row>
    <x:row r="3299">
      <x:c r="A3299" s="48" t="str">
        <x:v>UNI-3298</x:v>
      </x:c>
      <x:c r="B3299" s="48" t="str">
        <x:v>SILVER</x:v>
      </x:c>
      <x:c r="C3299" s="48" t="str">
        <x:v>Indonesian</x:v>
      </x:c>
      <x:c r="D3299" s="48" t="n">
        <x:v>81</x:v>
      </x:c>
      <x:c r="E3299" s="48" t="str"/>
      <x:c r="F3299" s="48" t="str">
        <x:v>Pemberi dan WUSAMLAMKLrMA Man dngakaNmeLU ND KAA 102 Pembantu, pemasaran Dan Ka ng mc Ba LG at Tanam kh Srga pertarrr yrg ara. cha daa at MENaTan penata pemuka Karya esa Pr an Ca al.</x:v>
      </x:c>
      <x:c r="G3299" s="48" t="str">
        <x:v>Obligation</x:v>
      </x:c>
      <x:c r="H3299" s="48" t="str">
        <x:v>Shared</x:v>
      </x:c>
      <x:c r="I3299" s="48" t="n">
        <x:v>0.45</x:v>
      </x:c>
      <x:c r="J3299" s="48" t="n">
        <x:v>0.4</x:v>
      </x:c>
      <x:c r="K3299" s="48" t="str">
        <x:v>Yes</x:v>
      </x:c>
      <x:c r="L3299" s="48" t="str">
        <x:v>OCR</x:v>
      </x:c>
    </x:row>
    <x:row r="3300">
      <x:c r="A3300" s="48" t="str">
        <x:v>UNI-3299</x:v>
      </x:c>
      <x:c r="B3300" s="48" t="str">
        <x:v>SILVER</x:v>
      </x:c>
      <x:c r="C3300" s="48" t="str">
        <x:v>Indonesian</x:v>
      </x:c>
      <x:c r="D3300" s="48" t="n">
        <x:v>84</x:v>
      </x:c>
      <x:c r="E3300" s="48" t="str"/>
      <x:c r="F3300" s="48" t="str">
        <x:v>Perntaan Down</x:v>
      </x:c>
      <x:c r="G3300" s="48" t="str">
        <x:v>Obligation</x:v>
      </x:c>
      <x:c r="H3300" s="48" t="str">
        <x:v>Shared</x:v>
      </x:c>
      <x:c r="I3300" s="48" t="n">
        <x:v>0.45</x:v>
      </x:c>
      <x:c r="J3300" s="48" t="n">
        <x:v>0.4</x:v>
      </x:c>
      <x:c r="K3300" s="48" t="str">
        <x:v>Yes</x:v>
      </x:c>
      <x:c r="L3300" s="48" t="str">
        <x:v>OCR</x:v>
      </x:c>
    </x:row>
    <x:row r="3301">
      <x:c r="A3301" s="48" t="str">
        <x:v>UNI-3300</x:v>
      </x:c>
      <x:c r="B3301" s="48" t="str">
        <x:v>SILVER</x:v>
      </x:c>
      <x:c r="C3301" s="48" t="str">
        <x:v>Indonesian</x:v>
      </x:c>
      <x:c r="D3301" s="48" t="n">
        <x:v>84</x:v>
      </x:c>
      <x:c r="E3301" s="48" t="str"/>
      <x:c r="F3301" s="48" t="str">
        <x:v>IA MeNAK mi Deven Seng pa Mrgg 2 ma</x:v>
      </x:c>
      <x:c r="G3301" s="48" t="str">
        <x:v>Obligation</x:v>
      </x:c>
      <x:c r="H3301" s="48" t="str">
        <x:v>Shared</x:v>
      </x:c>
      <x:c r="I3301" s="48" t="n">
        <x:v>0.45</x:v>
      </x:c>
      <x:c r="J3301" s="48" t="n">
        <x:v>0.4</x:v>
      </x:c>
      <x:c r="K3301" s="48" t="str">
        <x:v>Yes</x:v>
      </x:c>
      <x:c r="L3301" s="48" t="str">
        <x:v>OCR</x:v>
      </x:c>
    </x:row>
    <x:row r="3302">
      <x:c r="A3302" s="48" t="str">
        <x:v>UNI-3301</x:v>
      </x:c>
      <x:c r="B3302" s="48" t="str">
        <x:v>SILVER</x:v>
      </x:c>
      <x:c r="C3302" s="48" t="str">
        <x:v>Indonesian</x:v>
      </x:c>
      <x:c r="D3302" s="48" t="n">
        <x:v>84</x:v>
      </x:c>
      <x:c r="E3302" s="48" t="str"/>
      <x:c r="F3302" s="48" t="str">
        <x:v>Pra mentauan ad Ptk langranya rak menyamakan aren</x:v>
      </x:c>
      <x:c r="G3302" s="48" t="str">
        <x:v>Obligation</x:v>
      </x:c>
      <x:c r="H3302" s="48" t="str">
        <x:v>Shared</x:v>
      </x:c>
      <x:c r="I3302" s="48" t="n">
        <x:v>0.45</x:v>
      </x:c>
      <x:c r="J3302" s="48" t="n">
        <x:v>0.4</x:v>
      </x:c>
      <x:c r="K3302" s="48" t="str">
        <x:v>Yes</x:v>
      </x:c>
      <x:c r="L3302" s="48" t="str">
        <x:v>OCR</x:v>
      </x:c>
    </x:row>
    <x:row r="3303">
      <x:c r="A3303" s="48" t="str">
        <x:v>UNI-3302</x:v>
      </x:c>
      <x:c r="B3303" s="48" t="str">
        <x:v>SILVER</x:v>
      </x:c>
      <x:c r="C3303" s="48" t="str">
        <x:v>Indonesian</x:v>
      </x:c>
      <x:c r="D3303" s="48" t="n">
        <x:v>84</x:v>
      </x:c>
      <x:c r="E3303" s="48" t="str"/>
      <x:c r="F3303" s="48" t="str">
        <x:v>Maan Dian Brg Gan S2</x:v>
      </x:c>
      <x:c r="G3303" s="48" t="str">
        <x:v>Obligation</x:v>
      </x:c>
      <x:c r="H3303" s="48" t="str">
        <x:v>Shared</x:v>
      </x:c>
      <x:c r="I3303" s="48" t="n">
        <x:v>0.45</x:v>
      </x:c>
      <x:c r="J3303" s="48" t="n">
        <x:v>0.4</x:v>
      </x:c>
      <x:c r="K3303" s="48" t="str">
        <x:v>Yes</x:v>
      </x:c>
      <x:c r="L3303" s="48" t="str">
        <x:v>OCR</x:v>
      </x:c>
    </x:row>
    <x:row r="3304">
      <x:c r="A3304" s="48" t="str">
        <x:v>UNI-3303</x:v>
      </x:c>
      <x:c r="B3304" s="48" t="str">
        <x:v>SILVER</x:v>
      </x:c>
      <x:c r="C3304" s="48" t="str">
        <x:v>Indonesian</x:v>
      </x:c>
      <x:c r="D3304" s="48" t="n">
        <x:v>84</x:v>
      </x:c>
      <x:c r="E3304" s="48" t="str"/>
      <x:c r="F3304" s="48" t="str">
        <x:v>Dawan Sergo haua ed Ge, seaganara dngan dik Prasan</x:v>
      </x:c>
      <x:c r="G3304" s="48" t="str">
        <x:v>Obligation</x:v>
      </x:c>
      <x:c r="H3304" s="48" t="str">
        <x:v>Shared</x:v>
      </x:c>
      <x:c r="I3304" s="48" t="n">
        <x:v>0.45</x:v>
      </x:c>
      <x:c r="J3304" s="48" t="n">
        <x:v>0.4</x:v>
      </x:c>
      <x:c r="K3304" s="48" t="str">
        <x:v>Yes</x:v>
      </x:c>
      <x:c r="L3304" s="48" t="str">
        <x:v>OCR</x:v>
      </x:c>
    </x:row>
    <x:row r="3305">
      <x:c r="A3305" s="48" t="str">
        <x:v>UNI-3304</x:v>
      </x:c>
      <x:c r="B3305" s="48" t="str">
        <x:v>SILVER</x:v>
      </x:c>
      <x:c r="C3305" s="48" t="str">
        <x:v>Indonesian</x:v>
      </x:c>
      <x:c r="D3305" s="48" t="n">
        <x:v>84</x:v>
      </x:c>
      <x:c r="E3305" s="48" t="str"/>
      <x:c r="F3305" s="48" t="str">
        <x:v>Nota, Sa Ong yr merk Ra ega Prapat</x:v>
      </x:c>
      <x:c r="G3305" s="48" t="str">
        <x:v>Obligation</x:v>
      </x:c>
      <x:c r="H3305" s="48" t="str">
        <x:v>Shared</x:v>
      </x:c>
      <x:c r="I3305" s="48" t="n">
        <x:v>0.45</x:v>
      </x:c>
      <x:c r="J3305" s="48" t="n">
        <x:v>0.4</x:v>
      </x:c>
      <x:c r="K3305" s="48" t="str">
        <x:v>Yes</x:v>
      </x:c>
      <x:c r="L3305" s="48" t="str">
        <x:v>OCR</x:v>
      </x:c>
    </x:row>
    <x:row r="3306">
      <x:c r="A3306" s="48" t="str">
        <x:v>UNI-3305</x:v>
      </x:c>
      <x:c r="B3306" s="48" t="str">
        <x:v>SILVER</x:v>
      </x:c>
      <x:c r="C3306" s="48" t="str">
        <x:v>Indonesian</x:v>
      </x:c>
      <x:c r="D3306" s="48" t="n">
        <x:v>84</x:v>
      </x:c>
      <x:c r="E3306" s="48" t="str"/>
      <x:c r="F3306" s="48" t="str">
        <x:v>(erna dtang ertacan ate pa Pra Bi mean Oman Sergat rush tia ng. etik Dena Srgata tr OK cr Pak Pn meronta st,</x:v>
      </x:c>
      <x:c r="G3306" s="48" t="str">
        <x:v>Obligation</x:v>
      </x:c>
      <x:c r="H3306" s="48" t="str">
        <x:v>Shared</x:v>
      </x:c>
      <x:c r="I3306" s="48" t="n">
        <x:v>0.45</x:v>
      </x:c>
      <x:c r="J3306" s="48" t="n">
        <x:v>0.4</x:v>
      </x:c>
      <x:c r="K3306" s="48" t="str">
        <x:v>Yes</x:v>
      </x:c>
      <x:c r="L3306" s="48" t="str">
        <x:v>OCR</x:v>
      </x:c>
    </x:row>
    <x:row r="3307">
      <x:c r="A3307" s="48" t="str">
        <x:v>UNI-3306</x:v>
      </x:c>
      <x:c r="B3307" s="48" t="str">
        <x:v>SILVER</x:v>
      </x:c>
      <x:c r="C3307" s="48" t="str">
        <x:v>Indonesian</x:v>
      </x:c>
      <x:c r="D3307" s="48" t="n">
        <x:v>84</x:v>
      </x:c>
      <x:c r="E3307" s="48" t="str"/>
      <x:c r="F3307" s="48" t="str">
        <x:v>EMAK menekan Desakan awiPhatUn Pen Panateteras</x:v>
      </x:c>
      <x:c r="G3307" s="48" t="str">
        <x:v>Obligation</x:v>
      </x:c>
      <x:c r="H3307" s="48" t="str">
        <x:v>Shared</x:v>
      </x:c>
      <x:c r="I3307" s="48" t="n">
        <x:v>0.45</x:v>
      </x:c>
      <x:c r="J3307" s="48" t="n">
        <x:v>0.4</x:v>
      </x:c>
      <x:c r="K3307" s="48" t="str">
        <x:v>Yes</x:v>
      </x:c>
      <x:c r="L3307" s="48" t="str">
        <x:v>OCR</x:v>
      </x:c>
    </x:row>
    <x:row r="3308">
      <x:c r="A3308" s="48" t="str">
        <x:v>UNI-3307</x:v>
      </x:c>
      <x:c r="B3308" s="48" t="str">
        <x:v>SILVER</x:v>
      </x:c>
      <x:c r="C3308" s="48" t="str">
        <x:v>Indonesian</x:v>
      </x:c>
      <x:c r="D3308" s="48" t="n">
        <x:v>84</x:v>
      </x:c>
      <x:c r="E3308" s="48" t="str"/>
      <x:c r="F3308" s="48" t="str">
        <x:v>(ega ban GOS Gan Tana mena dh rupa ita pen da</x:v>
      </x:c>
      <x:c r="G3308" s="48" t="str">
        <x:v>Obligation</x:v>
      </x:c>
      <x:c r="H3308" s="48" t="str">
        <x:v>Shared</x:v>
      </x:c>
      <x:c r="I3308" s="48" t="n">
        <x:v>0.45</x:v>
      </x:c>
      <x:c r="J3308" s="48" t="n">
        <x:v>0.4</x:v>
      </x:c>
      <x:c r="K3308" s="48" t="str">
        <x:v>Yes</x:v>
      </x:c>
      <x:c r="L3308" s="48" t="str">
        <x:v>OCR</x:v>
      </x:c>
    </x:row>
    <x:row r="3309">
      <x:c r="A3309" s="48" t="str">
        <x:v>UNI-3308</x:v>
      </x:c>
      <x:c r="B3309" s="48" t="str">
        <x:v>SILVER</x:v>
      </x:c>
      <x:c r="C3309" s="48" t="str">
        <x:v>Indonesian</x:v>
      </x:c>
      <x:c r="D3309" s="48" t="n">
        <x:v>84</x:v>
      </x:c>
      <x:c r="E3309" s="48" t="str"/>
      <x:c r="F3309" s="48" t="str">
        <x:v>Suhk sagita</x:v>
      </x:c>
      <x:c r="G3309" s="48" t="str">
        <x:v>Obligation</x:v>
      </x:c>
      <x:c r="H3309" s="48" t="str">
        <x:v>Shared</x:v>
      </x:c>
      <x:c r="I3309" s="48" t="n">
        <x:v>0.45</x:v>
      </x:c>
      <x:c r="J3309" s="48" t="n">
        <x:v>0.4</x:v>
      </x:c>
      <x:c r="K3309" s="48" t="str">
        <x:v>Yes</x:v>
      </x:c>
      <x:c r="L3309" s="48" t="str">
        <x:v>OCR</x:v>
      </x:c>
    </x:row>
    <x:row r="3310">
      <x:c r="A3310" s="48" t="str">
        <x:v>UNI-3309</x:v>
      </x:c>
      <x:c r="B3310" s="48" t="str">
        <x:v>SILVER</x:v>
      </x:c>
      <x:c r="C3310" s="48" t="str">
        <x:v>Indonesian</x:v>
      </x:c>
      <x:c r="D3310" s="48" t="n">
        <x:v>84</x:v>
      </x:c>
      <x:c r="E3310" s="48" t="str"/>
      <x:c r="F3310" s="48" t="str">
        <x:v>Man ai ta mati Gt raga ar Dot Oam dn Kerak</x:v>
      </x:c>
      <x:c r="G3310" s="48" t="str">
        <x:v>Obligation</x:v>
      </x:c>
      <x:c r="H3310" s="48" t="str">
        <x:v>Shared</x:v>
      </x:c>
      <x:c r="I3310" s="48" t="n">
        <x:v>0.45</x:v>
      </x:c>
      <x:c r="J3310" s="48" t="n">
        <x:v>0.4</x:v>
      </x:c>
      <x:c r="K3310" s="48" t="str">
        <x:v>Yes</x:v>
      </x:c>
      <x:c r="L3310" s="48" t="str">
        <x:v>OCR</x:v>
      </x:c>
    </x:row>
    <x:row r="3311">
      <x:c r="A3311" s="48" t="str">
        <x:v>UNI-3310</x:v>
      </x:c>
      <x:c r="B3311" s="48" t="str">
        <x:v>SILVER</x:v>
      </x:c>
      <x:c r="C3311" s="48" t="str">
        <x:v>Indonesian</x:v>
      </x:c>
      <x:c r="D3311" s="48" t="n">
        <x:v>84</x:v>
      </x:c>
      <x:c r="E3311" s="48" t="str"/>
      <x:c r="F3311" s="48" t="str">
        <x:v>WOOAOg dan an Gi mek yg Ra dk Gr Gn ar</x:v>
      </x:c>
      <x:c r="G3311" s="48" t="str">
        <x:v>Obligation</x:v>
      </x:c>
      <x:c r="H3311" s="48" t="str">
        <x:v>Shared</x:v>
      </x:c>
      <x:c r="I3311" s="48" t="n">
        <x:v>0.45</x:v>
      </x:c>
      <x:c r="J3311" s="48" t="n">
        <x:v>0.4</x:v>
      </x:c>
      <x:c r="K3311" s="48" t="str">
        <x:v>Yes</x:v>
      </x:c>
      <x:c r="L3311" s="48" t="str">
        <x:v>OCR</x:v>
      </x:c>
    </x:row>
    <x:row r="3312">
      <x:c r="A3312" s="48" t="str">
        <x:v>UNI-3311</x:v>
      </x:c>
      <x:c r="B3312" s="48" t="str">
        <x:v>SILVER</x:v>
      </x:c>
      <x:c r="C3312" s="48" t="str">
        <x:v>Indonesian</x:v>
      </x:c>
      <x:c r="D3312" s="48" t="n">
        <x:v>84</x:v>
      </x:c>
      <x:c r="E3312" s="48" t="str"/>
      <x:c r="F3312" s="48" t="str">
        <x:v>OMG yr Ha Mam Um Kk or Renima prana Dara</x:v>
      </x:c>
      <x:c r="G3312" s="48" t="str">
        <x:v>Obligation</x:v>
      </x:c>
      <x:c r="H3312" s="48" t="str">
        <x:v>Shared</x:v>
      </x:c>
      <x:c r="I3312" s="48" t="n">
        <x:v>0.45</x:v>
      </x:c>
      <x:c r="J3312" s="48" t="n">
        <x:v>0.4</x:v>
      </x:c>
      <x:c r="K3312" s="48" t="str">
        <x:v>Yes</x:v>
      </x:c>
      <x:c r="L3312" s="48" t="str">
        <x:v>OCR</x:v>
      </x:c>
    </x:row>
    <x:row r="3313">
      <x:c r="A3313" s="48" t="str">
        <x:v>UNI-3312</x:v>
      </x:c>
      <x:c r="B3313" s="48" t="str">
        <x:v>SILVER</x:v>
      </x:c>
      <x:c r="C3313" s="48" t="str">
        <x:v>Indonesian</x:v>
      </x:c>
      <x:c r="D3313" s="48" t="n">
        <x:v>84</x:v>
      </x:c>
      <x:c r="E3313" s="48" t="str"/>
      <x:c r="F3313" s="48" t="str">
        <x:v>Pegean tr pan Pra ak ergm repo uga Bit maan met.</x:v>
      </x:c>
      <x:c r="G3313" s="48" t="str">
        <x:v>Obligation</x:v>
      </x:c>
      <x:c r="H3313" s="48" t="str">
        <x:v>Shared</x:v>
      </x:c>
      <x:c r="I3313" s="48" t="n">
        <x:v>0.45</x:v>
      </x:c>
      <x:c r="J3313" s="48" t="n">
        <x:v>0.4</x:v>
      </x:c>
      <x:c r="K3313" s="48" t="str">
        <x:v>Yes</x:v>
      </x:c>
      <x:c r="L3313" s="48" t="str">
        <x:v>OCR</x:v>
      </x:c>
    </x:row>
    <x:row r="3314">
      <x:c r="A3314" s="48" t="str">
        <x:v>UNI-3313</x:v>
      </x:c>
      <x:c r="B3314" s="48" t="str">
        <x:v>SILVER</x:v>
      </x:c>
      <x:c r="C3314" s="48" t="str">
        <x:v>Indonesian</x:v>
      </x:c>
      <x:c r="D3314" s="48" t="n">
        <x:v>84</x:v>
      </x:c>
      <x:c r="E3314" s="48" t="str"/>
      <x:c r="F3314" s="48" t="str">
        <x:v>Ia It rp Pas meyotaan etga nan Pera Un</x:v>
      </x:c>
      <x:c r="G3314" s="48" t="str">
        <x:v>Obligation</x:v>
      </x:c>
      <x:c r="H3314" s="48" t="str">
        <x:v>Shared</x:v>
      </x:c>
      <x:c r="I3314" s="48" t="n">
        <x:v>0.45</x:v>
      </x:c>
      <x:c r="J3314" s="48" t="n">
        <x:v>0.4</x:v>
      </x:c>
      <x:c r="K3314" s="48" t="str">
        <x:v>Yes</x:v>
      </x:c>
      <x:c r="L3314" s="48" t="str">
        <x:v>OCR</x:v>
      </x:c>
    </x:row>
    <x:row r="3315">
      <x:c r="A3315" s="48" t="str">
        <x:v>UNI-3314</x:v>
      </x:c>
      <x:c r="B3315" s="48" t="str">
        <x:v>SILVER</x:v>
      </x:c>
      <x:c r="C3315" s="48" t="str">
        <x:v>Indonesian</x:v>
      </x:c>
      <x:c r="D3315" s="48" t="n">
        <x:v>84</x:v>
      </x:c>
      <x:c r="E3315" s="48" t="str"/>
      <x:c r="F3315" s="48" t="str">
        <x:v>Poyayan Daan Sent jr pc Lara at Penyraan Umam</x:v>
      </x:c>
      <x:c r="G3315" s="48" t="str">
        <x:v>Obligation</x:v>
      </x:c>
      <x:c r="H3315" s="48" t="str">
        <x:v>Shared</x:v>
      </x:c>
      <x:c r="I3315" s="48" t="n">
        <x:v>0.45</x:v>
      </x:c>
      <x:c r="J3315" s="48" t="n">
        <x:v>0.4</x:v>
      </x:c>
      <x:c r="K3315" s="48" t="str">
        <x:v>Yes</x:v>
      </x:c>
      <x:c r="L3315" s="48" t="str">
        <x:v>OCR</x:v>
      </x:c>
    </x:row>
    <x:row r="3316">
      <x:c r="A3316" s="48" t="str">
        <x:v>UNI-3315</x:v>
      </x:c>
      <x:c r="B3316" s="48" t="str">
        <x:v>SILVER</x:v>
      </x:c>
      <x:c r="C3316" s="48" t="str">
        <x:v>Indonesian</x:v>
      </x:c>
      <x:c r="D3316" s="48" t="n">
        <x:v>84</x:v>
      </x:c>
      <x:c r="E3316" s="48" t="str"/>
      <x:c r="F3316" s="48" t="str">
        <x:v>(AROan enktan re doa detar an Pa entar benbajan ananda rep Lrggi mm mes esaru</x:v>
      </x:c>
      <x:c r="G3316" s="48" t="str">
        <x:v>Obligation</x:v>
      </x:c>
      <x:c r="H3316" s="48" t="str">
        <x:v>Shared</x:v>
      </x:c>
      <x:c r="I3316" s="48" t="n">
        <x:v>0.45</x:v>
      </x:c>
      <x:c r="J3316" s="48" t="n">
        <x:v>0.4</x:v>
      </x:c>
      <x:c r="K3316" s="48" t="str">
        <x:v>Yes</x:v>
      </x:c>
      <x:c r="L3316" s="48" t="str">
        <x:v>OCR</x:v>
      </x:c>
    </x:row>
    <x:row r="3317">
      <x:c r="A3317" s="48" t="str">
        <x:v>UNI-3316</x:v>
      </x:c>
      <x:c r="B3317" s="48" t="str">
        <x:v>SILVER</x:v>
      </x:c>
      <x:c r="C3317" s="48" t="str">
        <x:v>Indonesian</x:v>
      </x:c>
      <x:c r="D3317" s="48" t="n">
        <x:v>84</x:v>
      </x:c>
      <x:c r="E3317" s="48" t="str"/>
      <x:c r="F3317" s="48" t="str">
        <x:v>Ale raya ru dnposibesetaderanpen menpadnaimanana</x:v>
      </x:c>
      <x:c r="G3317" s="48" t="str">
        <x:v>Obligation</x:v>
      </x:c>
      <x:c r="H3317" s="48" t="str">
        <x:v>Shared</x:v>
      </x:c>
      <x:c r="I3317" s="48" t="n">
        <x:v>0.45</x:v>
      </x:c>
      <x:c r="J3317" s="48" t="n">
        <x:v>0.4</x:v>
      </x:c>
      <x:c r="K3317" s="48" t="str">
        <x:v>Yes</x:v>
      </x:c>
      <x:c r="L3317" s="48" t="str">
        <x:v>OCR</x:v>
      </x:c>
    </x:row>
    <x:row r="3318">
      <x:c r="A3318" s="48" t="str">
        <x:v>UNI-3317</x:v>
      </x:c>
      <x:c r="B3318" s="48" t="str">
        <x:v>SILVER</x:v>
      </x:c>
      <x:c r="C3318" s="48" t="str">
        <x:v>Indonesian</x:v>
      </x:c>
      <x:c r="D3318" s="48" t="n">
        <x:v>84</x:v>
      </x:c>
      <x:c r="E3318" s="48" t="str"/>
      <x:c r="F3318" s="48" t="str">
        <x:v>ptapan pewruka Sowo Pra tuna tegangan an sara an Dean yg da. kota ltan 26 pr Pra trans menja, mena co merk ikat ai Org. ra MENTAH LX megan MA Da</x:v>
      </x:c>
      <x:c r="G3318" s="48" t="str">
        <x:v>Obligation</x:v>
      </x:c>
      <x:c r="H3318" s="48" t="str">
        <x:v>Shared</x:v>
      </x:c>
      <x:c r="I3318" s="48" t="n">
        <x:v>0.45</x:v>
      </x:c>
      <x:c r="J3318" s="48" t="n">
        <x:v>0.4</x:v>
      </x:c>
      <x:c r="K3318" s="48" t="str">
        <x:v>Yes</x:v>
      </x:c>
      <x:c r="L3318" s="48" t="str">
        <x:v>OCR</x:v>
      </x:c>
    </x:row>
    <x:row r="3319">
      <x:c r="A3319" s="48" t="str">
        <x:v>UNI-3318</x:v>
      </x:c>
      <x:c r="B3319" s="48" t="str">
        <x:v>SILVER</x:v>
      </x:c>
      <x:c r="C3319" s="48" t="str">
        <x:v>Indonesian</x:v>
      </x:c>
      <x:c r="D3319" s="48" t="n">
        <x:v>85</x:v>
      </x:c>
      <x:c r="E3319" s="48" t="str"/>
      <x:c r="F3319" s="48" t="str">
        <x:v>Dewan Sengata</x:v>
      </x:c>
      <x:c r="G3319" s="48" t="str">
        <x:v>Obligation</x:v>
      </x:c>
      <x:c r="H3319" s="48" t="str">
        <x:v>Shared</x:v>
      </x:c>
      <x:c r="I3319" s="48" t="n">
        <x:v>0.45</x:v>
      </x:c>
      <x:c r="J3319" s="48" t="n">
        <x:v>0.4</x:v>
      </x:c>
      <x:c r="K3319" s="48" t="str">
        <x:v>Yes</x:v>
      </x:c>
      <x:c r="L3319" s="48" t="str">
        <x:v>OCR</x:v>
      </x:c>
    </x:row>
    <x:row r="3320">
      <x:c r="A3320" s="48" t="str">
        <x:v>UNI-3319</x:v>
      </x:c>
      <x:c r="B3320" s="48" t="str">
        <x:v>SILVER</x:v>
      </x:c>
      <x:c r="C3320" s="48" t="str">
        <x:v>Indonesian</x:v>
      </x:c>
      <x:c r="D3320" s="48" t="n">
        <x:v>85</x:v>
      </x:c>
      <x:c r="E3320" s="48" t="str"/>
      <x:c r="F3320" s="48" t="str">
        <x:v>Peta an srgata DKA Hru mt3 8 tac Pt Son ata Megan beta ta Perwa Pena, Ser la Jar Ta aa. ikan merry sek Daan Serah SIA meunu Sibtlurun 202 (eruntkan Dawan Sergai an 203 Wanngan Mayat Don Serbi akn ai Ptk rt Men rp ea tts lada Desan organ (ak Opassan Sera saran uc Sr org br Pan le na metan bana panen daan Bean Kaur Uk mu Dawan Segan yng tri G1 Car, Dowan Sr Pata engan at merata Mika nat pa Brp d rea nasa test</x:v>
      </x:c>
      <x:c r="G3320" s="48" t="str">
        <x:v>Obligation</x:v>
      </x:c>
      <x:c r="H3320" s="48" t="str">
        <x:v>Shared</x:v>
      </x:c>
      <x:c r="I3320" s="48" t="n">
        <x:v>0.45</x:v>
      </x:c>
      <x:c r="J3320" s="48" t="n">
        <x:v>0.4</x:v>
      </x:c>
      <x:c r="K3320" s="48" t="str">
        <x:v>Yes</x:v>
      </x:c>
      <x:c r="L3320" s="48" t="str">
        <x:v>OCR</x:v>
      </x:c>
    </x:row>
    <x:row r="3321">
      <x:c r="A3321" s="48" t="str">
        <x:v>UNI-3320</x:v>
      </x:c>
      <x:c r="B3321" s="48" t="str">
        <x:v>SILVER</x:v>
      </x:c>
      <x:c r="C3321" s="48" t="str">
        <x:v>Indonesian</x:v>
      </x:c>
      <x:c r="D3321" s="48" t="n">
        <x:v>85</x:v>
      </x:c>
      <x:c r="E3321" s="48" t="str"/>
      <x:c r="F3321" s="48" t="str">
        <x:v>Suman kenabwan Segan</x:v>
      </x:c>
      <x:c r="G3321" s="48" t="str">
        <x:v>Obligation</x:v>
      </x:c>
      <x:c r="H3321" s="48" t="str">
        <x:v>Shared</x:v>
      </x:c>
      <x:c r="I3321" s="48" t="n">
        <x:v>0.45</x:v>
      </x:c>
      <x:c r="J3321" s="48" t="n">
        <x:v>0.4</x:v>
      </x:c>
      <x:c r="K3321" s="48" t="str">
        <x:v>Yes</x:v>
      </x:c>
      <x:c r="L3321" s="48" t="str">
        <x:v>OCR</x:v>
      </x:c>
    </x:row>
    <x:row r="3322">
      <x:c r="A3322" s="48" t="str">
        <x:v>UNI-3321</x:v>
      </x:c>
      <x:c r="B3322" s="48" t="str">
        <x:v>SILVER</x:v>
      </x:c>
      <x:c r="C3322" s="48" t="str">
        <x:v>Indonesian</x:v>
      </x:c>
      <x:c r="D3322" s="48" t="n">
        <x:v>85</x:v>
      </x:c>
      <x:c r="E3322" s="48" t="str"/>
      <x:c r="F3322" s="48" t="str">
        <x:v>racun bari rarrana eps mengkanbaj Dan Sr au ma</x:v>
      </x:c>
      <x:c r="G3322" s="48" t="str">
        <x:v>Obligation</x:v>
      </x:c>
      <x:c r="H3322" s="48" t="str">
        <x:v>Shared</x:v>
      </x:c>
      <x:c r="I3322" s="48" t="n">
        <x:v>0.45</x:v>
      </x:c>
      <x:c r="J3322" s="48" t="n">
        <x:v>0.4</x:v>
      </x:c>
      <x:c r="K3322" s="48" t="str">
        <x:v>Yes</x:v>
      </x:c>
      <x:c r="L3322" s="48" t="str">
        <x:v>OCR</x:v>
      </x:c>
    </x:row>
    <x:row r="3323">
      <x:c r="A3323" s="48" t="str">
        <x:v>UNI-3322</x:v>
      </x:c>
      <x:c r="B3323" s="48" t="str">
        <x:v>SILVER</x:v>
      </x:c>
      <x:c r="C3323" s="48" t="str">
        <x:v>Indonesian</x:v>
      </x:c>
      <x:c r="D3323" s="48" t="n">
        <x:v>85</x:v>
      </x:c>
      <x:c r="E3323" s="48" t="str"/>
      <x:c r="F3323" s="48" t="str">
        <x:v>AENNLADa drs Marya yegmrga dna Down Segala</x:v>
      </x:c>
      <x:c r="G3323" s="48" t="str">
        <x:v>Obligation</x:v>
      </x:c>
      <x:c r="H3323" s="48" t="str">
        <x:v>Shared</x:v>
      </x:c>
      <x:c r="I3323" s="48" t="n">
        <x:v>0.45</x:v>
      </x:c>
      <x:c r="J3323" s="48" t="n">
        <x:v>0.4</x:v>
      </x:c>
      <x:c r="K3323" s="48" t="str">
        <x:v>Yes</x:v>
      </x:c>
      <x:c r="L3323" s="48" t="str">
        <x:v>OCR</x:v>
      </x:c>
    </x:row>
    <x:row r="3324">
      <x:c r="A3324" s="48" t="str">
        <x:v>UNI-3323</x:v>
      </x:c>
      <x:c r="B3324" s="48" t="str">
        <x:v>SILVER</x:v>
      </x:c>
      <x:c r="C3324" s="48" t="str">
        <x:v>Indonesian</x:v>
      </x:c>
      <x:c r="D3324" s="48" t="n">
        <x:v>87</x:v>
      </x:c>
      <x:c r="E3324" s="48" t="str"/>
      <x:c r="F3324" s="48" t="str">
        <x:v>Deman Sangat</x:v>
      </x:c>
      <x:c r="G3324" s="48" t="str">
        <x:v>Obligation</x:v>
      </x:c>
      <x:c r="H3324" s="48" t="str">
        <x:v>Shared</x:v>
      </x:c>
      <x:c r="I3324" s="48" t="n">
        <x:v>0.45</x:v>
      </x:c>
      <x:c r="J3324" s="48" t="n">
        <x:v>0.4</x:v>
      </x:c>
      <x:c r="K3324" s="48" t="str">
        <x:v>Yes</x:v>
      </x:c>
      <x:c r="L3324" s="48" t="str">
        <x:v>OCR</x:v>
      </x:c>
    </x:row>
    <x:row r="3325">
      <x:c r="A3325" s="48" t="str">
        <x:v>UNI-3324</x:v>
      </x:c>
      <x:c r="B3325" s="48" t="str">
        <x:v>SILVER</x:v>
      </x:c>
      <x:c r="C3325" s="48" t="str">
        <x:v>Indonesian</x:v>
      </x:c>
      <x:c r="D3325" s="48" t="n">
        <x:v>88</x:v>
      </x:c>
      <x:c r="E3325" s="48" t="str"/>
      <x:c r="F3325" s="48" t="str">
        <x:v>LAMPIRAN</x:v>
      </x:c>
      <x:c r="G3325" s="48" t="str">
        <x:v>Heading</x:v>
      </x:c>
      <x:c r="H3325" s="48" t="str"/>
      <x:c r="I3325" s="48" t="n">
        <x:v>0.9</x:v>
      </x:c>
      <x:c r="J3325" s="48" t="n">
        <x:v>0.99</x:v>
      </x:c>
      <x:c r="K3325" s="48" t="str">
        <x:v>No</x:v>
      </x:c>
      <x:c r="L3325" s="48" t="str">
        <x:v>OCR</x:v>
      </x:c>
    </x:row>
    <x:row r="3326">
      <x:c r="A3326" s="48" t="str">
        <x:v>UNI-3325</x:v>
      </x:c>
      <x:c r="B3326" s="48" t="str">
        <x:v>SILVER</x:v>
      </x:c>
      <x:c r="C3326" s="48" t="str">
        <x:v>Indonesian</x:v>
      </x:c>
      <x:c r="D3326" s="48" t="n">
        <x:v>88</x:v>
      </x:c>
      <x:c r="E3326" s="48" t="str"/>
      <x:c r="F3326" s="48" t="str">
        <x:v>Persyaratan Umum Perjanjian Ajudikasi Sengketa</x:v>
      </x:c>
      <x:c r="G3326" s="48" t="str">
        <x:v>Obligation</x:v>
      </x:c>
      <x:c r="H3326" s="48" t="str">
        <x:v>Shared</x:v>
      </x:c>
      <x:c r="I3326" s="48" t="n">
        <x:v>0.55</x:v>
      </x:c>
      <x:c r="J3326" s="48" t="n">
        <x:v>0.4</x:v>
      </x:c>
      <x:c r="K3326" s="48" t="str">
        <x:v>Yes</x:v>
      </x:c>
      <x:c r="L3326" s="48" t="str">
        <x:v>OCR</x:v>
      </x:c>
    </x:row>
    <x:row r="3327">
      <x:c r="A3327" s="48" t="str">
        <x:v>UNI-3326</x:v>
      </x:c>
      <x:c r="B3327" s="48" t="str">
        <x:v>SILVER</x:v>
      </x:c>
      <x:c r="C3327" s="48" t="str">
        <x:v>Indonesian</x:v>
      </x:c>
      <x:c r="D3327" s="48" t="n">
        <x:v>88</x:v>
      </x:c>
      <x:c r="E3327" s="48" t="str"/>
      <x:c r="F3327" s="48" t="str">
        <x:v>so Turan Mai Serat san mat pan BT oa dan</x:v>
      </x:c>
      <x:c r="G3327" s="48" t="str">
        <x:v>Obligation</x:v>
      </x:c>
      <x:c r="H3327" s="48" t="str">
        <x:v>Shared</x:v>
      </x:c>
      <x:c r="I3327" s="48" t="n">
        <x:v>0.45</x:v>
      </x:c>
      <x:c r="J3327" s="48" t="n">
        <x:v>0.4</x:v>
      </x:c>
      <x:c r="K3327" s="48" t="str">
        <x:v>Yes</x:v>
      </x:c>
      <x:c r="L3327" s="48" t="str">
        <x:v>OCR</x:v>
      </x:c>
    </x:row>
    <x:row r="3328">
      <x:c r="A3328" s="48" t="str">
        <x:v>UNI-3327</x:v>
      </x:c>
      <x:c r="B3328" s="48" t="str">
        <x:v>SILVER</x:v>
      </x:c>
      <x:c r="C3328" s="48" t="str">
        <x:v>Indonesian</x:v>
      </x:c>
      <x:c r="D3328" s="48" t="n">
        <x:v>88</x:v>
      </x:c>
      <x:c r="E3328" s="48" t="str"/>
      <x:c r="F3328" s="48" t="str">
        <x:v>S1 Temaran (“oa yr Gran an Porn Abas Ceng api</x:v>
      </x:c>
      <x:c r="G3328" s="48" t="str">
        <x:v>Obligation</x:v>
      </x:c>
      <x:c r="H3328" s="48" t="str">
        <x:v>Shared</x:v>
      </x:c>
      <x:c r="I3328" s="48" t="n">
        <x:v>0.45</x:v>
      </x:c>
      <x:c r="J3328" s="48" t="n">
        <x:v>0.4</x:v>
      </x:c>
      <x:c r="K3328" s="48" t="str">
        <x:v>Yes</x:v>
      </x:c>
      <x:c r="L3328" s="48" t="str">
        <x:v>OCR</x:v>
      </x:c>
    </x:row>
    <x:row r="3329">
      <x:c r="A3329" s="48" t="str">
        <x:v>UNI-3328</x:v>
      </x:c>
      <x:c r="B3329" s="48" t="str">
        <x:v>SILVER</x:v>
      </x:c>
      <x:c r="C3329" s="48" t="str">
        <x:v>Indonesian</x:v>
      </x:c>
      <x:c r="D3329" s="48" t="n">
        <x:v>88</x:v>
      </x:c>
      <x:c r="E3329" s="48" t="str">
        <x:v>9</x:v>
      </x:c>
      <x:c r="F3329" s="48" t="str">
        <x:v>9 MESIN OI) Deen Sera bt bo an Genta</x:v>
      </x:c>
      <x:c r="G3329" s="48" t="str">
        <x:v>Heading</x:v>
      </x:c>
      <x:c r="H3329" s="48" t="str"/>
      <x:c r="I3329" s="48" t="n">
        <x:v>0.9</x:v>
      </x:c>
      <x:c r="J3329" s="48" t="n">
        <x:v>0.99</x:v>
      </x:c>
      <x:c r="K3329" s="48" t="str">
        <x:v>No</x:v>
      </x:c>
      <x:c r="L3329" s="48" t="str">
        <x:v>OCR</x:v>
      </x:c>
    </x:row>
    <x:row r="3330">
      <x:c r="A3330" s="48" t="str">
        <x:v>UNI-3329</x:v>
      </x:c>
      <x:c r="B3330" s="48" t="str">
        <x:v>SILVER</x:v>
      </x:c>
      <x:c r="C3330" s="48" t="str">
        <x:v>Indonesian</x:v>
      </x:c>
      <x:c r="D3330" s="48" t="n">
        <x:v>88</x:v>
      </x:c>
      <x:c r="E3330" s="48" t="str"/>
      <x:c r="F3330" s="48" t="str">
        <x:v>(nb SA nan lp Drg La La at</x:v>
      </x:c>
      <x:c r="G3330" s="48" t="str">
        <x:v>Obligation</x:v>
      </x:c>
      <x:c r="H3330" s="48" t="str">
        <x:v>Shared</x:v>
      </x:c>
      <x:c r="I3330" s="48" t="n">
        <x:v>0.45</x:v>
      </x:c>
      <x:c r="J3330" s="48" t="n">
        <x:v>0.4</x:v>
      </x:c>
      <x:c r="K3330" s="48" t="str">
        <x:v>Yes</x:v>
      </x:c>
      <x:c r="L3330" s="48" t="str">
        <x:v>OCR</x:v>
      </x:c>
    </x:row>
    <x:row r="3331">
      <x:c r="A3331" s="48" t="str">
        <x:v>UNI-3330</x:v>
      </x:c>
      <x:c r="B3331" s="48" t="str">
        <x:v>SILVER</x:v>
      </x:c>
      <x:c r="C3331" s="48" t="str">
        <x:v>Indonesian</x:v>
      </x:c>
      <x:c r="D3331" s="48" t="n">
        <x:v>88</x:v>
      </x:c>
      <x:c r="E3331" s="48" t="str"/>
      <x:c r="F3331" s="48" t="str">
        <x:v>MA Can yg ec brand DA la awan</x:v>
      </x:c>
      <x:c r="G3331" s="48" t="str">
        <x:v>Obligation</x:v>
      </x:c>
      <x:c r="H3331" s="48" t="str">
        <x:v>Shared</x:v>
      </x:c>
      <x:c r="I3331" s="48" t="n">
        <x:v>0.45</x:v>
      </x:c>
      <x:c r="J3331" s="48" t="n">
        <x:v>0.4</x:v>
      </x:c>
      <x:c r="K3331" s="48" t="str">
        <x:v>Yes</x:v>
      </x:c>
      <x:c r="L3331" s="48" t="str">
        <x:v>OCR</x:v>
      </x:c>
    </x:row>
    <x:row r="3332">
      <x:c r="A3332" s="48" t="str">
        <x:v>UNI-3331</x:v>
      </x:c>
      <x:c r="B3332" s="48" t="str">
        <x:v>SILVER</x:v>
      </x:c>
      <x:c r="C3332" s="48" t="str">
        <x:v>Indonesian</x:v>
      </x:c>
      <x:c r="D3332" s="48" t="n">
        <x:v>88</x:v>
      </x:c>
      <x:c r="E3332" s="48" t="str"/>
      <x:c r="F3332" s="48" t="str">
        <x:v>Seet Oi San ta emban On ca yg ln daa kan</x:v>
      </x:c>
      <x:c r="G3332" s="48" t="str">
        <x:v>Obligation</x:v>
      </x:c>
      <x:c r="H3332" s="48" t="str">
        <x:v>Shared</x:v>
      </x:c>
      <x:c r="I3332" s="48" t="n">
        <x:v>0.45</x:v>
      </x:c>
      <x:c r="J3332" s="48" t="n">
        <x:v>0.4</x:v>
      </x:c>
      <x:c r="K3332" s="48" t="str">
        <x:v>Yes</x:v>
      </x:c>
      <x:c r="L3332" s="48" t="str">
        <x:v>OCR</x:v>
      </x:c>
    </x:row>
    <x:row r="3333">
      <x:c r="A3333" s="48" t="str">
        <x:v>UNI-3332</x:v>
      </x:c>
      <x:c r="B3333" s="48" t="str">
        <x:v>SILVER</x:v>
      </x:c>
      <x:c r="C3333" s="48" t="str">
        <x:v>Indonesian</x:v>
      </x:c>
      <x:c r="D3333" s="48" t="n">
        <x:v>88</x:v>
      </x:c>
      <x:c r="E3333" s="48" t="str"/>
      <x:c r="F3333" s="48" t="str">
        <x:v>Pwonasma an Kerta RE Mama erat memandu</x:v>
      </x:c>
      <x:c r="G3333" s="48" t="str">
        <x:v>Obligation</x:v>
      </x:c>
      <x:c r="H3333" s="48" t="str">
        <x:v>Shared</x:v>
      </x:c>
      <x:c r="I3333" s="48" t="n">
        <x:v>0.45</x:v>
      </x:c>
      <x:c r="J3333" s="48" t="n">
        <x:v>0.4</x:v>
      </x:c>
      <x:c r="K3333" s="48" t="str">
        <x:v>Yes</x:v>
      </x:c>
      <x:c r="L3333" s="48" t="str">
        <x:v>OCR</x:v>
      </x:c>
    </x:row>
    <x:row r="3334">
      <x:c r="A3334" s="48" t="str">
        <x:v>UNI-3333</x:v>
      </x:c>
      <x:c r="B3334" s="48" t="str">
        <x:v>SILVER</x:v>
      </x:c>
      <x:c r="C3334" s="48" t="str">
        <x:v>Indonesian</x:v>
      </x:c>
      <x:c r="D3334" s="48" t="n">
        <x:v>88</x:v>
      </x:c>
      <x:c r="E3334" s="48" t="str">
        <x:v>1</x:v>
      </x:c>
      <x:c r="F3334" s="48" t="str">
        <x:v>1 kat Tertak Gan dengan don Pan Asi Sang ng anatan Larean K4 akn Poavan Ab Segi aa Gn ba</x:v>
      </x:c>
      <x:c r="G3334" s="48" t="str">
        <x:v>Heading</x:v>
      </x:c>
      <x:c r="H3334" s="48" t="str"/>
      <x:c r="I3334" s="48" t="n">
        <x:v>0.9</x:v>
      </x:c>
      <x:c r="J3334" s="48" t="n">
        <x:v>0.99</x:v>
      </x:c>
      <x:c r="K3334" s="48" t="str">
        <x:v>No</x:v>
      </x:c>
      <x:c r="L3334" s="48" t="str">
        <x:v>OCR</x:v>
      </x:c>
    </x:row>
    <x:row r="3335">
      <x:c r="A3335" s="48" t="str">
        <x:v>UNI-3334</x:v>
      </x:c>
      <x:c r="B3335" s="48" t="str">
        <x:v>SILVER</x:v>
      </x:c>
      <x:c r="C3335" s="48" t="str">
        <x:v>Indonesian</x:v>
      </x:c>
      <x:c r="D3335" s="48" t="n">
        <x:v>88</x:v>
      </x:c>
      <x:c r="E3335" s="48" t="str"/>
      <x:c r="F3335" s="48" t="str">
        <x:v>Iu ea Kak Oitoka Gn aa mem an ngan daan mn</x:v>
      </x:c>
      <x:c r="G3335" s="48" t="str">
        <x:v>Obligation</x:v>
      </x:c>
      <x:c r="H3335" s="48" t="str">
        <x:v>Shared</x:v>
      </x:c>
      <x:c r="I3335" s="48" t="n">
        <x:v>0.45</x:v>
      </x:c>
      <x:c r="J3335" s="48" t="n">
        <x:v>0.4</x:v>
      </x:c>
      <x:c r="K3335" s="48" t="str">
        <x:v>Yes</x:v>
      </x:c>
      <x:c r="L3335" s="48" t="str">
        <x:v>OCR</x:v>
      </x:c>
    </x:row>
    <x:row r="3336">
      <x:c r="A3336" s="48" t="str">
        <x:v>UNI-3335</x:v>
      </x:c>
      <x:c r="B3336" s="48" t="str">
        <x:v>SILVER</x:v>
      </x:c>
      <x:c r="C3336" s="48" t="str">
        <x:v>Indonesian</x:v>
      </x:c>
      <x:c r="D3336" s="48" t="n">
        <x:v>88</x:v>
      </x:c>
      <x:c r="E3336" s="48" t="str"/>
      <x:c r="F3336" s="48" t="str">
        <x:v>Ketan Umum</x:v>
      </x:c>
      <x:c r="G3336" s="48" t="str">
        <x:v>Obligation</x:v>
      </x:c>
      <x:c r="H3336" s="48" t="str">
        <x:v>Shared</x:v>
      </x:c>
      <x:c r="I3336" s="48" t="n">
        <x:v>0.45</x:v>
      </x:c>
      <x:c r="J3336" s="48" t="n">
        <x:v>0.4</x:v>
      </x:c>
      <x:c r="K3336" s="48" t="str">
        <x:v>Yes</x:v>
      </x:c>
      <x:c r="L3336" s="48" t="str">
        <x:v>OCR</x:v>
      </x:c>
    </x:row>
    <x:row r="3337">
      <x:c r="A3337" s="48" t="str">
        <x:v>UNI-3336</x:v>
      </x:c>
      <x:c r="B3337" s="48" t="str">
        <x:v>SILVER</x:v>
      </x:c>
      <x:c r="C3337" s="48" t="str">
        <x:v>Indonesian</x:v>
      </x:c>
      <x:c r="D3337" s="48" t="n">
        <x:v>88</x:v>
      </x:c>
      <x:c r="E3337" s="48" t="str"/>
      <x:c r="F3337" s="48" t="str">
        <x:v>Perkakas Serat Wan bra an Pegara an Kera Gan</x:v>
      </x:c>
      <x:c r="G3337" s="48" t="str">
        <x:v>Obligation</x:v>
      </x:c>
      <x:c r="H3337" s="48" t="str">
        <x:v>Shared</x:v>
      </x:c>
      <x:c r="I3337" s="48" t="n">
        <x:v>0.45</x:v>
      </x:c>
      <x:c r="J3337" s="48" t="n">
        <x:v>0.4</x:v>
      </x:c>
      <x:c r="K3337" s="48" t="str">
        <x:v>Yes</x:v>
      </x:c>
      <x:c r="L3337" s="48" t="str">
        <x:v>OCR</x:v>
      </x:c>
    </x:row>
    <x:row r="3338">
      <x:c r="A3338" s="48" t="str">
        <x:v>UNI-3337</x:v>
      </x:c>
      <x:c r="B3338" s="48" t="str">
        <x:v>SILVER</x:v>
      </x:c>
      <x:c r="C3338" s="48" t="str">
        <x:v>Indonesian</x:v>
      </x:c>
      <x:c r="D3338" s="48" t="n">
        <x:v>88</x:v>
      </x:c>
      <x:c r="E3338" s="48" t="str"/>
      <x:c r="F3338" s="48" t="str">
        <x:v>TERM ME la Argo Swa Deng en merasa</x:v>
      </x:c>
      <x:c r="G3338" s="48" t="str">
        <x:v>Obligation</x:v>
      </x:c>
      <x:c r="H3338" s="48" t="str">
        <x:v>Shared</x:v>
      </x:c>
      <x:c r="I3338" s="48" t="n">
        <x:v>0.45</x:v>
      </x:c>
      <x:c r="J3338" s="48" t="n">
        <x:v>0.4</x:v>
      </x:c>
      <x:c r="K3338" s="48" t="str">
        <x:v>Yes</x:v>
      </x:c>
      <x:c r="L3338" s="48" t="str">
        <x:v>OCR</x:v>
      </x:c>
    </x:row>
    <x:row r="3339">
      <x:c r="A3339" s="48" t="str">
        <x:v>UNI-3338</x:v>
      </x:c>
      <x:c r="B3339" s="48" t="str">
        <x:v>SILVER</x:v>
      </x:c>
      <x:c r="C3339" s="48" t="str">
        <x:v>Indonesian</x:v>
      </x:c>
      <x:c r="D3339" s="48" t="n">
        <x:v>88</x:v>
      </x:c>
      <x:c r="E3339" s="48" t="str"/>
      <x:c r="F3339" s="48" t="str">
        <x:v>Seni pegnyan akan nga</x:v>
      </x:c>
      <x:c r="G3339" s="48" t="str">
        <x:v>Obligation</x:v>
      </x:c>
      <x:c r="H3339" s="48" t="str">
        <x:v>Shared</x:v>
      </x:c>
      <x:c r="I3339" s="48" t="n">
        <x:v>0.45</x:v>
      </x:c>
      <x:c r="J3339" s="48" t="n">
        <x:v>0.4</x:v>
      </x:c>
      <x:c r="K3339" s="48" t="str">
        <x:v>Yes</x:v>
      </x:c>
      <x:c r="L3339" s="48" t="str">
        <x:v>OCR</x:v>
      </x:c>
    </x:row>
    <x:row r="3340">
      <x:c r="A3340" s="48" t="str">
        <x:v>UNI-3339</x:v>
      </x:c>
      <x:c r="B3340" s="48" t="str">
        <x:v>SILVER</x:v>
      </x:c>
      <x:c r="C3340" s="48" t="str">
        <x:v>Indonesian</x:v>
      </x:c>
      <x:c r="D3340" s="48" t="n">
        <x:v>88</x:v>
      </x:c>
      <x:c r="E3340" s="48" t="str"/>
      <x:c r="F3340" s="48" t="str">
        <x:v>Poin ejagan Musa Srgoa kh baku Pergara da Gn Koatr</x:v>
      </x:c>
      <x:c r="G3340" s="48" t="str">
        <x:v>Obligation</x:v>
      </x:c>
      <x:c r="H3340" s="48" t="str">
        <x:v>Shared</x:v>
      </x:c>
      <x:c r="I3340" s="48" t="n">
        <x:v>0.45</x:v>
      </x:c>
      <x:c r="J3340" s="48" t="n">
        <x:v>0.4</x:v>
      </x:c>
      <x:c r="K3340" s="48" t="str">
        <x:v>Yes</x:v>
      </x:c>
      <x:c r="L3340" s="48" t="str">
        <x:v>OCR</x:v>
      </x:c>
    </x:row>
    <x:row r="3341">
      <x:c r="A3341" s="48" t="str">
        <x:v>UNI-3340</x:v>
      </x:c>
      <x:c r="B3341" s="48" t="str">
        <x:v>SILVER</x:v>
      </x:c>
      <x:c r="C3341" s="48" t="str">
        <x:v>Indonesian</x:v>
      </x:c>
      <x:c r="D3341" s="48" t="n">
        <x:v>88</x:v>
      </x:c>
      <x:c r="E3341" s="48" t="str"/>
      <x:c r="F3341" s="48" t="str">
        <x:v>TER MAUMameMATNMAN penganan el nga AN</x:v>
      </x:c>
      <x:c r="G3341" s="48" t="str">
        <x:v>Obligation</x:v>
      </x:c>
      <x:c r="H3341" s="48" t="str">
        <x:v>Shared</x:v>
      </x:c>
      <x:c r="I3341" s="48" t="n">
        <x:v>0.45</x:v>
      </x:c>
      <x:c r="J3341" s="48" t="n">
        <x:v>0.4</x:v>
      </x:c>
      <x:c r="K3341" s="48" t="str">
        <x:v>Yes</x:v>
      </x:c>
      <x:c r="L3341" s="48" t="str">
        <x:v>OCR</x:v>
      </x:c>
    </x:row>
    <x:row r="3342">
      <x:c r="A3342" s="48" t="str">
        <x:v>UNI-3341</x:v>
      </x:c>
      <x:c r="B3342" s="48" t="str">
        <x:v>SILVER</x:v>
      </x:c>
      <x:c r="C3342" s="48" t="str">
        <x:v>Indonesian</x:v>
      </x:c>
      <x:c r="D3342" s="48" t="n">
        <x:v>88</x:v>
      </x:c>
      <x:c r="E3342" s="48" t="str"/>
      <x:c r="F3342" s="48" t="str">
        <x:v>pengap eb ra al penodra enam</x:v>
      </x:c>
      <x:c r="G3342" s="48" t="str">
        <x:v>Obligation</x:v>
      </x:c>
      <x:c r="H3342" s="48" t="str">
        <x:v>Shared</x:v>
      </x:c>
      <x:c r="I3342" s="48" t="n">
        <x:v>0.45</x:v>
      </x:c>
      <x:c r="J3342" s="48" t="n">
        <x:v>0.4</x:v>
      </x:c>
      <x:c r="K3342" s="48" t="str">
        <x:v>Yes</x:v>
      </x:c>
      <x:c r="L3342" s="48" t="str">
        <x:v>OCR</x:v>
      </x:c>
    </x:row>
    <x:row r="3343">
      <x:c r="A3343" s="48" t="str">
        <x:v>UNI-3342</x:v>
      </x:c>
      <x:c r="B3343" s="48" t="str">
        <x:v>SILVER</x:v>
      </x:c>
      <x:c r="C3343" s="48" t="str">
        <x:v>Indonesian</x:v>
      </x:c>
      <x:c r="D3343" s="48" t="n">
        <x:v>88</x:v>
      </x:c>
      <x:c r="E3343" s="48" t="str"/>
      <x:c r="F3343" s="48" t="str">
        <x:v>Ara Sego pem meri asn an atas</x:v>
      </x:c>
      <x:c r="G3343" s="48" t="str">
        <x:v>Obligation</x:v>
      </x:c>
      <x:c r="H3343" s="48" t="str">
        <x:v>Shared</x:v>
      </x:c>
      <x:c r="I3343" s="48" t="n">
        <x:v>0.45</x:v>
      </x:c>
      <x:c r="J3343" s="48" t="n">
        <x:v>0.4</x:v>
      </x:c>
      <x:c r="K3343" s="48" t="str">
        <x:v>Yes</x:v>
      </x:c>
      <x:c r="L3343" s="48" t="str">
        <x:v>OCR</x:v>
      </x:c>
    </x:row>
    <x:row r="3344">
      <x:c r="A3344" s="48" t="str">
        <x:v>UNI-3343</x:v>
      </x:c>
      <x:c r="B3344" s="48" t="str">
        <x:v>SILVER</x:v>
      </x:c>
      <x:c r="C3344" s="48" t="str">
        <x:v>Indonesian</x:v>
      </x:c>
      <x:c r="D3344" s="48" t="n">
        <x:v>89</x:v>
      </x:c>
      <x:c r="E3344" s="48" t="str"/>
      <x:c r="F3344" s="48" t="str">
        <x:v>Konajtan Urun</x:v>
      </x:c>
      <x:c r="G3344" s="48" t="str">
        <x:v>Obligation</x:v>
      </x:c>
      <x:c r="H3344" s="48" t="str">
        <x:v>Shared</x:v>
      </x:c>
      <x:c r="I3344" s="48" t="n">
        <x:v>0.45</x:v>
      </x:c>
      <x:c r="J3344" s="48" t="n">
        <x:v>0.4</x:v>
      </x:c>
      <x:c r="K3344" s="48" t="str">
        <x:v>Yes</x:v>
      </x:c>
      <x:c r="L3344" s="48" t="str">
        <x:v>OCR</x:v>
      </x:c>
    </x:row>
    <x:row r="3345">
      <x:c r="A3345" s="48" t="str">
        <x:v>UNI-3344</x:v>
      </x:c>
      <x:c r="B3345" s="48" t="str">
        <x:v>SILVER</x:v>
      </x:c>
      <x:c r="C3345" s="48" t="str">
        <x:v>Indonesian</x:v>
      </x:c>
      <x:c r="D3345" s="48" t="n">
        <x:v>89</x:v>
      </x:c>
      <x:c r="E3345" s="48" t="str"/>
      <x:c r="F3345" s="48" t="str">
        <x:v>Konstan Umur</x:v>
      </x:c>
      <x:c r="G3345" s="48" t="str">
        <x:v>Obligation</x:v>
      </x:c>
      <x:c r="H3345" s="48" t="str">
        <x:v>Shared</x:v>
      </x:c>
      <x:c r="I3345" s="48" t="n">
        <x:v>0.45</x:v>
      </x:c>
      <x:c r="J3345" s="48" t="n">
        <x:v>0.4</x:v>
      </x:c>
      <x:c r="K3345" s="48" t="str">
        <x:v>Yes</x:v>
      </x:c>
      <x:c r="L3345" s="48" t="str">
        <x:v>OCR</x:v>
      </x:c>
    </x:row>
    <x:row r="3346">
      <x:c r="A3346" s="48" t="str">
        <x:v>UNI-3345</x:v>
      </x:c>
      <x:c r="B3346" s="48" t="str">
        <x:v>SILVER</x:v>
      </x:c>
      <x:c r="C3346" s="48" t="str">
        <x:v>Indonesian</x:v>
      </x:c>
      <x:c r="D3346" s="48" t="n">
        <x:v>89</x:v>
      </x:c>
      <x:c r="E3346" s="48" t="str"/>
      <x:c r="F3346" s="48" t="str">
        <x:v>PenggnaJaa gan</x:v>
      </x:c>
      <x:c r="G3346" s="48" t="str">
        <x:v>Obligation</x:v>
      </x:c>
      <x:c r="H3346" s="48" t="str">
        <x:v>Shared</x:v>
      </x:c>
      <x:c r="I3346" s="48" t="n">
        <x:v>0.45</x:v>
      </x:c>
      <x:c r="J3346" s="48" t="n">
        <x:v>0.4</x:v>
      </x:c>
      <x:c r="K3346" s="48" t="str">
        <x:v>Yes</x:v>
      </x:c>
      <x:c r="L3346" s="48" t="str">
        <x:v>OCR</x:v>
      </x:c>
    </x:row>
  </x:sheetData>
  <x:conditionalFormatting sqref="K2:K3346">
    <x:cfRule type="expression" dxfId="0" priority="1">
      <x:formula>K2="Yes"</x:formula>
    </x:cfRule>
  </x:conditionalFormatting>
  <x:conditionalFormatting sqref="G2:G3346">
    <x:cfRule type="expression" dxfId="1" priority="2">
      <x:formula>G2="Risk"</x:formula>
    </x:cfRule>
  </x:conditionalFormatting>
  <x:dataValidations count="3">
    <x:dataValidation type="list" sqref="G2:G3346">
      <x:formula1>"Heading,Definition,Obligation,Risk,Right"</x:formula1>
    </x:dataValidation>
    <x:dataValidation type="list" sqref="H2:H3346">
      <x:formula1>",Contractor,Employer,Shared"</x:formula1>
    </x:dataValidation>
    <x:dataValidation type="list" sqref="K2:K3346">
      <x:formula1>"Yes,No"</x:formula1>
    </x:dataValidation>
  </x:dataValidations>
  <x:pageMargins left="0.7" right="0.7" top="0.75" bottom="0.75" header="0.3" footer="0.3"/>
  <x:tableParts count="1">
    <x:tablePart xmlns:r="http://schemas.openxmlformats.org/officeDocument/2006/relationships" r:id="R2032163f9e414a46"/>
  </x:tableParts>
</x:worksheet>
</file>

<file path=xl/worksheets/sheet5.xml><?xml version="1.0" encoding="utf-8"?>
<x:worksheet xmlns:x="http://schemas.openxmlformats.org/spreadsheetml/2006/main">
  <x:sheetFormatPr defaultRowHeight="15"/>
  <x:cols>
    <x:col min="1" max="1" width="14" hidden="0" customWidth="1"/>
    <x:col min="2" max="2" width="10" hidden="0" customWidth="1"/>
    <x:col min="3" max="3" width="12" hidden="0" customWidth="1"/>
    <x:col min="4" max="4" width="8" hidden="0" customWidth="1"/>
    <x:col min="5" max="5" width="12" hidden="0" customWidth="1"/>
    <x:col min="6" max="6" width="58" hidden="0" customWidth="1"/>
    <x:col min="7" max="7" width="16" hidden="0" customWidth="1"/>
    <x:col min="8" max="8" width="16" hidden="0" customWidth="1"/>
    <x:col min="9" max="9" width="15" hidden="0" customWidth="1"/>
    <x:col min="10" max="10" width="16" hidden="0" customWidth="1"/>
    <x:col min="11" max="11" width="14" hidden="0" customWidth="1"/>
    <x:col min="12" max="12" width="18" hidden="0" customWidth="1"/>
  </x:cols>
  <x:sheetData>
    <x:row r="1">
      <x:c r="A1" s="18" t="str">
        <x:v>Sentence_ID</x:v>
      </x:c>
      <x:c r="B1" s="35" t="str">
        <x:v>Book</x:v>
      </x:c>
      <x:c r="C1" s="35" t="str">
        <x:v>Language</x:v>
      </x:c>
      <x:c r="D1" s="50" t="str">
        <x:v>Page</x:v>
      </x:c>
      <x:c r="E1" s="35" t="str">
        <x:v>Clause</x:v>
      </x:c>
      <x:c r="F1" s="35" t="str">
        <x:v>Sentence</x:v>
      </x:c>
      <x:c r="G1" s="35" t="str">
        <x:v>Sentence_Type</x:v>
      </x:c>
      <x:c r="H1" s="35" t="str">
        <x:v>Related_Party</x:v>
      </x:c>
      <x:c r="I1" s="52" t="str">
        <x:v>Type_Confidence</x:v>
      </x:c>
      <x:c r="J1" s="52" t="str">
        <x:v>Party_Confidence</x:v>
      </x:c>
      <x:c r="K1" s="35" t="str">
        <x:v>Needs_Review</x:v>
      </x:c>
      <x:c r="L1" s="19" t="str">
        <x:v>Extraction_Method</x:v>
      </x:c>
    </x:row>
    <x:row r="2">
      <x:c r="A2" s="48" t="str">
        <x:v>RED-0001</x:v>
      </x:c>
      <x:c r="B2" s="48" t="str">
        <x:v>RED</x:v>
      </x:c>
      <x:c r="C2" s="48" t="str">
        <x:v>English</x:v>
      </x:c>
      <x:c r="D2" s="48" t="n">
        <x:v>14</x:v>
      </x:c>
      <x:c r="E2" s="48" t="str"/>
      <x:c r="F2" s="48" t="str">
        <x:v>In the Conditions of Contract (“these Conditions”), which include Particular</x:v>
      </x:c>
      <x:c r="G2" s="48" t="str">
        <x:v>Obligation</x:v>
      </x:c>
      <x:c r="H2" s="48" t="str">
        <x:v>Shared</x:v>
      </x:c>
      <x:c r="I2" s="48" t="n">
        <x:v>0.45</x:v>
      </x:c>
      <x:c r="J2" s="48" t="n">
        <x:v>0.4</x:v>
      </x:c>
      <x:c r="K2" s="48" t="str">
        <x:v>Yes</x:v>
      </x:c>
      <x:c r="L2" s="48" t="str">
        <x:v>PDF text</x:v>
      </x:c>
    </x:row>
    <x:row r="3">
      <x:c r="A3" s="48" t="str">
        <x:v>RED-0002</x:v>
      </x:c>
      <x:c r="B3" s="48" t="str">
        <x:v>RED</x:v>
      </x:c>
      <x:c r="C3" s="48" t="str">
        <x:v>English</x:v>
      </x:c>
      <x:c r="D3" s="48" t="n">
        <x:v>14</x:v>
      </x:c>
      <x:c r="E3" s="48" t="str"/>
      <x:c r="F3" s="48" t="str">
        <x:v>Conditions, Parts A and B, and these General Conditions, the following words and</x:v>
      </x:c>
      <x:c r="G3" s="48" t="str">
        <x:v>Obligation</x:v>
      </x:c>
      <x:c r="H3" s="48" t="str">
        <x:v>Shared</x:v>
      </x:c>
      <x:c r="I3" s="48" t="n">
        <x:v>0.45</x:v>
      </x:c>
      <x:c r="J3" s="48" t="n">
        <x:v>0.4</x:v>
      </x:c>
      <x:c r="K3" s="48" t="str">
        <x:v>Yes</x:v>
      </x:c>
      <x:c r="L3" s="48" t="str">
        <x:v>PDF text</x:v>
      </x:c>
    </x:row>
    <x:row r="4">
      <x:c r="A4" s="48" t="str">
        <x:v>RED-0003</x:v>
      </x:c>
      <x:c r="B4" s="48" t="str">
        <x:v>RED</x:v>
      </x:c>
      <x:c r="C4" s="48" t="str">
        <x:v>English</x:v>
      </x:c>
      <x:c r="D4" s="48" t="n">
        <x:v>14</x:v>
      </x:c>
      <x:c r="E4" s="48" t="str"/>
      <x:c r="F4" s="48" t="str">
        <x:v>expressions shall have the meanings stated.</x:v>
      </x:c>
      <x:c r="G4" s="48" t="str">
        <x:v>Obligation</x:v>
      </x:c>
      <x:c r="H4" s="48" t="str">
        <x:v>Shared</x:v>
      </x:c>
      <x:c r="I4" s="48" t="n">
        <x:v>0.88</x:v>
      </x:c>
      <x:c r="J4" s="48" t="n">
        <x:v>0.4</x:v>
      </x:c>
      <x:c r="K4" s="48" t="str">
        <x:v>Yes</x:v>
      </x:c>
      <x:c r="L4" s="48" t="str">
        <x:v>PDF text</x:v>
      </x:c>
    </x:row>
    <x:row r="5">
      <x:c r="A5" s="48" t="str">
        <x:v>RED-0004</x:v>
      </x:c>
      <x:c r="B5" s="48" t="str">
        <x:v>RED</x:v>
      </x:c>
      <x:c r="C5" s="48" t="str">
        <x:v>English</x:v>
      </x:c>
      <x:c r="D5" s="48" t="n">
        <x:v>14</x:v>
      </x:c>
      <x:c r="E5" s="48" t="str"/>
      <x:c r="F5" s="48" t="str">
        <x:v>Words indicating persons or parties include corporations and other legal entities, except where the context requires otherwise.</x:v>
      </x:c>
      <x:c r="G5" s="48" t="str">
        <x:v>Obligation</x:v>
      </x:c>
      <x:c r="H5" s="48" t="str">
        <x:v>Shared</x:v>
      </x:c>
      <x:c r="I5" s="48" t="n">
        <x:v>0.45</x:v>
      </x:c>
      <x:c r="J5" s="48" t="n">
        <x:v>0.4</x:v>
      </x:c>
      <x:c r="K5" s="48" t="str">
        <x:v>Yes</x:v>
      </x:c>
      <x:c r="L5" s="48" t="str">
        <x:v>PDF text</x:v>
      </x:c>
    </x:row>
    <x:row r="6">
      <x:c r="A6" s="48" t="str">
        <x:v>RED-0005</x:v>
      </x:c>
      <x:c r="B6" s="48" t="str">
        <x:v>RED</x:v>
      </x:c>
      <x:c r="C6" s="48" t="str">
        <x:v>English</x:v>
      </x:c>
      <x:c r="D6" s="48" t="n">
        <x:v>14</x:v>
      </x:c>
      <x:c r="E6" s="48" t="str">
        <x:v>1.1.1.1</x:v>
      </x:c>
      <x:c r="F6" s="48" t="str">
        <x:v>1.1.1.1 “Contract” means the Contract Agreement, the Letter of Acceptance, the</x:v>
      </x:c>
      <x:c r="G6" s="48" t="str">
        <x:v>Definition</x:v>
      </x:c>
      <x:c r="H6" s="48" t="str"/>
      <x:c r="I6" s="48" t="n">
        <x:v>0.97</x:v>
      </x:c>
      <x:c r="J6" s="48" t="n">
        <x:v>0.99</x:v>
      </x:c>
      <x:c r="K6" s="48" t="str">
        <x:v>No</x:v>
      </x:c>
      <x:c r="L6" s="48" t="str">
        <x:v>PDF text</x:v>
      </x:c>
    </x:row>
    <x:row r="7">
      <x:c r="A7" s="48" t="str">
        <x:v>RED-0006</x:v>
      </x:c>
      <x:c r="B7" s="48" t="str">
        <x:v>RED</x:v>
      </x:c>
      <x:c r="C7" s="48" t="str">
        <x:v>English</x:v>
      </x:c>
      <x:c r="D7" s="48" t="n">
        <x:v>14</x:v>
      </x:c>
      <x:c r="E7" s="48" t="str"/>
      <x:c r="F7" s="48" t="str">
        <x:v>Letter of Tender, these Conditions, the Specification, the Drawings, the</x:v>
      </x:c>
      <x:c r="G7" s="48" t="str">
        <x:v>Obligation</x:v>
      </x:c>
      <x:c r="H7" s="48" t="str">
        <x:v>Shared</x:v>
      </x:c>
      <x:c r="I7" s="48" t="n">
        <x:v>0.45</x:v>
      </x:c>
      <x:c r="J7" s="48" t="n">
        <x:v>0.4</x:v>
      </x:c>
      <x:c r="K7" s="48" t="str">
        <x:v>Yes</x:v>
      </x:c>
      <x:c r="L7" s="48" t="str">
        <x:v>PDF text</x:v>
      </x:c>
    </x:row>
    <x:row r="8">
      <x:c r="A8" s="48" t="str">
        <x:v>RED-0007</x:v>
      </x:c>
      <x:c r="B8" s="48" t="str">
        <x:v>RED</x:v>
      </x:c>
      <x:c r="C8" s="48" t="str">
        <x:v>English</x:v>
      </x:c>
      <x:c r="D8" s="48" t="n">
        <x:v>14</x:v>
      </x:c>
      <x:c r="E8" s="48" t="str"/>
      <x:c r="F8" s="48" t="str">
        <x:v>Schedules, and the further documents (if any) which are listed in the</x:v>
      </x:c>
      <x:c r="G8" s="48" t="str">
        <x:v>Obligation</x:v>
      </x:c>
      <x:c r="H8" s="48" t="str">
        <x:v>Shared</x:v>
      </x:c>
      <x:c r="I8" s="48" t="n">
        <x:v>0.45</x:v>
      </x:c>
      <x:c r="J8" s="48" t="n">
        <x:v>0.4</x:v>
      </x:c>
      <x:c r="K8" s="48" t="str">
        <x:v>Yes</x:v>
      </x:c>
      <x:c r="L8" s="48" t="str">
        <x:v>PDF text</x:v>
      </x:c>
    </x:row>
    <x:row r="9">
      <x:c r="A9" s="48" t="str">
        <x:v>RED-0008</x:v>
      </x:c>
      <x:c r="B9" s="48" t="str">
        <x:v>RED</x:v>
      </x:c>
      <x:c r="C9" s="48" t="str">
        <x:v>English</x:v>
      </x:c>
      <x:c r="D9" s="48" t="n">
        <x:v>14</x:v>
      </x:c>
      <x:c r="E9" s="48" t="str"/>
      <x:c r="F9" s="48" t="str">
        <x:v>Contract Agreement or in the Letter of Acceptance.</x:v>
      </x:c>
      <x:c r="G9" s="48" t="str">
        <x:v>Obligation</x:v>
      </x:c>
      <x:c r="H9" s="48" t="str">
        <x:v>Shared</x:v>
      </x:c>
      <x:c r="I9" s="48" t="n">
        <x:v>0.45</x:v>
      </x:c>
      <x:c r="J9" s="48" t="n">
        <x:v>0.4</x:v>
      </x:c>
      <x:c r="K9" s="48" t="str">
        <x:v>Yes</x:v>
      </x:c>
      <x:c r="L9" s="48" t="str">
        <x:v>PDF text</x:v>
      </x:c>
    </x:row>
    <x:row r="10">
      <x:c r="A10" s="48" t="str">
        <x:v>RED-0009</x:v>
      </x:c>
      <x:c r="B10" s="48" t="str">
        <x:v>RED</x:v>
      </x:c>
      <x:c r="C10" s="48" t="str">
        <x:v>English</x:v>
      </x:c>
      <x:c r="D10" s="48" t="n">
        <x:v>14</x:v>
      </x:c>
      <x:c r="E10" s="48" t="str">
        <x:v>1.1.1.2</x:v>
      </x:c>
      <x:c r="F10" s="48" t="str">
        <x:v>1.1.1.2 “Contract Agreement” means the contract agreement (if any) referred to in Sub-Clause 1.6 [Contract Agreement].</x:v>
      </x:c>
      <x:c r="G10" s="48" t="str">
        <x:v>Definition</x:v>
      </x:c>
      <x:c r="H10" s="48" t="str"/>
      <x:c r="I10" s="48" t="n">
        <x:v>0.97</x:v>
      </x:c>
      <x:c r="J10" s="48" t="n">
        <x:v>0.99</x:v>
      </x:c>
      <x:c r="K10" s="48" t="str">
        <x:v>No</x:v>
      </x:c>
      <x:c r="L10" s="48" t="str">
        <x:v>PDF text</x:v>
      </x:c>
    </x:row>
    <x:row r="11">
      <x:c r="A11" s="48" t="str">
        <x:v>RED-0010</x:v>
      </x:c>
      <x:c r="B11" s="48" t="str">
        <x:v>RED</x:v>
      </x:c>
      <x:c r="C11" s="48" t="str">
        <x:v>English</x:v>
      </x:c>
      <x:c r="D11" s="48" t="n">
        <x:v>14</x:v>
      </x:c>
      <x:c r="E11" s="48" t="str">
        <x:v>1.1.1.3</x:v>
      </x:c>
      <x:c r="F11" s="48" t="str">
        <x:v>1.1.1.3 “Letter of Acceptance” means the letter of formal acceptance, signed by the Employer, of the Letter of Tender, including any annexed memoranda comprising agreements between and signed by both Parties.</x:v>
      </x:c>
      <x:c r="G11" s="48" t="str">
        <x:v>Definition</x:v>
      </x:c>
      <x:c r="H11" s="48" t="str"/>
      <x:c r="I11" s="48" t="n">
        <x:v>0.97</x:v>
      </x:c>
      <x:c r="J11" s="48" t="n">
        <x:v>0.99</x:v>
      </x:c>
      <x:c r="K11" s="48" t="str">
        <x:v>No</x:v>
      </x:c>
      <x:c r="L11" s="48" t="str">
        <x:v>PDF text</x:v>
      </x:c>
    </x:row>
    <x:row r="12">
      <x:c r="A12" s="48" t="str">
        <x:v>RED-0011</x:v>
      </x:c>
      <x:c r="B12" s="48" t="str">
        <x:v>RED</x:v>
      </x:c>
      <x:c r="C12" s="48" t="str">
        <x:v>English</x:v>
      </x:c>
      <x:c r="D12" s="48" t="n">
        <x:v>14</x:v>
      </x:c>
      <x:c r="E12" s="48" t="str"/>
      <x:c r="F12" s="48" t="str">
        <x:v>If there is no such letter of acceptance, the expression “Letter of Acceptance” means the</x:v>
      </x:c>
      <x:c r="G12" s="48" t="str">
        <x:v>Definition</x:v>
      </x:c>
      <x:c r="H12" s="48" t="str"/>
      <x:c r="I12" s="48" t="n">
        <x:v>0.97</x:v>
      </x:c>
      <x:c r="J12" s="48" t="n">
        <x:v>0.99</x:v>
      </x:c>
      <x:c r="K12" s="48" t="str">
        <x:v>No</x:v>
      </x:c>
      <x:c r="L12" s="48" t="str">
        <x:v>PDF text</x:v>
      </x:c>
    </x:row>
    <x:row r="13">
      <x:c r="A13" s="48" t="str">
        <x:v>RED-0012</x:v>
      </x:c>
      <x:c r="B13" s="48" t="str">
        <x:v>RED</x:v>
      </x:c>
      <x:c r="C13" s="48" t="str">
        <x:v>English</x:v>
      </x:c>
      <x:c r="D13" s="48" t="n">
        <x:v>14</x:v>
      </x:c>
      <x:c r="E13" s="48" t="str"/>
      <x:c r="F13" s="48" t="str">
        <x:v>Contract Agreement and the date of issuing or receiving the Letter of</x:v>
      </x:c>
      <x:c r="G13" s="48" t="str">
        <x:v>Obligation</x:v>
      </x:c>
      <x:c r="H13" s="48" t="str">
        <x:v>Shared</x:v>
      </x:c>
      <x:c r="I13" s="48" t="n">
        <x:v>0.45</x:v>
      </x:c>
      <x:c r="J13" s="48" t="n">
        <x:v>0.4</x:v>
      </x:c>
      <x:c r="K13" s="48" t="str">
        <x:v>Yes</x:v>
      </x:c>
      <x:c r="L13" s="48" t="str">
        <x:v>PDF text</x:v>
      </x:c>
    </x:row>
    <x:row r="14">
      <x:c r="A14" s="48" t="str">
        <x:v>RED-0013</x:v>
      </x:c>
      <x:c r="B14" s="48" t="str">
        <x:v>RED</x:v>
      </x:c>
      <x:c r="C14" s="48" t="str">
        <x:v>English</x:v>
      </x:c>
      <x:c r="D14" s="48" t="n">
        <x:v>14</x:v>
      </x:c>
      <x:c r="E14" s="48" t="str"/>
      <x:c r="F14" s="48" t="str">
        <x:v>Acceptance means the date of signing the Contract Agreement.</x:v>
      </x:c>
      <x:c r="G14" s="48" t="str">
        <x:v>Obligation</x:v>
      </x:c>
      <x:c r="H14" s="48" t="str">
        <x:v>Shared</x:v>
      </x:c>
      <x:c r="I14" s="48" t="n">
        <x:v>0.45</x:v>
      </x:c>
      <x:c r="J14" s="48" t="n">
        <x:v>0.4</x:v>
      </x:c>
      <x:c r="K14" s="48" t="str">
        <x:v>Yes</x:v>
      </x:c>
      <x:c r="L14" s="48" t="str">
        <x:v>PDF text</x:v>
      </x:c>
    </x:row>
    <x:row r="15">
      <x:c r="A15" s="48" t="str">
        <x:v>RED-0014</x:v>
      </x:c>
      <x:c r="B15" s="48" t="str">
        <x:v>RED</x:v>
      </x:c>
      <x:c r="C15" s="48" t="str">
        <x:v>English</x:v>
      </x:c>
      <x:c r="D15" s="48" t="n">
        <x:v>14</x:v>
      </x:c>
      <x:c r="E15" s="48" t="str">
        <x:v>1.1.1.4</x:v>
      </x:c>
      <x:c r="F15" s="48" t="str">
        <x:v>1.1.1.4 “Letter of Tender” means the document entitled letter of tender or letter of bid, which was completed by the Contractor and includes the signed offer to the Employer for the Works.</x:v>
      </x:c>
      <x:c r="G15" s="48" t="str">
        <x:v>Definition</x:v>
      </x:c>
      <x:c r="H15" s="48" t="str"/>
      <x:c r="I15" s="48" t="n">
        <x:v>0.97</x:v>
      </x:c>
      <x:c r="J15" s="48" t="n">
        <x:v>0.99</x:v>
      </x:c>
      <x:c r="K15" s="48" t="str">
        <x:v>No</x:v>
      </x:c>
      <x:c r="L15" s="48" t="str">
        <x:v>PDF text</x:v>
      </x:c>
    </x:row>
    <x:row r="16">
      <x:c r="A16" s="48" t="str">
        <x:v>RED-0015</x:v>
      </x:c>
      <x:c r="B16" s="48" t="str">
        <x:v>RED</x:v>
      </x:c>
      <x:c r="C16" s="48" t="str">
        <x:v>English</x:v>
      </x:c>
      <x:c r="D16" s="48" t="n">
        <x:v>14</x:v>
      </x:c>
      <x:c r="E16" s="48" t="str">
        <x:v>1.1.1.5</x:v>
      </x:c>
      <x:c r="F16" s="48" t="str">
        <x:v>1.1.1.5 “Specification” means the document entitled specification, as included in the Contract, and any additions and modifications to the specification in accordance with the Contract.</x:v>
      </x:c>
      <x:c r="G16" s="48" t="str">
        <x:v>Definition</x:v>
      </x:c>
      <x:c r="H16" s="48" t="str"/>
      <x:c r="I16" s="48" t="n">
        <x:v>0.97</x:v>
      </x:c>
      <x:c r="J16" s="48" t="n">
        <x:v>0.99</x:v>
      </x:c>
      <x:c r="K16" s="48" t="str">
        <x:v>No</x:v>
      </x:c>
      <x:c r="L16" s="48" t="str">
        <x:v>PDF text</x:v>
      </x:c>
    </x:row>
    <x:row r="17">
      <x:c r="A17" s="48" t="str">
        <x:v>RED-0016</x:v>
      </x:c>
      <x:c r="B17" s="48" t="str">
        <x:v>RED</x:v>
      </x:c>
      <x:c r="C17" s="48" t="str">
        <x:v>English</x:v>
      </x:c>
      <x:c r="D17" s="48" t="n">
        <x:v>14</x:v>
      </x:c>
      <x:c r="E17" s="48" t="str"/>
      <x:c r="F17" s="48" t="str">
        <x:v>Such document specifies the Works.</x:v>
      </x:c>
      <x:c r="G17" s="48" t="str">
        <x:v>Obligation</x:v>
      </x:c>
      <x:c r="H17" s="48" t="str">
        <x:v>Shared</x:v>
      </x:c>
      <x:c r="I17" s="48" t="n">
        <x:v>0.45</x:v>
      </x:c>
      <x:c r="J17" s="48" t="n">
        <x:v>0.4</x:v>
      </x:c>
      <x:c r="K17" s="48" t="str">
        <x:v>Yes</x:v>
      </x:c>
      <x:c r="L17" s="48" t="str">
        <x:v>PDF text</x:v>
      </x:c>
    </x:row>
    <x:row r="18">
      <x:c r="A18" s="48" t="str">
        <x:v>RED-0017</x:v>
      </x:c>
      <x:c r="B18" s="48" t="str">
        <x:v>RED</x:v>
      </x:c>
      <x:c r="C18" s="48" t="str">
        <x:v>English</x:v>
      </x:c>
      <x:c r="D18" s="48" t="n">
        <x:v>14</x:v>
      </x:c>
      <x:c r="E18" s="48" t="str">
        <x:v>1.1.1.6</x:v>
      </x:c>
      <x:c r="F18" s="48" t="str">
        <x:v>1.1.1.6 “Drawings” means the drawings of the Works, as included in the Contract, and any additional and modified drawings issued by (or on behalf of) the Employer in accordance with the Contract.</x:v>
      </x:c>
      <x:c r="G18" s="48" t="str">
        <x:v>Definition</x:v>
      </x:c>
      <x:c r="H18" s="48" t="str"/>
      <x:c r="I18" s="48" t="n">
        <x:v>0.97</x:v>
      </x:c>
      <x:c r="J18" s="48" t="n">
        <x:v>0.99</x:v>
      </x:c>
      <x:c r="K18" s="48" t="str">
        <x:v>No</x:v>
      </x:c>
      <x:c r="L18" s="48" t="str">
        <x:v>PDF text</x:v>
      </x:c>
    </x:row>
    <x:row r="19">
      <x:c r="A19" s="48" t="str">
        <x:v>RED-0018</x:v>
      </x:c>
      <x:c r="B19" s="48" t="str">
        <x:v>RED</x:v>
      </x:c>
      <x:c r="C19" s="48" t="str">
        <x:v>English</x:v>
      </x:c>
      <x:c r="D19" s="48" t="n">
        <x:v>14</x:v>
      </x:c>
      <x:c r="E19" s="48" t="str">
        <x:v>1.1.1.7</x:v>
      </x:c>
      <x:c r="F19" s="48" t="str">
        <x:v>1.1.1.7 “Schedules” means the document(s) entitled schedules, completed by the</x:v>
      </x:c>
      <x:c r="G19" s="48" t="str">
        <x:v>Definition</x:v>
      </x:c>
      <x:c r="H19" s="48" t="str"/>
      <x:c r="I19" s="48" t="n">
        <x:v>0.97</x:v>
      </x:c>
      <x:c r="J19" s="48" t="n">
        <x:v>0.99</x:v>
      </x:c>
      <x:c r="K19" s="48" t="str">
        <x:v>No</x:v>
      </x:c>
      <x:c r="L19" s="48" t="str">
        <x:v>PDF text</x:v>
      </x:c>
    </x:row>
    <x:row r="20">
      <x:c r="A20" s="48" t="str">
        <x:v>RED-0019</x:v>
      </x:c>
      <x:c r="B20" s="48" t="str">
        <x:v>RED</x:v>
      </x:c>
      <x:c r="C20" s="48" t="str">
        <x:v>English</x:v>
      </x:c>
      <x:c r="D20" s="48" t="n">
        <x:v>14</x:v>
      </x:c>
      <x:c r="E20" s="48" t="str"/>
      <x:c r="F20" s="48" t="str">
        <x:v>Contractor and submitted with the Letter of Tender, as included in the</x:v>
      </x:c>
      <x:c r="G20" s="48" t="str">
        <x:v>Obligation</x:v>
      </x:c>
      <x:c r="H20" s="48" t="str">
        <x:v>Contractor</x:v>
      </x:c>
      <x:c r="I20" s="48" t="n">
        <x:v>0.45</x:v>
      </x:c>
      <x:c r="J20" s="48" t="n">
        <x:v>0.68</x:v>
      </x:c>
      <x:c r="K20" s="48" t="str">
        <x:v>Yes</x:v>
      </x:c>
      <x:c r="L20" s="48" t="str">
        <x:v>PDF text</x:v>
      </x:c>
    </x:row>
    <x:row r="21">
      <x:c r="A21" s="48" t="str">
        <x:v>RED-0020</x:v>
      </x:c>
      <x:c r="B21" s="48" t="str">
        <x:v>RED</x:v>
      </x:c>
      <x:c r="C21" s="48" t="str">
        <x:v>English</x:v>
      </x:c>
      <x:c r="D21" s="48" t="n">
        <x:v>14</x:v>
      </x:c>
      <x:c r="E21" s="48" t="str"/>
      <x:c r="F21" s="48" t="str">
        <x:v>Contract.</x:v>
      </x:c>
      <x:c r="G21" s="48" t="str">
        <x:v>Obligation</x:v>
      </x:c>
      <x:c r="H21" s="48" t="str">
        <x:v>Shared</x:v>
      </x:c>
      <x:c r="I21" s="48" t="n">
        <x:v>0.45</x:v>
      </x:c>
      <x:c r="J21" s="48" t="n">
        <x:v>0.4</x:v>
      </x:c>
      <x:c r="K21" s="48" t="str">
        <x:v>Yes</x:v>
      </x:c>
      <x:c r="L21" s="48" t="str">
        <x:v>PDF text</x:v>
      </x:c>
    </x:row>
    <x:row r="22">
      <x:c r="A22" s="48" t="str">
        <x:v>RED-0021</x:v>
      </x:c>
      <x:c r="B22" s="48" t="str">
        <x:v>RED</x:v>
      </x:c>
      <x:c r="C22" s="48" t="str">
        <x:v>English</x:v>
      </x:c>
      <x:c r="D22" s="48" t="n">
        <x:v>14</x:v>
      </x:c>
      <x:c r="E22" s="48" t="str"/>
      <x:c r="F22" s="48" t="str">
        <x:v>Such document may include the Bill of Quantities, data, lists, and schedules of rates and/or prices.</x:v>
      </x:c>
      <x:c r="G22" s="48" t="str">
        <x:v>Right</x:v>
      </x:c>
      <x:c r="H22" s="48" t="str">
        <x:v>Shared</x:v>
      </x:c>
      <x:c r="I22" s="48" t="n">
        <x:v>0.78</x:v>
      </x:c>
      <x:c r="J22" s="48" t="n">
        <x:v>0.4</x:v>
      </x:c>
      <x:c r="K22" s="48" t="str">
        <x:v>Yes</x:v>
      </x:c>
      <x:c r="L22" s="48" t="str">
        <x:v>PDF text</x:v>
      </x:c>
    </x:row>
    <x:row r="23">
      <x:c r="A23" s="48" t="str">
        <x:v>RED-0022</x:v>
      </x:c>
      <x:c r="B23" s="48" t="str">
        <x:v>RED</x:v>
      </x:c>
      <x:c r="C23" s="48" t="str">
        <x:v>English</x:v>
      </x:c>
      <x:c r="D23" s="48" t="n">
        <x:v>14</x:v>
      </x:c>
      <x:c r="E23" s="48" t="str">
        <x:v>1.1.1.8</x:v>
      </x:c>
      <x:c r="F23" s="48" t="str">
        <x:v>1.1.1.8 “Tender” means the Letter of Tender and all other documents which the Contractor submitted with the Letter of Tender, as included in the Contract.</x:v>
      </x:c>
      <x:c r="G23" s="48" t="str">
        <x:v>Definition</x:v>
      </x:c>
      <x:c r="H23" s="48" t="str"/>
      <x:c r="I23" s="48" t="n">
        <x:v>0.97</x:v>
      </x:c>
      <x:c r="J23" s="48" t="n">
        <x:v>0.99</x:v>
      </x:c>
      <x:c r="K23" s="48" t="str">
        <x:v>No</x:v>
      </x:c>
      <x:c r="L23" s="48" t="str">
        <x:v>PDF text</x:v>
      </x:c>
    </x:row>
    <x:row r="24">
      <x:c r="A24" s="48" t="str">
        <x:v>RED-0023</x:v>
      </x:c>
      <x:c r="B24" s="48" t="str">
        <x:v>RED</x:v>
      </x:c>
      <x:c r="C24" s="48" t="str">
        <x:v>English</x:v>
      </x:c>
      <x:c r="D24" s="48" t="n">
        <x:v>14</x:v>
      </x:c>
      <x:c r="E24" s="48" t="str">
        <x:v>1.1.1.9</x:v>
      </x:c>
      <x:c r="F24" s="48" t="str">
        <x:v>1.1.1.9 “Bill of Quantities” and “Daywork Schedule” and “Schedule of Payment Currencies” mean the documents so named (if any) which are comprised in the Schedules.</x:v>
      </x:c>
      <x:c r="G24" s="48" t="str">
        <x:v>Obligation</x:v>
      </x:c>
      <x:c r="H24" s="48" t="str">
        <x:v>Shared</x:v>
      </x:c>
      <x:c r="I24" s="48" t="n">
        <x:v>0.55</x:v>
      </x:c>
      <x:c r="J24" s="48" t="n">
        <x:v>0.4</x:v>
      </x:c>
      <x:c r="K24" s="48" t="str">
        <x:v>Yes</x:v>
      </x:c>
      <x:c r="L24" s="48" t="str">
        <x:v>PDF text</x:v>
      </x:c>
    </x:row>
    <x:row r="25">
      <x:c r="A25" s="48" t="str">
        <x:v>RED-0024</x:v>
      </x:c>
      <x:c r="B25" s="48" t="str">
        <x:v>RED</x:v>
      </x:c>
      <x:c r="C25" s="48" t="str">
        <x:v>English</x:v>
      </x:c>
      <x:c r="D25" s="48" t="n">
        <x:v>14</x:v>
      </x:c>
      <x:c r="E25" s="48" t="str">
        <x:v>1.1.1.10</x:v>
      </x:c>
      <x:c r="F25" s="48" t="str">
        <x:v>1.1.1.10 “Contract Data” means the pages completed by the Employer entitled</x:v>
      </x:c>
      <x:c r="G25" s="48" t="str">
        <x:v>Definition</x:v>
      </x:c>
      <x:c r="H25" s="48" t="str"/>
      <x:c r="I25" s="48" t="n">
        <x:v>0.97</x:v>
      </x:c>
      <x:c r="J25" s="48" t="n">
        <x:v>0.99</x:v>
      </x:c>
      <x:c r="K25" s="48" t="str">
        <x:v>No</x:v>
      </x:c>
      <x:c r="L25" s="48" t="str">
        <x:v>PDF text</x:v>
      </x:c>
    </x:row>
    <x:row r="26">
      <x:c r="A26" s="48" t="str">
        <x:v>RED-0025</x:v>
      </x:c>
      <x:c r="B26" s="48" t="str">
        <x:v>RED</x:v>
      </x:c>
      <x:c r="C26" s="48" t="str">
        <x:v>English</x:v>
      </x:c>
      <x:c r="D26" s="48" t="n">
        <x:v>14</x:v>
      </x:c>
      <x:c r="E26" s="48" t="str"/>
      <x:c r="F26" s="48" t="str">
        <x:v>contract data which constitute Part A of the Particular Conditions.</x:v>
      </x:c>
      <x:c r="G26" s="48" t="str">
        <x:v>Obligation</x:v>
      </x:c>
      <x:c r="H26" s="48" t="str">
        <x:v>Shared</x:v>
      </x:c>
      <x:c r="I26" s="48" t="n">
        <x:v>0.45</x:v>
      </x:c>
      <x:c r="J26" s="48" t="n">
        <x:v>0.4</x:v>
      </x:c>
      <x:c r="K26" s="48" t="str">
        <x:v>Yes</x:v>
      </x:c>
      <x:c r="L26" s="48" t="str">
        <x:v>PDF text</x:v>
      </x:c>
    </x:row>
    <x:row r="27">
      <x:c r="A27" s="48" t="str">
        <x:v>RED-0026</x:v>
      </x:c>
      <x:c r="B27" s="48" t="str">
        <x:v>RED</x:v>
      </x:c>
      <x:c r="C27" s="48" t="str">
        <x:v>English</x:v>
      </x:c>
      <x:c r="D27" s="48" t="n">
        <x:v>14</x:v>
      </x:c>
      <x:c r="E27" s="48" t="str"/>
      <x:c r="F27" s="48" t="str">
        <x:v>Definitions</x:v>
      </x:c>
      <x:c r="G27" s="48" t="str">
        <x:v>Obligation</x:v>
      </x:c>
      <x:c r="H27" s="48" t="str">
        <x:v>Shared</x:v>
      </x:c>
      <x:c r="I27" s="48" t="n">
        <x:v>0.45</x:v>
      </x:c>
      <x:c r="J27" s="48" t="n">
        <x:v>0.4</x:v>
      </x:c>
      <x:c r="K27" s="48" t="str">
        <x:v>Yes</x:v>
      </x:c>
      <x:c r="L27" s="48" t="str">
        <x:v>PDF text</x:v>
      </x:c>
    </x:row>
    <x:row r="28">
      <x:c r="A28" s="48" t="str">
        <x:v>RED-0027</x:v>
      </x:c>
      <x:c r="B28" s="48" t="str">
        <x:v>RED</x:v>
      </x:c>
      <x:c r="C28" s="48" t="str">
        <x:v>English</x:v>
      </x:c>
      <x:c r="D28" s="48" t="n">
        <x:v>14</x:v>
      </x:c>
      <x:c r="E28" s="48" t="str"/>
      <x:c r="F28" s="48" t="str">
        <x:v>The Contract</x:v>
      </x:c>
      <x:c r="G28" s="48" t="str">
        <x:v>Obligation</x:v>
      </x:c>
      <x:c r="H28" s="48" t="str">
        <x:v>Shared</x:v>
      </x:c>
      <x:c r="I28" s="48" t="n">
        <x:v>0.45</x:v>
      </x:c>
      <x:c r="J28" s="48" t="n">
        <x:v>0.4</x:v>
      </x:c>
      <x:c r="K28" s="48" t="str">
        <x:v>Yes</x:v>
      </x:c>
      <x:c r="L28" s="48" t="str">
        <x:v>PDF text</x:v>
      </x:c>
    </x:row>
    <x:row r="29">
      <x:c r="A29" s="48" t="str">
        <x:v>RED-0028</x:v>
      </x:c>
      <x:c r="B29" s="48" t="str">
        <x:v>RED</x:v>
      </x:c>
      <x:c r="C29" s="48" t="str">
        <x:v>English</x:v>
      </x:c>
      <x:c r="D29" s="48" t="n">
        <x:v>14</x:v>
      </x:c>
      <x:c r="E29" s="48" t="str"/>
      <x:c r="F29" s="48" t="str">
        <x:v>General Provisions</x:v>
      </x:c>
      <x:c r="G29" s="48" t="str">
        <x:v>Obligation</x:v>
      </x:c>
      <x:c r="H29" s="48" t="str">
        <x:v>Shared</x:v>
      </x:c>
      <x:c r="I29" s="48" t="n">
        <x:v>0.45</x:v>
      </x:c>
      <x:c r="J29" s="48" t="n">
        <x:v>0.4</x:v>
      </x:c>
      <x:c r="K29" s="48" t="str">
        <x:v>Yes</x:v>
      </x:c>
      <x:c r="L29" s="48" t="str">
        <x:v>PDF text</x:v>
      </x:c>
    </x:row>
    <x:row r="30">
      <x:c r="A30" s="48" t="str">
        <x:v>RED-0029</x:v>
      </x:c>
      <x:c r="B30" s="48" t="str">
        <x:v>RED</x:v>
      </x:c>
      <x:c r="C30" s="48" t="str">
        <x:v>English</x:v>
      </x:c>
      <x:c r="D30" s="48" t="n">
        <x:v>15</x:v>
      </x:c>
      <x:c r="E30" s="48" t="str">
        <x:v>1.1.2.1</x:v>
      </x:c>
      <x:c r="F30" s="48" t="str">
        <x:v>1.1.2.1 “Party” means the Employer or the Contractor, as the context requires.</x:v>
      </x:c>
      <x:c r="G30" s="48" t="str">
        <x:v>Definition</x:v>
      </x:c>
      <x:c r="H30" s="48" t="str"/>
      <x:c r="I30" s="48" t="n">
        <x:v>0.97</x:v>
      </x:c>
      <x:c r="J30" s="48" t="n">
        <x:v>0.99</x:v>
      </x:c>
      <x:c r="K30" s="48" t="str">
        <x:v>No</x:v>
      </x:c>
      <x:c r="L30" s="48" t="str">
        <x:v>PDF text</x:v>
      </x:c>
    </x:row>
    <x:row r="31">
      <x:c r="A31" s="48" t="str">
        <x:v>RED-0030</x:v>
      </x:c>
      <x:c r="B31" s="48" t="str">
        <x:v>RED</x:v>
      </x:c>
      <x:c r="C31" s="48" t="str">
        <x:v>English</x:v>
      </x:c>
      <x:c r="D31" s="48" t="n">
        <x:v>15</x:v>
      </x:c>
      <x:c r="E31" s="48" t="str">
        <x:v>1.1.2.2</x:v>
      </x:c>
      <x:c r="F31" s="48" t="str">
        <x:v>1.1.2.2 “Employer” means the person named as employer in the Contract Data and the legal successors in title to this person.</x:v>
      </x:c>
      <x:c r="G31" s="48" t="str">
        <x:v>Definition</x:v>
      </x:c>
      <x:c r="H31" s="48" t="str"/>
      <x:c r="I31" s="48" t="n">
        <x:v>0.97</x:v>
      </x:c>
      <x:c r="J31" s="48" t="n">
        <x:v>0.99</x:v>
      </x:c>
      <x:c r="K31" s="48" t="str">
        <x:v>No</x:v>
      </x:c>
      <x:c r="L31" s="48" t="str">
        <x:v>PDF text</x:v>
      </x:c>
    </x:row>
    <x:row r="32">
      <x:c r="A32" s="48" t="str">
        <x:v>RED-0031</x:v>
      </x:c>
      <x:c r="B32" s="48" t="str">
        <x:v>RED</x:v>
      </x:c>
      <x:c r="C32" s="48" t="str">
        <x:v>English</x:v>
      </x:c>
      <x:c r="D32" s="48" t="n">
        <x:v>15</x:v>
      </x:c>
      <x:c r="E32" s="48" t="str">
        <x:v>1.1.2.3</x:v>
      </x:c>
      <x:c r="F32" s="48" t="str">
        <x:v>1.1.2.3 “Contractor” means the person(s) named as contractor in the Letter of</x:v>
      </x:c>
      <x:c r="G32" s="48" t="str">
        <x:v>Definition</x:v>
      </x:c>
      <x:c r="H32" s="48" t="str"/>
      <x:c r="I32" s="48" t="n">
        <x:v>0.97</x:v>
      </x:c>
      <x:c r="J32" s="48" t="n">
        <x:v>0.99</x:v>
      </x:c>
      <x:c r="K32" s="48" t="str">
        <x:v>No</x:v>
      </x:c>
      <x:c r="L32" s="48" t="str">
        <x:v>PDF text</x:v>
      </x:c>
    </x:row>
    <x:row r="33">
      <x:c r="A33" s="48" t="str">
        <x:v>RED-0032</x:v>
      </x:c>
      <x:c r="B33" s="48" t="str">
        <x:v>RED</x:v>
      </x:c>
      <x:c r="C33" s="48" t="str">
        <x:v>English</x:v>
      </x:c>
      <x:c r="D33" s="48" t="n">
        <x:v>15</x:v>
      </x:c>
      <x:c r="E33" s="48" t="str"/>
      <x:c r="F33" s="48" t="str">
        <x:v>Tender accepted by the Employer and the legal successors in title to this</x:v>
      </x:c>
      <x:c r="G33" s="48" t="str">
        <x:v>Obligation</x:v>
      </x:c>
      <x:c r="H33" s="48" t="str">
        <x:v>Employer</x:v>
      </x:c>
      <x:c r="I33" s="48" t="n">
        <x:v>0.45</x:v>
      </x:c>
      <x:c r="J33" s="48" t="n">
        <x:v>0.68</x:v>
      </x:c>
      <x:c r="K33" s="48" t="str">
        <x:v>Yes</x:v>
      </x:c>
      <x:c r="L33" s="48" t="str">
        <x:v>PDF text</x:v>
      </x:c>
    </x:row>
    <x:row r="34">
      <x:c r="A34" s="48" t="str">
        <x:v>RED-0033</x:v>
      </x:c>
      <x:c r="B34" s="48" t="str">
        <x:v>RED</x:v>
      </x:c>
      <x:c r="C34" s="48" t="str">
        <x:v>English</x:v>
      </x:c>
      <x:c r="D34" s="48" t="n">
        <x:v>15</x:v>
      </x:c>
      <x:c r="E34" s="48" t="str"/>
      <x:c r="F34" s="48" t="str">
        <x:v>person(s).</x:v>
      </x:c>
      <x:c r="G34" s="48" t="str">
        <x:v>Obligation</x:v>
      </x:c>
      <x:c r="H34" s="48" t="str">
        <x:v>Shared</x:v>
      </x:c>
      <x:c r="I34" s="48" t="n">
        <x:v>0.45</x:v>
      </x:c>
      <x:c r="J34" s="48" t="n">
        <x:v>0.4</x:v>
      </x:c>
      <x:c r="K34" s="48" t="str">
        <x:v>Yes</x:v>
      </x:c>
      <x:c r="L34" s="48" t="str">
        <x:v>PDF text</x:v>
      </x:c>
    </x:row>
    <x:row r="35">
      <x:c r="A35" s="48" t="str">
        <x:v>RED-0034</x:v>
      </x:c>
      <x:c r="B35" s="48" t="str">
        <x:v>RED</x:v>
      </x:c>
      <x:c r="C35" s="48" t="str">
        <x:v>English</x:v>
      </x:c>
      <x:c r="D35" s="48" t="n">
        <x:v>15</x:v>
      </x:c>
      <x:c r="E35" s="48" t="str">
        <x:v>1.1.2.4</x:v>
      </x:c>
      <x:c r="F35" s="48" t="str">
        <x:v>1.1.2.4 “Engineer” means the person appointed by the Employer to act as the</x:v>
      </x:c>
      <x:c r="G35" s="48" t="str">
        <x:v>Definition</x:v>
      </x:c>
      <x:c r="H35" s="48" t="str"/>
      <x:c r="I35" s="48" t="n">
        <x:v>0.97</x:v>
      </x:c>
      <x:c r="J35" s="48" t="n">
        <x:v>0.99</x:v>
      </x:c>
      <x:c r="K35" s="48" t="str">
        <x:v>No</x:v>
      </x:c>
      <x:c r="L35" s="48" t="str">
        <x:v>PDF text</x:v>
      </x:c>
    </x:row>
    <x:row r="36">
      <x:c r="A36" s="48" t="str">
        <x:v>RED-0035</x:v>
      </x:c>
      <x:c r="B36" s="48" t="str">
        <x:v>RED</x:v>
      </x:c>
      <x:c r="C36" s="48" t="str">
        <x:v>English</x:v>
      </x:c>
      <x:c r="D36" s="48" t="n">
        <x:v>15</x:v>
      </x:c>
      <x:c r="E36" s="48" t="str"/>
      <x:c r="F36" s="48" t="str">
        <x:v>Engineer for the purposes of the Contract and named in the Contract Data,</x:v>
      </x:c>
      <x:c r="G36" s="48" t="str">
        <x:v>Obligation</x:v>
      </x:c>
      <x:c r="H36" s="48" t="str">
        <x:v>Shared</x:v>
      </x:c>
      <x:c r="I36" s="48" t="n">
        <x:v>0.45</x:v>
      </x:c>
      <x:c r="J36" s="48" t="n">
        <x:v>0.4</x:v>
      </x:c>
      <x:c r="K36" s="48" t="str">
        <x:v>Yes</x:v>
      </x:c>
      <x:c r="L36" s="48" t="str">
        <x:v>PDF text</x:v>
      </x:c>
    </x:row>
    <x:row r="37">
      <x:c r="A37" s="48" t="str">
        <x:v>RED-0036</x:v>
      </x:c>
      <x:c r="B37" s="48" t="str">
        <x:v>RED</x:v>
      </x:c>
      <x:c r="C37" s="48" t="str">
        <x:v>English</x:v>
      </x:c>
      <x:c r="D37" s="48" t="n">
        <x:v>15</x:v>
      </x:c>
      <x:c r="E37" s="48" t="str"/>
      <x:c r="F37" s="48" t="str">
        <x:v>or other person appointed from time to time by the Employer and notified to the Contractor under Sub-Clause 3.4 [Replacement of the Engineer].</x:v>
      </x:c>
      <x:c r="G37" s="48" t="str">
        <x:v>Obligation</x:v>
      </x:c>
      <x:c r="H37" s="48" t="str">
        <x:v>Shared</x:v>
      </x:c>
      <x:c r="I37" s="48" t="n">
        <x:v>0.45</x:v>
      </x:c>
      <x:c r="J37" s="48" t="n">
        <x:v>0.6</x:v>
      </x:c>
      <x:c r="K37" s="48" t="str">
        <x:v>Yes</x:v>
      </x:c>
      <x:c r="L37" s="48" t="str">
        <x:v>PDF text</x:v>
      </x:c>
    </x:row>
    <x:row r="38">
      <x:c r="A38" s="48" t="str">
        <x:v>RED-0037</x:v>
      </x:c>
      <x:c r="B38" s="48" t="str">
        <x:v>RED</x:v>
      </x:c>
      <x:c r="C38" s="48" t="str">
        <x:v>English</x:v>
      </x:c>
      <x:c r="D38" s="48" t="n">
        <x:v>15</x:v>
      </x:c>
      <x:c r="E38" s="48" t="str">
        <x:v>1.1.2.5</x:v>
      </x:c>
      <x:c r="F38" s="48" t="str">
        <x:v>1.1.2.5 “Contractor’s Representative” means the person named by the</x:v>
      </x:c>
      <x:c r="G38" s="48" t="str">
        <x:v>Definition</x:v>
      </x:c>
      <x:c r="H38" s="48" t="str"/>
      <x:c r="I38" s="48" t="n">
        <x:v>0.97</x:v>
      </x:c>
      <x:c r="J38" s="48" t="n">
        <x:v>0.99</x:v>
      </x:c>
      <x:c r="K38" s="48" t="str">
        <x:v>No</x:v>
      </x:c>
      <x:c r="L38" s="48" t="str">
        <x:v>PDF text</x:v>
      </x:c>
    </x:row>
    <x:row r="39">
      <x:c r="A39" s="48" t="str">
        <x:v>RED-0038</x:v>
      </x:c>
      <x:c r="B39" s="48" t="str">
        <x:v>RED</x:v>
      </x:c>
      <x:c r="C39" s="48" t="str">
        <x:v>English</x:v>
      </x:c>
      <x:c r="D39" s="48" t="n">
        <x:v>15</x:v>
      </x:c>
      <x:c r="E39" s="48" t="str"/>
      <x:c r="F39" s="48" t="str">
        <x:v>Contractor in the Contract or appointed from time to time by the Contractor</x:v>
      </x:c>
      <x:c r="G39" s="48" t="str">
        <x:v>Obligation</x:v>
      </x:c>
      <x:c r="H39" s="48" t="str">
        <x:v>Contractor</x:v>
      </x:c>
      <x:c r="I39" s="48" t="n">
        <x:v>0.45</x:v>
      </x:c>
      <x:c r="J39" s="48" t="n">
        <x:v>0.68</x:v>
      </x:c>
      <x:c r="K39" s="48" t="str">
        <x:v>Yes</x:v>
      </x:c>
      <x:c r="L39" s="48" t="str">
        <x:v>PDF text</x:v>
      </x:c>
    </x:row>
    <x:row r="40">
      <x:c r="A40" s="48" t="str">
        <x:v>RED-0039</x:v>
      </x:c>
      <x:c r="B40" s="48" t="str">
        <x:v>RED</x:v>
      </x:c>
      <x:c r="C40" s="48" t="str">
        <x:v>English</x:v>
      </x:c>
      <x:c r="D40" s="48" t="n">
        <x:v>15</x:v>
      </x:c>
      <x:c r="E40" s="48" t="str"/>
      <x:c r="F40" s="48" t="str">
        <x:v>under Sub-Clause 4.3 [Contractor’s Representative], who acts on behalf of the Contractor.</x:v>
      </x:c>
      <x:c r="G40" s="48" t="str">
        <x:v>Obligation</x:v>
      </x:c>
      <x:c r="H40" s="48" t="str">
        <x:v>Contractor</x:v>
      </x:c>
      <x:c r="I40" s="48" t="n">
        <x:v>0.45</x:v>
      </x:c>
      <x:c r="J40" s="48" t="n">
        <x:v>0.68</x:v>
      </x:c>
      <x:c r="K40" s="48" t="str">
        <x:v>Yes</x:v>
      </x:c>
      <x:c r="L40" s="48" t="str">
        <x:v>PDF text</x:v>
      </x:c>
    </x:row>
    <x:row r="41">
      <x:c r="A41" s="48" t="str">
        <x:v>RED-0040</x:v>
      </x:c>
      <x:c r="B41" s="48" t="str">
        <x:v>RED</x:v>
      </x:c>
      <x:c r="C41" s="48" t="str">
        <x:v>English</x:v>
      </x:c>
      <x:c r="D41" s="48" t="n">
        <x:v>15</x:v>
      </x:c>
      <x:c r="E41" s="48" t="str">
        <x:v>1.1.2.6</x:v>
      </x:c>
      <x:c r="F41" s="48" t="str">
        <x:v>1.1.2.6 “Employer’s Personnel” means the Engineer, the assistants referred to in Sub-Clause 3.2 [Delegation by the Engineer] and all other staff, labour and other employees of the Engineer and of the Employer; and any other personnel notified to the Contractor, by the Employer or the Engineer, as Employer’s Personnel.</x:v>
      </x:c>
      <x:c r="G41" s="48" t="str">
        <x:v>Definition</x:v>
      </x:c>
      <x:c r="H41" s="48" t="str"/>
      <x:c r="I41" s="48" t="n">
        <x:v>0.97</x:v>
      </x:c>
      <x:c r="J41" s="48" t="n">
        <x:v>0.99</x:v>
      </x:c>
      <x:c r="K41" s="48" t="str">
        <x:v>No</x:v>
      </x:c>
      <x:c r="L41" s="48" t="str">
        <x:v>PDF text</x:v>
      </x:c>
    </x:row>
    <x:row r="42">
      <x:c r="A42" s="48" t="str">
        <x:v>RED-0041</x:v>
      </x:c>
      <x:c r="B42" s="48" t="str">
        <x:v>RED</x:v>
      </x:c>
      <x:c r="C42" s="48" t="str">
        <x:v>English</x:v>
      </x:c>
      <x:c r="D42" s="48" t="n">
        <x:v>15</x:v>
      </x:c>
      <x:c r="E42" s="48" t="str">
        <x:v>1.1.2.7</x:v>
      </x:c>
      <x:c r="F42" s="48" t="str">
        <x:v>1.1.2.7 “Contractor’s Personnel” means the Contractor’s Representative and all personnel whom the Contractor utilises on Site, who may include the staff, labour and other employees of the Contractor and of each Subcontractor; and any other personnel assisting the Contractor in the execution of the Works.</x:v>
      </x:c>
      <x:c r="G42" s="48" t="str">
        <x:v>Definition</x:v>
      </x:c>
      <x:c r="H42" s="48" t="str"/>
      <x:c r="I42" s="48" t="n">
        <x:v>0.97</x:v>
      </x:c>
      <x:c r="J42" s="48" t="n">
        <x:v>0.99</x:v>
      </x:c>
      <x:c r="K42" s="48" t="str">
        <x:v>No</x:v>
      </x:c>
      <x:c r="L42" s="48" t="str">
        <x:v>PDF text</x:v>
      </x:c>
    </x:row>
    <x:row r="43">
      <x:c r="A43" s="48" t="str">
        <x:v>RED-0042</x:v>
      </x:c>
      <x:c r="B43" s="48" t="str">
        <x:v>RED</x:v>
      </x:c>
      <x:c r="C43" s="48" t="str">
        <x:v>English</x:v>
      </x:c>
      <x:c r="D43" s="48" t="n">
        <x:v>15</x:v>
      </x:c>
      <x:c r="E43" s="48" t="str">
        <x:v>1.1.2.8</x:v>
      </x:c>
      <x:c r="F43" s="48" t="str">
        <x:v>1.1.2.8 “Subcontractor” means any person named in the Contract as a subcontractor, or any person appointed as a subcontractor, for a part of the Works; and the legal successors in title to each of these persons.</x:v>
      </x:c>
      <x:c r="G43" s="48" t="str">
        <x:v>Definition</x:v>
      </x:c>
      <x:c r="H43" s="48" t="str"/>
      <x:c r="I43" s="48" t="n">
        <x:v>0.97</x:v>
      </x:c>
      <x:c r="J43" s="48" t="n">
        <x:v>0.99</x:v>
      </x:c>
      <x:c r="K43" s="48" t="str">
        <x:v>No</x:v>
      </x:c>
      <x:c r="L43" s="48" t="str">
        <x:v>PDF text</x:v>
      </x:c>
    </x:row>
    <x:row r="44">
      <x:c r="A44" s="48" t="str">
        <x:v>RED-0043</x:v>
      </x:c>
      <x:c r="B44" s="48" t="str">
        <x:v>RED</x:v>
      </x:c>
      <x:c r="C44" s="48" t="str">
        <x:v>English</x:v>
      </x:c>
      <x:c r="D44" s="48" t="n">
        <x:v>15</x:v>
      </x:c>
      <x:c r="E44" s="48" t="str">
        <x:v>1.1.2.9</x:v>
      </x:c>
      <x:c r="F44" s="48" t="str">
        <x:v>1.1.2.9 “DB” means the person or three persons appointed under Sub-Clause 20.2 [Appointment of the Dispute Board] or Sub-Clause 20.3 [Failure to Agree on the Composition of the Dispute Board].</x:v>
      </x:c>
      <x:c r="G44" s="48" t="str">
        <x:v>Definition</x:v>
      </x:c>
      <x:c r="H44" s="48" t="str"/>
      <x:c r="I44" s="48" t="n">
        <x:v>0.97</x:v>
      </x:c>
      <x:c r="J44" s="48" t="n">
        <x:v>0.99</x:v>
      </x:c>
      <x:c r="K44" s="48" t="str">
        <x:v>No</x:v>
      </x:c>
      <x:c r="L44" s="48" t="str">
        <x:v>PDF text</x:v>
      </x:c>
    </x:row>
    <x:row r="45">
      <x:c r="A45" s="48" t="str">
        <x:v>RED-0044</x:v>
      </x:c>
      <x:c r="B45" s="48" t="str">
        <x:v>RED</x:v>
      </x:c>
      <x:c r="C45" s="48" t="str">
        <x:v>English</x:v>
      </x:c>
      <x:c r="D45" s="48" t="n">
        <x:v>15</x:v>
      </x:c>
      <x:c r="E45" s="48" t="str">
        <x:v>1.1.2.10</x:v>
      </x:c>
      <x:c r="F45" s="48" t="str">
        <x:v>1.1.2.10 “FIDIC” means the Fédération Internationale des Ingénieurs-Conseils, the</x:v>
      </x:c>
      <x:c r="G45" s="48" t="str">
        <x:v>Definition</x:v>
      </x:c>
      <x:c r="H45" s="48" t="str"/>
      <x:c r="I45" s="48" t="n">
        <x:v>0.97</x:v>
      </x:c>
      <x:c r="J45" s="48" t="n">
        <x:v>0.99</x:v>
      </x:c>
      <x:c r="K45" s="48" t="str">
        <x:v>No</x:v>
      </x:c>
      <x:c r="L45" s="48" t="str">
        <x:v>PDF text</x:v>
      </x:c>
    </x:row>
    <x:row r="46">
      <x:c r="A46" s="48" t="str">
        <x:v>RED-0045</x:v>
      </x:c>
      <x:c r="B46" s="48" t="str">
        <x:v>RED</x:v>
      </x:c>
      <x:c r="C46" s="48" t="str">
        <x:v>English</x:v>
      </x:c>
      <x:c r="D46" s="48" t="n">
        <x:v>15</x:v>
      </x:c>
      <x:c r="E46" s="48" t="str">
        <x:v>1.1.2.11</x:v>
      </x:c>
      <x:c r="F46" s="48" t="str">
        <x:v>1.1.2.11 “Bank” means the financing institution (if any) named in the Contract Data.</x:v>
      </x:c>
      <x:c r="G46" s="48" t="str">
        <x:v>Definition</x:v>
      </x:c>
      <x:c r="H46" s="48" t="str"/>
      <x:c r="I46" s="48" t="n">
        <x:v>0.97</x:v>
      </x:c>
      <x:c r="J46" s="48" t="n">
        <x:v>0.99</x:v>
      </x:c>
      <x:c r="K46" s="48" t="str">
        <x:v>No</x:v>
      </x:c>
      <x:c r="L46" s="48" t="str">
        <x:v>PDF text</x:v>
      </x:c>
    </x:row>
    <x:row r="47">
      <x:c r="A47" s="48" t="str">
        <x:v>RED-0046</x:v>
      </x:c>
      <x:c r="B47" s="48" t="str">
        <x:v>RED</x:v>
      </x:c>
      <x:c r="C47" s="48" t="str">
        <x:v>English</x:v>
      </x:c>
      <x:c r="D47" s="48" t="n">
        <x:v>15</x:v>
      </x:c>
      <x:c r="E47" s="48" t="str">
        <x:v>1.1.2.12</x:v>
      </x:c>
      <x:c r="F47" s="48" t="str">
        <x:v>1.1.2.12 “Borrower” means the person (if any) named as the borrower in the</x:v>
      </x:c>
      <x:c r="G47" s="48" t="str">
        <x:v>Definition</x:v>
      </x:c>
      <x:c r="H47" s="48" t="str"/>
      <x:c r="I47" s="48" t="n">
        <x:v>0.97</x:v>
      </x:c>
      <x:c r="J47" s="48" t="n">
        <x:v>0.99</x:v>
      </x:c>
      <x:c r="K47" s="48" t="str">
        <x:v>No</x:v>
      </x:c>
      <x:c r="L47" s="48" t="str">
        <x:v>PDF text</x:v>
      </x:c>
    </x:row>
    <x:row r="48">
      <x:c r="A48" s="48" t="str">
        <x:v>RED-0047</x:v>
      </x:c>
      <x:c r="B48" s="48" t="str">
        <x:v>RED</x:v>
      </x:c>
      <x:c r="C48" s="48" t="str">
        <x:v>English</x:v>
      </x:c>
      <x:c r="D48" s="48" t="n">
        <x:v>15</x:v>
      </x:c>
      <x:c r="E48" s="48" t="str"/>
      <x:c r="F48" s="48" t="str">
        <x:v>Contract Data.</x:v>
      </x:c>
      <x:c r="G48" s="48" t="str">
        <x:v>Obligation</x:v>
      </x:c>
      <x:c r="H48" s="48" t="str">
        <x:v>Shared</x:v>
      </x:c>
      <x:c r="I48" s="48" t="n">
        <x:v>0.45</x:v>
      </x:c>
      <x:c r="J48" s="48" t="n">
        <x:v>0.4</x:v>
      </x:c>
      <x:c r="K48" s="48" t="str">
        <x:v>Yes</x:v>
      </x:c>
      <x:c r="L48" s="48" t="str">
        <x:v>PDF text</x:v>
      </x:c>
    </x:row>
    <x:row r="49">
      <x:c r="A49" s="48" t="str">
        <x:v>RED-0048</x:v>
      </x:c>
      <x:c r="B49" s="48" t="str">
        <x:v>RED</x:v>
      </x:c>
      <x:c r="C49" s="48" t="str">
        <x:v>English</x:v>
      </x:c>
      <x:c r="D49" s="48" t="n">
        <x:v>15</x:v>
      </x:c>
      <x:c r="E49" s="48" t="str">
        <x:v>1.1.3.1</x:v>
      </x:c>
      <x:c r="F49" s="48" t="str">
        <x:v>1.1.3.1 “Base Date” means the date 28 days prior to the latest date for submission and Completion of the Tender.</x:v>
      </x:c>
      <x:c r="G49" s="48" t="str">
        <x:v>Definition</x:v>
      </x:c>
      <x:c r="H49" s="48" t="str"/>
      <x:c r="I49" s="48" t="n">
        <x:v>0.97</x:v>
      </x:c>
      <x:c r="J49" s="48" t="n">
        <x:v>0.99</x:v>
      </x:c>
      <x:c r="K49" s="48" t="str">
        <x:v>No</x:v>
      </x:c>
      <x:c r="L49" s="48" t="str">
        <x:v>PDF text</x:v>
      </x:c>
    </x:row>
    <x:row r="50">
      <x:c r="A50" s="48" t="str">
        <x:v>RED-0049</x:v>
      </x:c>
      <x:c r="B50" s="48" t="str">
        <x:v>RED</x:v>
      </x:c>
      <x:c r="C50" s="48" t="str">
        <x:v>English</x:v>
      </x:c>
      <x:c r="D50" s="48" t="n">
        <x:v>15</x:v>
      </x:c>
      <x:c r="E50" s="48" t="str">
        <x:v>1.1.3.2</x:v>
      </x:c>
      <x:c r="F50" s="48" t="str">
        <x:v>1.1.3.2 “Commencement Date” means the date notified under Sub-Clause 8.1 [Commencement of Works].</x:v>
      </x:c>
      <x:c r="G50" s="48" t="str">
        <x:v>Definition</x:v>
      </x:c>
      <x:c r="H50" s="48" t="str"/>
      <x:c r="I50" s="48" t="n">
        <x:v>0.97</x:v>
      </x:c>
      <x:c r="J50" s="48" t="n">
        <x:v>0.99</x:v>
      </x:c>
      <x:c r="K50" s="48" t="str">
        <x:v>No</x:v>
      </x:c>
      <x:c r="L50" s="48" t="str">
        <x:v>PDF text</x:v>
      </x:c>
    </x:row>
    <x:row r="51">
      <x:c r="A51" s="48" t="str">
        <x:v>RED-0050</x:v>
      </x:c>
      <x:c r="B51" s="48" t="str">
        <x:v>RED</x:v>
      </x:c>
      <x:c r="C51" s="48" t="str">
        <x:v>English</x:v>
      </x:c>
      <x:c r="D51" s="48" t="n">
        <x:v>15</x:v>
      </x:c>
      <x:c r="E51" s="48" t="str">
        <x:v>1.1.3.3</x:v>
      </x:c>
      <x:c r="F51" s="48" t="str">
        <x:v>1.1.3.3 “Time for Completion” means the time for completing the Works or a Section (as the case may be) under Sub-Clause 8.2 [Time for Completion], as stated in the Contract Data (with any extension under Sub-Clause 8.4 [Extension of Time for Completion]), calculated from the Commencement Date.</x:v>
      </x:c>
      <x:c r="G51" s="48" t="str">
        <x:v>Definition</x:v>
      </x:c>
      <x:c r="H51" s="48" t="str"/>
      <x:c r="I51" s="48" t="n">
        <x:v>0.97</x:v>
      </x:c>
      <x:c r="J51" s="48" t="n">
        <x:v>0.99</x:v>
      </x:c>
      <x:c r="K51" s="48" t="str">
        <x:v>No</x:v>
      </x:c>
      <x:c r="L51" s="48" t="str">
        <x:v>PDF text</x:v>
      </x:c>
    </x:row>
    <x:row r="52">
      <x:c r="A52" s="48" t="str">
        <x:v>RED-0051</x:v>
      </x:c>
      <x:c r="B52" s="48" t="str">
        <x:v>RED</x:v>
      </x:c>
      <x:c r="C52" s="48" t="str">
        <x:v>English</x:v>
      </x:c>
      <x:c r="D52" s="48" t="n">
        <x:v>15</x:v>
      </x:c>
      <x:c r="E52" s="48" t="str"/>
      <x:c r="F52" s="48" t="str">
        <x:v>Parties and Persons</x:v>
      </x:c>
      <x:c r="G52" s="48" t="str">
        <x:v>Obligation</x:v>
      </x:c>
      <x:c r="H52" s="48" t="str">
        <x:v>Shared</x:v>
      </x:c>
      <x:c r="I52" s="48" t="n">
        <x:v>0.45</x:v>
      </x:c>
      <x:c r="J52" s="48" t="n">
        <x:v>0.4</x:v>
      </x:c>
      <x:c r="K52" s="48" t="str">
        <x:v>Yes</x:v>
      </x:c>
      <x:c r="L52" s="48" t="str">
        <x:v>PDF text</x:v>
      </x:c>
    </x:row>
    <x:row r="53">
      <x:c r="A53" s="48" t="str">
        <x:v>RED-0052</x:v>
      </x:c>
      <x:c r="B53" s="48" t="str">
        <x:v>RED</x:v>
      </x:c>
      <x:c r="C53" s="48" t="str">
        <x:v>English</x:v>
      </x:c>
      <x:c r="D53" s="48" t="n">
        <x:v>15</x:v>
      </x:c>
      <x:c r="E53" s="48" t="str"/>
      <x:c r="F53" s="48" t="str">
        <x:v>Dates, Tests, Periods</x:v>
      </x:c>
      <x:c r="G53" s="48" t="str">
        <x:v>Obligation</x:v>
      </x:c>
      <x:c r="H53" s="48" t="str">
        <x:v>Shared</x:v>
      </x:c>
      <x:c r="I53" s="48" t="n">
        <x:v>0.45</x:v>
      </x:c>
      <x:c r="J53" s="48" t="n">
        <x:v>0.4</x:v>
      </x:c>
      <x:c r="K53" s="48" t="str">
        <x:v>Yes</x:v>
      </x:c>
      <x:c r="L53" s="48" t="str">
        <x:v>PDF text</x:v>
      </x:c>
    </x:row>
    <x:row r="54">
      <x:c r="A54" s="48" t="str">
        <x:v>RED-0053</x:v>
      </x:c>
      <x:c r="B54" s="48" t="str">
        <x:v>RED</x:v>
      </x:c>
      <x:c r="C54" s="48" t="str">
        <x:v>English</x:v>
      </x:c>
      <x:c r="D54" s="48" t="n">
        <x:v>15</x:v>
      </x:c>
      <x:c r="E54" s="48" t="str"/>
      <x:c r="F54" s="48" t="str">
        <x:v>and Completion</x:v>
      </x:c>
      <x:c r="G54" s="48" t="str">
        <x:v>Obligation</x:v>
      </x:c>
      <x:c r="H54" s="48" t="str">
        <x:v>Shared</x:v>
      </x:c>
      <x:c r="I54" s="48" t="n">
        <x:v>0.45</x:v>
      </x:c>
      <x:c r="J54" s="48" t="n">
        <x:v>0.4</x:v>
      </x:c>
      <x:c r="K54" s="48" t="str">
        <x:v>Yes</x:v>
      </x:c>
      <x:c r="L54" s="48" t="str">
        <x:v>PDF text</x:v>
      </x:c>
    </x:row>
    <x:row r="55">
      <x:c r="A55" s="48" t="str">
        <x:v>RED-0054</x:v>
      </x:c>
      <x:c r="B55" s="48" t="str">
        <x:v>RED</x:v>
      </x:c>
      <x:c r="C55" s="48" t="str">
        <x:v>English</x:v>
      </x:c>
      <x:c r="D55" s="48" t="n">
        <x:v>16</x:v>
      </x:c>
      <x:c r="E55" s="48" t="str">
        <x:v>1.1.3.4</x:v>
      </x:c>
      <x:c r="F55" s="48" t="str">
        <x:v>1.1.3.4 “Tests on Completion” means the tests which are specified in the Contract or agreed by both Parties or instructed as a Variation, and which are carried out under Clause 9 [Tests on Completion] before the Works or a Section (as the case may be) are taken over by the Employer.</x:v>
      </x:c>
      <x:c r="G55" s="48" t="str">
        <x:v>Definition</x:v>
      </x:c>
      <x:c r="H55" s="48" t="str"/>
      <x:c r="I55" s="48" t="n">
        <x:v>0.97</x:v>
      </x:c>
      <x:c r="J55" s="48" t="n">
        <x:v>0.99</x:v>
      </x:c>
      <x:c r="K55" s="48" t="str">
        <x:v>No</x:v>
      </x:c>
      <x:c r="L55" s="48" t="str">
        <x:v>PDF text</x:v>
      </x:c>
    </x:row>
    <x:row r="56">
      <x:c r="A56" s="48" t="str">
        <x:v>RED-0055</x:v>
      </x:c>
      <x:c r="B56" s="48" t="str">
        <x:v>RED</x:v>
      </x:c>
      <x:c r="C56" s="48" t="str">
        <x:v>English</x:v>
      </x:c>
      <x:c r="D56" s="48" t="n">
        <x:v>16</x:v>
      </x:c>
      <x:c r="E56" s="48" t="str">
        <x:v>1.1.3.5</x:v>
      </x:c>
      <x:c r="F56" s="48" t="str">
        <x:v>1.1.3.5 “Taking-Over Certificate” means a certificate issued under Clause 10 [Employer’s Taking Over].</x:v>
      </x:c>
      <x:c r="G56" s="48" t="str">
        <x:v>Definition</x:v>
      </x:c>
      <x:c r="H56" s="48" t="str"/>
      <x:c r="I56" s="48" t="n">
        <x:v>0.97</x:v>
      </x:c>
      <x:c r="J56" s="48" t="n">
        <x:v>0.99</x:v>
      </x:c>
      <x:c r="K56" s="48" t="str">
        <x:v>No</x:v>
      </x:c>
      <x:c r="L56" s="48" t="str">
        <x:v>PDF text</x:v>
      </x:c>
    </x:row>
    <x:row r="57">
      <x:c r="A57" s="48" t="str">
        <x:v>RED-0056</x:v>
      </x:c>
      <x:c r="B57" s="48" t="str">
        <x:v>RED</x:v>
      </x:c>
      <x:c r="C57" s="48" t="str">
        <x:v>English</x:v>
      </x:c>
      <x:c r="D57" s="48" t="n">
        <x:v>16</x:v>
      </x:c>
      <x:c r="E57" s="48" t="str">
        <x:v>1.1.3.6</x:v>
      </x:c>
      <x:c r="F57" s="48" t="str">
        <x:v>1.1.3.6 “Tests after Completion” means the tests (if any) which are specified in the</x:v>
      </x:c>
      <x:c r="G57" s="48" t="str">
        <x:v>Definition</x:v>
      </x:c>
      <x:c r="H57" s="48" t="str"/>
      <x:c r="I57" s="48" t="n">
        <x:v>0.97</x:v>
      </x:c>
      <x:c r="J57" s="48" t="n">
        <x:v>0.99</x:v>
      </x:c>
      <x:c r="K57" s="48" t="str">
        <x:v>No</x:v>
      </x:c>
      <x:c r="L57" s="48" t="str">
        <x:v>PDF text</x:v>
      </x:c>
    </x:row>
    <x:row r="58">
      <x:c r="A58" s="48" t="str">
        <x:v>RED-0057</x:v>
      </x:c>
      <x:c r="B58" s="48" t="str">
        <x:v>RED</x:v>
      </x:c>
      <x:c r="C58" s="48" t="str">
        <x:v>English</x:v>
      </x:c>
      <x:c r="D58" s="48" t="n">
        <x:v>16</x:v>
      </x:c>
      <x:c r="E58" s="48" t="str"/>
      <x:c r="F58" s="48" t="str">
        <x:v>Contract and which are carried out in accordance with the Specification</x:v>
      </x:c>
      <x:c r="G58" s="48" t="str">
        <x:v>Obligation</x:v>
      </x:c>
      <x:c r="H58" s="48" t="str">
        <x:v>Shared</x:v>
      </x:c>
      <x:c r="I58" s="48" t="n">
        <x:v>0.45</x:v>
      </x:c>
      <x:c r="J58" s="48" t="n">
        <x:v>0.4</x:v>
      </x:c>
      <x:c r="K58" s="48" t="str">
        <x:v>Yes</x:v>
      </x:c>
      <x:c r="L58" s="48" t="str">
        <x:v>PDF text</x:v>
      </x:c>
    </x:row>
    <x:row r="59">
      <x:c r="A59" s="48" t="str">
        <x:v>RED-0058</x:v>
      </x:c>
      <x:c r="B59" s="48" t="str">
        <x:v>RED</x:v>
      </x:c>
      <x:c r="C59" s="48" t="str">
        <x:v>English</x:v>
      </x:c>
      <x:c r="D59" s="48" t="n">
        <x:v>16</x:v>
      </x:c>
      <x:c r="E59" s="48" t="str"/>
      <x:c r="F59" s="48" t="str">
        <x:v>after the Works or a Section (as the case may be) are taken over by the Employer.</x:v>
      </x:c>
      <x:c r="G59" s="48" t="str">
        <x:v>Right</x:v>
      </x:c>
      <x:c r="H59" s="48" t="str">
        <x:v>Employer</x:v>
      </x:c>
      <x:c r="I59" s="48" t="n">
        <x:v>0.78</x:v>
      </x:c>
      <x:c r="J59" s="48" t="n">
        <x:v>0.68</x:v>
      </x:c>
      <x:c r="K59" s="48" t="str">
        <x:v>Yes</x:v>
      </x:c>
      <x:c r="L59" s="48" t="str">
        <x:v>PDF text</x:v>
      </x:c>
    </x:row>
    <x:row r="60">
      <x:c r="A60" s="48" t="str">
        <x:v>RED-0059</x:v>
      </x:c>
      <x:c r="B60" s="48" t="str">
        <x:v>RED</x:v>
      </x:c>
      <x:c r="C60" s="48" t="str">
        <x:v>English</x:v>
      </x:c>
      <x:c r="D60" s="48" t="n">
        <x:v>16</x:v>
      </x:c>
      <x:c r="E60" s="48" t="str">
        <x:v>1.1.3.7</x:v>
      </x:c>
      <x:c r="F60" s="48" t="str">
        <x:v>1.1.3.7 “Defects Notification Period” means the period for notifying defects in the Works or a Section (as the case may be) under Sub-Clause 11.1 [Completion of Outstanding Work and Remedying Defects], as stated in the Contract Data (with any extension under Sub-Clause 11.3 [Extension of Defects Notification Period]), calculated from the date on which the Works or Section is completed as certified under Sub-Clause 10.1 [Taking Over of the Works and Sections].</x:v>
      </x:c>
      <x:c r="G60" s="48" t="str">
        <x:v>Definition</x:v>
      </x:c>
      <x:c r="H60" s="48" t="str"/>
      <x:c r="I60" s="48" t="n">
        <x:v>0.97</x:v>
      </x:c>
      <x:c r="J60" s="48" t="n">
        <x:v>0.99</x:v>
      </x:c>
      <x:c r="K60" s="48" t="str">
        <x:v>No</x:v>
      </x:c>
      <x:c r="L60" s="48" t="str">
        <x:v>PDF text</x:v>
      </x:c>
    </x:row>
    <x:row r="61">
      <x:c r="A61" s="48" t="str">
        <x:v>RED-0060</x:v>
      </x:c>
      <x:c r="B61" s="48" t="str">
        <x:v>RED</x:v>
      </x:c>
      <x:c r="C61" s="48" t="str">
        <x:v>English</x:v>
      </x:c>
      <x:c r="D61" s="48" t="n">
        <x:v>16</x:v>
      </x:c>
      <x:c r="E61" s="48" t="str">
        <x:v>1.1.3.8</x:v>
      </x:c>
      <x:c r="F61" s="48" t="str">
        <x:v>1.1.3.8 “Performance Certificate” means the certificate issued under Sub-Clause</x:v>
      </x:c>
      <x:c r="G61" s="48" t="str">
        <x:v>Definition</x:v>
      </x:c>
      <x:c r="H61" s="48" t="str"/>
      <x:c r="I61" s="48" t="n">
        <x:v>0.97</x:v>
      </x:c>
      <x:c r="J61" s="48" t="n">
        <x:v>0.99</x:v>
      </x:c>
      <x:c r="K61" s="48" t="str">
        <x:v>No</x:v>
      </x:c>
      <x:c r="L61" s="48" t="str">
        <x:v>PDF text</x:v>
      </x:c>
    </x:row>
    <x:row r="62">
      <x:c r="A62" s="48" t="str">
        <x:v>RED-0061</x:v>
      </x:c>
      <x:c r="B62" s="48" t="str">
        <x:v>RED</x:v>
      </x:c>
      <x:c r="C62" s="48" t="str">
        <x:v>English</x:v>
      </x:c>
      <x:c r="D62" s="48" t="n">
        <x:v>16</x:v>
      </x:c>
      <x:c r="E62" s="48" t="str">
        <x:v>11.9</x:v>
      </x:c>
      <x:c r="F62" s="48" t="str">
        <x:v>11.9 [Performance Certificate].</x:v>
      </x:c>
      <x:c r="G62" s="48" t="str">
        <x:v>Obligation</x:v>
      </x:c>
      <x:c r="H62" s="48" t="str">
        <x:v>Shared</x:v>
      </x:c>
      <x:c r="I62" s="48" t="n">
        <x:v>0.55</x:v>
      </x:c>
      <x:c r="J62" s="48" t="n">
        <x:v>0.4</x:v>
      </x:c>
      <x:c r="K62" s="48" t="str">
        <x:v>Yes</x:v>
      </x:c>
      <x:c r="L62" s="48" t="str">
        <x:v>PDF text</x:v>
      </x:c>
    </x:row>
    <x:row r="63">
      <x:c r="A63" s="48" t="str">
        <x:v>RED-0062</x:v>
      </x:c>
      <x:c r="B63" s="48" t="str">
        <x:v>RED</x:v>
      </x:c>
      <x:c r="C63" s="48" t="str">
        <x:v>English</x:v>
      </x:c>
      <x:c r="D63" s="48" t="n">
        <x:v>16</x:v>
      </x:c>
      <x:c r="E63" s="48" t="str">
        <x:v>1.1.3.9</x:v>
      </x:c>
      <x:c r="F63" s="48" t="str">
        <x:v>1.1.3.9 “day” means a calendar day and “year” means 365 days.</x:v>
      </x:c>
      <x:c r="G63" s="48" t="str">
        <x:v>Definition</x:v>
      </x:c>
      <x:c r="H63" s="48" t="str"/>
      <x:c r="I63" s="48" t="n">
        <x:v>0.97</x:v>
      </x:c>
      <x:c r="J63" s="48" t="n">
        <x:v>0.99</x:v>
      </x:c>
      <x:c r="K63" s="48" t="str">
        <x:v>No</x:v>
      </x:c>
      <x:c r="L63" s="48" t="str">
        <x:v>PDF text</x:v>
      </x:c>
    </x:row>
    <x:row r="64">
      <x:c r="A64" s="48" t="str">
        <x:v>RED-0063</x:v>
      </x:c>
      <x:c r="B64" s="48" t="str">
        <x:v>RED</x:v>
      </x:c>
      <x:c r="C64" s="48" t="str">
        <x:v>English</x:v>
      </x:c>
      <x:c r="D64" s="48" t="n">
        <x:v>16</x:v>
      </x:c>
      <x:c r="E64" s="48" t="str">
        <x:v>1.1.4.1</x:v>
      </x:c>
      <x:c r="F64" s="48" t="str">
        <x:v>1.1.4.1 “Accepted Contract Amount” means the amount accepted in the Letter of</x:v>
      </x:c>
      <x:c r="G64" s="48" t="str">
        <x:v>Definition</x:v>
      </x:c>
      <x:c r="H64" s="48" t="str"/>
      <x:c r="I64" s="48" t="n">
        <x:v>0.97</x:v>
      </x:c>
      <x:c r="J64" s="48" t="n">
        <x:v>0.99</x:v>
      </x:c>
      <x:c r="K64" s="48" t="str">
        <x:v>No</x:v>
      </x:c>
      <x:c r="L64" s="48" t="str">
        <x:v>PDF text</x:v>
      </x:c>
    </x:row>
    <x:row r="65">
      <x:c r="A65" s="48" t="str">
        <x:v>RED-0064</x:v>
      </x:c>
      <x:c r="B65" s="48" t="str">
        <x:v>RED</x:v>
      </x:c>
      <x:c r="C65" s="48" t="str">
        <x:v>English</x:v>
      </x:c>
      <x:c r="D65" s="48" t="n">
        <x:v>16</x:v>
      </x:c>
      <x:c r="E65" s="48" t="str"/>
      <x:c r="F65" s="48" t="str">
        <x:v>Acceptance for the execution and completion of the Works and the</x:v>
      </x:c>
      <x:c r="G65" s="48" t="str">
        <x:v>Obligation</x:v>
      </x:c>
      <x:c r="H65" s="48" t="str">
        <x:v>Shared</x:v>
      </x:c>
      <x:c r="I65" s="48" t="n">
        <x:v>0.45</x:v>
      </x:c>
      <x:c r="J65" s="48" t="n">
        <x:v>0.4</x:v>
      </x:c>
      <x:c r="K65" s="48" t="str">
        <x:v>Yes</x:v>
      </x:c>
      <x:c r="L65" s="48" t="str">
        <x:v>PDF text</x:v>
      </x:c>
    </x:row>
    <x:row r="66">
      <x:c r="A66" s="48" t="str">
        <x:v>RED-0065</x:v>
      </x:c>
      <x:c r="B66" s="48" t="str">
        <x:v>RED</x:v>
      </x:c>
      <x:c r="C66" s="48" t="str">
        <x:v>English</x:v>
      </x:c>
      <x:c r="D66" s="48" t="n">
        <x:v>16</x:v>
      </x:c>
      <x:c r="E66" s="48" t="str"/>
      <x:c r="F66" s="48" t="str">
        <x:v>remedying of any defects.</x:v>
      </x:c>
      <x:c r="G66" s="48" t="str">
        <x:v>Obligation</x:v>
      </x:c>
      <x:c r="H66" s="48" t="str">
        <x:v>Shared</x:v>
      </x:c>
      <x:c r="I66" s="48" t="n">
        <x:v>0.45</x:v>
      </x:c>
      <x:c r="J66" s="48" t="n">
        <x:v>0.4</x:v>
      </x:c>
      <x:c r="K66" s="48" t="str">
        <x:v>Yes</x:v>
      </x:c>
      <x:c r="L66" s="48" t="str">
        <x:v>PDF text</x:v>
      </x:c>
    </x:row>
    <x:row r="67">
      <x:c r="A67" s="48" t="str">
        <x:v>RED-0066</x:v>
      </x:c>
      <x:c r="B67" s="48" t="str">
        <x:v>RED</x:v>
      </x:c>
      <x:c r="C67" s="48" t="str">
        <x:v>English</x:v>
      </x:c>
      <x:c r="D67" s="48" t="n">
        <x:v>16</x:v>
      </x:c>
      <x:c r="E67" s="48" t="str">
        <x:v>1.1.4.2</x:v>
      </x:c>
      <x:c r="F67" s="48" t="str">
        <x:v>1.1.4.2 “Contract Price” means the price defined in Sub-Clause 14.1 [The Contract Price], and includes adjustments in accordance with the Contract.</x:v>
      </x:c>
      <x:c r="G67" s="48" t="str">
        <x:v>Definition</x:v>
      </x:c>
      <x:c r="H67" s="48" t="str"/>
      <x:c r="I67" s="48" t="n">
        <x:v>0.97</x:v>
      </x:c>
      <x:c r="J67" s="48" t="n">
        <x:v>0.99</x:v>
      </x:c>
      <x:c r="K67" s="48" t="str">
        <x:v>No</x:v>
      </x:c>
      <x:c r="L67" s="48" t="str">
        <x:v>PDF text</x:v>
      </x:c>
    </x:row>
    <x:row r="68">
      <x:c r="A68" s="48" t="str">
        <x:v>RED-0067</x:v>
      </x:c>
      <x:c r="B68" s="48" t="str">
        <x:v>RED</x:v>
      </x:c>
      <x:c r="C68" s="48" t="str">
        <x:v>English</x:v>
      </x:c>
      <x:c r="D68" s="48" t="n">
        <x:v>16</x:v>
      </x:c>
      <x:c r="E68" s="48" t="str">
        <x:v>1.1.4.3</x:v>
      </x:c>
      <x:c r="F68" s="48" t="str">
        <x:v>1.1.4.3 “Cost” means all expenditure reasonably incurred (or to be incurred) by the</x:v>
      </x:c>
      <x:c r="G68" s="48" t="str">
        <x:v>Definition</x:v>
      </x:c>
      <x:c r="H68" s="48" t="str"/>
      <x:c r="I68" s="48" t="n">
        <x:v>0.97</x:v>
      </x:c>
      <x:c r="J68" s="48" t="n">
        <x:v>0.99</x:v>
      </x:c>
      <x:c r="K68" s="48" t="str">
        <x:v>No</x:v>
      </x:c>
      <x:c r="L68" s="48" t="str">
        <x:v>PDF text</x:v>
      </x:c>
    </x:row>
    <x:row r="69">
      <x:c r="A69" s="48" t="str">
        <x:v>RED-0068</x:v>
      </x:c>
      <x:c r="B69" s="48" t="str">
        <x:v>RED</x:v>
      </x:c>
      <x:c r="C69" s="48" t="str">
        <x:v>English</x:v>
      </x:c>
      <x:c r="D69" s="48" t="n">
        <x:v>16</x:v>
      </x:c>
      <x:c r="E69" s="48" t="str"/>
      <x:c r="F69" s="48" t="str">
        <x:v>Contractor, whether on or off the Site, including overhead and similar</x:v>
      </x:c>
      <x:c r="G69" s="48" t="str">
        <x:v>Obligation</x:v>
      </x:c>
      <x:c r="H69" s="48" t="str">
        <x:v>Contractor</x:v>
      </x:c>
      <x:c r="I69" s="48" t="n">
        <x:v>0.45</x:v>
      </x:c>
      <x:c r="J69" s="48" t="n">
        <x:v>0.68</x:v>
      </x:c>
      <x:c r="K69" s="48" t="str">
        <x:v>Yes</x:v>
      </x:c>
      <x:c r="L69" s="48" t="str">
        <x:v>PDF text</x:v>
      </x:c>
    </x:row>
    <x:row r="70">
      <x:c r="A70" s="48" t="str">
        <x:v>RED-0069</x:v>
      </x:c>
      <x:c r="B70" s="48" t="str">
        <x:v>RED</x:v>
      </x:c>
      <x:c r="C70" s="48" t="str">
        <x:v>English</x:v>
      </x:c>
      <x:c r="D70" s="48" t="n">
        <x:v>16</x:v>
      </x:c>
      <x:c r="E70" s="48" t="str"/>
      <x:c r="F70" s="48" t="str">
        <x:v>charges, but does not include profit.</x:v>
      </x:c>
      <x:c r="G70" s="48" t="str">
        <x:v>Obligation</x:v>
      </x:c>
      <x:c r="H70" s="48" t="str">
        <x:v>Shared</x:v>
      </x:c>
      <x:c r="I70" s="48" t="n">
        <x:v>0.45</x:v>
      </x:c>
      <x:c r="J70" s="48" t="n">
        <x:v>0.4</x:v>
      </x:c>
      <x:c r="K70" s="48" t="str">
        <x:v>Yes</x:v>
      </x:c>
      <x:c r="L70" s="48" t="str">
        <x:v>PDF text</x:v>
      </x:c>
    </x:row>
    <x:row r="71">
      <x:c r="A71" s="48" t="str">
        <x:v>RED-0070</x:v>
      </x:c>
      <x:c r="B71" s="48" t="str">
        <x:v>RED</x:v>
      </x:c>
      <x:c r="C71" s="48" t="str">
        <x:v>English</x:v>
      </x:c>
      <x:c r="D71" s="48" t="n">
        <x:v>16</x:v>
      </x:c>
      <x:c r="E71" s="48" t="str">
        <x:v>1.1.4.4</x:v>
      </x:c>
      <x:c r="F71" s="48" t="str">
        <x:v>1.1.4.4 “Final Payment Certificate” means the payment certificate issued under Sub-Clause 14.13 [Issue of Final Payment Certificate].</x:v>
      </x:c>
      <x:c r="G71" s="48" t="str">
        <x:v>Definition</x:v>
      </x:c>
      <x:c r="H71" s="48" t="str"/>
      <x:c r="I71" s="48" t="n">
        <x:v>0.97</x:v>
      </x:c>
      <x:c r="J71" s="48" t="n">
        <x:v>0.99</x:v>
      </x:c>
      <x:c r="K71" s="48" t="str">
        <x:v>No</x:v>
      </x:c>
      <x:c r="L71" s="48" t="str">
        <x:v>PDF text</x:v>
      </x:c>
    </x:row>
    <x:row r="72">
      <x:c r="A72" s="48" t="str">
        <x:v>RED-0071</x:v>
      </x:c>
      <x:c r="B72" s="48" t="str">
        <x:v>RED</x:v>
      </x:c>
      <x:c r="C72" s="48" t="str">
        <x:v>English</x:v>
      </x:c>
      <x:c r="D72" s="48" t="n">
        <x:v>16</x:v>
      </x:c>
      <x:c r="E72" s="48" t="str">
        <x:v>1.1.4.5</x:v>
      </x:c>
      <x:c r="F72" s="48" t="str">
        <x:v>1.1.4.5 “Final Statement” means the statement defined in Sub-Clause 14.11 [Application for Final Payment Certificate].</x:v>
      </x:c>
      <x:c r="G72" s="48" t="str">
        <x:v>Definition</x:v>
      </x:c>
      <x:c r="H72" s="48" t="str"/>
      <x:c r="I72" s="48" t="n">
        <x:v>0.97</x:v>
      </x:c>
      <x:c r="J72" s="48" t="n">
        <x:v>0.99</x:v>
      </x:c>
      <x:c r="K72" s="48" t="str">
        <x:v>No</x:v>
      </x:c>
      <x:c r="L72" s="48" t="str">
        <x:v>PDF text</x:v>
      </x:c>
    </x:row>
    <x:row r="73">
      <x:c r="A73" s="48" t="str">
        <x:v>RED-0072</x:v>
      </x:c>
      <x:c r="B73" s="48" t="str">
        <x:v>RED</x:v>
      </x:c>
      <x:c r="C73" s="48" t="str">
        <x:v>English</x:v>
      </x:c>
      <x:c r="D73" s="48" t="n">
        <x:v>16</x:v>
      </x:c>
      <x:c r="E73" s="48" t="str">
        <x:v>1.1.4.6</x:v>
      </x:c>
      <x:c r="F73" s="48" t="str">
        <x:v>1.1.4.6 “Foreign Currency” means a currency in which part (or all) of the Contract Price is payable, but not the Local Currency.</x:v>
      </x:c>
      <x:c r="G73" s="48" t="str">
        <x:v>Definition</x:v>
      </x:c>
      <x:c r="H73" s="48" t="str"/>
      <x:c r="I73" s="48" t="n">
        <x:v>0.97</x:v>
      </x:c>
      <x:c r="J73" s="48" t="n">
        <x:v>0.99</x:v>
      </x:c>
      <x:c r="K73" s="48" t="str">
        <x:v>No</x:v>
      </x:c>
      <x:c r="L73" s="48" t="str">
        <x:v>PDF text</x:v>
      </x:c>
    </x:row>
    <x:row r="74">
      <x:c r="A74" s="48" t="str">
        <x:v>RED-0073</x:v>
      </x:c>
      <x:c r="B74" s="48" t="str">
        <x:v>RED</x:v>
      </x:c>
      <x:c r="C74" s="48" t="str">
        <x:v>English</x:v>
      </x:c>
      <x:c r="D74" s="48" t="n">
        <x:v>16</x:v>
      </x:c>
      <x:c r="E74" s="48" t="str">
        <x:v>1.1.4.7</x:v>
      </x:c>
      <x:c r="F74" s="48" t="str">
        <x:v>1.1.4.7 “Interim Payment Certificate” means a payment certificate issued under Clause 14 [Contract Price and Payment], other than the Final Payment Certificate.</x:v>
      </x:c>
      <x:c r="G74" s="48" t="str">
        <x:v>Definition</x:v>
      </x:c>
      <x:c r="H74" s="48" t="str"/>
      <x:c r="I74" s="48" t="n">
        <x:v>0.97</x:v>
      </x:c>
      <x:c r="J74" s="48" t="n">
        <x:v>0.99</x:v>
      </x:c>
      <x:c r="K74" s="48" t="str">
        <x:v>No</x:v>
      </x:c>
      <x:c r="L74" s="48" t="str">
        <x:v>PDF text</x:v>
      </x:c>
    </x:row>
    <x:row r="75">
      <x:c r="A75" s="48" t="str">
        <x:v>RED-0074</x:v>
      </x:c>
      <x:c r="B75" s="48" t="str">
        <x:v>RED</x:v>
      </x:c>
      <x:c r="C75" s="48" t="str">
        <x:v>English</x:v>
      </x:c>
      <x:c r="D75" s="48" t="n">
        <x:v>16</x:v>
      </x:c>
      <x:c r="E75" s="48" t="str">
        <x:v>1.1.4.8</x:v>
      </x:c>
      <x:c r="F75" s="48" t="str">
        <x:v>1.1.4.8 “Local Currency” means the currency of the Country.</x:v>
      </x:c>
      <x:c r="G75" s="48" t="str">
        <x:v>Definition</x:v>
      </x:c>
      <x:c r="H75" s="48" t="str"/>
      <x:c r="I75" s="48" t="n">
        <x:v>0.97</x:v>
      </x:c>
      <x:c r="J75" s="48" t="n">
        <x:v>0.99</x:v>
      </x:c>
      <x:c r="K75" s="48" t="str">
        <x:v>No</x:v>
      </x:c>
      <x:c r="L75" s="48" t="str">
        <x:v>PDF text</x:v>
      </x:c>
    </x:row>
    <x:row r="76">
      <x:c r="A76" s="48" t="str">
        <x:v>RED-0075</x:v>
      </x:c>
      <x:c r="B76" s="48" t="str">
        <x:v>RED</x:v>
      </x:c>
      <x:c r="C76" s="48" t="str">
        <x:v>English</x:v>
      </x:c>
      <x:c r="D76" s="48" t="n">
        <x:v>16</x:v>
      </x:c>
      <x:c r="E76" s="48" t="str">
        <x:v>1.1.4.9</x:v>
      </x:c>
      <x:c r="F76" s="48" t="str">
        <x:v>1.1.4.9 “Payment Certificate” means a payment certificate issued under Clause 14 [Contract Price and Payment].</x:v>
      </x:c>
      <x:c r="G76" s="48" t="str">
        <x:v>Definition</x:v>
      </x:c>
      <x:c r="H76" s="48" t="str"/>
      <x:c r="I76" s="48" t="n">
        <x:v>0.97</x:v>
      </x:c>
      <x:c r="J76" s="48" t="n">
        <x:v>0.99</x:v>
      </x:c>
      <x:c r="K76" s="48" t="str">
        <x:v>No</x:v>
      </x:c>
      <x:c r="L76" s="48" t="str">
        <x:v>PDF text</x:v>
      </x:c>
    </x:row>
    <x:row r="77">
      <x:c r="A77" s="48" t="str">
        <x:v>RED-0076</x:v>
      </x:c>
      <x:c r="B77" s="48" t="str">
        <x:v>RED</x:v>
      </x:c>
      <x:c r="C77" s="48" t="str">
        <x:v>English</x:v>
      </x:c>
      <x:c r="D77" s="48" t="n">
        <x:v>16</x:v>
      </x:c>
      <x:c r="E77" s="48" t="str">
        <x:v>1.1.4.10</x:v>
      </x:c>
      <x:c r="F77" s="48" t="str">
        <x:v>1.1.4.10 “Provisional Sum” means a sum (if any) which is specified in the Contract as</x:v>
      </x:c>
      <x:c r="G77" s="48" t="str">
        <x:v>Definition</x:v>
      </x:c>
      <x:c r="H77" s="48" t="str"/>
      <x:c r="I77" s="48" t="n">
        <x:v>0.97</x:v>
      </x:c>
      <x:c r="J77" s="48" t="n">
        <x:v>0.99</x:v>
      </x:c>
      <x:c r="K77" s="48" t="str">
        <x:v>No</x:v>
      </x:c>
      <x:c r="L77" s="48" t="str">
        <x:v>PDF text</x:v>
      </x:c>
    </x:row>
    <x:row r="78">
      <x:c r="A78" s="48" t="str">
        <x:v>RED-0077</x:v>
      </x:c>
      <x:c r="B78" s="48" t="str">
        <x:v>RED</x:v>
      </x:c>
      <x:c r="C78" s="48" t="str">
        <x:v>English</x:v>
      </x:c>
      <x:c r="D78" s="48" t="n">
        <x:v>16</x:v>
      </x:c>
      <x:c r="E78" s="48" t="str"/>
      <x:c r="F78" s="48" t="str">
        <x:v>Money and Payments</x:v>
      </x:c>
      <x:c r="G78" s="48" t="str">
        <x:v>Obligation</x:v>
      </x:c>
      <x:c r="H78" s="48" t="str">
        <x:v>Shared</x:v>
      </x:c>
      <x:c r="I78" s="48" t="n">
        <x:v>0.45</x:v>
      </x:c>
      <x:c r="J78" s="48" t="n">
        <x:v>0.4</x:v>
      </x:c>
      <x:c r="K78" s="48" t="str">
        <x:v>Yes</x:v>
      </x:c>
      <x:c r="L78" s="48" t="str">
        <x:v>PDF text</x:v>
      </x:c>
    </x:row>
    <x:row r="79">
      <x:c r="A79" s="48" t="str">
        <x:v>RED-0078</x:v>
      </x:c>
      <x:c r="B79" s="48" t="str">
        <x:v>RED</x:v>
      </x:c>
      <x:c r="C79" s="48" t="str">
        <x:v>English</x:v>
      </x:c>
      <x:c r="D79" s="48" t="n">
        <x:v>17</x:v>
      </x:c>
      <x:c r="E79" s="48" t="str"/>
      <x:c r="F79" s="48" t="str">
        <x:v>a provisional sum, for the execution of any part of the Works or for the supply of Plant, Materials or services under Sub-Clause 13.5 [Provisional Sums].</x:v>
      </x:c>
      <x:c r="G79" s="48" t="str">
        <x:v>Obligation</x:v>
      </x:c>
      <x:c r="H79" s="48" t="str">
        <x:v>Shared</x:v>
      </x:c>
      <x:c r="I79" s="48" t="n">
        <x:v>0.45</x:v>
      </x:c>
      <x:c r="J79" s="48" t="n">
        <x:v>0.4</x:v>
      </x:c>
      <x:c r="K79" s="48" t="str">
        <x:v>Yes</x:v>
      </x:c>
      <x:c r="L79" s="48" t="str">
        <x:v>PDF text</x:v>
      </x:c>
    </x:row>
    <x:row r="80">
      <x:c r="A80" s="48" t="str">
        <x:v>RED-0079</x:v>
      </x:c>
      <x:c r="B80" s="48" t="str">
        <x:v>RED</x:v>
      </x:c>
      <x:c r="C80" s="48" t="str">
        <x:v>English</x:v>
      </x:c>
      <x:c r="D80" s="48" t="n">
        <x:v>17</x:v>
      </x:c>
      <x:c r="E80" s="48" t="str">
        <x:v>1.1.4.11</x:v>
      </x:c>
      <x:c r="F80" s="48" t="str">
        <x:v>1.1.4.11 “Retention Money” means the accumulated retention moneys which the</x:v>
      </x:c>
      <x:c r="G80" s="48" t="str">
        <x:v>Definition</x:v>
      </x:c>
      <x:c r="H80" s="48" t="str"/>
      <x:c r="I80" s="48" t="n">
        <x:v>0.97</x:v>
      </x:c>
      <x:c r="J80" s="48" t="n">
        <x:v>0.99</x:v>
      </x:c>
      <x:c r="K80" s="48" t="str">
        <x:v>No</x:v>
      </x:c>
      <x:c r="L80" s="48" t="str">
        <x:v>PDF text</x:v>
      </x:c>
    </x:row>
    <x:row r="81">
      <x:c r="A81" s="48" t="str">
        <x:v>RED-0080</x:v>
      </x:c>
      <x:c r="B81" s="48" t="str">
        <x:v>RED</x:v>
      </x:c>
      <x:c r="C81" s="48" t="str">
        <x:v>English</x:v>
      </x:c>
      <x:c r="D81" s="48" t="n">
        <x:v>17</x:v>
      </x:c>
      <x:c r="E81" s="48" t="str"/>
      <x:c r="F81" s="48" t="str">
        <x:v>Employer retains under Sub-Clause 14.3 [Application for Interim Payment Certificates] and pays under Sub-Clause 14.9 [Payment of Retention Money].</x:v>
      </x:c>
      <x:c r="G81" s="48" t="str">
        <x:v>Obligation</x:v>
      </x:c>
      <x:c r="H81" s="48" t="str">
        <x:v>Employer</x:v>
      </x:c>
      <x:c r="I81" s="48" t="n">
        <x:v>0.55</x:v>
      </x:c>
      <x:c r="J81" s="48" t="n">
        <x:v>0.68</x:v>
      </x:c>
      <x:c r="K81" s="48" t="str">
        <x:v>Yes</x:v>
      </x:c>
      <x:c r="L81" s="48" t="str">
        <x:v>PDF text</x:v>
      </x:c>
    </x:row>
    <x:row r="82">
      <x:c r="A82" s="48" t="str">
        <x:v>RED-0081</x:v>
      </x:c>
      <x:c r="B82" s="48" t="str">
        <x:v>RED</x:v>
      </x:c>
      <x:c r="C82" s="48" t="str">
        <x:v>English</x:v>
      </x:c>
      <x:c r="D82" s="48" t="n">
        <x:v>17</x:v>
      </x:c>
      <x:c r="E82" s="48" t="str">
        <x:v>1.1.4.12</x:v>
      </x:c>
      <x:c r="F82" s="48" t="str">
        <x:v>1.1.4.12 “Statement” means a statement submitted by the Contractor as part of an</x:v>
      </x:c>
      <x:c r="G82" s="48" t="str">
        <x:v>Definition</x:v>
      </x:c>
      <x:c r="H82" s="48" t="str"/>
      <x:c r="I82" s="48" t="n">
        <x:v>0.97</x:v>
      </x:c>
      <x:c r="J82" s="48" t="n">
        <x:v>0.99</x:v>
      </x:c>
      <x:c r="K82" s="48" t="str">
        <x:v>No</x:v>
      </x:c>
      <x:c r="L82" s="48" t="str">
        <x:v>PDF text</x:v>
      </x:c>
    </x:row>
    <x:row r="83">
      <x:c r="A83" s="48" t="str">
        <x:v>RED-0082</x:v>
      </x:c>
      <x:c r="B83" s="48" t="str">
        <x:v>RED</x:v>
      </x:c>
      <x:c r="C83" s="48" t="str">
        <x:v>English</x:v>
      </x:c>
      <x:c r="D83" s="48" t="n">
        <x:v>17</x:v>
      </x:c>
      <x:c r="E83" s="48" t="str"/>
      <x:c r="F83" s="48" t="str">
        <x:v>application, under Clause 14 [Contract Price and Payment], for a payment certificate.</x:v>
      </x:c>
      <x:c r="G83" s="48" t="str">
        <x:v>Obligation</x:v>
      </x:c>
      <x:c r="H83" s="48" t="str">
        <x:v>Shared</x:v>
      </x:c>
      <x:c r="I83" s="48" t="n">
        <x:v>0.55</x:v>
      </x:c>
      <x:c r="J83" s="48" t="n">
        <x:v>0.4</x:v>
      </x:c>
      <x:c r="K83" s="48" t="str">
        <x:v>Yes</x:v>
      </x:c>
      <x:c r="L83" s="48" t="str">
        <x:v>PDF text</x:v>
      </x:c>
    </x:row>
    <x:row r="84">
      <x:c r="A84" s="48" t="str">
        <x:v>RED-0083</x:v>
      </x:c>
      <x:c r="B84" s="48" t="str">
        <x:v>RED</x:v>
      </x:c>
      <x:c r="C84" s="48" t="str">
        <x:v>English</x:v>
      </x:c>
      <x:c r="D84" s="48" t="n">
        <x:v>17</x:v>
      </x:c>
      <x:c r="E84" s="48" t="str">
        <x:v>1.1.5.1</x:v>
      </x:c>
      <x:c r="F84" s="48" t="str">
        <x:v>1.1.5.1 “Contractor’s Equipment” means all apparatus, machinery, vehicles and other things required for the execution and completion of the Works and the remedying of any defects.</x:v>
      </x:c>
      <x:c r="G84" s="48" t="str">
        <x:v>Definition</x:v>
      </x:c>
      <x:c r="H84" s="48" t="str"/>
      <x:c r="I84" s="48" t="n">
        <x:v>0.97</x:v>
      </x:c>
      <x:c r="J84" s="48" t="n">
        <x:v>0.99</x:v>
      </x:c>
      <x:c r="K84" s="48" t="str">
        <x:v>No</x:v>
      </x:c>
      <x:c r="L84" s="48" t="str">
        <x:v>PDF text</x:v>
      </x:c>
    </x:row>
    <x:row r="85">
      <x:c r="A85" s="48" t="str">
        <x:v>RED-0084</x:v>
      </x:c>
      <x:c r="B85" s="48" t="str">
        <x:v>RED</x:v>
      </x:c>
      <x:c r="C85" s="48" t="str">
        <x:v>English</x:v>
      </x:c>
      <x:c r="D85" s="48" t="n">
        <x:v>17</x:v>
      </x:c>
      <x:c r="E85" s="48" t="str"/>
      <x:c r="F85" s="48" t="str">
        <x:v>However, Contractor’s Equipment excludes</x:v>
      </x:c>
      <x:c r="G85" s="48" t="str">
        <x:v>Obligation</x:v>
      </x:c>
      <x:c r="H85" s="48" t="str">
        <x:v>Contractor</x:v>
      </x:c>
      <x:c r="I85" s="48" t="n">
        <x:v>0.45</x:v>
      </x:c>
      <x:c r="J85" s="48" t="n">
        <x:v>0.68</x:v>
      </x:c>
      <x:c r="K85" s="48" t="str">
        <x:v>Yes</x:v>
      </x:c>
      <x:c r="L85" s="48" t="str">
        <x:v>PDF text</x:v>
      </x:c>
    </x:row>
    <x:row r="86">
      <x:c r="A86" s="48" t="str">
        <x:v>RED-0085</x:v>
      </x:c>
      <x:c r="B86" s="48" t="str">
        <x:v>RED</x:v>
      </x:c>
      <x:c r="C86" s="48" t="str">
        <x:v>English</x:v>
      </x:c>
      <x:c r="D86" s="48" t="n">
        <x:v>17</x:v>
      </x:c>
      <x:c r="E86" s="48" t="str"/>
      <x:c r="F86" s="48" t="str">
        <x:v>Temporary Works, Employer’s Equipment (if any), Plant, Materials and any</x:v>
      </x:c>
      <x:c r="G86" s="48" t="str">
        <x:v>Obligation</x:v>
      </x:c>
      <x:c r="H86" s="48" t="str">
        <x:v>Employer</x:v>
      </x:c>
      <x:c r="I86" s="48" t="n">
        <x:v>0.45</x:v>
      </x:c>
      <x:c r="J86" s="48" t="n">
        <x:v>0.68</x:v>
      </x:c>
      <x:c r="K86" s="48" t="str">
        <x:v>Yes</x:v>
      </x:c>
      <x:c r="L86" s="48" t="str">
        <x:v>PDF text</x:v>
      </x:c>
    </x:row>
    <x:row r="87">
      <x:c r="A87" s="48" t="str">
        <x:v>RED-0086</x:v>
      </x:c>
      <x:c r="B87" s="48" t="str">
        <x:v>RED</x:v>
      </x:c>
      <x:c r="C87" s="48" t="str">
        <x:v>English</x:v>
      </x:c>
      <x:c r="D87" s="48" t="n">
        <x:v>17</x:v>
      </x:c>
      <x:c r="E87" s="48" t="str"/>
      <x:c r="F87" s="48" t="str">
        <x:v>other things intended to form or forming part of the Permanent Works.</x:v>
      </x:c>
      <x:c r="G87" s="48" t="str">
        <x:v>Obligation</x:v>
      </x:c>
      <x:c r="H87" s="48" t="str">
        <x:v>Shared</x:v>
      </x:c>
      <x:c r="I87" s="48" t="n">
        <x:v>0.45</x:v>
      </x:c>
      <x:c r="J87" s="48" t="n">
        <x:v>0.4</x:v>
      </x:c>
      <x:c r="K87" s="48" t="str">
        <x:v>Yes</x:v>
      </x:c>
      <x:c r="L87" s="48" t="str">
        <x:v>PDF text</x:v>
      </x:c>
    </x:row>
    <x:row r="88">
      <x:c r="A88" s="48" t="str">
        <x:v>RED-0087</x:v>
      </x:c>
      <x:c r="B88" s="48" t="str">
        <x:v>RED</x:v>
      </x:c>
      <x:c r="C88" s="48" t="str">
        <x:v>English</x:v>
      </x:c>
      <x:c r="D88" s="48" t="n">
        <x:v>17</x:v>
      </x:c>
      <x:c r="E88" s="48" t="str">
        <x:v>1.1.5.2</x:v>
      </x:c>
      <x:c r="F88" s="48" t="str">
        <x:v>1.1.5.2 “Goods” means Contractor’s Equipment, Materials, Plant and Temporary Works, or any of them as appropriate.</x:v>
      </x:c>
      <x:c r="G88" s="48" t="str">
        <x:v>Definition</x:v>
      </x:c>
      <x:c r="H88" s="48" t="str"/>
      <x:c r="I88" s="48" t="n">
        <x:v>0.97</x:v>
      </x:c>
      <x:c r="J88" s="48" t="n">
        <x:v>0.99</x:v>
      </x:c>
      <x:c r="K88" s="48" t="str">
        <x:v>No</x:v>
      </x:c>
      <x:c r="L88" s="48" t="str">
        <x:v>PDF text</x:v>
      </x:c>
    </x:row>
    <x:row r="89">
      <x:c r="A89" s="48" t="str">
        <x:v>RED-0088</x:v>
      </x:c>
      <x:c r="B89" s="48" t="str">
        <x:v>RED</x:v>
      </x:c>
      <x:c r="C89" s="48" t="str">
        <x:v>English</x:v>
      </x:c>
      <x:c r="D89" s="48" t="n">
        <x:v>17</x:v>
      </x:c>
      <x:c r="E89" s="48" t="str">
        <x:v>1.1.5.3</x:v>
      </x:c>
      <x:c r="F89" s="48" t="str">
        <x:v>1.1.5.3 “Materials” means things of all kinds (other than Plant) intended to form or forming part of the Permanent Works, including the supply-only materials (if any) to be supplied by the Contractor under the Contract.</x:v>
      </x:c>
      <x:c r="G89" s="48" t="str">
        <x:v>Definition</x:v>
      </x:c>
      <x:c r="H89" s="48" t="str"/>
      <x:c r="I89" s="48" t="n">
        <x:v>0.97</x:v>
      </x:c>
      <x:c r="J89" s="48" t="n">
        <x:v>0.99</x:v>
      </x:c>
      <x:c r="K89" s="48" t="str">
        <x:v>No</x:v>
      </x:c>
      <x:c r="L89" s="48" t="str">
        <x:v>PDF text</x:v>
      </x:c>
    </x:row>
    <x:row r="90">
      <x:c r="A90" s="48" t="str">
        <x:v>RED-0089</x:v>
      </x:c>
      <x:c r="B90" s="48" t="str">
        <x:v>RED</x:v>
      </x:c>
      <x:c r="C90" s="48" t="str">
        <x:v>English</x:v>
      </x:c>
      <x:c r="D90" s="48" t="n">
        <x:v>17</x:v>
      </x:c>
      <x:c r="E90" s="48" t="str">
        <x:v>1.1.5.4</x:v>
      </x:c>
      <x:c r="F90" s="48" t="str">
        <x:v>1.1.5.4 “Permanent Works” means the permanent works to be executed by the Contractor under the Contract.</x:v>
      </x:c>
      <x:c r="G90" s="48" t="str">
        <x:v>Definition</x:v>
      </x:c>
      <x:c r="H90" s="48" t="str"/>
      <x:c r="I90" s="48" t="n">
        <x:v>0.97</x:v>
      </x:c>
      <x:c r="J90" s="48" t="n">
        <x:v>0.99</x:v>
      </x:c>
      <x:c r="K90" s="48" t="str">
        <x:v>No</x:v>
      </x:c>
      <x:c r="L90" s="48" t="str">
        <x:v>PDF text</x:v>
      </x:c>
    </x:row>
    <x:row r="91">
      <x:c r="A91" s="48" t="str">
        <x:v>RED-0090</x:v>
      </x:c>
      <x:c r="B91" s="48" t="str">
        <x:v>RED</x:v>
      </x:c>
      <x:c r="C91" s="48" t="str">
        <x:v>English</x:v>
      </x:c>
      <x:c r="D91" s="48" t="n">
        <x:v>17</x:v>
      </x:c>
      <x:c r="E91" s="48" t="str">
        <x:v>1.1.5.5</x:v>
      </x:c>
      <x:c r="F91" s="48" t="str">
        <x:v>1.1.5.5 “Plant” means the apparatus, machinery and vehicles intended to form or forming part of the Permanent Works.</x:v>
      </x:c>
      <x:c r="G91" s="48" t="str">
        <x:v>Definition</x:v>
      </x:c>
      <x:c r="H91" s="48" t="str"/>
      <x:c r="I91" s="48" t="n">
        <x:v>0.97</x:v>
      </x:c>
      <x:c r="J91" s="48" t="n">
        <x:v>0.99</x:v>
      </x:c>
      <x:c r="K91" s="48" t="str">
        <x:v>No</x:v>
      </x:c>
      <x:c r="L91" s="48" t="str">
        <x:v>PDF text</x:v>
      </x:c>
    </x:row>
    <x:row r="92">
      <x:c r="A92" s="48" t="str">
        <x:v>RED-0091</x:v>
      </x:c>
      <x:c r="B92" s="48" t="str">
        <x:v>RED</x:v>
      </x:c>
      <x:c r="C92" s="48" t="str">
        <x:v>English</x:v>
      </x:c>
      <x:c r="D92" s="48" t="n">
        <x:v>17</x:v>
      </x:c>
      <x:c r="E92" s="48" t="str">
        <x:v>1.1.5.6</x:v>
      </x:c>
      <x:c r="F92" s="48" t="str">
        <x:v>1.1.5.6 “Section” means a part of the Works specified in the Contract Data as a Section (if any).</x:v>
      </x:c>
      <x:c r="G92" s="48" t="str">
        <x:v>Definition</x:v>
      </x:c>
      <x:c r="H92" s="48" t="str"/>
      <x:c r="I92" s="48" t="n">
        <x:v>0.97</x:v>
      </x:c>
      <x:c r="J92" s="48" t="n">
        <x:v>0.99</x:v>
      </x:c>
      <x:c r="K92" s="48" t="str">
        <x:v>No</x:v>
      </x:c>
      <x:c r="L92" s="48" t="str">
        <x:v>PDF text</x:v>
      </x:c>
    </x:row>
    <x:row r="93">
      <x:c r="A93" s="48" t="str">
        <x:v>RED-0092</x:v>
      </x:c>
      <x:c r="B93" s="48" t="str">
        <x:v>RED</x:v>
      </x:c>
      <x:c r="C93" s="48" t="str">
        <x:v>English</x:v>
      </x:c>
      <x:c r="D93" s="48" t="n">
        <x:v>17</x:v>
      </x:c>
      <x:c r="E93" s="48" t="str">
        <x:v>1.1.5.7</x:v>
      </x:c>
      <x:c r="F93" s="48" t="str">
        <x:v>1.1.5.7 “Temporary Works” means all temporary works of every kind (other than</x:v>
      </x:c>
      <x:c r="G93" s="48" t="str">
        <x:v>Definition</x:v>
      </x:c>
      <x:c r="H93" s="48" t="str"/>
      <x:c r="I93" s="48" t="n">
        <x:v>0.97</x:v>
      </x:c>
      <x:c r="J93" s="48" t="n">
        <x:v>0.99</x:v>
      </x:c>
      <x:c r="K93" s="48" t="str">
        <x:v>No</x:v>
      </x:c>
      <x:c r="L93" s="48" t="str">
        <x:v>PDF text</x:v>
      </x:c>
    </x:row>
    <x:row r="94">
      <x:c r="A94" s="48" t="str">
        <x:v>RED-0093</x:v>
      </x:c>
      <x:c r="B94" s="48" t="str">
        <x:v>RED</x:v>
      </x:c>
      <x:c r="C94" s="48" t="str">
        <x:v>English</x:v>
      </x:c>
      <x:c r="D94" s="48" t="n">
        <x:v>17</x:v>
      </x:c>
      <x:c r="E94" s="48" t="str"/>
      <x:c r="F94" s="48" t="str">
        <x:v>Contractor’s Equipment) required on Site for the execution and completion</x:v>
      </x:c>
      <x:c r="G94" s="48" t="str">
        <x:v>Obligation</x:v>
      </x:c>
      <x:c r="H94" s="48" t="str">
        <x:v>Contractor</x:v>
      </x:c>
      <x:c r="I94" s="48" t="n">
        <x:v>0.45</x:v>
      </x:c>
      <x:c r="J94" s="48" t="n">
        <x:v>0.68</x:v>
      </x:c>
      <x:c r="K94" s="48" t="str">
        <x:v>Yes</x:v>
      </x:c>
      <x:c r="L94" s="48" t="str">
        <x:v>PDF text</x:v>
      </x:c>
    </x:row>
    <x:row r="95">
      <x:c r="A95" s="48" t="str">
        <x:v>RED-0094</x:v>
      </x:c>
      <x:c r="B95" s="48" t="str">
        <x:v>RED</x:v>
      </x:c>
      <x:c r="C95" s="48" t="str">
        <x:v>English</x:v>
      </x:c>
      <x:c r="D95" s="48" t="n">
        <x:v>17</x:v>
      </x:c>
      <x:c r="E95" s="48" t="str"/>
      <x:c r="F95" s="48" t="str">
        <x:v>of the Permanent Works and the remedying of any defects.</x:v>
      </x:c>
      <x:c r="G95" s="48" t="str">
        <x:v>Obligation</x:v>
      </x:c>
      <x:c r="H95" s="48" t="str">
        <x:v>Shared</x:v>
      </x:c>
      <x:c r="I95" s="48" t="n">
        <x:v>0.45</x:v>
      </x:c>
      <x:c r="J95" s="48" t="n">
        <x:v>0.4</x:v>
      </x:c>
      <x:c r="K95" s="48" t="str">
        <x:v>Yes</x:v>
      </x:c>
      <x:c r="L95" s="48" t="str">
        <x:v>PDF text</x:v>
      </x:c>
    </x:row>
    <x:row r="96">
      <x:c r="A96" s="48" t="str">
        <x:v>RED-0095</x:v>
      </x:c>
      <x:c r="B96" s="48" t="str">
        <x:v>RED</x:v>
      </x:c>
      <x:c r="C96" s="48" t="str">
        <x:v>English</x:v>
      </x:c>
      <x:c r="D96" s="48" t="n">
        <x:v>17</x:v>
      </x:c>
      <x:c r="E96" s="48" t="str">
        <x:v>1.1.5.8</x:v>
      </x:c>
      <x:c r="F96" s="48" t="str">
        <x:v>1.1.5.8 “Works” mean the Permanent Works and the Temporary Works, or either of them as appropriate.</x:v>
      </x:c>
      <x:c r="G96" s="48" t="str">
        <x:v>Obligation</x:v>
      </x:c>
      <x:c r="H96" s="48" t="str">
        <x:v>Shared</x:v>
      </x:c>
      <x:c r="I96" s="48" t="n">
        <x:v>0.45</x:v>
      </x:c>
      <x:c r="J96" s="48" t="n">
        <x:v>0.4</x:v>
      </x:c>
      <x:c r="K96" s="48" t="str">
        <x:v>Yes</x:v>
      </x:c>
      <x:c r="L96" s="48" t="str">
        <x:v>PDF text</x:v>
      </x:c>
    </x:row>
    <x:row r="97">
      <x:c r="A97" s="48" t="str">
        <x:v>RED-0096</x:v>
      </x:c>
      <x:c r="B97" s="48" t="str">
        <x:v>RED</x:v>
      </x:c>
      <x:c r="C97" s="48" t="str">
        <x:v>English</x:v>
      </x:c>
      <x:c r="D97" s="48" t="n">
        <x:v>17</x:v>
      </x:c>
      <x:c r="E97" s="48" t="str">
        <x:v>1.1.6.1</x:v>
      </x:c>
      <x:c r="F97" s="48" t="str">
        <x:v>1.1.6.1 “Contractor’s Documents” means the calculations, computer programs and other software, drawings, manuals, models and other documents of a technical nature (if any) supplied by the Contractor under the Contract.</x:v>
      </x:c>
      <x:c r="G97" s="48" t="str">
        <x:v>Definition</x:v>
      </x:c>
      <x:c r="H97" s="48" t="str"/>
      <x:c r="I97" s="48" t="n">
        <x:v>0.97</x:v>
      </x:c>
      <x:c r="J97" s="48" t="n">
        <x:v>0.99</x:v>
      </x:c>
      <x:c r="K97" s="48" t="str">
        <x:v>No</x:v>
      </x:c>
      <x:c r="L97" s="48" t="str">
        <x:v>PDF text</x:v>
      </x:c>
    </x:row>
    <x:row r="98">
      <x:c r="A98" s="48" t="str">
        <x:v>RED-0097</x:v>
      </x:c>
      <x:c r="B98" s="48" t="str">
        <x:v>RED</x:v>
      </x:c>
      <x:c r="C98" s="48" t="str">
        <x:v>English</x:v>
      </x:c>
      <x:c r="D98" s="48" t="n">
        <x:v>17</x:v>
      </x:c>
      <x:c r="E98" s="48" t="str">
        <x:v>1.1.6.2</x:v>
      </x:c>
      <x:c r="F98" s="48" t="str">
        <x:v>1.1.6.2 “Country” means the country in which the Site (or most of it) is located, where the Permanent Works are to be executed.</x:v>
      </x:c>
      <x:c r="G98" s="48" t="str">
        <x:v>Definition</x:v>
      </x:c>
      <x:c r="H98" s="48" t="str"/>
      <x:c r="I98" s="48" t="n">
        <x:v>0.97</x:v>
      </x:c>
      <x:c r="J98" s="48" t="n">
        <x:v>0.99</x:v>
      </x:c>
      <x:c r="K98" s="48" t="str">
        <x:v>No</x:v>
      </x:c>
      <x:c r="L98" s="48" t="str">
        <x:v>PDF text</x:v>
      </x:c>
    </x:row>
    <x:row r="99">
      <x:c r="A99" s="48" t="str">
        <x:v>RED-0098</x:v>
      </x:c>
      <x:c r="B99" s="48" t="str">
        <x:v>RED</x:v>
      </x:c>
      <x:c r="C99" s="48" t="str">
        <x:v>English</x:v>
      </x:c>
      <x:c r="D99" s="48" t="n">
        <x:v>17</x:v>
      </x:c>
      <x:c r="E99" s="48" t="str">
        <x:v>1.1.6.3</x:v>
      </x:c>
      <x:c r="F99" s="48" t="str">
        <x:v>1.1.6.3 “Employer’s Equipment” means the apparatus, machinery and vehicles (if any) made available by the Employer for the use of the Contractor in the execution of the Works, as stated in the Specification; but does not include Plant which has not been taken over by the Employer.</x:v>
      </x:c>
      <x:c r="G99" s="48" t="str">
        <x:v>Definition</x:v>
      </x:c>
      <x:c r="H99" s="48" t="str"/>
      <x:c r="I99" s="48" t="n">
        <x:v>0.97</x:v>
      </x:c>
      <x:c r="J99" s="48" t="n">
        <x:v>0.99</x:v>
      </x:c>
      <x:c r="K99" s="48" t="str">
        <x:v>No</x:v>
      </x:c>
      <x:c r="L99" s="48" t="str">
        <x:v>PDF text</x:v>
      </x:c>
    </x:row>
    <x:row r="100">
      <x:c r="A100" s="48" t="str">
        <x:v>RED-0099</x:v>
      </x:c>
      <x:c r="B100" s="48" t="str">
        <x:v>RED</x:v>
      </x:c>
      <x:c r="C100" s="48" t="str">
        <x:v>English</x:v>
      </x:c>
      <x:c r="D100" s="48" t="n">
        <x:v>17</x:v>
      </x:c>
      <x:c r="E100" s="48" t="str">
        <x:v>1.1.6.4</x:v>
      </x:c>
      <x:c r="F100" s="48" t="str">
        <x:v>1.1.6.4 “Force Majeure” is defined in Clause 19 [Force Majeure].</x:v>
      </x:c>
      <x:c r="G100" s="48" t="str">
        <x:v>Obligation</x:v>
      </x:c>
      <x:c r="H100" s="48" t="str">
        <x:v>Shared</x:v>
      </x:c>
      <x:c r="I100" s="48" t="n">
        <x:v>0.45</x:v>
      </x:c>
      <x:c r="J100" s="48" t="n">
        <x:v>0.4</x:v>
      </x:c>
      <x:c r="K100" s="48" t="str">
        <x:v>Yes</x:v>
      </x:c>
      <x:c r="L100" s="48" t="str">
        <x:v>PDF text</x:v>
      </x:c>
    </x:row>
    <x:row r="101">
      <x:c r="A101" s="48" t="str">
        <x:v>RED-0100</x:v>
      </x:c>
      <x:c r="B101" s="48" t="str">
        <x:v>RED</x:v>
      </x:c>
      <x:c r="C101" s="48" t="str">
        <x:v>English</x:v>
      </x:c>
      <x:c r="D101" s="48" t="n">
        <x:v>17</x:v>
      </x:c>
      <x:c r="E101" s="48" t="str">
        <x:v>1.1.6.5</x:v>
      </x:c>
      <x:c r="F101" s="48" t="str">
        <x:v>1.1.6.5 “Laws” means all national (or state) legislation, statutes, ordinances and other laws, and regulations and by-laws of any legally constituted public authority.</x:v>
      </x:c>
      <x:c r="G101" s="48" t="str">
        <x:v>Definition</x:v>
      </x:c>
      <x:c r="H101" s="48" t="str"/>
      <x:c r="I101" s="48" t="n">
        <x:v>0.97</x:v>
      </x:c>
      <x:c r="J101" s="48" t="n">
        <x:v>0.99</x:v>
      </x:c>
      <x:c r="K101" s="48" t="str">
        <x:v>No</x:v>
      </x:c>
      <x:c r="L101" s="48" t="str">
        <x:v>PDF text</x:v>
      </x:c>
    </x:row>
    <x:row r="102">
      <x:c r="A102" s="48" t="str">
        <x:v>RED-0101</x:v>
      </x:c>
      <x:c r="B102" s="48" t="str">
        <x:v>RED</x:v>
      </x:c>
      <x:c r="C102" s="48" t="str">
        <x:v>English</x:v>
      </x:c>
      <x:c r="D102" s="48" t="n">
        <x:v>17</x:v>
      </x:c>
      <x:c r="E102" s="48" t="str"/>
      <x:c r="F102" s="48" t="str">
        <x:v>Works and Goods</x:v>
      </x:c>
      <x:c r="G102" s="48" t="str">
        <x:v>Obligation</x:v>
      </x:c>
      <x:c r="H102" s="48" t="str">
        <x:v>Shared</x:v>
      </x:c>
      <x:c r="I102" s="48" t="n">
        <x:v>0.45</x:v>
      </x:c>
      <x:c r="J102" s="48" t="n">
        <x:v>0.4</x:v>
      </x:c>
      <x:c r="K102" s="48" t="str">
        <x:v>Yes</x:v>
      </x:c>
      <x:c r="L102" s="48" t="str">
        <x:v>PDF text</x:v>
      </x:c>
    </x:row>
    <x:row r="103">
      <x:c r="A103" s="48" t="str">
        <x:v>RED-0102</x:v>
      </x:c>
      <x:c r="B103" s="48" t="str">
        <x:v>RED</x:v>
      </x:c>
      <x:c r="C103" s="48" t="str">
        <x:v>English</x:v>
      </x:c>
      <x:c r="D103" s="48" t="n">
        <x:v>17</x:v>
      </x:c>
      <x:c r="E103" s="48" t="str"/>
      <x:c r="F103" s="48" t="str">
        <x:v>Other Definitions</x:v>
      </x:c>
      <x:c r="G103" s="48" t="str">
        <x:v>Obligation</x:v>
      </x:c>
      <x:c r="H103" s="48" t="str">
        <x:v>Shared</x:v>
      </x:c>
      <x:c r="I103" s="48" t="n">
        <x:v>0.45</x:v>
      </x:c>
      <x:c r="J103" s="48" t="n">
        <x:v>0.4</x:v>
      </x:c>
      <x:c r="K103" s="48" t="str">
        <x:v>Yes</x:v>
      </x:c>
      <x:c r="L103" s="48" t="str">
        <x:v>PDF text</x:v>
      </x:c>
    </x:row>
    <x:row r="104">
      <x:c r="A104" s="48" t="str">
        <x:v>RED-0103</x:v>
      </x:c>
      <x:c r="B104" s="48" t="str">
        <x:v>RED</x:v>
      </x:c>
      <x:c r="C104" s="48" t="str">
        <x:v>English</x:v>
      </x:c>
      <x:c r="D104" s="48" t="n">
        <x:v>18</x:v>
      </x:c>
      <x:c r="E104" s="48" t="str">
        <x:v>1.1.6.6</x:v>
      </x:c>
      <x:c r="F104" s="48" t="str">
        <x:v>1.1.6.6 “Performance Security” means the security (or securities, if any) under Sub-Clause 4.2 [Performance Security].</x:v>
      </x:c>
      <x:c r="G104" s="48" t="str">
        <x:v>Definition</x:v>
      </x:c>
      <x:c r="H104" s="48" t="str"/>
      <x:c r="I104" s="48" t="n">
        <x:v>0.97</x:v>
      </x:c>
      <x:c r="J104" s="48" t="n">
        <x:v>0.99</x:v>
      </x:c>
      <x:c r="K104" s="48" t="str">
        <x:v>No</x:v>
      </x:c>
      <x:c r="L104" s="48" t="str">
        <x:v>PDF text</x:v>
      </x:c>
    </x:row>
    <x:row r="105">
      <x:c r="A105" s="48" t="str">
        <x:v>RED-0104</x:v>
      </x:c>
      <x:c r="B105" s="48" t="str">
        <x:v>RED</x:v>
      </x:c>
      <x:c r="C105" s="48" t="str">
        <x:v>English</x:v>
      </x:c>
      <x:c r="D105" s="48" t="n">
        <x:v>18</x:v>
      </x:c>
      <x:c r="E105" s="48" t="str">
        <x:v>1.1.6.7</x:v>
      </x:c>
      <x:c r="F105" s="48" t="str">
        <x:v>1.1.6.7 “Site” means the places where the Permanent Works are to be executed and to which Plant and Materials are to be delivered, and any other places as may be specified in the Contract as forming part of the Site.</x:v>
      </x:c>
      <x:c r="G105" s="48" t="str">
        <x:v>Definition</x:v>
      </x:c>
      <x:c r="H105" s="48" t="str"/>
      <x:c r="I105" s="48" t="n">
        <x:v>0.97</x:v>
      </x:c>
      <x:c r="J105" s="48" t="n">
        <x:v>0.99</x:v>
      </x:c>
      <x:c r="K105" s="48" t="str">
        <x:v>No</x:v>
      </x:c>
      <x:c r="L105" s="48" t="str">
        <x:v>PDF text</x:v>
      </x:c>
    </x:row>
    <x:row r="106">
      <x:c r="A106" s="48" t="str">
        <x:v>RED-0105</x:v>
      </x:c>
      <x:c r="B106" s="48" t="str">
        <x:v>RED</x:v>
      </x:c>
      <x:c r="C106" s="48" t="str">
        <x:v>English</x:v>
      </x:c>
      <x:c r="D106" s="48" t="n">
        <x:v>18</x:v>
      </x:c>
      <x:c r="E106" s="48" t="str">
        <x:v>1.1.6.8</x:v>
      </x:c>
      <x:c r="F106" s="48" t="str">
        <x:v>1.1.6.8 “Unforeseeable” means not reasonably foreseeable and against which adequate preventive precautions could not reasonably be taken by an experienced contractor by the date for submission of the Tender.</x:v>
      </x:c>
      <x:c r="G106" s="48" t="str">
        <x:v>Definition</x:v>
      </x:c>
      <x:c r="H106" s="48" t="str"/>
      <x:c r="I106" s="48" t="n">
        <x:v>0.97</x:v>
      </x:c>
      <x:c r="J106" s="48" t="n">
        <x:v>0.99</x:v>
      </x:c>
      <x:c r="K106" s="48" t="str">
        <x:v>No</x:v>
      </x:c>
      <x:c r="L106" s="48" t="str">
        <x:v>PDF text</x:v>
      </x:c>
    </x:row>
    <x:row r="107">
      <x:c r="A107" s="48" t="str">
        <x:v>RED-0106</x:v>
      </x:c>
      <x:c r="B107" s="48" t="str">
        <x:v>RED</x:v>
      </x:c>
      <x:c r="C107" s="48" t="str">
        <x:v>English</x:v>
      </x:c>
      <x:c r="D107" s="48" t="n">
        <x:v>18</x:v>
      </x:c>
      <x:c r="E107" s="48" t="str">
        <x:v>1.1.6.9</x:v>
      </x:c>
      <x:c r="F107" s="48" t="str">
        <x:v>1.1.6.9 “Variation” means any change to the Works, which is instructed or approved as a variation under Clause 13 [Variations and Adjustments].</x:v>
      </x:c>
      <x:c r="G107" s="48" t="str">
        <x:v>Definition</x:v>
      </x:c>
      <x:c r="H107" s="48" t="str"/>
      <x:c r="I107" s="48" t="n">
        <x:v>0.97</x:v>
      </x:c>
      <x:c r="J107" s="48" t="n">
        <x:v>0.99</x:v>
      </x:c>
      <x:c r="K107" s="48" t="str">
        <x:v>No</x:v>
      </x:c>
      <x:c r="L107" s="48" t="str">
        <x:v>PDF text</x:v>
      </x:c>
    </x:row>
    <x:row r="108">
      <x:c r="A108" s="48" t="str">
        <x:v>RED-0107</x:v>
      </x:c>
      <x:c r="B108" s="48" t="str">
        <x:v>RED</x:v>
      </x:c>
      <x:c r="C108" s="48" t="str">
        <x:v>English</x:v>
      </x:c>
      <x:c r="D108" s="48" t="n">
        <x:v>18</x:v>
      </x:c>
      <x:c r="E108" s="48" t="str"/>
      <x:c r="F108" s="48" t="str">
        <x:v>In the Contract, except where the context requires otherwise: (a) words indicating one gender include all genders; (b) words indicating the singular also include the plural and words indicating the plural also include the singular; (c) provisions including the word “agree”, “agreed” or “agreement” require the agreement to be record in writing; (d) “written” or “in writing” means hand-written, type-written, printed or electronically made, and resulting in a permanent record; and (e) the word “tender” is synonymous with “bid”, and “tenderer” with “bidder” and the words “tender documents” with “bidding documents".</x:v>
      </x:c>
      <x:c r="G108" s="48" t="str">
        <x:v>Definition</x:v>
      </x:c>
      <x:c r="H108" s="48" t="str"/>
      <x:c r="I108" s="48" t="n">
        <x:v>0.97</x:v>
      </x:c>
      <x:c r="J108" s="48" t="n">
        <x:v>0.99</x:v>
      </x:c>
      <x:c r="K108" s="48" t="str">
        <x:v>No</x:v>
      </x:c>
      <x:c r="L108" s="48" t="str">
        <x:v>PDF text</x:v>
      </x:c>
    </x:row>
    <x:row r="109">
      <x:c r="A109" s="48" t="str">
        <x:v>RED-0108</x:v>
      </x:c>
      <x:c r="B109" s="48" t="str">
        <x:v>RED</x:v>
      </x:c>
      <x:c r="C109" s="48" t="str">
        <x:v>English</x:v>
      </x:c>
      <x:c r="D109" s="48" t="n">
        <x:v>18</x:v>
      </x:c>
      <x:c r="E109" s="48" t="str"/>
      <x:c r="F109" s="48" t="str">
        <x:v>The marginal words and other headings shall not be taken into consideration in the interpretation of these Conditions.</x:v>
      </x:c>
      <x:c r="G109" s="48" t="str">
        <x:v>Obligation</x:v>
      </x:c>
      <x:c r="H109" s="48" t="str">
        <x:v>Shared</x:v>
      </x:c>
      <x:c r="I109" s="48" t="n">
        <x:v>0.88</x:v>
      </x:c>
      <x:c r="J109" s="48" t="n">
        <x:v>0.4</x:v>
      </x:c>
      <x:c r="K109" s="48" t="str">
        <x:v>Yes</x:v>
      </x:c>
      <x:c r="L109" s="48" t="str">
        <x:v>PDF text</x:v>
      </x:c>
    </x:row>
    <x:row r="110">
      <x:c r="A110" s="48" t="str">
        <x:v>RED-0109</x:v>
      </x:c>
      <x:c r="B110" s="48" t="str">
        <x:v>RED</x:v>
      </x:c>
      <x:c r="C110" s="48" t="str">
        <x:v>English</x:v>
      </x:c>
      <x:c r="D110" s="48" t="n">
        <x:v>18</x:v>
      </x:c>
      <x:c r="E110" s="48" t="str"/>
      <x:c r="F110" s="48" t="str">
        <x:v>In these Conditions, provisions including the expression “Cost plus profit” require this profit to be one twentieth (5%) of this Cost unless otherwise indicated in the Contract Data.</x:v>
      </x:c>
      <x:c r="G110" s="48" t="str">
        <x:v>Obligation</x:v>
      </x:c>
      <x:c r="H110" s="48" t="str">
        <x:v>Shared</x:v>
      </x:c>
      <x:c r="I110" s="48" t="n">
        <x:v>0.45</x:v>
      </x:c>
      <x:c r="J110" s="48" t="n">
        <x:v>0.4</x:v>
      </x:c>
      <x:c r="K110" s="48" t="str">
        <x:v>Yes</x:v>
      </x:c>
      <x:c r="L110" s="48" t="str">
        <x:v>PDF text</x:v>
      </x:c>
    </x:row>
    <x:row r="111">
      <x:c r="A111" s="48" t="str">
        <x:v>RED-0110</x:v>
      </x:c>
      <x:c r="B111" s="48" t="str">
        <x:v>RED</x:v>
      </x:c>
      <x:c r="C111" s="48" t="str">
        <x:v>English</x:v>
      </x:c>
      <x:c r="D111" s="48" t="n">
        <x:v>18</x:v>
      </x:c>
      <x:c r="E111" s="48" t="str"/>
      <x:c r="F111" s="48" t="str">
        <x:v>Wherever these Conditions provide for the giving or issuing of approvals, certificates, consents, determinations, notices, requests and discharges, these communications shall be: (a) in writing and delivered by hand (against receipt), sent by mail or courier, or transmitted using any of the agreed systems of electronic transmission as stated in the Contract Data; and (b) delivered, sent or transmitted to the address for the recipient’s communications as stated in the Contract Data.</x:v>
      </x:c>
      <x:c r="G111" s="48" t="str">
        <x:v>Obligation</x:v>
      </x:c>
      <x:c r="H111" s="48" t="str">
        <x:v>Shared</x:v>
      </x:c>
      <x:c r="I111" s="48" t="n">
        <x:v>0.88</x:v>
      </x:c>
      <x:c r="J111" s="48" t="n">
        <x:v>0.4</x:v>
      </x:c>
      <x:c r="K111" s="48" t="str">
        <x:v>Yes</x:v>
      </x:c>
      <x:c r="L111" s="48" t="str">
        <x:v>PDF text</x:v>
      </x:c>
    </x:row>
    <x:row r="112">
      <x:c r="A112" s="48" t="str">
        <x:v>RED-0111</x:v>
      </x:c>
      <x:c r="B112" s="48" t="str">
        <x:v>RED</x:v>
      </x:c>
      <x:c r="C112" s="48" t="str">
        <x:v>English</x:v>
      </x:c>
      <x:c r="D112" s="48" t="n">
        <x:v>18</x:v>
      </x:c>
      <x:c r="E112" s="48" t="str"/>
      <x:c r="F112" s="48" t="str">
        <x:v>However: (i) if the recipient gives notice of another address, communications shall thereafter be delivered accordingly; and (ii) if the recipient has not stated otherwise when requesting an approval or consent, it may be sent to the address from which the request was issued.</x:v>
      </x:c>
      <x:c r="G112" s="48" t="str">
        <x:v>Obligation</x:v>
      </x:c>
      <x:c r="H112" s="48" t="str">
        <x:v>Shared</x:v>
      </x:c>
      <x:c r="I112" s="48" t="n">
        <x:v>0.88</x:v>
      </x:c>
      <x:c r="J112" s="48" t="n">
        <x:v>0.4</x:v>
      </x:c>
      <x:c r="K112" s="48" t="str">
        <x:v>Yes</x:v>
      </x:c>
      <x:c r="L112" s="48" t="str">
        <x:v>PDF text</x:v>
      </x:c>
    </x:row>
    <x:row r="113">
      <x:c r="A113" s="48" t="str">
        <x:v>RED-0112</x:v>
      </x:c>
      <x:c r="B113" s="48" t="str">
        <x:v>RED</x:v>
      </x:c>
      <x:c r="C113" s="48" t="str">
        <x:v>English</x:v>
      </x:c>
      <x:c r="D113" s="48" t="n">
        <x:v>18</x:v>
      </x:c>
      <x:c r="E113" s="48" t="str"/>
      <x:c r="F113" s="48" t="str">
        <x:v>Approvals, certificates, consents and determinations shall not be unreasonably</x:v>
      </x:c>
      <x:c r="G113" s="48" t="str">
        <x:v>Obligation</x:v>
      </x:c>
      <x:c r="H113" s="48" t="str">
        <x:v>Shared</x:v>
      </x:c>
      <x:c r="I113" s="48" t="n">
        <x:v>0.88</x:v>
      </x:c>
      <x:c r="J113" s="48" t="n">
        <x:v>0.4</x:v>
      </x:c>
      <x:c r="K113" s="48" t="str">
        <x:v>Yes</x:v>
      </x:c>
      <x:c r="L113" s="48" t="str">
        <x:v>PDF text</x:v>
      </x:c>
    </x:row>
    <x:row r="114">
      <x:c r="A114" s="48" t="str">
        <x:v>RED-0113</x:v>
      </x:c>
      <x:c r="B114" s="48" t="str">
        <x:v>RED</x:v>
      </x:c>
      <x:c r="C114" s="48" t="str">
        <x:v>English</x:v>
      </x:c>
      <x:c r="D114" s="48" t="n">
        <x:v>18</x:v>
      </x:c>
      <x:c r="E114" s="48" t="str"/>
      <x:c r="F114" s="48" t="str">
        <x:v>withheld or delayed.</x:v>
      </x:c>
      <x:c r="G114" s="48" t="str">
        <x:v>Obligation</x:v>
      </x:c>
      <x:c r="H114" s="48" t="str">
        <x:v>Shared</x:v>
      </x:c>
      <x:c r="I114" s="48" t="n">
        <x:v>0.45</x:v>
      </x:c>
      <x:c r="J114" s="48" t="n">
        <x:v>0.4</x:v>
      </x:c>
      <x:c r="K114" s="48" t="str">
        <x:v>Yes</x:v>
      </x:c>
      <x:c r="L114" s="48" t="str">
        <x:v>PDF text</x:v>
      </x:c>
    </x:row>
    <x:row r="115">
      <x:c r="A115" s="48" t="str">
        <x:v>RED-0114</x:v>
      </x:c>
      <x:c r="B115" s="48" t="str">
        <x:v>RED</x:v>
      </x:c>
      <x:c r="C115" s="48" t="str">
        <x:v>English</x:v>
      </x:c>
      <x:c r="D115" s="48" t="n">
        <x:v>18</x:v>
      </x:c>
      <x:c r="E115" s="48" t="str"/>
      <x:c r="F115" s="48" t="str">
        <x:v>When a certificate is issued to a Party, the certifier shall send a copy to the other Party.</x:v>
      </x:c>
      <x:c r="G115" s="48" t="str">
        <x:v>Obligation</x:v>
      </x:c>
      <x:c r="H115" s="48" t="str">
        <x:v>Shared</x:v>
      </x:c>
      <x:c r="I115" s="48" t="n">
        <x:v>0.88</x:v>
      </x:c>
      <x:c r="J115" s="48" t="n">
        <x:v>0.4</x:v>
      </x:c>
      <x:c r="K115" s="48" t="str">
        <x:v>Yes</x:v>
      </x:c>
      <x:c r="L115" s="48" t="str">
        <x:v>PDF text</x:v>
      </x:c>
    </x:row>
    <x:row r="116">
      <x:c r="A116" s="48" t="str">
        <x:v>RED-0115</x:v>
      </x:c>
      <x:c r="B116" s="48" t="str">
        <x:v>RED</x:v>
      </x:c>
      <x:c r="C116" s="48" t="str">
        <x:v>English</x:v>
      </x:c>
      <x:c r="D116" s="48" t="n">
        <x:v>18</x:v>
      </x:c>
      <x:c r="E116" s="48" t="str"/>
      <x:c r="F116" s="48" t="str">
        <x:v>When a notice is issued to a Party, by the other Party or the Engineer, a copy shall be sent to the Engineer or the other Party, as the case may be.</x:v>
      </x:c>
      <x:c r="G116" s="48" t="str">
        <x:v>Obligation</x:v>
      </x:c>
      <x:c r="H116" s="48" t="str">
        <x:v>Shared</x:v>
      </x:c>
      <x:c r="I116" s="48" t="n">
        <x:v>0.88</x:v>
      </x:c>
      <x:c r="J116" s="48" t="n">
        <x:v>0.4</x:v>
      </x:c>
      <x:c r="K116" s="48" t="str">
        <x:v>Yes</x:v>
      </x:c>
      <x:c r="L116" s="48" t="str">
        <x:v>PDF text</x:v>
      </x:c>
    </x:row>
    <x:row r="117">
      <x:c r="A117" s="48" t="str">
        <x:v>RED-0116</x:v>
      </x:c>
      <x:c r="B117" s="48" t="str">
        <x:v>RED</x:v>
      </x:c>
      <x:c r="C117" s="48" t="str">
        <x:v>English</x:v>
      </x:c>
      <x:c r="D117" s="48" t="n">
        <x:v>18</x:v>
      </x:c>
      <x:c r="E117" s="48" t="str"/>
      <x:c r="F117" s="48" t="str">
        <x:v>Interpretation</x:v>
      </x:c>
      <x:c r="G117" s="48" t="str">
        <x:v>Obligation</x:v>
      </x:c>
      <x:c r="H117" s="48" t="str">
        <x:v>Shared</x:v>
      </x:c>
      <x:c r="I117" s="48" t="n">
        <x:v>0.45</x:v>
      </x:c>
      <x:c r="J117" s="48" t="n">
        <x:v>0.4</x:v>
      </x:c>
      <x:c r="K117" s="48" t="str">
        <x:v>Yes</x:v>
      </x:c>
      <x:c r="L117" s="48" t="str">
        <x:v>PDF text</x:v>
      </x:c>
    </x:row>
    <x:row r="118">
      <x:c r="A118" s="48" t="str">
        <x:v>RED-0117</x:v>
      </x:c>
      <x:c r="B118" s="48" t="str">
        <x:v>RED</x:v>
      </x:c>
      <x:c r="C118" s="48" t="str">
        <x:v>English</x:v>
      </x:c>
      <x:c r="D118" s="48" t="n">
        <x:v>18</x:v>
      </x:c>
      <x:c r="E118" s="48" t="str"/>
      <x:c r="F118" s="48" t="str">
        <x:v>Communications</x:v>
      </x:c>
      <x:c r="G118" s="48" t="str">
        <x:v>Obligation</x:v>
      </x:c>
      <x:c r="H118" s="48" t="str">
        <x:v>Shared</x:v>
      </x:c>
      <x:c r="I118" s="48" t="n">
        <x:v>0.45</x:v>
      </x:c>
      <x:c r="J118" s="48" t="n">
        <x:v>0.4</x:v>
      </x:c>
      <x:c r="K118" s="48" t="str">
        <x:v>Yes</x:v>
      </x:c>
      <x:c r="L118" s="48" t="str">
        <x:v>PDF text</x:v>
      </x:c>
    </x:row>
    <x:row r="119">
      <x:c r="A119" s="48" t="str">
        <x:v>RED-0118</x:v>
      </x:c>
      <x:c r="B119" s="48" t="str">
        <x:v>RED</x:v>
      </x:c>
      <x:c r="C119" s="48" t="str">
        <x:v>English</x:v>
      </x:c>
      <x:c r="D119" s="48" t="n">
        <x:v>19</x:v>
      </x:c>
      <x:c r="E119" s="48" t="str"/>
      <x:c r="F119" s="48" t="str">
        <x:v>The Contract shall be governed by the law of the country or other jurisdiction stated in the Contract Data.</x:v>
      </x:c>
      <x:c r="G119" s="48" t="str">
        <x:v>Obligation</x:v>
      </x:c>
      <x:c r="H119" s="48" t="str">
        <x:v>Shared</x:v>
      </x:c>
      <x:c r="I119" s="48" t="n">
        <x:v>0.88</x:v>
      </x:c>
      <x:c r="J119" s="48" t="n">
        <x:v>0.4</x:v>
      </x:c>
      <x:c r="K119" s="48" t="str">
        <x:v>Yes</x:v>
      </x:c>
      <x:c r="L119" s="48" t="str">
        <x:v>PDF text</x:v>
      </x:c>
    </x:row>
    <x:row r="120">
      <x:c r="A120" s="48" t="str">
        <x:v>RED-0119</x:v>
      </x:c>
      <x:c r="B120" s="48" t="str">
        <x:v>RED</x:v>
      </x:c>
      <x:c r="C120" s="48" t="str">
        <x:v>English</x:v>
      </x:c>
      <x:c r="D120" s="48" t="n">
        <x:v>19</x:v>
      </x:c>
      <x:c r="E120" s="48" t="str"/>
      <x:c r="F120" s="48" t="str">
        <x:v>The ruling language of the Contract shall be that stated in the Contract Data.</x:v>
      </x:c>
      <x:c r="G120" s="48" t="str">
        <x:v>Obligation</x:v>
      </x:c>
      <x:c r="H120" s="48" t="str">
        <x:v>Shared</x:v>
      </x:c>
      <x:c r="I120" s="48" t="n">
        <x:v>0.88</x:v>
      </x:c>
      <x:c r="J120" s="48" t="n">
        <x:v>0.4</x:v>
      </x:c>
      <x:c r="K120" s="48" t="str">
        <x:v>Yes</x:v>
      </x:c>
      <x:c r="L120" s="48" t="str">
        <x:v>PDF text</x:v>
      </x:c>
    </x:row>
    <x:row r="121">
      <x:c r="A121" s="48" t="str">
        <x:v>RED-0120</x:v>
      </x:c>
      <x:c r="B121" s="48" t="str">
        <x:v>RED</x:v>
      </x:c>
      <x:c r="C121" s="48" t="str">
        <x:v>English</x:v>
      </x:c>
      <x:c r="D121" s="48" t="n">
        <x:v>19</x:v>
      </x:c>
      <x:c r="E121" s="48" t="str"/>
      <x:c r="F121" s="48" t="str">
        <x:v>The language for communications shall be that stated in the Contract Data.</x:v>
      </x:c>
      <x:c r="G121" s="48" t="str">
        <x:v>Obligation</x:v>
      </x:c>
      <x:c r="H121" s="48" t="str">
        <x:v>Shared</x:v>
      </x:c>
      <x:c r="I121" s="48" t="n">
        <x:v>0.88</x:v>
      </x:c>
      <x:c r="J121" s="48" t="n">
        <x:v>0.4</x:v>
      </x:c>
      <x:c r="K121" s="48" t="str">
        <x:v>Yes</x:v>
      </x:c>
      <x:c r="L121" s="48" t="str">
        <x:v>PDF text</x:v>
      </x:c>
    </x:row>
    <x:row r="122">
      <x:c r="A122" s="48" t="str">
        <x:v>RED-0121</x:v>
      </x:c>
      <x:c r="B122" s="48" t="str">
        <x:v>RED</x:v>
      </x:c>
      <x:c r="C122" s="48" t="str">
        <x:v>English</x:v>
      </x:c>
      <x:c r="D122" s="48" t="n">
        <x:v>19</x:v>
      </x:c>
      <x:c r="E122" s="48" t="str"/>
      <x:c r="F122" s="48" t="str">
        <x:v>If no language is stated there, the language for communications shall be the ruling language of the Contract.</x:v>
      </x:c>
      <x:c r="G122" s="48" t="str">
        <x:v>Obligation</x:v>
      </x:c>
      <x:c r="H122" s="48" t="str">
        <x:v>Shared</x:v>
      </x:c>
      <x:c r="I122" s="48" t="n">
        <x:v>0.88</x:v>
      </x:c>
      <x:c r="J122" s="48" t="n">
        <x:v>0.4</x:v>
      </x:c>
      <x:c r="K122" s="48" t="str">
        <x:v>Yes</x:v>
      </x:c>
      <x:c r="L122" s="48" t="str">
        <x:v>PDF text</x:v>
      </x:c>
    </x:row>
    <x:row r="123">
      <x:c r="A123" s="48" t="str">
        <x:v>RED-0122</x:v>
      </x:c>
      <x:c r="B123" s="48" t="str">
        <x:v>RED</x:v>
      </x:c>
      <x:c r="C123" s="48" t="str">
        <x:v>English</x:v>
      </x:c>
      <x:c r="D123" s="48" t="n">
        <x:v>19</x:v>
      </x:c>
      <x:c r="E123" s="48" t="str"/>
      <x:c r="F123" s="48" t="str">
        <x:v>The documents forming the Contract are to be taken as mutually explanatory of one</x:v>
      </x:c>
      <x:c r="G123" s="48" t="str">
        <x:v>Obligation</x:v>
      </x:c>
      <x:c r="H123" s="48" t="str">
        <x:v>Shared</x:v>
      </x:c>
      <x:c r="I123" s="48" t="n">
        <x:v>0.45</x:v>
      </x:c>
      <x:c r="J123" s="48" t="n">
        <x:v>0.4</x:v>
      </x:c>
      <x:c r="K123" s="48" t="str">
        <x:v>Yes</x:v>
      </x:c>
      <x:c r="L123" s="48" t="str">
        <x:v>PDF text</x:v>
      </x:c>
    </x:row>
    <x:row r="124">
      <x:c r="A124" s="48" t="str">
        <x:v>RED-0123</x:v>
      </x:c>
      <x:c r="B124" s="48" t="str">
        <x:v>RED</x:v>
      </x:c>
      <x:c r="C124" s="48" t="str">
        <x:v>English</x:v>
      </x:c>
      <x:c r="D124" s="48" t="n">
        <x:v>19</x:v>
      </x:c>
      <x:c r="E124" s="48" t="str"/>
      <x:c r="F124" s="48" t="str">
        <x:v>another.</x:v>
      </x:c>
      <x:c r="G124" s="48" t="str">
        <x:v>Obligation</x:v>
      </x:c>
      <x:c r="H124" s="48" t="str">
        <x:v>Shared</x:v>
      </x:c>
      <x:c r="I124" s="48" t="n">
        <x:v>0.45</x:v>
      </x:c>
      <x:c r="J124" s="48" t="n">
        <x:v>0.4</x:v>
      </x:c>
      <x:c r="K124" s="48" t="str">
        <x:v>Yes</x:v>
      </x:c>
      <x:c r="L124" s="48" t="str">
        <x:v>PDF text</x:v>
      </x:c>
    </x:row>
    <x:row r="125">
      <x:c r="A125" s="48" t="str">
        <x:v>RED-0124</x:v>
      </x:c>
      <x:c r="B125" s="48" t="str">
        <x:v>RED</x:v>
      </x:c>
      <x:c r="C125" s="48" t="str">
        <x:v>English</x:v>
      </x:c>
      <x:c r="D125" s="48" t="n">
        <x:v>19</x:v>
      </x:c>
      <x:c r="E125" s="48" t="str"/>
      <x:c r="F125" s="48" t="str">
        <x:v>For the purposes of interpretation, the priority of the documents shall be in accordance with the following sequence: (a) the Contract Agreement (if any), (b) the Letter of Acceptance, (c) the Letter of Tender, (d) the Particular Conditions - Part A, (e) the Particular Conditions - Part B, (f) these General Conditions, (g) the Specification, (h) the Drawings, and (i) the Schedules and any other documents forming part of the Contract.</x:v>
      </x:c>
      <x:c r="G125" s="48" t="str">
        <x:v>Obligation</x:v>
      </x:c>
      <x:c r="H125" s="48" t="str">
        <x:v>Shared</x:v>
      </x:c>
      <x:c r="I125" s="48" t="n">
        <x:v>0.88</x:v>
      </x:c>
      <x:c r="J125" s="48" t="n">
        <x:v>0.4</x:v>
      </x:c>
      <x:c r="K125" s="48" t="str">
        <x:v>Yes</x:v>
      </x:c>
      <x:c r="L125" s="48" t="str">
        <x:v>PDF text</x:v>
      </x:c>
    </x:row>
    <x:row r="126">
      <x:c r="A126" s="48" t="str">
        <x:v>RED-0125</x:v>
      </x:c>
      <x:c r="B126" s="48" t="str">
        <x:v>RED</x:v>
      </x:c>
      <x:c r="C126" s="48" t="str">
        <x:v>English</x:v>
      </x:c>
      <x:c r="D126" s="48" t="n">
        <x:v>19</x:v>
      </x:c>
      <x:c r="E126" s="48" t="str"/>
      <x:c r="F126" s="48" t="str">
        <x:v>If an ambiguity or discrepancy is found in the documents, the Engineer shall issue any necessary clarification or instruction.</x:v>
      </x:c>
      <x:c r="G126" s="48" t="str">
        <x:v>Obligation</x:v>
      </x:c>
      <x:c r="H126" s="48" t="str">
        <x:v>Shared</x:v>
      </x:c>
      <x:c r="I126" s="48" t="n">
        <x:v>0.88</x:v>
      </x:c>
      <x:c r="J126" s="48" t="n">
        <x:v>0.4</x:v>
      </x:c>
      <x:c r="K126" s="48" t="str">
        <x:v>Yes</x:v>
      </x:c>
      <x:c r="L126" s="48" t="str">
        <x:v>PDF text</x:v>
      </x:c>
    </x:row>
    <x:row r="127">
      <x:c r="A127" s="48" t="str">
        <x:v>RED-0126</x:v>
      </x:c>
      <x:c r="B127" s="48" t="str">
        <x:v>RED</x:v>
      </x:c>
      <x:c r="C127" s="48" t="str">
        <x:v>English</x:v>
      </x:c>
      <x:c r="D127" s="48" t="n">
        <x:v>19</x:v>
      </x:c>
      <x:c r="E127" s="48" t="str"/>
      <x:c r="F127" s="48" t="str">
        <x:v>The Parties shall enter into a Contract Agreement within 28 days after the Contractor receives the Letter of Acceptance, unless they agree otherwise.</x:v>
      </x:c>
      <x:c r="G127" s="48" t="str">
        <x:v>Obligation</x:v>
      </x:c>
      <x:c r="H127" s="48" t="str">
        <x:v>Shared</x:v>
      </x:c>
      <x:c r="I127" s="48" t="n">
        <x:v>0.88</x:v>
      </x:c>
      <x:c r="J127" s="48" t="n">
        <x:v>0.93</x:v>
      </x:c>
      <x:c r="K127" s="48" t="str">
        <x:v>No</x:v>
      </x:c>
      <x:c r="L127" s="48" t="str">
        <x:v>PDF text</x:v>
      </x:c>
    </x:row>
    <x:row r="128">
      <x:c r="A128" s="48" t="str">
        <x:v>RED-0127</x:v>
      </x:c>
      <x:c r="B128" s="48" t="str">
        <x:v>RED</x:v>
      </x:c>
      <x:c r="C128" s="48" t="str">
        <x:v>English</x:v>
      </x:c>
      <x:c r="D128" s="48" t="n">
        <x:v>19</x:v>
      </x:c>
      <x:c r="E128" s="48" t="str"/>
      <x:c r="F128" s="48" t="str">
        <x:v>The Contract Agreement shall be based upon the form annexed to the Particular Conditions.</x:v>
      </x:c>
      <x:c r="G128" s="48" t="str">
        <x:v>Obligation</x:v>
      </x:c>
      <x:c r="H128" s="48" t="str">
        <x:v>Shared</x:v>
      </x:c>
      <x:c r="I128" s="48" t="n">
        <x:v>0.88</x:v>
      </x:c>
      <x:c r="J128" s="48" t="n">
        <x:v>0.4</x:v>
      </x:c>
      <x:c r="K128" s="48" t="str">
        <x:v>Yes</x:v>
      </x:c>
      <x:c r="L128" s="48" t="str">
        <x:v>PDF text</x:v>
      </x:c>
    </x:row>
    <x:row r="129">
      <x:c r="A129" s="48" t="str">
        <x:v>RED-0128</x:v>
      </x:c>
      <x:c r="B129" s="48" t="str">
        <x:v>RED</x:v>
      </x:c>
      <x:c r="C129" s="48" t="str">
        <x:v>English</x:v>
      </x:c>
      <x:c r="D129" s="48" t="n">
        <x:v>19</x:v>
      </x:c>
      <x:c r="E129" s="48" t="str"/>
      <x:c r="F129" s="48" t="str">
        <x:v>The costs of stamp duties and similar charges (if any) imposed by law in connection with entry into the Contract Agreement shall be borne by the Employer.</x:v>
      </x:c>
      <x:c r="G129" s="48" t="str">
        <x:v>Obligation</x:v>
      </x:c>
      <x:c r="H129" s="48" t="str">
        <x:v>Employer</x:v>
      </x:c>
      <x:c r="I129" s="48" t="n">
        <x:v>0.88</x:v>
      </x:c>
      <x:c r="J129" s="48" t="n">
        <x:v>0.68</x:v>
      </x:c>
      <x:c r="K129" s="48" t="str">
        <x:v>Yes</x:v>
      </x:c>
      <x:c r="L129" s="48" t="str">
        <x:v>PDF text</x:v>
      </x:c>
    </x:row>
    <x:row r="130">
      <x:c r="A130" s="48" t="str">
        <x:v>RED-0129</x:v>
      </x:c>
      <x:c r="B130" s="48" t="str">
        <x:v>RED</x:v>
      </x:c>
      <x:c r="C130" s="48" t="str">
        <x:v>English</x:v>
      </x:c>
      <x:c r="D130" s="48" t="n">
        <x:v>19</x:v>
      </x:c>
      <x:c r="E130" s="48" t="str"/>
      <x:c r="F130" s="48" t="str">
        <x:v>Neither Party shall assign the whole or any part of the Contract or any benefit or interest in or under the Contract.</x:v>
      </x:c>
      <x:c r="G130" s="48" t="str">
        <x:v>Obligation</x:v>
      </x:c>
      <x:c r="H130" s="48" t="str">
        <x:v>Shared</x:v>
      </x:c>
      <x:c r="I130" s="48" t="n">
        <x:v>0.88</x:v>
      </x:c>
      <x:c r="J130" s="48" t="n">
        <x:v>0.4</x:v>
      </x:c>
      <x:c r="K130" s="48" t="str">
        <x:v>Yes</x:v>
      </x:c>
      <x:c r="L130" s="48" t="str">
        <x:v>PDF text</x:v>
      </x:c>
    </x:row>
    <x:row r="131">
      <x:c r="A131" s="48" t="str">
        <x:v>RED-0130</x:v>
      </x:c>
      <x:c r="B131" s="48" t="str">
        <x:v>RED</x:v>
      </x:c>
      <x:c r="C131" s="48" t="str">
        <x:v>English</x:v>
      </x:c>
      <x:c r="D131" s="48" t="n">
        <x:v>19</x:v>
      </x:c>
      <x:c r="E131" s="48" t="str"/>
      <x:c r="F131" s="48" t="str">
        <x:v>However, either Party: (a) may assign the whole or any part with the prior agreement of the other Party, at the sole discretion of such other Party, and (b) may, as security in favour of a bank or financial institution, assign its right to any moneys due, or to become due, under the Contract.</x:v>
      </x:c>
      <x:c r="G131" s="48" t="str">
        <x:v>Right</x:v>
      </x:c>
      <x:c r="H131" s="48" t="str">
        <x:v>Shared</x:v>
      </x:c>
      <x:c r="I131" s="48" t="n">
        <x:v>0.78</x:v>
      </x:c>
      <x:c r="J131" s="48" t="n">
        <x:v>0.93</x:v>
      </x:c>
      <x:c r="K131" s="48" t="str">
        <x:v>No</x:v>
      </x:c>
      <x:c r="L131" s="48" t="str">
        <x:v>PDF text</x:v>
      </x:c>
    </x:row>
    <x:row r="132">
      <x:c r="A132" s="48" t="str">
        <x:v>RED-0131</x:v>
      </x:c>
      <x:c r="B132" s="48" t="str">
        <x:v>RED</x:v>
      </x:c>
      <x:c r="C132" s="48" t="str">
        <x:v>English</x:v>
      </x:c>
      <x:c r="D132" s="48" t="n">
        <x:v>19</x:v>
      </x:c>
      <x:c r="E132" s="48" t="str"/>
      <x:c r="F132" s="48" t="str">
        <x:v>The Specification and Drawings shall be in the custody and care of the Employer.</x:v>
      </x:c>
      <x:c r="G132" s="48" t="str">
        <x:v>Obligation</x:v>
      </x:c>
      <x:c r="H132" s="48" t="str">
        <x:v>Employer</x:v>
      </x:c>
      <x:c r="I132" s="48" t="n">
        <x:v>0.88</x:v>
      </x:c>
      <x:c r="J132" s="48" t="n">
        <x:v>0.68</x:v>
      </x:c>
      <x:c r="K132" s="48" t="str">
        <x:v>Yes</x:v>
      </x:c>
      <x:c r="L132" s="48" t="str">
        <x:v>PDF text</x:v>
      </x:c>
    </x:row>
    <x:row r="133">
      <x:c r="A133" s="48" t="str">
        <x:v>RED-0132</x:v>
      </x:c>
      <x:c r="B133" s="48" t="str">
        <x:v>RED</x:v>
      </x:c>
      <x:c r="C133" s="48" t="str">
        <x:v>English</x:v>
      </x:c>
      <x:c r="D133" s="48" t="n">
        <x:v>19</x:v>
      </x:c>
      <x:c r="E133" s="48" t="str"/>
      <x:c r="F133" s="48" t="str">
        <x:v>Unless otherwise stated in the Contract, two copies of the Contract and of each</x:v>
      </x:c>
      <x:c r="G133" s="48" t="str">
        <x:v>Obligation</x:v>
      </x:c>
      <x:c r="H133" s="48" t="str">
        <x:v>Shared</x:v>
      </x:c>
      <x:c r="I133" s="48" t="n">
        <x:v>0.45</x:v>
      </x:c>
      <x:c r="J133" s="48" t="n">
        <x:v>0.4</x:v>
      </x:c>
      <x:c r="K133" s="48" t="str">
        <x:v>Yes</x:v>
      </x:c>
      <x:c r="L133" s="48" t="str">
        <x:v>PDF text</x:v>
      </x:c>
    </x:row>
    <x:row r="134">
      <x:c r="A134" s="48" t="str">
        <x:v>RED-0133</x:v>
      </x:c>
      <x:c r="B134" s="48" t="str">
        <x:v>RED</x:v>
      </x:c>
      <x:c r="C134" s="48" t="str">
        <x:v>English</x:v>
      </x:c>
      <x:c r="D134" s="48" t="n">
        <x:v>19</x:v>
      </x:c>
      <x:c r="E134" s="48" t="str"/>
      <x:c r="F134" s="48" t="str">
        <x:v>subsequent Drawing shall be supplied to the Contractor, who may make or request further copies at the cost of the Contractor.</x:v>
      </x:c>
      <x:c r="G134" s="48" t="str">
        <x:v>Obligation</x:v>
      </x:c>
      <x:c r="H134" s="48" t="str">
        <x:v>Contractor</x:v>
      </x:c>
      <x:c r="I134" s="48" t="n">
        <x:v>0.88</x:v>
      </x:c>
      <x:c r="J134" s="48" t="n">
        <x:v>0.68</x:v>
      </x:c>
      <x:c r="K134" s="48" t="str">
        <x:v>Yes</x:v>
      </x:c>
      <x:c r="L134" s="48" t="str">
        <x:v>PDF text</x:v>
      </x:c>
    </x:row>
    <x:row r="135">
      <x:c r="A135" s="48" t="str">
        <x:v>RED-0134</x:v>
      </x:c>
      <x:c r="B135" s="48" t="str">
        <x:v>RED</x:v>
      </x:c>
      <x:c r="C135" s="48" t="str">
        <x:v>English</x:v>
      </x:c>
      <x:c r="D135" s="48" t="n">
        <x:v>19</x:v>
      </x:c>
      <x:c r="E135" s="48" t="str"/>
      <x:c r="F135" s="48" t="str">
        <x:v>Each of the Contractor’s Documents shall be in the custody and care of the</x:v>
      </x:c>
      <x:c r="G135" s="48" t="str">
        <x:v>Obligation</x:v>
      </x:c>
      <x:c r="H135" s="48" t="str">
        <x:v>Contractor</x:v>
      </x:c>
      <x:c r="I135" s="48" t="n">
        <x:v>0.88</x:v>
      </x:c>
      <x:c r="J135" s="48" t="n">
        <x:v>0.68</x:v>
      </x:c>
      <x:c r="K135" s="48" t="str">
        <x:v>Yes</x:v>
      </x:c>
      <x:c r="L135" s="48" t="str">
        <x:v>PDF text</x:v>
      </x:c>
    </x:row>
    <x:row r="136">
      <x:c r="A136" s="48" t="str">
        <x:v>RED-0135</x:v>
      </x:c>
      <x:c r="B136" s="48" t="str">
        <x:v>RED</x:v>
      </x:c>
      <x:c r="C136" s="48" t="str">
        <x:v>English</x:v>
      </x:c>
      <x:c r="D136" s="48" t="n">
        <x:v>19</x:v>
      </x:c>
      <x:c r="E136" s="48" t="str"/>
      <x:c r="F136" s="48" t="str">
        <x:v>Contractor, unless and until taken over by the Employer.</x:v>
      </x:c>
      <x:c r="G136" s="48" t="str">
        <x:v>Obligation</x:v>
      </x:c>
      <x:c r="H136" s="48" t="str">
        <x:v>Shared</x:v>
      </x:c>
      <x:c r="I136" s="48" t="n">
        <x:v>0.45</x:v>
      </x:c>
      <x:c r="J136" s="48" t="n">
        <x:v>0.6</x:v>
      </x:c>
      <x:c r="K136" s="48" t="str">
        <x:v>Yes</x:v>
      </x:c>
      <x:c r="L136" s="48" t="str">
        <x:v>PDF text</x:v>
      </x:c>
    </x:row>
    <x:row r="137">
      <x:c r="A137" s="48" t="str">
        <x:v>RED-0136</x:v>
      </x:c>
      <x:c r="B137" s="48" t="str">
        <x:v>RED</x:v>
      </x:c>
      <x:c r="C137" s="48" t="str">
        <x:v>English</x:v>
      </x:c>
      <x:c r="D137" s="48" t="n">
        <x:v>19</x:v>
      </x:c>
      <x:c r="E137" s="48" t="str"/>
      <x:c r="F137" s="48" t="str">
        <x:v>Unless otherwise stated in the Contract, the Contractor shall supply to the Engineer six copies of each of the Contractor’s Documents.</x:v>
      </x:c>
      <x:c r="G137" s="48" t="str">
        <x:v>Obligation</x:v>
      </x:c>
      <x:c r="H137" s="48" t="str">
        <x:v>Contractor</x:v>
      </x:c>
      <x:c r="I137" s="48" t="n">
        <x:v>0.88</x:v>
      </x:c>
      <x:c r="J137" s="48" t="n">
        <x:v>0.92</x:v>
      </x:c>
      <x:c r="K137" s="48" t="str">
        <x:v>No</x:v>
      </x:c>
      <x:c r="L137" s="48" t="str">
        <x:v>PDF text</x:v>
      </x:c>
    </x:row>
    <x:row r="138">
      <x:c r="A138" s="48" t="str">
        <x:v>RED-0137</x:v>
      </x:c>
      <x:c r="B138" s="48" t="str">
        <x:v>RED</x:v>
      </x:c>
      <x:c r="C138" s="48" t="str">
        <x:v>English</x:v>
      </x:c>
      <x:c r="D138" s="48" t="n">
        <x:v>19</x:v>
      </x:c>
      <x:c r="E138" s="48" t="str"/>
      <x:c r="F138" s="48" t="str">
        <x:v>The Contractor shall keep, on the Site, a copy of the Contract, publications named in the Specification, the Contractor’s Documents (if any), the Drawings and Variations 1.4</x:v>
      </x:c>
      <x:c r="G138" s="48" t="str">
        <x:v>Obligation</x:v>
      </x:c>
      <x:c r="H138" s="48" t="str">
        <x:v>Contractor</x:v>
      </x:c>
      <x:c r="I138" s="48" t="n">
        <x:v>0.88</x:v>
      </x:c>
      <x:c r="J138" s="48" t="n">
        <x:v>0.92</x:v>
      </x:c>
      <x:c r="K138" s="48" t="str">
        <x:v>No</x:v>
      </x:c>
      <x:c r="L138" s="48" t="str">
        <x:v>PDF text</x:v>
      </x:c>
    </x:row>
    <x:row r="139">
      <x:c r="A139" s="48" t="str">
        <x:v>RED-0138</x:v>
      </x:c>
      <x:c r="B139" s="48" t="str">
        <x:v>RED</x:v>
      </x:c>
      <x:c r="C139" s="48" t="str">
        <x:v>English</x:v>
      </x:c>
      <x:c r="D139" s="48" t="n">
        <x:v>19</x:v>
      </x:c>
      <x:c r="E139" s="48" t="str"/>
      <x:c r="F139" s="48" t="str">
        <x:v>Law and Language</x:v>
      </x:c>
      <x:c r="G139" s="48" t="str">
        <x:v>Obligation</x:v>
      </x:c>
      <x:c r="H139" s="48" t="str">
        <x:v>Shared</x:v>
      </x:c>
      <x:c r="I139" s="48" t="n">
        <x:v>0.45</x:v>
      </x:c>
      <x:c r="J139" s="48" t="n">
        <x:v>0.4</x:v>
      </x:c>
      <x:c r="K139" s="48" t="str">
        <x:v>Yes</x:v>
      </x:c>
      <x:c r="L139" s="48" t="str">
        <x:v>PDF text</x:v>
      </x:c>
    </x:row>
    <x:row r="140">
      <x:c r="A140" s="48" t="str">
        <x:v>RED-0139</x:v>
      </x:c>
      <x:c r="B140" s="48" t="str">
        <x:v>RED</x:v>
      </x:c>
      <x:c r="C140" s="48" t="str">
        <x:v>English</x:v>
      </x:c>
      <x:c r="D140" s="48" t="n">
        <x:v>19</x:v>
      </x:c>
      <x:c r="E140" s="48" t="str"/>
      <x:c r="F140" s="48" t="str">
        <x:v>Priority of Documents</x:v>
      </x:c>
      <x:c r="G140" s="48" t="str">
        <x:v>Obligation</x:v>
      </x:c>
      <x:c r="H140" s="48" t="str">
        <x:v>Shared</x:v>
      </x:c>
      <x:c r="I140" s="48" t="n">
        <x:v>0.45</x:v>
      </x:c>
      <x:c r="J140" s="48" t="n">
        <x:v>0.4</x:v>
      </x:c>
      <x:c r="K140" s="48" t="str">
        <x:v>Yes</x:v>
      </x:c>
      <x:c r="L140" s="48" t="str">
        <x:v>PDF text</x:v>
      </x:c>
    </x:row>
    <x:row r="141">
      <x:c r="A141" s="48" t="str">
        <x:v>RED-0140</x:v>
      </x:c>
      <x:c r="B141" s="48" t="str">
        <x:v>RED</x:v>
      </x:c>
      <x:c r="C141" s="48" t="str">
        <x:v>English</x:v>
      </x:c>
      <x:c r="D141" s="48" t="n">
        <x:v>19</x:v>
      </x:c>
      <x:c r="E141" s="48" t="str"/>
      <x:c r="F141" s="48" t="str">
        <x:v>Contract Agreement</x:v>
      </x:c>
      <x:c r="G141" s="48" t="str">
        <x:v>Obligation</x:v>
      </x:c>
      <x:c r="H141" s="48" t="str">
        <x:v>Shared</x:v>
      </x:c>
      <x:c r="I141" s="48" t="n">
        <x:v>0.45</x:v>
      </x:c>
      <x:c r="J141" s="48" t="n">
        <x:v>0.4</x:v>
      </x:c>
      <x:c r="K141" s="48" t="str">
        <x:v>Yes</x:v>
      </x:c>
      <x:c r="L141" s="48" t="str">
        <x:v>PDF text</x:v>
      </x:c>
    </x:row>
    <x:row r="142">
      <x:c r="A142" s="48" t="str">
        <x:v>RED-0141</x:v>
      </x:c>
      <x:c r="B142" s="48" t="str">
        <x:v>RED</x:v>
      </x:c>
      <x:c r="C142" s="48" t="str">
        <x:v>English</x:v>
      </x:c>
      <x:c r="D142" s="48" t="n">
        <x:v>19</x:v>
      </x:c>
      <x:c r="E142" s="48" t="str"/>
      <x:c r="F142" s="48" t="str">
        <x:v>Assignment</x:v>
      </x:c>
      <x:c r="G142" s="48" t="str">
        <x:v>Obligation</x:v>
      </x:c>
      <x:c r="H142" s="48" t="str">
        <x:v>Shared</x:v>
      </x:c>
      <x:c r="I142" s="48" t="n">
        <x:v>0.45</x:v>
      </x:c>
      <x:c r="J142" s="48" t="n">
        <x:v>0.4</x:v>
      </x:c>
      <x:c r="K142" s="48" t="str">
        <x:v>Yes</x:v>
      </x:c>
      <x:c r="L142" s="48" t="str">
        <x:v>PDF text</x:v>
      </x:c>
    </x:row>
    <x:row r="143">
      <x:c r="A143" s="48" t="str">
        <x:v>RED-0142</x:v>
      </x:c>
      <x:c r="B143" s="48" t="str">
        <x:v>RED</x:v>
      </x:c>
      <x:c r="C143" s="48" t="str">
        <x:v>English</x:v>
      </x:c>
      <x:c r="D143" s="48" t="n">
        <x:v>19</x:v>
      </x:c>
      <x:c r="E143" s="48" t="str"/>
      <x:c r="F143" s="48" t="str">
        <x:v>Care and Supply of</x:v>
      </x:c>
      <x:c r="G143" s="48" t="str">
        <x:v>Obligation</x:v>
      </x:c>
      <x:c r="H143" s="48" t="str">
        <x:v>Shared</x:v>
      </x:c>
      <x:c r="I143" s="48" t="n">
        <x:v>0.45</x:v>
      </x:c>
      <x:c r="J143" s="48" t="n">
        <x:v>0.4</x:v>
      </x:c>
      <x:c r="K143" s="48" t="str">
        <x:v>Yes</x:v>
      </x:c>
      <x:c r="L143" s="48" t="str">
        <x:v>PDF text</x:v>
      </x:c>
    </x:row>
    <x:row r="144">
      <x:c r="A144" s="48" t="str">
        <x:v>RED-0143</x:v>
      </x:c>
      <x:c r="B144" s="48" t="str">
        <x:v>RED</x:v>
      </x:c>
      <x:c r="C144" s="48" t="str">
        <x:v>English</x:v>
      </x:c>
      <x:c r="D144" s="48" t="n">
        <x:v>19</x:v>
      </x:c>
      <x:c r="E144" s="48" t="str"/>
      <x:c r="F144" s="48" t="str">
        <x:v>Documents</x:v>
      </x:c>
      <x:c r="G144" s="48" t="str">
        <x:v>Obligation</x:v>
      </x:c>
      <x:c r="H144" s="48" t="str">
        <x:v>Shared</x:v>
      </x:c>
      <x:c r="I144" s="48" t="n">
        <x:v>0.45</x:v>
      </x:c>
      <x:c r="J144" s="48" t="n">
        <x:v>0.4</x:v>
      </x:c>
      <x:c r="K144" s="48" t="str">
        <x:v>Yes</x:v>
      </x:c>
      <x:c r="L144" s="48" t="str">
        <x:v>PDF text</x:v>
      </x:c>
    </x:row>
    <x:row r="145">
      <x:c r="A145" s="48" t="str">
        <x:v>RED-0144</x:v>
      </x:c>
      <x:c r="B145" s="48" t="str">
        <x:v>RED</x:v>
      </x:c>
      <x:c r="C145" s="48" t="str">
        <x:v>English</x:v>
      </x:c>
      <x:c r="D145" s="48" t="n">
        <x:v>20</x:v>
      </x:c>
      <x:c r="E145" s="48" t="str"/>
      <x:c r="F145" s="48" t="str">
        <x:v>and other communications given under the Contract.</x:v>
      </x:c>
      <x:c r="G145" s="48" t="str">
        <x:v>Obligation</x:v>
      </x:c>
      <x:c r="H145" s="48" t="str">
        <x:v>Shared</x:v>
      </x:c>
      <x:c r="I145" s="48" t="n">
        <x:v>0.45</x:v>
      </x:c>
      <x:c r="J145" s="48" t="n">
        <x:v>0.4</x:v>
      </x:c>
      <x:c r="K145" s="48" t="str">
        <x:v>Yes</x:v>
      </x:c>
      <x:c r="L145" s="48" t="str">
        <x:v>PDF text</x:v>
      </x:c>
    </x:row>
    <x:row r="146">
      <x:c r="A146" s="48" t="str">
        <x:v>RED-0145</x:v>
      </x:c>
      <x:c r="B146" s="48" t="str">
        <x:v>RED</x:v>
      </x:c>
      <x:c r="C146" s="48" t="str">
        <x:v>English</x:v>
      </x:c>
      <x:c r="D146" s="48" t="n">
        <x:v>20</x:v>
      </x:c>
      <x:c r="E146" s="48" t="str"/>
      <x:c r="F146" s="48" t="str">
        <x:v>The Employer’s Personnel shall have the right of access to all these documents at all reasonable times.</x:v>
      </x:c>
      <x:c r="G146" s="48" t="str">
        <x:v>Obligation</x:v>
      </x:c>
      <x:c r="H146" s="48" t="str">
        <x:v>Employer</x:v>
      </x:c>
      <x:c r="I146" s="48" t="n">
        <x:v>0.88</x:v>
      </x:c>
      <x:c r="J146" s="48" t="n">
        <x:v>0.68</x:v>
      </x:c>
      <x:c r="K146" s="48" t="str">
        <x:v>Yes</x:v>
      </x:c>
      <x:c r="L146" s="48" t="str">
        <x:v>PDF text</x:v>
      </x:c>
    </x:row>
    <x:row r="147">
      <x:c r="A147" s="48" t="str">
        <x:v>RED-0146</x:v>
      </x:c>
      <x:c r="B147" s="48" t="str">
        <x:v>RED</x:v>
      </x:c>
      <x:c r="C147" s="48" t="str">
        <x:v>English</x:v>
      </x:c>
      <x:c r="D147" s="48" t="n">
        <x:v>20</x:v>
      </x:c>
      <x:c r="E147" s="48" t="str"/>
      <x:c r="F147" s="48" t="str">
        <x:v>If a Party becomes aware of an error or defect in a document which was prepared for use in executing the Works, the Party shall promptly give notice to the other Party of such error or defect.</x:v>
      </x:c>
      <x:c r="G147" s="48" t="str">
        <x:v>Risk</x:v>
      </x:c>
      <x:c r="H147" s="48" t="str">
        <x:v>Shared</x:v>
      </x:c>
      <x:c r="I147" s="48" t="n">
        <x:v>0.78</x:v>
      </x:c>
      <x:c r="J147" s="48" t="n">
        <x:v>0.4</x:v>
      </x:c>
      <x:c r="K147" s="48" t="str">
        <x:v>Yes</x:v>
      </x:c>
      <x:c r="L147" s="48" t="str">
        <x:v>PDF text</x:v>
      </x:c>
    </x:row>
    <x:row r="148">
      <x:c r="A148" s="48" t="str">
        <x:v>RED-0147</x:v>
      </x:c>
      <x:c r="B148" s="48" t="str">
        <x:v>RED</x:v>
      </x:c>
      <x:c r="C148" s="48" t="str">
        <x:v>English</x:v>
      </x:c>
      <x:c r="D148" s="48" t="n">
        <x:v>20</x:v>
      </x:c>
      <x:c r="E148" s="48" t="str"/>
      <x:c r="F148" s="48" t="str">
        <x:v>The Contractor shall give notice to the Engineer whenever the Works are likely to be delayed or disrupted if any necessary drawing or instruction is not issued to the Contractor within a particular time, which shall be reasonable.</x:v>
      </x:c>
      <x:c r="G148" s="48" t="str">
        <x:v>Obligation</x:v>
      </x:c>
      <x:c r="H148" s="48" t="str">
        <x:v>Contractor</x:v>
      </x:c>
      <x:c r="I148" s="48" t="n">
        <x:v>0.88</x:v>
      </x:c>
      <x:c r="J148" s="48" t="n">
        <x:v>0.92</x:v>
      </x:c>
      <x:c r="K148" s="48" t="str">
        <x:v>No</x:v>
      </x:c>
      <x:c r="L148" s="48" t="str">
        <x:v>PDF text</x:v>
      </x:c>
    </x:row>
    <x:row r="149">
      <x:c r="A149" s="48" t="str">
        <x:v>RED-0148</x:v>
      </x:c>
      <x:c r="B149" s="48" t="str">
        <x:v>RED</x:v>
      </x:c>
      <x:c r="C149" s="48" t="str">
        <x:v>English</x:v>
      </x:c>
      <x:c r="D149" s="48" t="n">
        <x:v>20</x:v>
      </x:c>
      <x:c r="E149" s="48" t="str"/>
      <x:c r="F149" s="48" t="str">
        <x:v>The notice shall include details of the necessary drawing or instruction, details of why and by when it should be issued, and details of the nature and amount of the delay or disruption likely to be suffered if it is late.</x:v>
      </x:c>
      <x:c r="G149" s="48" t="str">
        <x:v>Risk</x:v>
      </x:c>
      <x:c r="H149" s="48" t="str">
        <x:v>Shared</x:v>
      </x:c>
      <x:c r="I149" s="48" t="n">
        <x:v>0.78</x:v>
      </x:c>
      <x:c r="J149" s="48" t="n">
        <x:v>0.4</x:v>
      </x:c>
      <x:c r="K149" s="48" t="str">
        <x:v>Yes</x:v>
      </x:c>
      <x:c r="L149" s="48" t="str">
        <x:v>PDF text</x:v>
      </x:c>
    </x:row>
    <x:row r="150">
      <x:c r="A150" s="48" t="str">
        <x:v>RED-0149</x:v>
      </x:c>
      <x:c r="B150" s="48" t="str">
        <x:v>RED</x:v>
      </x:c>
      <x:c r="C150" s="48" t="str">
        <x:v>English</x:v>
      </x:c>
      <x:c r="D150" s="48" t="n">
        <x:v>20</x:v>
      </x:c>
      <x:c r="E150" s="48" t="str"/>
      <x:c r="F150" s="48" t="str">
        <x:v>If the Contractor suffers delay and/or incurs Cost as a result of a failure of the Engineer to issue the notified drawing or instruction within a time which is reasonable and is specified in the notice with supporting details, the Contractor shall give a further notice to the Engineer and shall be entitled subject to Sub-Clause 20.1 [Contractor’s Claims] to: (a) an extension of time for any such delay, if completion is or will be delayed, under Sub-Clause 8.4 [Extension of Time for Completion], and (a) payment of any such Cost plus profit, which shall be included in the Contract Price.</x:v>
      </x:c>
      <x:c r="G150" s="48" t="str">
        <x:v>Risk</x:v>
      </x:c>
      <x:c r="H150" s="48" t="str">
        <x:v>Contractor</x:v>
      </x:c>
      <x:c r="I150" s="48" t="n">
        <x:v>0.78</x:v>
      </x:c>
      <x:c r="J150" s="48" t="n">
        <x:v>0.92</x:v>
      </x:c>
      <x:c r="K150" s="48" t="str">
        <x:v>No</x:v>
      </x:c>
      <x:c r="L150" s="48" t="str">
        <x:v>PDF text</x:v>
      </x:c>
    </x:row>
    <x:row r="151">
      <x:c r="A151" s="48" t="str">
        <x:v>RED-0150</x:v>
      </x:c>
      <x:c r="B151" s="48" t="str">
        <x:v>RED</x:v>
      </x:c>
      <x:c r="C151" s="48" t="str">
        <x:v>English</x:v>
      </x:c>
      <x:c r="D151" s="48" t="n">
        <x:v>20</x:v>
      </x:c>
      <x:c r="E151" s="48" t="str"/>
      <x:c r="F151" s="48" t="str">
        <x:v>After receiving this further notice, the Engineer shall proceed in accordance with SubClause 3.5 [Determinations] to agree or determine these matters.</x:v>
      </x:c>
      <x:c r="G151" s="48" t="str">
        <x:v>Obligation</x:v>
      </x:c>
      <x:c r="H151" s="48" t="str">
        <x:v>Shared</x:v>
      </x:c>
      <x:c r="I151" s="48" t="n">
        <x:v>0.88</x:v>
      </x:c>
      <x:c r="J151" s="48" t="n">
        <x:v>0.4</x:v>
      </x:c>
      <x:c r="K151" s="48" t="str">
        <x:v>Yes</x:v>
      </x:c>
      <x:c r="L151" s="48" t="str">
        <x:v>PDF text</x:v>
      </x:c>
    </x:row>
    <x:row r="152">
      <x:c r="A152" s="48" t="str">
        <x:v>RED-0151</x:v>
      </x:c>
      <x:c r="B152" s="48" t="str">
        <x:v>RED</x:v>
      </x:c>
      <x:c r="C152" s="48" t="str">
        <x:v>English</x:v>
      </x:c>
      <x:c r="D152" s="48" t="n">
        <x:v>20</x:v>
      </x:c>
      <x:c r="E152" s="48" t="str"/>
      <x:c r="F152" s="48" t="str">
        <x:v>However, if and to the extent that the Engineer’s failure was caused by any error or delay by the Contractor, including an error in, or delay in the submission of, any of the</x:v>
      </x:c>
      <x:c r="G152" s="48" t="str">
        <x:v>Risk</x:v>
      </x:c>
      <x:c r="H152" s="48" t="str">
        <x:v>Contractor</x:v>
      </x:c>
      <x:c r="I152" s="48" t="n">
        <x:v>0.78</x:v>
      </x:c>
      <x:c r="J152" s="48" t="n">
        <x:v>0.68</x:v>
      </x:c>
      <x:c r="K152" s="48" t="str">
        <x:v>Yes</x:v>
      </x:c>
      <x:c r="L152" s="48" t="str">
        <x:v>PDF text</x:v>
      </x:c>
    </x:row>
    <x:row r="153">
      <x:c r="A153" s="48" t="str">
        <x:v>RED-0152</x:v>
      </x:c>
      <x:c r="B153" s="48" t="str">
        <x:v>RED</x:v>
      </x:c>
      <x:c r="C153" s="48" t="str">
        <x:v>English</x:v>
      </x:c>
      <x:c r="D153" s="48" t="n">
        <x:v>20</x:v>
      </x:c>
      <x:c r="E153" s="48" t="str"/>
      <x:c r="F153" s="48" t="str">
        <x:v>Contractor’s Documents, the Contractor shall not be entitled to such extension of</x:v>
      </x:c>
      <x:c r="G153" s="48" t="str">
        <x:v>Obligation</x:v>
      </x:c>
      <x:c r="H153" s="48" t="str">
        <x:v>Contractor</x:v>
      </x:c>
      <x:c r="I153" s="48" t="n">
        <x:v>0.88</x:v>
      </x:c>
      <x:c r="J153" s="48" t="n">
        <x:v>0.92</x:v>
      </x:c>
      <x:c r="K153" s="48" t="str">
        <x:v>No</x:v>
      </x:c>
      <x:c r="L153" s="48" t="str">
        <x:v>PDF text</x:v>
      </x:c>
    </x:row>
    <x:row r="154">
      <x:c r="A154" s="48" t="str">
        <x:v>RED-0153</x:v>
      </x:c>
      <x:c r="B154" s="48" t="str">
        <x:v>RED</x:v>
      </x:c>
      <x:c r="C154" s="48" t="str">
        <x:v>English</x:v>
      </x:c>
      <x:c r="D154" s="48" t="n">
        <x:v>20</x:v>
      </x:c>
      <x:c r="E154" s="48" t="str"/>
      <x:c r="F154" s="48" t="str">
        <x:v>time, Cost or profit.</x:v>
      </x:c>
      <x:c r="G154" s="48" t="str">
        <x:v>Obligation</x:v>
      </x:c>
      <x:c r="H154" s="48" t="str">
        <x:v>Shared</x:v>
      </x:c>
      <x:c r="I154" s="48" t="n">
        <x:v>0.45</x:v>
      </x:c>
      <x:c r="J154" s="48" t="n">
        <x:v>0.4</x:v>
      </x:c>
      <x:c r="K154" s="48" t="str">
        <x:v>Yes</x:v>
      </x:c>
      <x:c r="L154" s="48" t="str">
        <x:v>PDF text</x:v>
      </x:c>
    </x:row>
    <x:row r="155">
      <x:c r="A155" s="48" t="str">
        <x:v>RED-0154</x:v>
      </x:c>
      <x:c r="B155" s="48" t="str">
        <x:v>RED</x:v>
      </x:c>
      <x:c r="C155" s="48" t="str">
        <x:v>English</x:v>
      </x:c>
      <x:c r="D155" s="48" t="n">
        <x:v>20</x:v>
      </x:c>
      <x:c r="E155" s="48" t="str"/>
      <x:c r="F155" s="48" t="str">
        <x:v>The Contractor shall be deemed (by signing the Contract) to give to the Employer a non-terminable transferable non-exclusive royalty-free licence to copy, use and communicate the Contractor’s Documents, including making and using modifications of them.</x:v>
      </x:c>
      <x:c r="G155" s="48" t="str">
        <x:v>Obligation</x:v>
      </x:c>
      <x:c r="H155" s="48" t="str">
        <x:v>Contractor</x:v>
      </x:c>
      <x:c r="I155" s="48" t="n">
        <x:v>0.88</x:v>
      </x:c>
      <x:c r="J155" s="48" t="n">
        <x:v>0.92</x:v>
      </x:c>
      <x:c r="K155" s="48" t="str">
        <x:v>No</x:v>
      </x:c>
      <x:c r="L155" s="48" t="str">
        <x:v>PDF text</x:v>
      </x:c>
    </x:row>
    <x:row r="156">
      <x:c r="A156" s="48" t="str">
        <x:v>RED-0155</x:v>
      </x:c>
      <x:c r="B156" s="48" t="str">
        <x:v>RED</x:v>
      </x:c>
      <x:c r="C156" s="48" t="str">
        <x:v>English</x:v>
      </x:c>
      <x:c r="D156" s="48" t="n">
        <x:v>20</x:v>
      </x:c>
      <x:c r="E156" s="48" t="str"/>
      <x:c r="F156" s="48" t="str">
        <x:v>This licence shall: (a) apply throughout the actual or intended working life (whichever is longer) of the relevant parts of the Works, (b) entitle any person in proper possession of the relevant part of the Works to copy, use and communicate the Contractor’s Documents for the purposes of completing, operating, maintaining, altering, adjusting, repairing and demolishing the Works, and (c) in the case of Contractor’s Documents which are in the form of computer programs and other software, permit their use on any computer on the Site and other places as envisaged by the Contract, including replacements of any computers supplied by the Contractor.</x:v>
      </x:c>
      <x:c r="G156" s="48" t="str">
        <x:v>Obligation</x:v>
      </x:c>
      <x:c r="H156" s="48" t="str">
        <x:v>Contractor</x:v>
      </x:c>
      <x:c r="I156" s="48" t="n">
        <x:v>0.88</x:v>
      </x:c>
      <x:c r="J156" s="48" t="n">
        <x:v>0.68</x:v>
      </x:c>
      <x:c r="K156" s="48" t="str">
        <x:v>Yes</x:v>
      </x:c>
      <x:c r="L156" s="48" t="str">
        <x:v>PDF text</x:v>
      </x:c>
    </x:row>
    <x:row r="157">
      <x:c r="A157" s="48" t="str">
        <x:v>RED-0156</x:v>
      </x:c>
      <x:c r="B157" s="48" t="str">
        <x:v>RED</x:v>
      </x:c>
      <x:c r="C157" s="48" t="str">
        <x:v>English</x:v>
      </x:c>
      <x:c r="D157" s="48" t="n">
        <x:v>20</x:v>
      </x:c>
      <x:c r="E157" s="48" t="str"/>
      <x:c r="F157" s="48" t="str">
        <x:v>The Contractor’s Documents and other design documents made by (or on behalf of)</x:v>
      </x:c>
      <x:c r="G157" s="48" t="str">
        <x:v>Obligation</x:v>
      </x:c>
      <x:c r="H157" s="48" t="str">
        <x:v>Contractor</x:v>
      </x:c>
      <x:c r="I157" s="48" t="n">
        <x:v>0.45</x:v>
      </x:c>
      <x:c r="J157" s="48" t="n">
        <x:v>0.68</x:v>
      </x:c>
      <x:c r="K157" s="48" t="str">
        <x:v>Yes</x:v>
      </x:c>
      <x:c r="L157" s="48" t="str">
        <x:v>PDF text</x:v>
      </x:c>
    </x:row>
    <x:row r="158">
      <x:c r="A158" s="48" t="str">
        <x:v>RED-0157</x:v>
      </x:c>
      <x:c r="B158" s="48" t="str">
        <x:v>RED</x:v>
      </x:c>
      <x:c r="C158" s="48" t="str">
        <x:v>English</x:v>
      </x:c>
      <x:c r="D158" s="48" t="n">
        <x:v>20</x:v>
      </x:c>
      <x:c r="E158" s="48" t="str"/>
      <x:c r="F158" s="48" t="str">
        <x:v>the Contractor shall not, without the Contractor’s consent, be used, copied or 1.9</x:v>
      </x:c>
      <x:c r="G158" s="48" t="str">
        <x:v>Obligation</x:v>
      </x:c>
      <x:c r="H158" s="48" t="str">
        <x:v>Contractor</x:v>
      </x:c>
      <x:c r="I158" s="48" t="n">
        <x:v>0.88</x:v>
      </x:c>
      <x:c r="J158" s="48" t="n">
        <x:v>0.92</x:v>
      </x:c>
      <x:c r="K158" s="48" t="str">
        <x:v>No</x:v>
      </x:c>
      <x:c r="L158" s="48" t="str">
        <x:v>PDF text</x:v>
      </x:c>
    </x:row>
    <x:row r="159">
      <x:c r="A159" s="48" t="str">
        <x:v>RED-0158</x:v>
      </x:c>
      <x:c r="B159" s="48" t="str">
        <x:v>RED</x:v>
      </x:c>
      <x:c r="C159" s="48" t="str">
        <x:v>English</x:v>
      </x:c>
      <x:c r="D159" s="48" t="n">
        <x:v>20</x:v>
      </x:c>
      <x:c r="E159" s="48" t="str"/>
      <x:c r="F159" s="48" t="str">
        <x:v>Delayed Drawings or</x:v>
      </x:c>
      <x:c r="G159" s="48" t="str">
        <x:v>Obligation</x:v>
      </x:c>
      <x:c r="H159" s="48" t="str">
        <x:v>Shared</x:v>
      </x:c>
      <x:c r="I159" s="48" t="n">
        <x:v>0.45</x:v>
      </x:c>
      <x:c r="J159" s="48" t="n">
        <x:v>0.4</x:v>
      </x:c>
      <x:c r="K159" s="48" t="str">
        <x:v>Yes</x:v>
      </x:c>
      <x:c r="L159" s="48" t="str">
        <x:v>PDF text</x:v>
      </x:c>
    </x:row>
    <x:row r="160">
      <x:c r="A160" s="48" t="str">
        <x:v>RED-0159</x:v>
      </x:c>
      <x:c r="B160" s="48" t="str">
        <x:v>RED</x:v>
      </x:c>
      <x:c r="C160" s="48" t="str">
        <x:v>English</x:v>
      </x:c>
      <x:c r="D160" s="48" t="n">
        <x:v>20</x:v>
      </x:c>
      <x:c r="E160" s="48" t="str"/>
      <x:c r="F160" s="48" t="str">
        <x:v>Instructions</x:v>
      </x:c>
      <x:c r="G160" s="48" t="str">
        <x:v>Obligation</x:v>
      </x:c>
      <x:c r="H160" s="48" t="str">
        <x:v>Shared</x:v>
      </x:c>
      <x:c r="I160" s="48" t="n">
        <x:v>0.45</x:v>
      </x:c>
      <x:c r="J160" s="48" t="n">
        <x:v>0.4</x:v>
      </x:c>
      <x:c r="K160" s="48" t="str">
        <x:v>Yes</x:v>
      </x:c>
      <x:c r="L160" s="48" t="str">
        <x:v>PDF text</x:v>
      </x:c>
    </x:row>
    <x:row r="161">
      <x:c r="A161" s="48" t="str">
        <x:v>RED-0160</x:v>
      </x:c>
      <x:c r="B161" s="48" t="str">
        <x:v>RED</x:v>
      </x:c>
      <x:c r="C161" s="48" t="str">
        <x:v>English</x:v>
      </x:c>
      <x:c r="D161" s="48" t="n">
        <x:v>20</x:v>
      </x:c>
      <x:c r="E161" s="48" t="str"/>
      <x:c r="F161" s="48" t="str">
        <x:v>Employer’s Use of</x:v>
      </x:c>
      <x:c r="G161" s="48" t="str">
        <x:v>Obligation</x:v>
      </x:c>
      <x:c r="H161" s="48" t="str">
        <x:v>Employer</x:v>
      </x:c>
      <x:c r="I161" s="48" t="n">
        <x:v>0.45</x:v>
      </x:c>
      <x:c r="J161" s="48" t="n">
        <x:v>0.68</x:v>
      </x:c>
      <x:c r="K161" s="48" t="str">
        <x:v>Yes</x:v>
      </x:c>
      <x:c r="L161" s="48" t="str">
        <x:v>PDF text</x:v>
      </x:c>
    </x:row>
    <x:row r="162">
      <x:c r="A162" s="48" t="str">
        <x:v>RED-0161</x:v>
      </x:c>
      <x:c r="B162" s="48" t="str">
        <x:v>RED</x:v>
      </x:c>
      <x:c r="C162" s="48" t="str">
        <x:v>English</x:v>
      </x:c>
      <x:c r="D162" s="48" t="n">
        <x:v>20</x:v>
      </x:c>
      <x:c r="E162" s="48" t="str"/>
      <x:c r="F162" s="48" t="str">
        <x:v>Contractor’s Documents</x:v>
      </x:c>
      <x:c r="G162" s="48" t="str">
        <x:v>Obligation</x:v>
      </x:c>
      <x:c r="H162" s="48" t="str">
        <x:v>Contractor</x:v>
      </x:c>
      <x:c r="I162" s="48" t="n">
        <x:v>0.45</x:v>
      </x:c>
      <x:c r="J162" s="48" t="n">
        <x:v>0.68</x:v>
      </x:c>
      <x:c r="K162" s="48" t="str">
        <x:v>Yes</x:v>
      </x:c>
      <x:c r="L162" s="48" t="str">
        <x:v>PDF text</x:v>
      </x:c>
    </x:row>
    <x:row r="163">
      <x:c r="A163" s="48" t="str">
        <x:v>RED-0162</x:v>
      </x:c>
      <x:c r="B163" s="48" t="str">
        <x:v>RED</x:v>
      </x:c>
      <x:c r="C163" s="48" t="str">
        <x:v>English</x:v>
      </x:c>
      <x:c r="D163" s="48" t="n">
        <x:v>21</x:v>
      </x:c>
      <x:c r="E163" s="48" t="str"/>
      <x:c r="F163" s="48" t="str">
        <x:v>communicated to a third party by (or on behalf of) the Employer for purposes other than those permitted under this Sub-Clause.</x:v>
      </x:c>
      <x:c r="G163" s="48" t="str">
        <x:v>Obligation</x:v>
      </x:c>
      <x:c r="H163" s="48" t="str">
        <x:v>Employer</x:v>
      </x:c>
      <x:c r="I163" s="48" t="n">
        <x:v>0.45</x:v>
      </x:c>
      <x:c r="J163" s="48" t="n">
        <x:v>0.68</x:v>
      </x:c>
      <x:c r="K163" s="48" t="str">
        <x:v>Yes</x:v>
      </x:c>
      <x:c r="L163" s="48" t="str">
        <x:v>PDF text</x:v>
      </x:c>
    </x:row>
    <x:row r="164">
      <x:c r="A164" s="48" t="str">
        <x:v>RED-0163</x:v>
      </x:c>
      <x:c r="B164" s="48" t="str">
        <x:v>RED</x:v>
      </x:c>
      <x:c r="C164" s="48" t="str">
        <x:v>English</x:v>
      </x:c>
      <x:c r="D164" s="48" t="n">
        <x:v>21</x:v>
      </x:c>
      <x:c r="E164" s="48" t="str"/>
      <x:c r="F164" s="48" t="str">
        <x:v>The Contractor may, at his cost, copy, use, and obtain communication of these documents for the purposes of the Contract.</x:v>
      </x:c>
      <x:c r="G164" s="48" t="str">
        <x:v>Obligation</x:v>
      </x:c>
      <x:c r="H164" s="48" t="str">
        <x:v>Contractor</x:v>
      </x:c>
      <x:c r="I164" s="48" t="n">
        <x:v>0.45</x:v>
      </x:c>
      <x:c r="J164" s="48" t="n">
        <x:v>0.68</x:v>
      </x:c>
      <x:c r="K164" s="48" t="str">
        <x:v>Yes</x:v>
      </x:c>
      <x:c r="L164" s="48" t="str">
        <x:v>PDF text</x:v>
      </x:c>
    </x:row>
    <x:row r="165">
      <x:c r="A165" s="48" t="str">
        <x:v>RED-0164</x:v>
      </x:c>
      <x:c r="B165" s="48" t="str">
        <x:v>RED</x:v>
      </x:c>
      <x:c r="C165" s="48" t="str">
        <x:v>English</x:v>
      </x:c>
      <x:c r="D165" s="48" t="n">
        <x:v>21</x:v>
      </x:c>
      <x:c r="E165" s="48" t="str"/>
      <x:c r="F165" s="48" t="str">
        <x:v>They shall not, without the Employer’s consent, be copied, used or communicated to a third party by the Contractor, except as necessary for the purposes of the Contract.</x:v>
      </x:c>
      <x:c r="G165" s="48" t="str">
        <x:v>Obligation</x:v>
      </x:c>
      <x:c r="H165" s="48" t="str">
        <x:v>Shared</x:v>
      </x:c>
      <x:c r="I165" s="48" t="n">
        <x:v>0.88</x:v>
      </x:c>
      <x:c r="J165" s="48" t="n">
        <x:v>0.6</x:v>
      </x:c>
      <x:c r="K165" s="48" t="str">
        <x:v>Yes</x:v>
      </x:c>
      <x:c r="L165" s="48" t="str">
        <x:v>PDF text</x:v>
      </x:c>
    </x:row>
    <x:row r="166">
      <x:c r="A166" s="48" t="str">
        <x:v>RED-0165</x:v>
      </x:c>
      <x:c r="B166" s="48" t="str">
        <x:v>RED</x:v>
      </x:c>
      <x:c r="C166" s="48" t="str">
        <x:v>English</x:v>
      </x:c>
      <x:c r="D166" s="48" t="n">
        <x:v>21</x:v>
      </x:c>
      <x:c r="E166" s="48" t="str"/>
      <x:c r="F166" s="48" t="str">
        <x:v>The Contractor shall disclose all such confidential and other information as the Engineer may reasonably require in order to verify the Contractor’s compliance with the Contract.</x:v>
      </x:c>
      <x:c r="G166" s="48" t="str">
        <x:v>Obligation</x:v>
      </x:c>
      <x:c r="H166" s="48" t="str">
        <x:v>Contractor</x:v>
      </x:c>
      <x:c r="I166" s="48" t="n">
        <x:v>0.88</x:v>
      </x:c>
      <x:c r="J166" s="48" t="n">
        <x:v>0.92</x:v>
      </x:c>
      <x:c r="K166" s="48" t="str">
        <x:v>No</x:v>
      </x:c>
      <x:c r="L166" s="48" t="str">
        <x:v>PDF text</x:v>
      </x:c>
    </x:row>
    <x:row r="167">
      <x:c r="A167" s="48" t="str">
        <x:v>RED-0166</x:v>
      </x:c>
      <x:c r="B167" s="48" t="str">
        <x:v>RED</x:v>
      </x:c>
      <x:c r="C167" s="48" t="str">
        <x:v>English</x:v>
      </x:c>
      <x:c r="D167" s="48" t="n">
        <x:v>21</x:v>
      </x:c>
      <x:c r="E167" s="48" t="str"/>
      <x:c r="F167" s="48" t="str">
        <x:v>The Contractor shall treat the details of the Contract as private and confidential, except to the extent necessary to carry out the Contractor’s obligations under the Contract or to comply with applicable Laws.</x:v>
      </x:c>
      <x:c r="G167" s="48" t="str">
        <x:v>Obligation</x:v>
      </x:c>
      <x:c r="H167" s="48" t="str">
        <x:v>Contractor</x:v>
      </x:c>
      <x:c r="I167" s="48" t="n">
        <x:v>0.88</x:v>
      </x:c>
      <x:c r="J167" s="48" t="n">
        <x:v>0.92</x:v>
      </x:c>
      <x:c r="K167" s="48" t="str">
        <x:v>No</x:v>
      </x:c>
      <x:c r="L167" s="48" t="str">
        <x:v>PDF text</x:v>
      </x:c>
    </x:row>
    <x:row r="168">
      <x:c r="A168" s="48" t="str">
        <x:v>RED-0167</x:v>
      </x:c>
      <x:c r="B168" s="48" t="str">
        <x:v>RED</x:v>
      </x:c>
      <x:c r="C168" s="48" t="str">
        <x:v>English</x:v>
      </x:c>
      <x:c r="D168" s="48" t="n">
        <x:v>21</x:v>
      </x:c>
      <x:c r="E168" s="48" t="str"/>
      <x:c r="F168" s="48" t="str">
        <x:v>The Contractor shall not publish or disclose any particulars of the Works without the previous agreement of the Employer.</x:v>
      </x:c>
      <x:c r="G168" s="48" t="str">
        <x:v>Obligation</x:v>
      </x:c>
      <x:c r="H168" s="48" t="str">
        <x:v>Contractor</x:v>
      </x:c>
      <x:c r="I168" s="48" t="n">
        <x:v>0.88</x:v>
      </x:c>
      <x:c r="J168" s="48" t="n">
        <x:v>0.92</x:v>
      </x:c>
      <x:c r="K168" s="48" t="str">
        <x:v>No</x:v>
      </x:c>
      <x:c r="L168" s="48" t="str">
        <x:v>PDF text</x:v>
      </x:c>
    </x:row>
    <x:row r="169">
      <x:c r="A169" s="48" t="str">
        <x:v>RED-0168</x:v>
      </x:c>
      <x:c r="B169" s="48" t="str">
        <x:v>RED</x:v>
      </x:c>
      <x:c r="C169" s="48" t="str">
        <x:v>English</x:v>
      </x:c>
      <x:c r="D169" s="48" t="n">
        <x:v>21</x:v>
      </x:c>
      <x:c r="E169" s="48" t="str"/>
      <x:c r="F169" s="48" t="str">
        <x:v>However, the Contractor shall be permitted to disclose any publicly available</x:v>
      </x:c>
      <x:c r="G169" s="48" t="str">
        <x:v>Obligation</x:v>
      </x:c>
      <x:c r="H169" s="48" t="str">
        <x:v>Contractor</x:v>
      </x:c>
      <x:c r="I169" s="48" t="n">
        <x:v>0.88</x:v>
      </x:c>
      <x:c r="J169" s="48" t="n">
        <x:v>0.92</x:v>
      </x:c>
      <x:c r="K169" s="48" t="str">
        <x:v>No</x:v>
      </x:c>
      <x:c r="L169" s="48" t="str">
        <x:v>PDF text</x:v>
      </x:c>
    </x:row>
    <x:row r="170">
      <x:c r="A170" s="48" t="str">
        <x:v>RED-0169</x:v>
      </x:c>
      <x:c r="B170" s="48" t="str">
        <x:v>RED</x:v>
      </x:c>
      <x:c r="C170" s="48" t="str">
        <x:v>English</x:v>
      </x:c>
      <x:c r="D170" s="48" t="n">
        <x:v>21</x:v>
      </x:c>
      <x:c r="E170" s="48" t="str"/>
      <x:c r="F170" s="48" t="str">
        <x:v>information, or information otherwise required to establish his qualifications to compete for other projects.</x:v>
      </x:c>
      <x:c r="G170" s="48" t="str">
        <x:v>Obligation</x:v>
      </x:c>
      <x:c r="H170" s="48" t="str">
        <x:v>Shared</x:v>
      </x:c>
      <x:c r="I170" s="48" t="n">
        <x:v>0.45</x:v>
      </x:c>
      <x:c r="J170" s="48" t="n">
        <x:v>0.4</x:v>
      </x:c>
      <x:c r="K170" s="48" t="str">
        <x:v>Yes</x:v>
      </x:c>
      <x:c r="L170" s="48" t="str">
        <x:v>PDF text</x:v>
      </x:c>
    </x:row>
    <x:row r="171">
      <x:c r="A171" s="48" t="str">
        <x:v>RED-0170</x:v>
      </x:c>
      <x:c r="B171" s="48" t="str">
        <x:v>RED</x:v>
      </x:c>
      <x:c r="C171" s="48" t="str">
        <x:v>English</x:v>
      </x:c>
      <x:c r="D171" s="48" t="n">
        <x:v>21</x:v>
      </x:c>
      <x:c r="E171" s="48" t="str"/>
      <x:c r="F171" s="48" t="str">
        <x:v>The Contractor shall, in performing the Contract, comply with applicable Laws.</x:v>
      </x:c>
      <x:c r="G171" s="48" t="str">
        <x:v>Obligation</x:v>
      </x:c>
      <x:c r="H171" s="48" t="str">
        <x:v>Contractor</x:v>
      </x:c>
      <x:c r="I171" s="48" t="n">
        <x:v>0.88</x:v>
      </x:c>
      <x:c r="J171" s="48" t="n">
        <x:v>0.92</x:v>
      </x:c>
      <x:c r="K171" s="48" t="str">
        <x:v>No</x:v>
      </x:c>
      <x:c r="L171" s="48" t="str">
        <x:v>PDF text</x:v>
      </x:c>
    </x:row>
    <x:row r="172">
      <x:c r="A172" s="48" t="str">
        <x:v>RED-0171</x:v>
      </x:c>
      <x:c r="B172" s="48" t="str">
        <x:v>RED</x:v>
      </x:c>
      <x:c r="C172" s="48" t="str">
        <x:v>English</x:v>
      </x:c>
      <x:c r="D172" s="48" t="n">
        <x:v>21</x:v>
      </x:c>
      <x:c r="E172" s="48" t="str"/>
      <x:c r="F172" s="48" t="str">
        <x:v>Unless otherwise stated in the Particular Conditions: (a) the Employer shall have obtained (or shall obtain) the planning, zoning or similar permission for the Permanent Works, and any other permissions described in the Specification as having been (or being) obtained by the Employer; and the</x:v>
      </x:c>
      <x:c r="G172" s="48" t="str">
        <x:v>Obligation</x:v>
      </x:c>
      <x:c r="H172" s="48" t="str">
        <x:v>Employer</x:v>
      </x:c>
      <x:c r="I172" s="48" t="n">
        <x:v>0.88</x:v>
      </x:c>
      <x:c r="J172" s="48" t="n">
        <x:v>0.92</x:v>
      </x:c>
      <x:c r="K172" s="48" t="str">
        <x:v>No</x:v>
      </x:c>
      <x:c r="L172" s="48" t="str">
        <x:v>PDF text</x:v>
      </x:c>
    </x:row>
    <x:row r="173">
      <x:c r="A173" s="48" t="str">
        <x:v>RED-0172</x:v>
      </x:c>
      <x:c r="B173" s="48" t="str">
        <x:v>RED</x:v>
      </x:c>
      <x:c r="C173" s="48" t="str">
        <x:v>English</x:v>
      </x:c>
      <x:c r="D173" s="48" t="n">
        <x:v>21</x:v>
      </x:c>
      <x:c r="E173" s="48" t="str"/>
      <x:c r="F173" s="48" t="str">
        <x:v>Employer shall indemnify and hold the Contractor harmless against and from</x:v>
      </x:c>
      <x:c r="G173" s="48" t="str">
        <x:v>Obligation</x:v>
      </x:c>
      <x:c r="H173" s="48" t="str">
        <x:v>Shared</x:v>
      </x:c>
      <x:c r="I173" s="48" t="n">
        <x:v>0.88</x:v>
      </x:c>
      <x:c r="J173" s="48" t="n">
        <x:v>0.6</x:v>
      </x:c>
      <x:c r="K173" s="48" t="str">
        <x:v>Yes</x:v>
      </x:c>
      <x:c r="L173" s="48" t="str">
        <x:v>PDF text</x:v>
      </x:c>
    </x:row>
    <x:row r="174">
      <x:c r="A174" s="48" t="str">
        <x:v>RED-0173</x:v>
      </x:c>
      <x:c r="B174" s="48" t="str">
        <x:v>RED</x:v>
      </x:c>
      <x:c r="C174" s="48" t="str">
        <x:v>English</x:v>
      </x:c>
      <x:c r="D174" s="48" t="n">
        <x:v>21</x:v>
      </x:c>
      <x:c r="E174" s="48" t="str"/>
      <x:c r="F174" s="48" t="str">
        <x:v>the consequences of any failure to do so; and (b) the Contractor shall give all notices, pay all taxes, duties and fees, and obtain all permits, licences and approvals, as required by the Laws in relation to the execution and completion of the Works and the remedying of any defects; and the Contractor shall indemnify and hold the Employer harmless against and from the consequences of any failure to do so.</x:v>
      </x:c>
      <x:c r="G174" s="48" t="str">
        <x:v>Obligation</x:v>
      </x:c>
      <x:c r="H174" s="48" t="str">
        <x:v>Contractor</x:v>
      </x:c>
      <x:c r="I174" s="48" t="n">
        <x:v>0.88</x:v>
      </x:c>
      <x:c r="J174" s="48" t="n">
        <x:v>0.92</x:v>
      </x:c>
      <x:c r="K174" s="48" t="str">
        <x:v>No</x:v>
      </x:c>
      <x:c r="L174" s="48" t="str">
        <x:v>PDF text</x:v>
      </x:c>
    </x:row>
    <x:row r="175">
      <x:c r="A175" s="48" t="str">
        <x:v>RED-0174</x:v>
      </x:c>
      <x:c r="B175" s="48" t="str">
        <x:v>RED</x:v>
      </x:c>
      <x:c r="C175" s="48" t="str">
        <x:v>English</x:v>
      </x:c>
      <x:c r="D175" s="48" t="n">
        <x:v>21</x:v>
      </x:c>
      <x:c r="E175" s="48" t="str"/>
      <x:c r="F175" s="48" t="str">
        <x:v>If the Contractor constitutes (under applicable Laws) a joint venture, consortium or other unincorporated grouping of two or more persons: (a) these persons shall be deemed to be jointly and severally liable to the Employer for the performance of the Contract; (b) these persons shall notify the Employer of their leader who shall have authority to bind the Contractor and each of these persons; and (c) the Contractor shall not alter its composition or legal status without the prior consent of the Employer.</x:v>
      </x:c>
      <x:c r="G175" s="48" t="str">
        <x:v>Risk</x:v>
      </x:c>
      <x:c r="H175" s="48" t="str">
        <x:v>Contractor</x:v>
      </x:c>
      <x:c r="I175" s="48" t="n">
        <x:v>0.78</x:v>
      </x:c>
      <x:c r="J175" s="48" t="n">
        <x:v>0.92</x:v>
      </x:c>
      <x:c r="K175" s="48" t="str">
        <x:v>No</x:v>
      </x:c>
      <x:c r="L175" s="48" t="str">
        <x:v>PDF text</x:v>
      </x:c>
    </x:row>
    <x:row r="176">
      <x:c r="A176" s="48" t="str">
        <x:v>RED-0175</x:v>
      </x:c>
      <x:c r="B176" s="48" t="str">
        <x:v>RED</x:v>
      </x:c>
      <x:c r="C176" s="48" t="str">
        <x:v>English</x:v>
      </x:c>
      <x:c r="D176" s="48" t="n">
        <x:v>21</x:v>
      </x:c>
      <x:c r="E176" s="48" t="str"/>
      <x:c r="F176" s="48" t="str">
        <x:v>The Contractor shall permit the Bank and/or persons appointed by the Bank to</x:v>
      </x:c>
      <x:c r="G176" s="48" t="str">
        <x:v>Obligation</x:v>
      </x:c>
      <x:c r="H176" s="48" t="str">
        <x:v>Contractor</x:v>
      </x:c>
      <x:c r="I176" s="48" t="n">
        <x:v>0.88</x:v>
      </x:c>
      <x:c r="J176" s="48" t="n">
        <x:v>0.92</x:v>
      </x:c>
      <x:c r="K176" s="48" t="str">
        <x:v>No</x:v>
      </x:c>
      <x:c r="L176" s="48" t="str">
        <x:v>PDF text</x:v>
      </x:c>
    </x:row>
    <x:row r="177">
      <x:c r="A177" s="48" t="str">
        <x:v>RED-0176</x:v>
      </x:c>
      <x:c r="B177" s="48" t="str">
        <x:v>RED</x:v>
      </x:c>
      <x:c r="C177" s="48" t="str">
        <x:v>English</x:v>
      </x:c>
      <x:c r="D177" s="48" t="n">
        <x:v>21</x:v>
      </x:c>
      <x:c r="E177" s="48" t="str"/>
      <x:c r="F177" s="48" t="str">
        <x:v>inspect the Site and/or the Contractor's accounts and records relating to the performance of the Contract and to have such accounts and records audited by auditors appointed by the Bank if required by the Bank.</x:v>
      </x:c>
      <x:c r="G177" s="48" t="str">
        <x:v>Obligation</x:v>
      </x:c>
      <x:c r="H177" s="48" t="str">
        <x:v>Contractor</x:v>
      </x:c>
      <x:c r="I177" s="48" t="n">
        <x:v>0.45</x:v>
      </x:c>
      <x:c r="J177" s="48" t="n">
        <x:v>0.68</x:v>
      </x:c>
      <x:c r="K177" s="48" t="str">
        <x:v>Yes</x:v>
      </x:c>
      <x:c r="L177" s="48" t="str">
        <x:v>PDF text</x:v>
      </x:c>
    </x:row>
    <x:row r="178">
      <x:c r="A178" s="48" t="str">
        <x:v>RED-0177</x:v>
      </x:c>
      <x:c r="B178" s="48" t="str">
        <x:v>RED</x:v>
      </x:c>
      <x:c r="C178" s="48" t="str">
        <x:v>English</x:v>
      </x:c>
      <x:c r="D178" s="48" t="n">
        <x:v>21</x:v>
      </x:c>
      <x:c r="E178" s="48" t="str"/>
      <x:c r="F178" s="48" t="str">
        <x:v>Contractor’s Use of</x:v>
      </x:c>
      <x:c r="G178" s="48" t="str">
        <x:v>Obligation</x:v>
      </x:c>
      <x:c r="H178" s="48" t="str">
        <x:v>Contractor</x:v>
      </x:c>
      <x:c r="I178" s="48" t="n">
        <x:v>0.45</x:v>
      </x:c>
      <x:c r="J178" s="48" t="n">
        <x:v>0.68</x:v>
      </x:c>
      <x:c r="K178" s="48" t="str">
        <x:v>Yes</x:v>
      </x:c>
      <x:c r="L178" s="48" t="str">
        <x:v>PDF text</x:v>
      </x:c>
    </x:row>
    <x:row r="179">
      <x:c r="A179" s="48" t="str">
        <x:v>RED-0178</x:v>
      </x:c>
      <x:c r="B179" s="48" t="str">
        <x:v>RED</x:v>
      </x:c>
      <x:c r="C179" s="48" t="str">
        <x:v>English</x:v>
      </x:c>
      <x:c r="D179" s="48" t="n">
        <x:v>21</x:v>
      </x:c>
      <x:c r="E179" s="48" t="str"/>
      <x:c r="F179" s="48" t="str">
        <x:v>Employer’s Documents</x:v>
      </x:c>
      <x:c r="G179" s="48" t="str">
        <x:v>Obligation</x:v>
      </x:c>
      <x:c r="H179" s="48" t="str">
        <x:v>Employer</x:v>
      </x:c>
      <x:c r="I179" s="48" t="n">
        <x:v>0.45</x:v>
      </x:c>
      <x:c r="J179" s="48" t="n">
        <x:v>0.68</x:v>
      </x:c>
      <x:c r="K179" s="48" t="str">
        <x:v>Yes</x:v>
      </x:c>
      <x:c r="L179" s="48" t="str">
        <x:v>PDF text</x:v>
      </x:c>
    </x:row>
    <x:row r="180">
      <x:c r="A180" s="48" t="str">
        <x:v>RED-0179</x:v>
      </x:c>
      <x:c r="B180" s="48" t="str">
        <x:v>RED</x:v>
      </x:c>
      <x:c r="C180" s="48" t="str">
        <x:v>English</x:v>
      </x:c>
      <x:c r="D180" s="48" t="n">
        <x:v>21</x:v>
      </x:c>
      <x:c r="E180" s="48" t="str"/>
      <x:c r="F180" s="48" t="str">
        <x:v>Confidential Details</x:v>
      </x:c>
      <x:c r="G180" s="48" t="str">
        <x:v>Obligation</x:v>
      </x:c>
      <x:c r="H180" s="48" t="str">
        <x:v>Shared</x:v>
      </x:c>
      <x:c r="I180" s="48" t="n">
        <x:v>0.45</x:v>
      </x:c>
      <x:c r="J180" s="48" t="n">
        <x:v>0.4</x:v>
      </x:c>
      <x:c r="K180" s="48" t="str">
        <x:v>Yes</x:v>
      </x:c>
      <x:c r="L180" s="48" t="str">
        <x:v>PDF text</x:v>
      </x:c>
    </x:row>
    <x:row r="181">
      <x:c r="A181" s="48" t="str">
        <x:v>RED-0180</x:v>
      </x:c>
      <x:c r="B181" s="48" t="str">
        <x:v>RED</x:v>
      </x:c>
      <x:c r="C181" s="48" t="str">
        <x:v>English</x:v>
      </x:c>
      <x:c r="D181" s="48" t="n">
        <x:v>21</x:v>
      </x:c>
      <x:c r="E181" s="48" t="str"/>
      <x:c r="F181" s="48" t="str">
        <x:v>Compliance with Laws</x:v>
      </x:c>
      <x:c r="G181" s="48" t="str">
        <x:v>Obligation</x:v>
      </x:c>
      <x:c r="H181" s="48" t="str">
        <x:v>Shared</x:v>
      </x:c>
      <x:c r="I181" s="48" t="n">
        <x:v>0.45</x:v>
      </x:c>
      <x:c r="J181" s="48" t="n">
        <x:v>0.4</x:v>
      </x:c>
      <x:c r="K181" s="48" t="str">
        <x:v>Yes</x:v>
      </x:c>
      <x:c r="L181" s="48" t="str">
        <x:v>PDF text</x:v>
      </x:c>
    </x:row>
    <x:row r="182">
      <x:c r="A182" s="48" t="str">
        <x:v>RED-0181</x:v>
      </x:c>
      <x:c r="B182" s="48" t="str">
        <x:v>RED</x:v>
      </x:c>
      <x:c r="C182" s="48" t="str">
        <x:v>English</x:v>
      </x:c>
      <x:c r="D182" s="48" t="n">
        <x:v>21</x:v>
      </x:c>
      <x:c r="E182" s="48" t="str"/>
      <x:c r="F182" s="48" t="str">
        <x:v>Joint and Several</x:v>
      </x:c>
      <x:c r="G182" s="48" t="str">
        <x:v>Obligation</x:v>
      </x:c>
      <x:c r="H182" s="48" t="str">
        <x:v>Shared</x:v>
      </x:c>
      <x:c r="I182" s="48" t="n">
        <x:v>0.45</x:v>
      </x:c>
      <x:c r="J182" s="48" t="n">
        <x:v>0.4</x:v>
      </x:c>
      <x:c r="K182" s="48" t="str">
        <x:v>Yes</x:v>
      </x:c>
      <x:c r="L182" s="48" t="str">
        <x:v>PDF text</x:v>
      </x:c>
    </x:row>
    <x:row r="183">
      <x:c r="A183" s="48" t="str">
        <x:v>RED-0182</x:v>
      </x:c>
      <x:c r="B183" s="48" t="str">
        <x:v>RED</x:v>
      </x:c>
      <x:c r="C183" s="48" t="str">
        <x:v>English</x:v>
      </x:c>
      <x:c r="D183" s="48" t="n">
        <x:v>21</x:v>
      </x:c>
      <x:c r="E183" s="48" t="str"/>
      <x:c r="F183" s="48" t="str">
        <x:v>Liability</x:v>
      </x:c>
      <x:c r="G183" s="48" t="str">
        <x:v>Risk</x:v>
      </x:c>
      <x:c r="H183" s="48" t="str">
        <x:v>Shared</x:v>
      </x:c>
      <x:c r="I183" s="48" t="n">
        <x:v>0.78</x:v>
      </x:c>
      <x:c r="J183" s="48" t="n">
        <x:v>0.4</x:v>
      </x:c>
      <x:c r="K183" s="48" t="str">
        <x:v>Yes</x:v>
      </x:c>
      <x:c r="L183" s="48" t="str">
        <x:v>PDF text</x:v>
      </x:c>
    </x:row>
    <x:row r="184">
      <x:c r="A184" s="48" t="str">
        <x:v>RED-0183</x:v>
      </x:c>
      <x:c r="B184" s="48" t="str">
        <x:v>RED</x:v>
      </x:c>
      <x:c r="C184" s="48" t="str">
        <x:v>English</x:v>
      </x:c>
      <x:c r="D184" s="48" t="n">
        <x:v>21</x:v>
      </x:c>
      <x:c r="E184" s="48" t="str"/>
      <x:c r="F184" s="48" t="str">
        <x:v>Inspections and Audit</x:v>
      </x:c>
      <x:c r="G184" s="48" t="str">
        <x:v>Obligation</x:v>
      </x:c>
      <x:c r="H184" s="48" t="str">
        <x:v>Shared</x:v>
      </x:c>
      <x:c r="I184" s="48" t="n">
        <x:v>0.45</x:v>
      </x:c>
      <x:c r="J184" s="48" t="n">
        <x:v>0.4</x:v>
      </x:c>
      <x:c r="K184" s="48" t="str">
        <x:v>Yes</x:v>
      </x:c>
      <x:c r="L184" s="48" t="str">
        <x:v>PDF text</x:v>
      </x:c>
    </x:row>
    <x:row r="185">
      <x:c r="A185" s="48" t="str">
        <x:v>RED-0184</x:v>
      </x:c>
      <x:c r="B185" s="48" t="str">
        <x:v>RED</x:v>
      </x:c>
      <x:c r="C185" s="48" t="str">
        <x:v>English</x:v>
      </x:c>
      <x:c r="D185" s="48" t="n">
        <x:v>21</x:v>
      </x:c>
      <x:c r="E185" s="48" t="str"/>
      <x:c r="F185" s="48" t="str">
        <x:v>by the Bank</x:v>
      </x:c>
      <x:c r="G185" s="48" t="str">
        <x:v>Obligation</x:v>
      </x:c>
      <x:c r="H185" s="48" t="str">
        <x:v>Shared</x:v>
      </x:c>
      <x:c r="I185" s="48" t="n">
        <x:v>0.45</x:v>
      </x:c>
      <x:c r="J185" s="48" t="n">
        <x:v>0.4</x:v>
      </x:c>
      <x:c r="K185" s="48" t="str">
        <x:v>Yes</x:v>
      </x:c>
      <x:c r="L185" s="48" t="str">
        <x:v>PDF text</x:v>
      </x:c>
    </x:row>
    <x:row r="186">
      <x:c r="A186" s="48" t="str">
        <x:v>RED-0185</x:v>
      </x:c>
      <x:c r="B186" s="48" t="str">
        <x:v>RED</x:v>
      </x:c>
      <x:c r="C186" s="48" t="str">
        <x:v>English</x:v>
      </x:c>
      <x:c r="D186" s="48" t="n">
        <x:v>22</x:v>
      </x:c>
      <x:c r="E186" s="48" t="str"/>
      <x:c r="F186" s="48" t="str">
        <x:v>The Employer shall give the Contractor right of access to, and possession of, all parts of the Site within the time (or times) stated in the Contract Data.</x:v>
      </x:c>
      <x:c r="G186" s="48" t="str">
        <x:v>Obligation</x:v>
      </x:c>
      <x:c r="H186" s="48" t="str">
        <x:v>Employer</x:v>
      </x:c>
      <x:c r="I186" s="48" t="n">
        <x:v>0.88</x:v>
      </x:c>
      <x:c r="J186" s="48" t="n">
        <x:v>0.92</x:v>
      </x:c>
      <x:c r="K186" s="48" t="str">
        <x:v>No</x:v>
      </x:c>
      <x:c r="L186" s="48" t="str">
        <x:v>PDF text</x:v>
      </x:c>
    </x:row>
    <x:row r="187">
      <x:c r="A187" s="48" t="str">
        <x:v>RED-0186</x:v>
      </x:c>
      <x:c r="B187" s="48" t="str">
        <x:v>RED</x:v>
      </x:c>
      <x:c r="C187" s="48" t="str">
        <x:v>English</x:v>
      </x:c>
      <x:c r="D187" s="48" t="n">
        <x:v>22</x:v>
      </x:c>
      <x:c r="E187" s="48" t="str"/>
      <x:c r="F187" s="48" t="str">
        <x:v>The right and possession may not be exclusive to the Contractor.</x:v>
      </x:c>
      <x:c r="G187" s="48" t="str">
        <x:v>Right</x:v>
      </x:c>
      <x:c r="H187" s="48" t="str">
        <x:v>Contractor</x:v>
      </x:c>
      <x:c r="I187" s="48" t="n">
        <x:v>0.78</x:v>
      </x:c>
      <x:c r="J187" s="48" t="n">
        <x:v>0.68</x:v>
      </x:c>
      <x:c r="K187" s="48" t="str">
        <x:v>Yes</x:v>
      </x:c>
      <x:c r="L187" s="48" t="str">
        <x:v>PDF text</x:v>
      </x:c>
    </x:row>
    <x:row r="188">
      <x:c r="A188" s="48" t="str">
        <x:v>RED-0187</x:v>
      </x:c>
      <x:c r="B188" s="48" t="str">
        <x:v>RED</x:v>
      </x:c>
      <x:c r="C188" s="48" t="str">
        <x:v>English</x:v>
      </x:c>
      <x:c r="D188" s="48" t="n">
        <x:v>22</x:v>
      </x:c>
      <x:c r="E188" s="48" t="str"/>
      <x:c r="F188" s="48" t="str">
        <x:v>If, under the Contract, the</x:v>
      </x:c>
      <x:c r="G188" s="48" t="str">
        <x:v>Obligation</x:v>
      </x:c>
      <x:c r="H188" s="48" t="str">
        <x:v>Shared</x:v>
      </x:c>
      <x:c r="I188" s="48" t="n">
        <x:v>0.45</x:v>
      </x:c>
      <x:c r="J188" s="48" t="n">
        <x:v>0.4</x:v>
      </x:c>
      <x:c r="K188" s="48" t="str">
        <x:v>Yes</x:v>
      </x:c>
      <x:c r="L188" s="48" t="str">
        <x:v>PDF text</x:v>
      </x:c>
    </x:row>
    <x:row r="189">
      <x:c r="A189" s="48" t="str">
        <x:v>RED-0188</x:v>
      </x:c>
      <x:c r="B189" s="48" t="str">
        <x:v>RED</x:v>
      </x:c>
      <x:c r="C189" s="48" t="str">
        <x:v>English</x:v>
      </x:c>
      <x:c r="D189" s="48" t="n">
        <x:v>22</x:v>
      </x:c>
      <x:c r="E189" s="48" t="str"/>
      <x:c r="F189" s="48" t="str">
        <x:v>Employer is required to give (to the Contractor) possession of any foundation,</x:v>
      </x:c>
      <x:c r="G189" s="48" t="str">
        <x:v>Obligation</x:v>
      </x:c>
      <x:c r="H189" s="48" t="str">
        <x:v>Shared</x:v>
      </x:c>
      <x:c r="I189" s="48" t="n">
        <x:v>0.88</x:v>
      </x:c>
      <x:c r="J189" s="48" t="n">
        <x:v>0.6</x:v>
      </x:c>
      <x:c r="K189" s="48" t="str">
        <x:v>Yes</x:v>
      </x:c>
      <x:c r="L189" s="48" t="str">
        <x:v>PDF text</x:v>
      </x:c>
    </x:row>
    <x:row r="190">
      <x:c r="A190" s="48" t="str">
        <x:v>RED-0189</x:v>
      </x:c>
      <x:c r="B190" s="48" t="str">
        <x:v>RED</x:v>
      </x:c>
      <x:c r="C190" s="48" t="str">
        <x:v>English</x:v>
      </x:c>
      <x:c r="D190" s="48" t="n">
        <x:v>22</x:v>
      </x:c>
      <x:c r="E190" s="48" t="str"/>
      <x:c r="F190" s="48" t="str">
        <x:v>structure, plant or means of access, the Employer shall do so in the time and manner stated in the Specification.</x:v>
      </x:c>
      <x:c r="G190" s="48" t="str">
        <x:v>Obligation</x:v>
      </x:c>
      <x:c r="H190" s="48" t="str">
        <x:v>Employer</x:v>
      </x:c>
      <x:c r="I190" s="48" t="n">
        <x:v>0.88</x:v>
      </x:c>
      <x:c r="J190" s="48" t="n">
        <x:v>0.92</x:v>
      </x:c>
      <x:c r="K190" s="48" t="str">
        <x:v>No</x:v>
      </x:c>
      <x:c r="L190" s="48" t="str">
        <x:v>PDF text</x:v>
      </x:c>
    </x:row>
    <x:row r="191">
      <x:c r="A191" s="48" t="str">
        <x:v>RED-0190</x:v>
      </x:c>
      <x:c r="B191" s="48" t="str">
        <x:v>RED</x:v>
      </x:c>
      <x:c r="C191" s="48" t="str">
        <x:v>English</x:v>
      </x:c>
      <x:c r="D191" s="48" t="n">
        <x:v>22</x:v>
      </x:c>
      <x:c r="E191" s="48" t="str"/>
      <x:c r="F191" s="48" t="str">
        <x:v>However, the Employer may withhold any such right or possession until the Performance Security has been received.</x:v>
      </x:c>
      <x:c r="G191" s="48" t="str">
        <x:v>Right</x:v>
      </x:c>
      <x:c r="H191" s="48" t="str">
        <x:v>Employer</x:v>
      </x:c>
      <x:c r="I191" s="48" t="n">
        <x:v>0.78</x:v>
      </x:c>
      <x:c r="J191" s="48" t="n">
        <x:v>0.92</x:v>
      </x:c>
      <x:c r="K191" s="48" t="str">
        <x:v>No</x:v>
      </x:c>
      <x:c r="L191" s="48" t="str">
        <x:v>PDF text</x:v>
      </x:c>
    </x:row>
    <x:row r="192">
      <x:c r="A192" s="48" t="str">
        <x:v>RED-0191</x:v>
      </x:c>
      <x:c r="B192" s="48" t="str">
        <x:v>RED</x:v>
      </x:c>
      <x:c r="C192" s="48" t="str">
        <x:v>English</x:v>
      </x:c>
      <x:c r="D192" s="48" t="n">
        <x:v>22</x:v>
      </x:c>
      <x:c r="E192" s="48" t="str"/>
      <x:c r="F192" s="48" t="str">
        <x:v>If no such time is stated in the Contract Data, the Employer shall give the Contractor right of access to, and possession of, the Site within such times as may be required to enable the Contractor to proceed in accordance with the programme submitted under Sub-Clause 8.3 [Programme].</x:v>
      </x:c>
      <x:c r="G192" s="48" t="str">
        <x:v>Obligation</x:v>
      </x:c>
      <x:c r="H192" s="48" t="str">
        <x:v>Employer</x:v>
      </x:c>
      <x:c r="I192" s="48" t="n">
        <x:v>0.88</x:v>
      </x:c>
      <x:c r="J192" s="48" t="n">
        <x:v>0.92</x:v>
      </x:c>
      <x:c r="K192" s="48" t="str">
        <x:v>No</x:v>
      </x:c>
      <x:c r="L192" s="48" t="str">
        <x:v>PDF text</x:v>
      </x:c>
    </x:row>
    <x:row r="193">
      <x:c r="A193" s="48" t="str">
        <x:v>RED-0192</x:v>
      </x:c>
      <x:c r="B193" s="48" t="str">
        <x:v>RED</x:v>
      </x:c>
      <x:c r="C193" s="48" t="str">
        <x:v>English</x:v>
      </x:c>
      <x:c r="D193" s="48" t="n">
        <x:v>22</x:v>
      </x:c>
      <x:c r="E193" s="48" t="str"/>
      <x:c r="F193" s="48" t="str">
        <x:v>If the Contractor suffers delay and/or incurs Cost as a result of a failure by the Employer to give any such right or possession within such time, the Contractor shall give notice to the Engineer and shall be entitled subject to Sub-Clause 20.1 [Contractor’s Claims] to: (a) an extension of time for any such delay, if completion is or will be delayed, under Sub-Clause 8.4 [Extension of Time for Completion], and (a) payment of any such Cost plus profit, which shall be included in the Contract Price.</x:v>
      </x:c>
      <x:c r="G193" s="48" t="str">
        <x:v>Risk</x:v>
      </x:c>
      <x:c r="H193" s="48" t="str">
        <x:v>Employer</x:v>
      </x:c>
      <x:c r="I193" s="48" t="n">
        <x:v>0.78</x:v>
      </x:c>
      <x:c r="J193" s="48" t="n">
        <x:v>0.85</x:v>
      </x:c>
      <x:c r="K193" s="48" t="str">
        <x:v>No</x:v>
      </x:c>
      <x:c r="L193" s="48" t="str">
        <x:v>PDF text</x:v>
      </x:c>
    </x:row>
    <x:row r="194">
      <x:c r="A194" s="48" t="str">
        <x:v>RED-0193</x:v>
      </x:c>
      <x:c r="B194" s="48" t="str">
        <x:v>RED</x:v>
      </x:c>
      <x:c r="C194" s="48" t="str">
        <x:v>English</x:v>
      </x:c>
      <x:c r="D194" s="48" t="n">
        <x:v>22</x:v>
      </x:c>
      <x:c r="E194" s="48" t="str"/>
      <x:c r="F194" s="48" t="str">
        <x:v>After receiving this notice, the Engineer shall proceed in accordance with Sub-Clause</x:v>
      </x:c>
      <x:c r="G194" s="48" t="str">
        <x:v>Obligation</x:v>
      </x:c>
      <x:c r="H194" s="48" t="str">
        <x:v>Shared</x:v>
      </x:c>
      <x:c r="I194" s="48" t="n">
        <x:v>0.88</x:v>
      </x:c>
      <x:c r="J194" s="48" t="n">
        <x:v>0.4</x:v>
      </x:c>
      <x:c r="K194" s="48" t="str">
        <x:v>Yes</x:v>
      </x:c>
      <x:c r="L194" s="48" t="str">
        <x:v>PDF text</x:v>
      </x:c>
    </x:row>
    <x:row r="195">
      <x:c r="A195" s="48" t="str">
        <x:v>RED-0194</x:v>
      </x:c>
      <x:c r="B195" s="48" t="str">
        <x:v>RED</x:v>
      </x:c>
      <x:c r="C195" s="48" t="str">
        <x:v>English</x:v>
      </x:c>
      <x:c r="D195" s="48" t="n">
        <x:v>22</x:v>
      </x:c>
      <x:c r="E195" s="48" t="str">
        <x:v>3.5</x:v>
      </x:c>
      <x:c r="F195" s="48" t="str">
        <x:v>3.5 [Determinations] to agree or determine these matters.</x:v>
      </x:c>
      <x:c r="G195" s="48" t="str">
        <x:v>Obligation</x:v>
      </x:c>
      <x:c r="H195" s="48" t="str">
        <x:v>Shared</x:v>
      </x:c>
      <x:c r="I195" s="48" t="n">
        <x:v>0.45</x:v>
      </x:c>
      <x:c r="J195" s="48" t="n">
        <x:v>0.4</x:v>
      </x:c>
      <x:c r="K195" s="48" t="str">
        <x:v>Yes</x:v>
      </x:c>
      <x:c r="L195" s="48" t="str">
        <x:v>PDF text</x:v>
      </x:c>
    </x:row>
    <x:row r="196">
      <x:c r="A196" s="48" t="str">
        <x:v>RED-0195</x:v>
      </x:c>
      <x:c r="B196" s="48" t="str">
        <x:v>RED</x:v>
      </x:c>
      <x:c r="C196" s="48" t="str">
        <x:v>English</x:v>
      </x:c>
      <x:c r="D196" s="48" t="n">
        <x:v>22</x:v>
      </x:c>
      <x:c r="E196" s="48" t="str"/>
      <x:c r="F196" s="48" t="str">
        <x:v>However, if and to the extent that the Employer’s failure was caused by any error or delay by the Contractor, including an error in, or delay in the submission of, any of the</x:v>
      </x:c>
      <x:c r="G196" s="48" t="str">
        <x:v>Risk</x:v>
      </x:c>
      <x:c r="H196" s="48" t="str">
        <x:v>Shared</x:v>
      </x:c>
      <x:c r="I196" s="48" t="n">
        <x:v>0.78</x:v>
      </x:c>
      <x:c r="J196" s="48" t="n">
        <x:v>0.6</x:v>
      </x:c>
      <x:c r="K196" s="48" t="str">
        <x:v>Yes</x:v>
      </x:c>
      <x:c r="L196" s="48" t="str">
        <x:v>PDF text</x:v>
      </x:c>
    </x:row>
    <x:row r="197">
      <x:c r="A197" s="48" t="str">
        <x:v>RED-0196</x:v>
      </x:c>
      <x:c r="B197" s="48" t="str">
        <x:v>RED</x:v>
      </x:c>
      <x:c r="C197" s="48" t="str">
        <x:v>English</x:v>
      </x:c>
      <x:c r="D197" s="48" t="n">
        <x:v>22</x:v>
      </x:c>
      <x:c r="E197" s="48" t="str"/>
      <x:c r="F197" s="48" t="str">
        <x:v>The Employer shall (where he is in a position to do so) provide reasonable assistance to the Contractor at the request of the Contractor: (a) by obtaining copies of the Laws of the Country which are relevant to the</x:v>
      </x:c>
      <x:c r="G197" s="48" t="str">
        <x:v>Obligation</x:v>
      </x:c>
      <x:c r="H197" s="48" t="str">
        <x:v>Employer</x:v>
      </x:c>
      <x:c r="I197" s="48" t="n">
        <x:v>0.88</x:v>
      </x:c>
      <x:c r="J197" s="48" t="n">
        <x:v>0.92</x:v>
      </x:c>
      <x:c r="K197" s="48" t="str">
        <x:v>No</x:v>
      </x:c>
      <x:c r="L197" s="48" t="str">
        <x:v>PDF text</x:v>
      </x:c>
    </x:row>
    <x:row r="198">
      <x:c r="A198" s="48" t="str">
        <x:v>RED-0197</x:v>
      </x:c>
      <x:c r="B198" s="48" t="str">
        <x:v>RED</x:v>
      </x:c>
      <x:c r="C198" s="48" t="str">
        <x:v>English</x:v>
      </x:c>
      <x:c r="D198" s="48" t="n">
        <x:v>22</x:v>
      </x:c>
      <x:c r="E198" s="48" t="str"/>
      <x:c r="F198" s="48" t="str">
        <x:v>Contract but are not readily available, and</x:v>
      </x:c>
      <x:c r="G198" s="48" t="str">
        <x:v>Obligation</x:v>
      </x:c>
      <x:c r="H198" s="48" t="str">
        <x:v>Shared</x:v>
      </x:c>
      <x:c r="I198" s="48" t="n">
        <x:v>0.45</x:v>
      </x:c>
      <x:c r="J198" s="48" t="n">
        <x:v>0.4</x:v>
      </x:c>
      <x:c r="K198" s="48" t="str">
        <x:v>Yes</x:v>
      </x:c>
      <x:c r="L198" s="48" t="str">
        <x:v>PDF text</x:v>
      </x:c>
    </x:row>
    <x:row r="199">
      <x:c r="A199" s="48" t="str">
        <x:v>RED-0198</x:v>
      </x:c>
      <x:c r="B199" s="48" t="str">
        <x:v>RED</x:v>
      </x:c>
      <x:c r="C199" s="48" t="str">
        <x:v>English</x:v>
      </x:c>
      <x:c r="D199" s="48" t="n">
        <x:v>22</x:v>
      </x:c>
      <x:c r="E199" s="48" t="str"/>
      <x:c r="F199" s="48" t="str">
        <x:v>(b) for the Contractor’s applications for any permits, licences or approvals required by the Laws of the Country: (i) which the Contractor is required to obtain under Sub-Clause 1.13 [Compliance with Laws], (ii) for the delivery of Goods, including clearance through customs, and (iii) for the export of Contractor’s Equipment when it is removed from the Site.</x:v>
      </x:c>
      <x:c r="G199" s="48" t="str">
        <x:v>Obligation</x:v>
      </x:c>
      <x:c r="H199" s="48" t="str">
        <x:v>Contractor</x:v>
      </x:c>
      <x:c r="I199" s="48" t="n">
        <x:v>0.88</x:v>
      </x:c>
      <x:c r="J199" s="48" t="n">
        <x:v>0.68</x:v>
      </x:c>
      <x:c r="K199" s="48" t="str">
        <x:v>Yes</x:v>
      </x:c>
      <x:c r="L199" s="48" t="str">
        <x:v>PDF text</x:v>
      </x:c>
    </x:row>
    <x:row r="200">
      <x:c r="A200" s="48" t="str">
        <x:v>RED-0199</x:v>
      </x:c>
      <x:c r="B200" s="48" t="str">
        <x:v>RED</x:v>
      </x:c>
      <x:c r="C200" s="48" t="str">
        <x:v>English</x:v>
      </x:c>
      <x:c r="D200" s="48" t="n">
        <x:v>22</x:v>
      </x:c>
      <x:c r="E200" s="48" t="str"/>
      <x:c r="F200" s="48" t="str">
        <x:v>The Employer shall be responsible for ensuring that the Employer’s Personnel and the Employer’s other contractors on the Site: (a) co-operate with the Contractor’s efforts under Sub-Clause 4.6 [Co-operation], and (b) take actions similar to those which the Contractor is required to take under subparagraphs (a), (b) and (c) of Sub-Clause 4.8 [Safety Procedures] and under Sub-Clause 4.18 [Protection of the Environment].</x:v>
      </x:c>
      <x:c r="G200" s="48" t="str">
        <x:v>Obligation</x:v>
      </x:c>
      <x:c r="H200" s="48" t="str">
        <x:v>Employer</x:v>
      </x:c>
      <x:c r="I200" s="48" t="n">
        <x:v>0.88</x:v>
      </x:c>
      <x:c r="J200" s="48" t="n">
        <x:v>0.92</x:v>
      </x:c>
      <x:c r="K200" s="48" t="str">
        <x:v>No</x:v>
      </x:c>
      <x:c r="L200" s="48" t="str">
        <x:v>PDF text</x:v>
      </x:c>
    </x:row>
    <x:row r="201">
      <x:c r="A201" s="48" t="str">
        <x:v>RED-0200</x:v>
      </x:c>
      <x:c r="B201" s="48" t="str">
        <x:v>RED</x:v>
      </x:c>
      <x:c r="C201" s="48" t="str">
        <x:v>English</x:v>
      </x:c>
      <x:c r="D201" s="48" t="n">
        <x:v>22</x:v>
      </x:c>
      <x:c r="E201" s="48" t="str"/>
      <x:c r="F201" s="48" t="str">
        <x:v>Right of Access to</x:v>
      </x:c>
      <x:c r="G201" s="48" t="str">
        <x:v>Obligation</x:v>
      </x:c>
      <x:c r="H201" s="48" t="str">
        <x:v>Shared</x:v>
      </x:c>
      <x:c r="I201" s="48" t="n">
        <x:v>0.45</x:v>
      </x:c>
      <x:c r="J201" s="48" t="n">
        <x:v>0.4</x:v>
      </x:c>
      <x:c r="K201" s="48" t="str">
        <x:v>Yes</x:v>
      </x:c>
      <x:c r="L201" s="48" t="str">
        <x:v>PDF text</x:v>
      </x:c>
    </x:row>
    <x:row r="202">
      <x:c r="A202" s="48" t="str">
        <x:v>RED-0201</x:v>
      </x:c>
      <x:c r="B202" s="48" t="str">
        <x:v>RED</x:v>
      </x:c>
      <x:c r="C202" s="48" t="str">
        <x:v>English</x:v>
      </x:c>
      <x:c r="D202" s="48" t="n">
        <x:v>22</x:v>
      </x:c>
      <x:c r="E202" s="48" t="str"/>
      <x:c r="F202" s="48" t="str">
        <x:v>the Site 2.2</x:v>
      </x:c>
      <x:c r="G202" s="48" t="str">
        <x:v>Obligation</x:v>
      </x:c>
      <x:c r="H202" s="48" t="str">
        <x:v>Shared</x:v>
      </x:c>
      <x:c r="I202" s="48" t="n">
        <x:v>0.45</x:v>
      </x:c>
      <x:c r="J202" s="48" t="n">
        <x:v>0.4</x:v>
      </x:c>
      <x:c r="K202" s="48" t="str">
        <x:v>Yes</x:v>
      </x:c>
      <x:c r="L202" s="48" t="str">
        <x:v>PDF text</x:v>
      </x:c>
    </x:row>
    <x:row r="203">
      <x:c r="A203" s="48" t="str">
        <x:v>RED-0202</x:v>
      </x:c>
      <x:c r="B203" s="48" t="str">
        <x:v>RED</x:v>
      </x:c>
      <x:c r="C203" s="48" t="str">
        <x:v>English</x:v>
      </x:c>
      <x:c r="D203" s="48" t="n">
        <x:v>22</x:v>
      </x:c>
      <x:c r="E203" s="48" t="str"/>
      <x:c r="F203" s="48" t="str">
        <x:v>Permits, Licences or</x:v>
      </x:c>
      <x:c r="G203" s="48" t="str">
        <x:v>Obligation</x:v>
      </x:c>
      <x:c r="H203" s="48" t="str">
        <x:v>Shared</x:v>
      </x:c>
      <x:c r="I203" s="48" t="n">
        <x:v>0.45</x:v>
      </x:c>
      <x:c r="J203" s="48" t="n">
        <x:v>0.4</x:v>
      </x:c>
      <x:c r="K203" s="48" t="str">
        <x:v>Yes</x:v>
      </x:c>
      <x:c r="L203" s="48" t="str">
        <x:v>PDF text</x:v>
      </x:c>
    </x:row>
    <x:row r="204">
      <x:c r="A204" s="48" t="str">
        <x:v>RED-0203</x:v>
      </x:c>
      <x:c r="B204" s="48" t="str">
        <x:v>RED</x:v>
      </x:c>
      <x:c r="C204" s="48" t="str">
        <x:v>English</x:v>
      </x:c>
      <x:c r="D204" s="48" t="n">
        <x:v>22</x:v>
      </x:c>
      <x:c r="E204" s="48" t="str"/>
      <x:c r="F204" s="48" t="str">
        <x:v>Approvals</x:v>
      </x:c>
      <x:c r="G204" s="48" t="str">
        <x:v>Obligation</x:v>
      </x:c>
      <x:c r="H204" s="48" t="str">
        <x:v>Shared</x:v>
      </x:c>
      <x:c r="I204" s="48" t="n">
        <x:v>0.45</x:v>
      </x:c>
      <x:c r="J204" s="48" t="n">
        <x:v>0.4</x:v>
      </x:c>
      <x:c r="K204" s="48" t="str">
        <x:v>Yes</x:v>
      </x:c>
      <x:c r="L204" s="48" t="str">
        <x:v>PDF text</x:v>
      </x:c>
    </x:row>
    <x:row r="205">
      <x:c r="A205" s="48" t="str">
        <x:v>RED-0204</x:v>
      </x:c>
      <x:c r="B205" s="48" t="str">
        <x:v>RED</x:v>
      </x:c>
      <x:c r="C205" s="48" t="str">
        <x:v>English</x:v>
      </x:c>
      <x:c r="D205" s="48" t="n">
        <x:v>22</x:v>
      </x:c>
      <x:c r="E205" s="48" t="str"/>
      <x:c r="F205" s="48" t="str">
        <x:v>Employer’s Personnel</x:v>
      </x:c>
      <x:c r="G205" s="48" t="str">
        <x:v>Obligation</x:v>
      </x:c>
      <x:c r="H205" s="48" t="str">
        <x:v>Employer</x:v>
      </x:c>
      <x:c r="I205" s="48" t="n">
        <x:v>0.45</x:v>
      </x:c>
      <x:c r="J205" s="48" t="n">
        <x:v>0.68</x:v>
      </x:c>
      <x:c r="K205" s="48" t="str">
        <x:v>Yes</x:v>
      </x:c>
      <x:c r="L205" s="48" t="str">
        <x:v>PDF text</x:v>
      </x:c>
    </x:row>
    <x:row r="206">
      <x:c r="A206" s="48" t="str">
        <x:v>RED-0205</x:v>
      </x:c>
      <x:c r="B206" s="48" t="str">
        <x:v>RED</x:v>
      </x:c>
      <x:c r="C206" s="48" t="str">
        <x:v>English</x:v>
      </x:c>
      <x:c r="D206" s="48" t="n">
        <x:v>22</x:v>
      </x:c>
      <x:c r="E206" s="48" t="str"/>
      <x:c r="F206" s="48" t="str">
        <x:v>The Employer</x:v>
      </x:c>
      <x:c r="G206" s="48" t="str">
        <x:v>Obligation</x:v>
      </x:c>
      <x:c r="H206" s="48" t="str">
        <x:v>Employer</x:v>
      </x:c>
      <x:c r="I206" s="48" t="n">
        <x:v>0.45</x:v>
      </x:c>
      <x:c r="J206" s="48" t="n">
        <x:v>0.68</x:v>
      </x:c>
      <x:c r="K206" s="48" t="str">
        <x:v>Yes</x:v>
      </x:c>
      <x:c r="L206" s="48" t="str">
        <x:v>PDF text</x:v>
      </x:c>
    </x:row>
    <x:row r="207">
      <x:c r="A207" s="48" t="str">
        <x:v>RED-0206</x:v>
      </x:c>
      <x:c r="B207" s="48" t="str">
        <x:v>RED</x:v>
      </x:c>
      <x:c r="C207" s="48" t="str">
        <x:v>English</x:v>
      </x:c>
      <x:c r="D207" s="48" t="n">
        <x:v>23</x:v>
      </x:c>
      <x:c r="E207" s="48" t="str"/>
      <x:c r="F207" s="48" t="str">
        <x:v>The Employer shall submit, within 28 days after receiving any request from the Contractor, reasonable evidence that financial arrangements have been made and are being maintained which will enable the Employer to pay the Contract Price (as estimated at that time) in accordance with Clause 14 [Contract Price and Payment].</x:v>
      </x:c>
      <x:c r="G207" s="48" t="str">
        <x:v>Obligation</x:v>
      </x:c>
      <x:c r="H207" s="48" t="str">
        <x:v>Employer</x:v>
      </x:c>
      <x:c r="I207" s="48" t="n">
        <x:v>0.88</x:v>
      </x:c>
      <x:c r="J207" s="48" t="n">
        <x:v>0.92</x:v>
      </x:c>
      <x:c r="K207" s="48" t="str">
        <x:v>No</x:v>
      </x:c>
      <x:c r="L207" s="48" t="str">
        <x:v>PDF text</x:v>
      </x:c>
    </x:row>
    <x:row r="208">
      <x:c r="A208" s="48" t="str">
        <x:v>RED-0207</x:v>
      </x:c>
      <x:c r="B208" s="48" t="str">
        <x:v>RED</x:v>
      </x:c>
      <x:c r="C208" s="48" t="str">
        <x:v>English</x:v>
      </x:c>
      <x:c r="D208" s="48" t="n">
        <x:v>23</x:v>
      </x:c>
      <x:c r="E208" s="48" t="str"/>
      <x:c r="F208" s="48" t="str">
        <x:v>Before the Employer makes any material change to his financial arrangements, the</x:v>
      </x:c>
      <x:c r="G208" s="48" t="str">
        <x:v>Obligation</x:v>
      </x:c>
      <x:c r="H208" s="48" t="str">
        <x:v>Employer</x:v>
      </x:c>
      <x:c r="I208" s="48" t="n">
        <x:v>0.45</x:v>
      </x:c>
      <x:c r="J208" s="48" t="n">
        <x:v>0.68</x:v>
      </x:c>
      <x:c r="K208" s="48" t="str">
        <x:v>Yes</x:v>
      </x:c>
      <x:c r="L208" s="48" t="str">
        <x:v>PDF text</x:v>
      </x:c>
    </x:row>
    <x:row r="209">
      <x:c r="A209" s="48" t="str">
        <x:v>RED-0208</x:v>
      </x:c>
      <x:c r="B209" s="48" t="str">
        <x:v>RED</x:v>
      </x:c>
      <x:c r="C209" s="48" t="str">
        <x:v>English</x:v>
      </x:c>
      <x:c r="D209" s="48" t="n">
        <x:v>23</x:v>
      </x:c>
      <x:c r="E209" s="48" t="str"/>
      <x:c r="F209" s="48" t="str">
        <x:v>Employer shall give notice to the Contractor with detailed particulars.</x:v>
      </x:c>
      <x:c r="G209" s="48" t="str">
        <x:v>Obligation</x:v>
      </x:c>
      <x:c r="H209" s="48" t="str">
        <x:v>Shared</x:v>
      </x:c>
      <x:c r="I209" s="48" t="n">
        <x:v>0.88</x:v>
      </x:c>
      <x:c r="J209" s="48" t="n">
        <x:v>0.6</x:v>
      </x:c>
      <x:c r="K209" s="48" t="str">
        <x:v>Yes</x:v>
      </x:c>
      <x:c r="L209" s="48" t="str">
        <x:v>PDF text</x:v>
      </x:c>
    </x:row>
    <x:row r="210">
      <x:c r="A210" s="48" t="str">
        <x:v>RED-0209</x:v>
      </x:c>
      <x:c r="B210" s="48" t="str">
        <x:v>RED</x:v>
      </x:c>
      <x:c r="C210" s="48" t="str">
        <x:v>English</x:v>
      </x:c>
      <x:c r="D210" s="48" t="n">
        <x:v>23</x:v>
      </x:c>
      <x:c r="E210" s="48" t="str"/>
      <x:c r="F210" s="48" t="str">
        <x:v>In addition, if the Bank has notified to the Borrower that the Bank has suspended</x:v>
      </x:c>
      <x:c r="G210" s="48" t="str">
        <x:v>Obligation</x:v>
      </x:c>
      <x:c r="H210" s="48" t="str">
        <x:v>Shared</x:v>
      </x:c>
      <x:c r="I210" s="48" t="n">
        <x:v>0.45</x:v>
      </x:c>
      <x:c r="J210" s="48" t="n">
        <x:v>0.4</x:v>
      </x:c>
      <x:c r="K210" s="48" t="str">
        <x:v>Yes</x:v>
      </x:c>
      <x:c r="L210" s="48" t="str">
        <x:v>PDF text</x:v>
      </x:c>
    </x:row>
    <x:row r="211">
      <x:c r="A211" s="48" t="str">
        <x:v>RED-0210</x:v>
      </x:c>
      <x:c r="B211" s="48" t="str">
        <x:v>RED</x:v>
      </x:c>
      <x:c r="C211" s="48" t="str">
        <x:v>English</x:v>
      </x:c>
      <x:c r="D211" s="48" t="n">
        <x:v>23</x:v>
      </x:c>
      <x:c r="E211" s="48" t="str"/>
      <x:c r="F211" s="48" t="str">
        <x:v>disbursements under its loan, which finances in whole or in part the execution of the</x:v>
      </x:c>
      <x:c r="G211" s="48" t="str">
        <x:v>Obligation</x:v>
      </x:c>
      <x:c r="H211" s="48" t="str">
        <x:v>Shared</x:v>
      </x:c>
      <x:c r="I211" s="48" t="n">
        <x:v>0.45</x:v>
      </x:c>
      <x:c r="J211" s="48" t="n">
        <x:v>0.4</x:v>
      </x:c>
      <x:c r="K211" s="48" t="str">
        <x:v>Yes</x:v>
      </x:c>
      <x:c r="L211" s="48" t="str">
        <x:v>PDF text</x:v>
      </x:c>
    </x:row>
    <x:row r="212">
      <x:c r="A212" s="48" t="str">
        <x:v>RED-0211</x:v>
      </x:c>
      <x:c r="B212" s="48" t="str">
        <x:v>RED</x:v>
      </x:c>
      <x:c r="C212" s="48" t="str">
        <x:v>English</x:v>
      </x:c>
      <x:c r="D212" s="48" t="n">
        <x:v>23</x:v>
      </x:c>
      <x:c r="E212" s="48" t="str"/>
      <x:c r="F212" s="48" t="str">
        <x:v>Works, the Employer shall give notice of such suspension to the Contractor with</x:v>
      </x:c>
      <x:c r="G212" s="48" t="str">
        <x:v>Obligation</x:v>
      </x:c>
      <x:c r="H212" s="48" t="str">
        <x:v>Employer</x:v>
      </x:c>
      <x:c r="I212" s="48" t="n">
        <x:v>0.88</x:v>
      </x:c>
      <x:c r="J212" s="48" t="n">
        <x:v>0.92</x:v>
      </x:c>
      <x:c r="K212" s="48" t="str">
        <x:v>No</x:v>
      </x:c>
      <x:c r="L212" s="48" t="str">
        <x:v>PDF text</x:v>
      </x:c>
    </x:row>
    <x:row r="213">
      <x:c r="A213" s="48" t="str">
        <x:v>RED-0212</x:v>
      </x:c>
      <x:c r="B213" s="48" t="str">
        <x:v>RED</x:v>
      </x:c>
      <x:c r="C213" s="48" t="str">
        <x:v>English</x:v>
      </x:c>
      <x:c r="D213" s="48" t="n">
        <x:v>23</x:v>
      </x:c>
      <x:c r="E213" s="48" t="str"/>
      <x:c r="F213" s="48" t="str">
        <x:v>detailed particulars, including the date of such notification, with a copy to the Engineer, within 7 days of the Borrower having received the suspension notification from the Bank.</x:v>
      </x:c>
      <x:c r="G213" s="48" t="str">
        <x:v>Obligation</x:v>
      </x:c>
      <x:c r="H213" s="48" t="str">
        <x:v>Shared</x:v>
      </x:c>
      <x:c r="I213" s="48" t="n">
        <x:v>0.45</x:v>
      </x:c>
      <x:c r="J213" s="48" t="n">
        <x:v>0.4</x:v>
      </x:c>
      <x:c r="K213" s="48" t="str">
        <x:v>Yes</x:v>
      </x:c>
      <x:c r="L213" s="48" t="str">
        <x:v>PDF text</x:v>
      </x:c>
    </x:row>
    <x:row r="214">
      <x:c r="A214" s="48" t="str">
        <x:v>RED-0213</x:v>
      </x:c>
      <x:c r="B214" s="48" t="str">
        <x:v>RED</x:v>
      </x:c>
      <x:c r="C214" s="48" t="str">
        <x:v>English</x:v>
      </x:c>
      <x:c r="D214" s="48" t="n">
        <x:v>23</x:v>
      </x:c>
      <x:c r="E214" s="48" t="str"/>
      <x:c r="F214" s="48" t="str">
        <x:v>If alternative funds will be available in appropriate currencies to the Employer to continue making payments to the Contractor beyond a date 60 days after the date of Bank notification of the suspension, the Employer shall provide reasonable evidence in such notice of the extent to which such funds will be available.</x:v>
      </x:c>
      <x:c r="G214" s="48" t="str">
        <x:v>Obligation</x:v>
      </x:c>
      <x:c r="H214" s="48" t="str">
        <x:v>Employer</x:v>
      </x:c>
      <x:c r="I214" s="48" t="n">
        <x:v>0.88</x:v>
      </x:c>
      <x:c r="J214" s="48" t="n">
        <x:v>0.92</x:v>
      </x:c>
      <x:c r="K214" s="48" t="str">
        <x:v>No</x:v>
      </x:c>
      <x:c r="L214" s="48" t="str">
        <x:v>PDF text</x:v>
      </x:c>
    </x:row>
    <x:row r="215">
      <x:c r="A215" s="48" t="str">
        <x:v>RED-0214</x:v>
      </x:c>
      <x:c r="B215" s="48" t="str">
        <x:v>RED</x:v>
      </x:c>
      <x:c r="C215" s="48" t="str">
        <x:v>English</x:v>
      </x:c>
      <x:c r="D215" s="48" t="n">
        <x:v>23</x:v>
      </x:c>
      <x:c r="E215" s="48" t="str"/>
      <x:c r="F215" s="48" t="str">
        <x:v>If the Employer considers himself to be entitled to any payment under any Clause of these Conditions or otherwise in connection with the Contract, and/or to any extension of the Defects Notification Period, the Employer or the Engineer shall give notice and particulars to the Contractor.</x:v>
      </x:c>
      <x:c r="G215" s="48" t="str">
        <x:v>Obligation</x:v>
      </x:c>
      <x:c r="H215" s="48" t="str">
        <x:v>Shared</x:v>
      </x:c>
      <x:c r="I215" s="48" t="n">
        <x:v>0.88</x:v>
      </x:c>
      <x:c r="J215" s="48" t="n">
        <x:v>0.6</x:v>
      </x:c>
      <x:c r="K215" s="48" t="str">
        <x:v>Yes</x:v>
      </x:c>
      <x:c r="L215" s="48" t="str">
        <x:v>PDF text</x:v>
      </x:c>
    </x:row>
    <x:row r="216">
      <x:c r="A216" s="48" t="str">
        <x:v>RED-0215</x:v>
      </x:c>
      <x:c r="B216" s="48" t="str">
        <x:v>RED</x:v>
      </x:c>
      <x:c r="C216" s="48" t="str">
        <x:v>English</x:v>
      </x:c>
      <x:c r="D216" s="48" t="n">
        <x:v>23</x:v>
      </x:c>
      <x:c r="E216" s="48" t="str"/>
      <x:c r="F216" s="48" t="str">
        <x:v>However, notice is not required for payments due under Sub-Clause 4.19 [Electricity, Water and Gas], under Sub-Clause 4.20 [Employer’s Equipment and Free-Issue Material], or for other services requested by the Contractor.</x:v>
      </x:c>
      <x:c r="G216" s="48" t="str">
        <x:v>Obligation</x:v>
      </x:c>
      <x:c r="H216" s="48" t="str">
        <x:v>Shared</x:v>
      </x:c>
      <x:c r="I216" s="48" t="n">
        <x:v>0.55</x:v>
      </x:c>
      <x:c r="J216" s="48" t="n">
        <x:v>0.6</x:v>
      </x:c>
      <x:c r="K216" s="48" t="str">
        <x:v>Yes</x:v>
      </x:c>
      <x:c r="L216" s="48" t="str">
        <x:v>PDF text</x:v>
      </x:c>
    </x:row>
    <x:row r="217">
      <x:c r="A217" s="48" t="str">
        <x:v>RED-0216</x:v>
      </x:c>
      <x:c r="B217" s="48" t="str">
        <x:v>RED</x:v>
      </x:c>
      <x:c r="C217" s="48" t="str">
        <x:v>English</x:v>
      </x:c>
      <x:c r="D217" s="48" t="n">
        <x:v>23</x:v>
      </x:c>
      <x:c r="E217" s="48" t="str"/>
      <x:c r="F217" s="48" t="str">
        <x:v>The notice shall be given as soon as practicable after the Employer became aware, or should have become aware, of the event or circumstances giving rise to the claim.</x:v>
      </x:c>
      <x:c r="G217" s="48" t="str">
        <x:v>Obligation</x:v>
      </x:c>
      <x:c r="H217" s="48" t="str">
        <x:v>Employer</x:v>
      </x:c>
      <x:c r="I217" s="48" t="n">
        <x:v>0.88</x:v>
      </x:c>
      <x:c r="J217" s="48" t="n">
        <x:v>0.68</x:v>
      </x:c>
      <x:c r="K217" s="48" t="str">
        <x:v>Yes</x:v>
      </x:c>
      <x:c r="L217" s="48" t="str">
        <x:v>PDF text</x:v>
      </x:c>
    </x:row>
    <x:row r="218">
      <x:c r="A218" s="48" t="str">
        <x:v>RED-0217</x:v>
      </x:c>
      <x:c r="B218" s="48" t="str">
        <x:v>RED</x:v>
      </x:c>
      <x:c r="C218" s="48" t="str">
        <x:v>English</x:v>
      </x:c>
      <x:c r="D218" s="48" t="n">
        <x:v>23</x:v>
      </x:c>
      <x:c r="E218" s="48" t="str"/>
      <x:c r="F218" s="48" t="str">
        <x:v>A notice relating to any extension of the Defects Notification Period shall be given before the expiry of such period.</x:v>
      </x:c>
      <x:c r="G218" s="48" t="str">
        <x:v>Obligation</x:v>
      </x:c>
      <x:c r="H218" s="48" t="str">
        <x:v>Shared</x:v>
      </x:c>
      <x:c r="I218" s="48" t="n">
        <x:v>0.88</x:v>
      </x:c>
      <x:c r="J218" s="48" t="n">
        <x:v>0.4</x:v>
      </x:c>
      <x:c r="K218" s="48" t="str">
        <x:v>Yes</x:v>
      </x:c>
      <x:c r="L218" s="48" t="str">
        <x:v>PDF text</x:v>
      </x:c>
    </x:row>
    <x:row r="219">
      <x:c r="A219" s="48" t="str">
        <x:v>RED-0218</x:v>
      </x:c>
      <x:c r="B219" s="48" t="str">
        <x:v>RED</x:v>
      </x:c>
      <x:c r="C219" s="48" t="str">
        <x:v>English</x:v>
      </x:c>
      <x:c r="D219" s="48" t="n">
        <x:v>23</x:v>
      </x:c>
      <x:c r="E219" s="48" t="str"/>
      <x:c r="F219" s="48" t="str">
        <x:v>The particulars shall specify the Clause or other basis of the claim, and shall include substantiation of the amount and/or extension to which the Employer considers himself to be entitled in connection with the Contract.</x:v>
      </x:c>
      <x:c r="G219" s="48" t="str">
        <x:v>Obligation</x:v>
      </x:c>
      <x:c r="H219" s="48" t="str">
        <x:v>Employer</x:v>
      </x:c>
      <x:c r="I219" s="48" t="n">
        <x:v>0.88</x:v>
      </x:c>
      <x:c r="J219" s="48" t="n">
        <x:v>0.68</x:v>
      </x:c>
      <x:c r="K219" s="48" t="str">
        <x:v>Yes</x:v>
      </x:c>
      <x:c r="L219" s="48" t="str">
        <x:v>PDF text</x:v>
      </x:c>
    </x:row>
    <x:row r="220">
      <x:c r="A220" s="48" t="str">
        <x:v>RED-0219</x:v>
      </x:c>
      <x:c r="B220" s="48" t="str">
        <x:v>RED</x:v>
      </x:c>
      <x:c r="C220" s="48" t="str">
        <x:v>English</x:v>
      </x:c>
      <x:c r="D220" s="48" t="n">
        <x:v>23</x:v>
      </x:c>
      <x:c r="E220" s="48" t="str"/>
      <x:c r="F220" s="48" t="str">
        <x:v>The Engineer shall then proceed in accordance with Sub-Clause 3.5 [Determinations] to agree or determine (i) the amount (if any) which the Employer is entitled to be paid by the Contractor, and/or (ii) the extension (if any) of the Defects Notification Period in accordance with Sub-Clause</x:v>
      </x:c>
      <x:c r="G220" s="48" t="str">
        <x:v>Obligation</x:v>
      </x:c>
      <x:c r="H220" s="48" t="str">
        <x:v>Shared</x:v>
      </x:c>
      <x:c r="I220" s="48" t="n">
        <x:v>0.88</x:v>
      </x:c>
      <x:c r="J220" s="48" t="n">
        <x:v>0.6</x:v>
      </x:c>
      <x:c r="K220" s="48" t="str">
        <x:v>Yes</x:v>
      </x:c>
      <x:c r="L220" s="48" t="str">
        <x:v>PDF text</x:v>
      </x:c>
    </x:row>
    <x:row r="221">
      <x:c r="A221" s="48" t="str">
        <x:v>RED-0220</x:v>
      </x:c>
      <x:c r="B221" s="48" t="str">
        <x:v>RED</x:v>
      </x:c>
      <x:c r="C221" s="48" t="str">
        <x:v>English</x:v>
      </x:c>
      <x:c r="D221" s="48" t="n">
        <x:v>23</x:v>
      </x:c>
      <x:c r="E221" s="48" t="str">
        <x:v>11.3</x:v>
      </x:c>
      <x:c r="F221" s="48" t="str">
        <x:v>11.3 [Extension of Defects Notification Period].</x:v>
      </x:c>
      <x:c r="G221" s="48" t="str">
        <x:v>Obligation</x:v>
      </x:c>
      <x:c r="H221" s="48" t="str">
        <x:v>Shared</x:v>
      </x:c>
      <x:c r="I221" s="48" t="n">
        <x:v>0.45</x:v>
      </x:c>
      <x:c r="J221" s="48" t="n">
        <x:v>0.4</x:v>
      </x:c>
      <x:c r="K221" s="48" t="str">
        <x:v>Yes</x:v>
      </x:c>
      <x:c r="L221" s="48" t="str">
        <x:v>PDF text</x:v>
      </x:c>
    </x:row>
    <x:row r="222">
      <x:c r="A222" s="48" t="str">
        <x:v>RED-0221</x:v>
      </x:c>
      <x:c r="B222" s="48" t="str">
        <x:v>RED</x:v>
      </x:c>
      <x:c r="C222" s="48" t="str">
        <x:v>English</x:v>
      </x:c>
      <x:c r="D222" s="48" t="n">
        <x:v>23</x:v>
      </x:c>
      <x:c r="E222" s="48" t="str"/>
      <x:c r="F222" s="48" t="str">
        <x:v>This amount may be included as a deduction in the Contract Price and Payment</x:v>
      </x:c>
      <x:c r="G222" s="48" t="str">
        <x:v>Right</x:v>
      </x:c>
      <x:c r="H222" s="48" t="str">
        <x:v>Shared</x:v>
      </x:c>
      <x:c r="I222" s="48" t="n">
        <x:v>0.78</x:v>
      </x:c>
      <x:c r="J222" s="48" t="n">
        <x:v>0.4</x:v>
      </x:c>
      <x:c r="K222" s="48" t="str">
        <x:v>Yes</x:v>
      </x:c>
      <x:c r="L222" s="48" t="str">
        <x:v>PDF text</x:v>
      </x:c>
    </x:row>
    <x:row r="223">
      <x:c r="A223" s="48" t="str">
        <x:v>RED-0222</x:v>
      </x:c>
      <x:c r="B223" s="48" t="str">
        <x:v>RED</x:v>
      </x:c>
      <x:c r="C223" s="48" t="str">
        <x:v>English</x:v>
      </x:c>
      <x:c r="D223" s="48" t="n">
        <x:v>23</x:v>
      </x:c>
      <x:c r="E223" s="48" t="str"/>
      <x:c r="F223" s="48" t="str">
        <x:v>Certificates.</x:v>
      </x:c>
      <x:c r="G223" s="48" t="str">
        <x:v>Obligation</x:v>
      </x:c>
      <x:c r="H223" s="48" t="str">
        <x:v>Shared</x:v>
      </x:c>
      <x:c r="I223" s="48" t="n">
        <x:v>0.45</x:v>
      </x:c>
      <x:c r="J223" s="48" t="n">
        <x:v>0.4</x:v>
      </x:c>
      <x:c r="K223" s="48" t="str">
        <x:v>Yes</x:v>
      </x:c>
      <x:c r="L223" s="48" t="str">
        <x:v>PDF text</x:v>
      </x:c>
    </x:row>
    <x:row r="224">
      <x:c r="A224" s="48" t="str">
        <x:v>RED-0223</x:v>
      </x:c>
      <x:c r="B224" s="48" t="str">
        <x:v>RED</x:v>
      </x:c>
      <x:c r="C224" s="48" t="str">
        <x:v>English</x:v>
      </x:c>
      <x:c r="D224" s="48" t="n">
        <x:v>23</x:v>
      </x:c>
      <x:c r="E224" s="48" t="str"/>
      <x:c r="F224" s="48" t="str">
        <x:v>The Employer shall only be entitled to set off against or make any deduction from an amount certified in a Payment Certificate, or to otherwise claim against the Contractor, in accordance with this Sub-Clause.</x:v>
      </x:c>
      <x:c r="G224" s="48" t="str">
        <x:v>Obligation</x:v>
      </x:c>
      <x:c r="H224" s="48" t="str">
        <x:v>Employer</x:v>
      </x:c>
      <x:c r="I224" s="48" t="n">
        <x:v>0.88</x:v>
      </x:c>
      <x:c r="J224" s="48" t="n">
        <x:v>0.92</x:v>
      </x:c>
      <x:c r="K224" s="48" t="str">
        <x:v>No</x:v>
      </x:c>
      <x:c r="L224" s="48" t="str">
        <x:v>PDF text</x:v>
      </x:c>
    </x:row>
    <x:row r="225">
      <x:c r="A225" s="48" t="str">
        <x:v>RED-0224</x:v>
      </x:c>
      <x:c r="B225" s="48" t="str">
        <x:v>RED</x:v>
      </x:c>
      <x:c r="C225" s="48" t="str">
        <x:v>English</x:v>
      </x:c>
      <x:c r="D225" s="48" t="n">
        <x:v>23</x:v>
      </x:c>
      <x:c r="E225" s="48" t="str"/>
      <x:c r="F225" s="48" t="str">
        <x:v>The Employer shall appoint the Engineer who shall carry out the duties assigned to him in the Contract.</x:v>
      </x:c>
      <x:c r="G225" s="48" t="str">
        <x:v>Obligation</x:v>
      </x:c>
      <x:c r="H225" s="48" t="str">
        <x:v>Employer</x:v>
      </x:c>
      <x:c r="I225" s="48" t="n">
        <x:v>0.88</x:v>
      </x:c>
      <x:c r="J225" s="48" t="n">
        <x:v>0.92</x:v>
      </x:c>
      <x:c r="K225" s="48" t="str">
        <x:v>No</x:v>
      </x:c>
      <x:c r="L225" s="48" t="str">
        <x:v>PDF text</x:v>
      </x:c>
    </x:row>
    <x:row r="226">
      <x:c r="A226" s="48" t="str">
        <x:v>RED-0225</x:v>
      </x:c>
      <x:c r="B226" s="48" t="str">
        <x:v>RED</x:v>
      </x:c>
      <x:c r="C226" s="48" t="str">
        <x:v>English</x:v>
      </x:c>
      <x:c r="D226" s="48" t="n">
        <x:v>23</x:v>
      </x:c>
      <x:c r="E226" s="48" t="str"/>
      <x:c r="F226" s="48" t="str">
        <x:v>The Engineer’s staff shall include suitably qualified engineers and other professionals who are competent to carry out these duties.</x:v>
      </x:c>
      <x:c r="G226" s="48" t="str">
        <x:v>Obligation</x:v>
      </x:c>
      <x:c r="H226" s="48" t="str">
        <x:v>Shared</x:v>
      </x:c>
      <x:c r="I226" s="48" t="n">
        <x:v>0.88</x:v>
      </x:c>
      <x:c r="J226" s="48" t="n">
        <x:v>0.4</x:v>
      </x:c>
      <x:c r="K226" s="48" t="str">
        <x:v>Yes</x:v>
      </x:c>
      <x:c r="L226" s="48" t="str">
        <x:v>PDF text</x:v>
      </x:c>
    </x:row>
    <x:row r="227">
      <x:c r="A227" s="48" t="str">
        <x:v>RED-0226</x:v>
      </x:c>
      <x:c r="B227" s="48" t="str">
        <x:v>RED</x:v>
      </x:c>
      <x:c r="C227" s="48" t="str">
        <x:v>English</x:v>
      </x:c>
      <x:c r="D227" s="48" t="n">
        <x:v>23</x:v>
      </x:c>
      <x:c r="E227" s="48" t="str"/>
      <x:c r="F227" s="48" t="str">
        <x:v>The Engineer shall have no authority to amend the Contract.</x:v>
      </x:c>
      <x:c r="G227" s="48" t="str">
        <x:v>Obligation</x:v>
      </x:c>
      <x:c r="H227" s="48" t="str">
        <x:v>Shared</x:v>
      </x:c>
      <x:c r="I227" s="48" t="n">
        <x:v>0.88</x:v>
      </x:c>
      <x:c r="J227" s="48" t="n">
        <x:v>0.4</x:v>
      </x:c>
      <x:c r="K227" s="48" t="str">
        <x:v>Yes</x:v>
      </x:c>
      <x:c r="L227" s="48" t="str">
        <x:v>PDF text</x:v>
      </x:c>
    </x:row>
    <x:row r="228">
      <x:c r="A228" s="48" t="str">
        <x:v>RED-0227</x:v>
      </x:c>
      <x:c r="B228" s="48" t="str">
        <x:v>RED</x:v>
      </x:c>
      <x:c r="C228" s="48" t="str">
        <x:v>English</x:v>
      </x:c>
      <x:c r="D228" s="48" t="n">
        <x:v>23</x:v>
      </x:c>
      <x:c r="E228" s="48" t="str"/>
      <x:c r="F228" s="48" t="str">
        <x:v>The Engineer may exercise the authority attributable to the Engineer as specified in or necessarily to be implied from the Contract.</x:v>
      </x:c>
      <x:c r="G228" s="48" t="str">
        <x:v>Right</x:v>
      </x:c>
      <x:c r="H228" s="48" t="str">
        <x:v>Shared</x:v>
      </x:c>
      <x:c r="I228" s="48" t="n">
        <x:v>0.78</x:v>
      </x:c>
      <x:c r="J228" s="48" t="n">
        <x:v>0.4</x:v>
      </x:c>
      <x:c r="K228" s="48" t="str">
        <x:v>Yes</x:v>
      </x:c>
      <x:c r="L228" s="48" t="str">
        <x:v>PDF text</x:v>
      </x:c>
    </x:row>
    <x:row r="229">
      <x:c r="A229" s="48" t="str">
        <x:v>RED-0228</x:v>
      </x:c>
      <x:c r="B229" s="48" t="str">
        <x:v>RED</x:v>
      </x:c>
      <x:c r="C229" s="48" t="str">
        <x:v>English</x:v>
      </x:c>
      <x:c r="D229" s="48" t="n">
        <x:v>23</x:v>
      </x:c>
      <x:c r="E229" s="48" t="str"/>
      <x:c r="F229" s="48" t="str">
        <x:v>If the Engineer is required to obtain the 2.4</x:v>
      </x:c>
      <x:c r="G229" s="48" t="str">
        <x:v>Obligation</x:v>
      </x:c>
      <x:c r="H229" s="48" t="str">
        <x:v>Shared</x:v>
      </x:c>
      <x:c r="I229" s="48" t="n">
        <x:v>0.88</x:v>
      </x:c>
      <x:c r="J229" s="48" t="n">
        <x:v>0.4</x:v>
      </x:c>
      <x:c r="K229" s="48" t="str">
        <x:v>Yes</x:v>
      </x:c>
      <x:c r="L229" s="48" t="str">
        <x:v>PDF text</x:v>
      </x:c>
    </x:row>
    <x:row r="230">
      <x:c r="A230" s="48" t="str">
        <x:v>RED-0229</x:v>
      </x:c>
      <x:c r="B230" s="48" t="str">
        <x:v>RED</x:v>
      </x:c>
      <x:c r="C230" s="48" t="str">
        <x:v>English</x:v>
      </x:c>
      <x:c r="D230" s="48" t="n">
        <x:v>23</x:v>
      </x:c>
      <x:c r="E230" s="48" t="str"/>
      <x:c r="F230" s="48" t="str">
        <x:v>Employer’s Financial</x:v>
      </x:c>
      <x:c r="G230" s="48" t="str">
        <x:v>Obligation</x:v>
      </x:c>
      <x:c r="H230" s="48" t="str">
        <x:v>Employer</x:v>
      </x:c>
      <x:c r="I230" s="48" t="n">
        <x:v>0.45</x:v>
      </x:c>
      <x:c r="J230" s="48" t="n">
        <x:v>0.68</x:v>
      </x:c>
      <x:c r="K230" s="48" t="str">
        <x:v>Yes</x:v>
      </x:c>
      <x:c r="L230" s="48" t="str">
        <x:v>PDF text</x:v>
      </x:c>
    </x:row>
    <x:row r="231">
      <x:c r="A231" s="48" t="str">
        <x:v>RED-0230</x:v>
      </x:c>
      <x:c r="B231" s="48" t="str">
        <x:v>RED</x:v>
      </x:c>
      <x:c r="C231" s="48" t="str">
        <x:v>English</x:v>
      </x:c>
      <x:c r="D231" s="48" t="n">
        <x:v>23</x:v>
      </x:c>
      <x:c r="E231" s="48" t="str"/>
      <x:c r="F231" s="48" t="str">
        <x:v>Arrangements</x:v>
      </x:c>
      <x:c r="G231" s="48" t="str">
        <x:v>Obligation</x:v>
      </x:c>
      <x:c r="H231" s="48" t="str">
        <x:v>Shared</x:v>
      </x:c>
      <x:c r="I231" s="48" t="n">
        <x:v>0.45</x:v>
      </x:c>
      <x:c r="J231" s="48" t="n">
        <x:v>0.4</x:v>
      </x:c>
      <x:c r="K231" s="48" t="str">
        <x:v>Yes</x:v>
      </x:c>
      <x:c r="L231" s="48" t="str">
        <x:v>PDF text</x:v>
      </x:c>
    </x:row>
    <x:row r="232">
      <x:c r="A232" s="48" t="str">
        <x:v>RED-0231</x:v>
      </x:c>
      <x:c r="B232" s="48" t="str">
        <x:v>RED</x:v>
      </x:c>
      <x:c r="C232" s="48" t="str">
        <x:v>English</x:v>
      </x:c>
      <x:c r="D232" s="48" t="n">
        <x:v>23</x:v>
      </x:c>
      <x:c r="E232" s="48" t="str"/>
      <x:c r="F232" s="48" t="str">
        <x:v>Employer’s Claims</x:v>
      </x:c>
      <x:c r="G232" s="48" t="str">
        <x:v>Obligation</x:v>
      </x:c>
      <x:c r="H232" s="48" t="str">
        <x:v>Employer</x:v>
      </x:c>
      <x:c r="I232" s="48" t="n">
        <x:v>0.45</x:v>
      </x:c>
      <x:c r="J232" s="48" t="n">
        <x:v>0.68</x:v>
      </x:c>
      <x:c r="K232" s="48" t="str">
        <x:v>Yes</x:v>
      </x:c>
      <x:c r="L232" s="48" t="str">
        <x:v>PDF text</x:v>
      </x:c>
    </x:row>
    <x:row r="233">
      <x:c r="A233" s="48" t="str">
        <x:v>RED-0232</x:v>
      </x:c>
      <x:c r="B233" s="48" t="str">
        <x:v>RED</x:v>
      </x:c>
      <x:c r="C233" s="48" t="str">
        <x:v>English</x:v>
      </x:c>
      <x:c r="D233" s="48" t="n">
        <x:v>23</x:v>
      </x:c>
      <x:c r="E233" s="48" t="str"/>
      <x:c r="F233" s="48" t="str">
        <x:v>Engineer’s Duties and</x:v>
      </x:c>
      <x:c r="G233" s="48" t="str">
        <x:v>Obligation</x:v>
      </x:c>
      <x:c r="H233" s="48" t="str">
        <x:v>Shared</x:v>
      </x:c>
      <x:c r="I233" s="48" t="n">
        <x:v>0.45</x:v>
      </x:c>
      <x:c r="J233" s="48" t="n">
        <x:v>0.4</x:v>
      </x:c>
      <x:c r="K233" s="48" t="str">
        <x:v>Yes</x:v>
      </x:c>
      <x:c r="L233" s="48" t="str">
        <x:v>PDF text</x:v>
      </x:c>
    </x:row>
    <x:row r="234">
      <x:c r="A234" s="48" t="str">
        <x:v>RED-0233</x:v>
      </x:c>
      <x:c r="B234" s="48" t="str">
        <x:v>RED</x:v>
      </x:c>
      <x:c r="C234" s="48" t="str">
        <x:v>English</x:v>
      </x:c>
      <x:c r="D234" s="48" t="n">
        <x:v>23</x:v>
      </x:c>
      <x:c r="E234" s="48" t="str"/>
      <x:c r="F234" s="48" t="str">
        <x:v>Authority 3</x:v>
      </x:c>
      <x:c r="G234" s="48" t="str">
        <x:v>Obligation</x:v>
      </x:c>
      <x:c r="H234" s="48" t="str">
        <x:v>Shared</x:v>
      </x:c>
      <x:c r="I234" s="48" t="n">
        <x:v>0.45</x:v>
      </x:c>
      <x:c r="J234" s="48" t="n">
        <x:v>0.4</x:v>
      </x:c>
      <x:c r="K234" s="48" t="str">
        <x:v>Yes</x:v>
      </x:c>
      <x:c r="L234" s="48" t="str">
        <x:v>PDF text</x:v>
      </x:c>
    </x:row>
    <x:row r="235">
      <x:c r="A235" s="48" t="str">
        <x:v>RED-0234</x:v>
      </x:c>
      <x:c r="B235" s="48" t="str">
        <x:v>RED</x:v>
      </x:c>
      <x:c r="C235" s="48" t="str">
        <x:v>English</x:v>
      </x:c>
      <x:c r="D235" s="48" t="n">
        <x:v>23</x:v>
      </x:c>
      <x:c r="E235" s="48" t="str"/>
      <x:c r="F235" s="48" t="str">
        <x:v>The Engineer</x:v>
      </x:c>
      <x:c r="G235" s="48" t="str">
        <x:v>Obligation</x:v>
      </x:c>
      <x:c r="H235" s="48" t="str">
        <x:v>Shared</x:v>
      </x:c>
      <x:c r="I235" s="48" t="n">
        <x:v>0.45</x:v>
      </x:c>
      <x:c r="J235" s="48" t="n">
        <x:v>0.4</x:v>
      </x:c>
      <x:c r="K235" s="48" t="str">
        <x:v>Yes</x:v>
      </x:c>
      <x:c r="L235" s="48" t="str">
        <x:v>PDF text</x:v>
      </x:c>
    </x:row>
    <x:row r="236">
      <x:c r="A236" s="48" t="str">
        <x:v>RED-0235</x:v>
      </x:c>
      <x:c r="B236" s="48" t="str">
        <x:v>RED</x:v>
      </x:c>
      <x:c r="C236" s="48" t="str">
        <x:v>English</x:v>
      </x:c>
      <x:c r="D236" s="48" t="n">
        <x:v>24</x:v>
      </x:c>
      <x:c r="E236" s="48" t="str"/>
      <x:c r="F236" s="48" t="str">
        <x:v>Delegation by the</x:v>
      </x:c>
      <x:c r="G236" s="48" t="str">
        <x:v>Obligation</x:v>
      </x:c>
      <x:c r="H236" s="48" t="str">
        <x:v>Shared</x:v>
      </x:c>
      <x:c r="I236" s="48" t="n">
        <x:v>0.45</x:v>
      </x:c>
      <x:c r="J236" s="48" t="n">
        <x:v>0.4</x:v>
      </x:c>
      <x:c r="K236" s="48" t="str">
        <x:v>Yes</x:v>
      </x:c>
      <x:c r="L236" s="48" t="str">
        <x:v>PDF text</x:v>
      </x:c>
    </x:row>
    <x:row r="237">
      <x:c r="A237" s="48" t="str">
        <x:v>RED-0236</x:v>
      </x:c>
      <x:c r="B237" s="48" t="str">
        <x:v>RED</x:v>
      </x:c>
      <x:c r="C237" s="48" t="str">
        <x:v>English</x:v>
      </x:c>
      <x:c r="D237" s="48" t="n">
        <x:v>24</x:v>
      </x:c>
      <x:c r="E237" s="48" t="str"/>
      <x:c r="F237" s="48" t="str">
        <x:v>Engineer</x:v>
      </x:c>
      <x:c r="G237" s="48" t="str">
        <x:v>Obligation</x:v>
      </x:c>
      <x:c r="H237" s="48" t="str">
        <x:v>Shared</x:v>
      </x:c>
      <x:c r="I237" s="48" t="n">
        <x:v>0.45</x:v>
      </x:c>
      <x:c r="J237" s="48" t="n">
        <x:v>0.4</x:v>
      </x:c>
      <x:c r="K237" s="48" t="str">
        <x:v>Yes</x:v>
      </x:c>
      <x:c r="L237" s="48" t="str">
        <x:v>PDF text</x:v>
      </x:c>
    </x:row>
    <x:row r="238">
      <x:c r="A238" s="48" t="str">
        <x:v>RED-0237</x:v>
      </x:c>
      <x:c r="B238" s="48" t="str">
        <x:v>RED</x:v>
      </x:c>
      <x:c r="C238" s="48" t="str">
        <x:v>English</x:v>
      </x:c>
      <x:c r="D238" s="48" t="n">
        <x:v>24</x:v>
      </x:c>
      <x:c r="E238" s="48" t="str"/>
      <x:c r="F238" s="48" t="str">
        <x:v>approval of the Employer before exercising a specified authority, the requirements shall be as stated in the Particular Conditions.</x:v>
      </x:c>
      <x:c r="G238" s="48" t="str">
        <x:v>Obligation</x:v>
      </x:c>
      <x:c r="H238" s="48" t="str">
        <x:v>Employer</x:v>
      </x:c>
      <x:c r="I238" s="48" t="n">
        <x:v>0.88</x:v>
      </x:c>
      <x:c r="J238" s="48" t="n">
        <x:v>0.68</x:v>
      </x:c>
      <x:c r="K238" s="48" t="str">
        <x:v>Yes</x:v>
      </x:c>
      <x:c r="L238" s="48" t="str">
        <x:v>PDF text</x:v>
      </x:c>
    </x:row>
    <x:row r="239">
      <x:c r="A239" s="48" t="str">
        <x:v>RED-0238</x:v>
      </x:c>
      <x:c r="B239" s="48" t="str">
        <x:v>RED</x:v>
      </x:c>
      <x:c r="C239" s="48" t="str">
        <x:v>English</x:v>
      </x:c>
      <x:c r="D239" s="48" t="n">
        <x:v>24</x:v>
      </x:c>
      <x:c r="E239" s="48" t="str"/>
      <x:c r="F239" s="48" t="str">
        <x:v>The Employer shall promptly inform the Contractor of any change to the authority attributed to the Engineer.</x:v>
      </x:c>
      <x:c r="G239" s="48" t="str">
        <x:v>Obligation</x:v>
      </x:c>
      <x:c r="H239" s="48" t="str">
        <x:v>Employer</x:v>
      </x:c>
      <x:c r="I239" s="48" t="n">
        <x:v>0.88</x:v>
      </x:c>
      <x:c r="J239" s="48" t="n">
        <x:v>0.92</x:v>
      </x:c>
      <x:c r="K239" s="48" t="str">
        <x:v>No</x:v>
      </x:c>
      <x:c r="L239" s="48" t="str">
        <x:v>PDF text</x:v>
      </x:c>
    </x:row>
    <x:row r="240">
      <x:c r="A240" s="48" t="str">
        <x:v>RED-0239</x:v>
      </x:c>
      <x:c r="B240" s="48" t="str">
        <x:v>RED</x:v>
      </x:c>
      <x:c r="C240" s="48" t="str">
        <x:v>English</x:v>
      </x:c>
      <x:c r="D240" s="48" t="n">
        <x:v>24</x:v>
      </x:c>
      <x:c r="E240" s="48" t="str"/>
      <x:c r="F240" s="48" t="str">
        <x:v>However, whenever the Engineer exercises a specified authority for which the</x:v>
      </x:c>
      <x:c r="G240" s="48" t="str">
        <x:v>Obligation</x:v>
      </x:c>
      <x:c r="H240" s="48" t="str">
        <x:v>Shared</x:v>
      </x:c>
      <x:c r="I240" s="48" t="n">
        <x:v>0.45</x:v>
      </x:c>
      <x:c r="J240" s="48" t="n">
        <x:v>0.4</x:v>
      </x:c>
      <x:c r="K240" s="48" t="str">
        <x:v>Yes</x:v>
      </x:c>
      <x:c r="L240" s="48" t="str">
        <x:v>PDF text</x:v>
      </x:c>
    </x:row>
    <x:row r="241">
      <x:c r="A241" s="48" t="str">
        <x:v>RED-0240</x:v>
      </x:c>
      <x:c r="B241" s="48" t="str">
        <x:v>RED</x:v>
      </x:c>
      <x:c r="C241" s="48" t="str">
        <x:v>English</x:v>
      </x:c>
      <x:c r="D241" s="48" t="n">
        <x:v>24</x:v>
      </x:c>
      <x:c r="E241" s="48" t="str"/>
      <x:c r="F241" s="48" t="str">
        <x:v>Employer’s approval is required, then (for the purposes of the Contract) the Employer shall be deemed to have given approval.</x:v>
      </x:c>
      <x:c r="G241" s="48" t="str">
        <x:v>Obligation</x:v>
      </x:c>
      <x:c r="H241" s="48" t="str">
        <x:v>Employer</x:v>
      </x:c>
      <x:c r="I241" s="48" t="n">
        <x:v>0.88</x:v>
      </x:c>
      <x:c r="J241" s="48" t="n">
        <x:v>0.92</x:v>
      </x:c>
      <x:c r="K241" s="48" t="str">
        <x:v>No</x:v>
      </x:c>
      <x:c r="L241" s="48" t="str">
        <x:v>PDF text</x:v>
      </x:c>
    </x:row>
    <x:row r="242">
      <x:c r="A242" s="48" t="str">
        <x:v>RED-0241</x:v>
      </x:c>
      <x:c r="B242" s="48" t="str">
        <x:v>RED</x:v>
      </x:c>
      <x:c r="C242" s="48" t="str">
        <x:v>English</x:v>
      </x:c>
      <x:c r="D242" s="48" t="n">
        <x:v>24</x:v>
      </x:c>
      <x:c r="E242" s="48" t="str"/>
      <x:c r="F242" s="48" t="str">
        <x:v>Except as otherwise stated in these Conditions: (a) whenever carrying out duties or exercising authority, specified in or implied by the Contract, the Engineer shall be deemed to act for the Employer; (b) the Engineer has no authority to relieve either Party of any duties, obligations or responsibilities under the Contract; and (c) any approval, check, certificate, consent, examination, inspection, instruction, notice, proposal, request, test, or similar act by the Engineer (including absence of disapproval) shall not relieve the Contractor from any responsibility he has under the Contract, including responsibility for errors, omissions, discrepancies and non-compliances.</x:v>
      </x:c>
      <x:c r="G242" s="48" t="str">
        <x:v>Obligation</x:v>
      </x:c>
      <x:c r="H242" s="48" t="str">
        <x:v>Shared</x:v>
      </x:c>
      <x:c r="I242" s="48" t="n">
        <x:v>0.88</x:v>
      </x:c>
      <x:c r="J242" s="48" t="n">
        <x:v>0.93</x:v>
      </x:c>
      <x:c r="K242" s="48" t="str">
        <x:v>No</x:v>
      </x:c>
      <x:c r="L242" s="48" t="str">
        <x:v>PDF text</x:v>
      </x:c>
    </x:row>
    <x:row r="243">
      <x:c r="A243" s="48" t="str">
        <x:v>RED-0242</x:v>
      </x:c>
      <x:c r="B243" s="48" t="str">
        <x:v>RED</x:v>
      </x:c>
      <x:c r="C243" s="48" t="str">
        <x:v>English</x:v>
      </x:c>
      <x:c r="D243" s="48" t="n">
        <x:v>24</x:v>
      </x:c>
      <x:c r="E243" s="48" t="str"/>
      <x:c r="F243" s="48" t="str">
        <x:v>The following provisions shall apply: The Engineer shall obtain the specific approval of the Employer before taking action under the following Sub-Clauses of these Conditions: (a) Sub-Clause 4.12: Agreeing or determining an extension of time and/or additional cost.</x:v>
      </x:c>
      <x:c r="G243" s="48" t="str">
        <x:v>Obligation</x:v>
      </x:c>
      <x:c r="H243" s="48" t="str">
        <x:v>Employer</x:v>
      </x:c>
      <x:c r="I243" s="48" t="n">
        <x:v>0.88</x:v>
      </x:c>
      <x:c r="J243" s="48" t="n">
        <x:v>0.68</x:v>
      </x:c>
      <x:c r="K243" s="48" t="str">
        <x:v>Yes</x:v>
      </x:c>
      <x:c r="L243" s="48" t="str">
        <x:v>PDF text</x:v>
      </x:c>
    </x:row>
    <x:row r="244">
      <x:c r="A244" s="48" t="str">
        <x:v>RED-0243</x:v>
      </x:c>
      <x:c r="B244" s="48" t="str">
        <x:v>RED</x:v>
      </x:c>
      <x:c r="C244" s="48" t="str">
        <x:v>English</x:v>
      </x:c>
      <x:c r="D244" s="48" t="n">
        <x:v>24</x:v>
      </x:c>
      <x:c r="E244" s="48" t="str"/>
      <x:c r="F244" s="48" t="str">
        <x:v>(b) Sub-Clause 13.1: Instructing a Variation, except; (i) in an emergency situation as determined by the Engineer, or (ii) if such a Variation would increase the Accepted Contract Amount by less than the percentage specified in the Contract Data.</x:v>
      </x:c>
      <x:c r="G244" s="48" t="str">
        <x:v>Obligation</x:v>
      </x:c>
      <x:c r="H244" s="48" t="str">
        <x:v>Shared</x:v>
      </x:c>
      <x:c r="I244" s="48" t="n">
        <x:v>0.55</x:v>
      </x:c>
      <x:c r="J244" s="48" t="n">
        <x:v>0.4</x:v>
      </x:c>
      <x:c r="K244" s="48" t="str">
        <x:v>Yes</x:v>
      </x:c>
      <x:c r="L244" s="48" t="str">
        <x:v>PDF text</x:v>
      </x:c>
    </x:row>
    <x:row r="245">
      <x:c r="A245" s="48" t="str">
        <x:v>RED-0244</x:v>
      </x:c>
      <x:c r="B245" s="48" t="str">
        <x:v>RED</x:v>
      </x:c>
      <x:c r="C245" s="48" t="str">
        <x:v>English</x:v>
      </x:c>
      <x:c r="D245" s="48" t="n">
        <x:v>24</x:v>
      </x:c>
      <x:c r="E245" s="48" t="str"/>
      <x:c r="F245" s="48" t="str">
        <x:v>(c) Sub-Clause 13.3: Approving a proposal for Variation submitted by the Contractor in accordance with Sub Clause 13.1 or 13.2..</x:v>
      </x:c>
      <x:c r="G245" s="48" t="str">
        <x:v>Obligation</x:v>
      </x:c>
      <x:c r="H245" s="48" t="str">
        <x:v>Contractor</x:v>
      </x:c>
      <x:c r="I245" s="48" t="n">
        <x:v>0.55</x:v>
      </x:c>
      <x:c r="J245" s="48" t="n">
        <x:v>0.68</x:v>
      </x:c>
      <x:c r="K245" s="48" t="str">
        <x:v>Yes</x:v>
      </x:c>
      <x:c r="L245" s="48" t="str">
        <x:v>PDF text</x:v>
      </x:c>
    </x:row>
    <x:row r="246">
      <x:c r="A246" s="48" t="str">
        <x:v>RED-0245</x:v>
      </x:c>
      <x:c r="B246" s="48" t="str">
        <x:v>RED</x:v>
      </x:c>
      <x:c r="C246" s="48" t="str">
        <x:v>English</x:v>
      </x:c>
      <x:c r="D246" s="48" t="n">
        <x:v>24</x:v>
      </x:c>
      <x:c r="E246" s="48" t="str"/>
      <x:c r="F246" s="48" t="str">
        <x:v>(d) Sub-Clause 13.4: Specifying the amount payable in each of the applicable currencies.</x:v>
      </x:c>
      <x:c r="G246" s="48" t="str">
        <x:v>Obligation</x:v>
      </x:c>
      <x:c r="H246" s="48" t="str">
        <x:v>Shared</x:v>
      </x:c>
      <x:c r="I246" s="48" t="n">
        <x:v>0.45</x:v>
      </x:c>
      <x:c r="J246" s="48" t="n">
        <x:v>0.4</x:v>
      </x:c>
      <x:c r="K246" s="48" t="str">
        <x:v>Yes</x:v>
      </x:c>
      <x:c r="L246" s="48" t="str">
        <x:v>PDF text</x:v>
      </x:c>
    </x:row>
    <x:row r="247">
      <x:c r="A247" s="48" t="str">
        <x:v>RED-0246</x:v>
      </x:c>
      <x:c r="B247" s="48" t="str">
        <x:v>RED</x:v>
      </x:c>
      <x:c r="C247" s="48" t="str">
        <x:v>English</x:v>
      </x:c>
      <x:c r="D247" s="48" t="n">
        <x:v>24</x:v>
      </x:c>
      <x:c r="E247" s="48" t="str"/>
      <x:c r="F247" s="48" t="str">
        <x:v>Notwithstanding the obligation, as set out above, to obtain approval, if, in the</x:v>
      </x:c>
      <x:c r="G247" s="48" t="str">
        <x:v>Obligation</x:v>
      </x:c>
      <x:c r="H247" s="48" t="str">
        <x:v>Shared</x:v>
      </x:c>
      <x:c r="I247" s="48" t="n">
        <x:v>0.45</x:v>
      </x:c>
      <x:c r="J247" s="48" t="n">
        <x:v>0.4</x:v>
      </x:c>
      <x:c r="K247" s="48" t="str">
        <x:v>Yes</x:v>
      </x:c>
      <x:c r="L247" s="48" t="str">
        <x:v>PDF text</x:v>
      </x:c>
    </x:row>
    <x:row r="248">
      <x:c r="A248" s="48" t="str">
        <x:v>RED-0247</x:v>
      </x:c>
      <x:c r="B248" s="48" t="str">
        <x:v>RED</x:v>
      </x:c>
      <x:c r="C248" s="48" t="str">
        <x:v>English</x:v>
      </x:c>
      <x:c r="D248" s="48" t="n">
        <x:v>24</x:v>
      </x:c>
      <x:c r="E248" s="48" t="str"/>
      <x:c r="F248" s="48" t="str">
        <x:v>opinion of the Engineer, an emergency occurs affecting the safety of life or of the Works or of adjoining property, he may, without relieving the Contractor of any of his duties and responsibility under the Contract, instruct the</x:v>
      </x:c>
      <x:c r="G248" s="48" t="str">
        <x:v>Obligation</x:v>
      </x:c>
      <x:c r="H248" s="48" t="str">
        <x:v>Contractor</x:v>
      </x:c>
      <x:c r="I248" s="48" t="n">
        <x:v>0.45</x:v>
      </x:c>
      <x:c r="J248" s="48" t="n">
        <x:v>0.68</x:v>
      </x:c>
      <x:c r="K248" s="48" t="str">
        <x:v>Yes</x:v>
      </x:c>
      <x:c r="L248" s="48" t="str">
        <x:v>PDF text</x:v>
      </x:c>
    </x:row>
    <x:row r="249">
      <x:c r="A249" s="48" t="str">
        <x:v>RED-0248</x:v>
      </x:c>
      <x:c r="B249" s="48" t="str">
        <x:v>RED</x:v>
      </x:c>
      <x:c r="C249" s="48" t="str">
        <x:v>English</x:v>
      </x:c>
      <x:c r="D249" s="48" t="n">
        <x:v>24</x:v>
      </x:c>
      <x:c r="E249" s="48" t="str"/>
      <x:c r="F249" s="48" t="str">
        <x:v>Contractor to execute all such work or to do all such things as may, in the</x:v>
      </x:c>
      <x:c r="G249" s="48" t="str">
        <x:v>Obligation</x:v>
      </x:c>
      <x:c r="H249" s="48" t="str">
        <x:v>Contractor</x:v>
      </x:c>
      <x:c r="I249" s="48" t="n">
        <x:v>0.45</x:v>
      </x:c>
      <x:c r="J249" s="48" t="n">
        <x:v>0.68</x:v>
      </x:c>
      <x:c r="K249" s="48" t="str">
        <x:v>Yes</x:v>
      </x:c>
      <x:c r="L249" s="48" t="str">
        <x:v>PDF text</x:v>
      </x:c>
    </x:row>
    <x:row r="250">
      <x:c r="A250" s="48" t="str">
        <x:v>RED-0249</x:v>
      </x:c>
      <x:c r="B250" s="48" t="str">
        <x:v>RED</x:v>
      </x:c>
      <x:c r="C250" s="48" t="str">
        <x:v>English</x:v>
      </x:c>
      <x:c r="D250" s="48" t="n">
        <x:v>24</x:v>
      </x:c>
      <x:c r="E250" s="48" t="str"/>
      <x:c r="F250" s="48" t="str">
        <x:v>opinion of the Engineer, be necessary to abate or reduce the risk.</x:v>
      </x:c>
      <x:c r="G250" s="48" t="str">
        <x:v>Obligation</x:v>
      </x:c>
      <x:c r="H250" s="48" t="str">
        <x:v>Shared</x:v>
      </x:c>
      <x:c r="I250" s="48" t="n">
        <x:v>0.45</x:v>
      </x:c>
      <x:c r="J250" s="48" t="n">
        <x:v>0.4</x:v>
      </x:c>
      <x:c r="K250" s="48" t="str">
        <x:v>Yes</x:v>
      </x:c>
      <x:c r="L250" s="48" t="str">
        <x:v>PDF text</x:v>
      </x:c>
    </x:row>
    <x:row r="251">
      <x:c r="A251" s="48" t="str">
        <x:v>RED-0250</x:v>
      </x:c>
      <x:c r="B251" s="48" t="str">
        <x:v>RED</x:v>
      </x:c>
      <x:c r="C251" s="48" t="str">
        <x:v>English</x:v>
      </x:c>
      <x:c r="D251" s="48" t="n">
        <x:v>24</x:v>
      </x:c>
      <x:c r="E251" s="48" t="str"/>
      <x:c r="F251" s="48" t="str">
        <x:v>Contractor shall forthwith comply, despite the absence of approval of the</x:v>
      </x:c>
      <x:c r="G251" s="48" t="str">
        <x:v>Obligation</x:v>
      </x:c>
      <x:c r="H251" s="48" t="str">
        <x:v>Contractor</x:v>
      </x:c>
      <x:c r="I251" s="48" t="n">
        <x:v>0.88</x:v>
      </x:c>
      <x:c r="J251" s="48" t="n">
        <x:v>0.68</x:v>
      </x:c>
      <x:c r="K251" s="48" t="str">
        <x:v>Yes</x:v>
      </x:c>
      <x:c r="L251" s="48" t="str">
        <x:v>PDF text</x:v>
      </x:c>
    </x:row>
    <x:row r="252">
      <x:c r="A252" s="48" t="str">
        <x:v>RED-0251</x:v>
      </x:c>
      <x:c r="B252" s="48" t="str">
        <x:v>RED</x:v>
      </x:c>
      <x:c r="C252" s="48" t="str">
        <x:v>English</x:v>
      </x:c>
      <x:c r="D252" s="48" t="n">
        <x:v>24</x:v>
      </x:c>
      <x:c r="E252" s="48" t="str"/>
      <x:c r="F252" s="48" t="str">
        <x:v>Employer, with any such instruction of the Engineer.</x:v>
      </x:c>
      <x:c r="G252" s="48" t="str">
        <x:v>Obligation</x:v>
      </x:c>
      <x:c r="H252" s="48" t="str">
        <x:v>Employer</x:v>
      </x:c>
      <x:c r="I252" s="48" t="n">
        <x:v>0.45</x:v>
      </x:c>
      <x:c r="J252" s="48" t="n">
        <x:v>0.68</x:v>
      </x:c>
      <x:c r="K252" s="48" t="str">
        <x:v>Yes</x:v>
      </x:c>
      <x:c r="L252" s="48" t="str">
        <x:v>PDF text</x:v>
      </x:c>
    </x:row>
    <x:row r="253">
      <x:c r="A253" s="48" t="str">
        <x:v>RED-0252</x:v>
      </x:c>
      <x:c r="B253" s="48" t="str">
        <x:v>RED</x:v>
      </x:c>
      <x:c r="C253" s="48" t="str">
        <x:v>English</x:v>
      </x:c>
      <x:c r="D253" s="48" t="n">
        <x:v>24</x:v>
      </x:c>
      <x:c r="E253" s="48" t="str"/>
      <x:c r="F253" s="48" t="str">
        <x:v>The Engineer shall determine an addition to the Contract Price, in respect of such instruction, in accordance with Clause 13 and shall notify the Contractor accordingly, with a copy to the Employer.</x:v>
      </x:c>
      <x:c r="G253" s="48" t="str">
        <x:v>Obligation</x:v>
      </x:c>
      <x:c r="H253" s="48" t="str">
        <x:v>Shared</x:v>
      </x:c>
      <x:c r="I253" s="48" t="n">
        <x:v>0.88</x:v>
      </x:c>
      <x:c r="J253" s="48" t="n">
        <x:v>0.6</x:v>
      </x:c>
      <x:c r="K253" s="48" t="str">
        <x:v>Yes</x:v>
      </x:c>
      <x:c r="L253" s="48" t="str">
        <x:v>PDF text</x:v>
      </x:c>
    </x:row>
    <x:row r="254">
      <x:c r="A254" s="48" t="str">
        <x:v>RED-0253</x:v>
      </x:c>
      <x:c r="B254" s="48" t="str">
        <x:v>RED</x:v>
      </x:c>
      <x:c r="C254" s="48" t="str">
        <x:v>English</x:v>
      </x:c>
      <x:c r="D254" s="48" t="n">
        <x:v>24</x:v>
      </x:c>
      <x:c r="E254" s="48" t="str"/>
      <x:c r="F254" s="48" t="str">
        <x:v>The Engineer may from time to time assign duties and delegate authority to assistants, and may also revoke such assignment or delegation.</x:v>
      </x:c>
      <x:c r="G254" s="48" t="str">
        <x:v>Right</x:v>
      </x:c>
      <x:c r="H254" s="48" t="str">
        <x:v>Shared</x:v>
      </x:c>
      <x:c r="I254" s="48" t="n">
        <x:v>0.78</x:v>
      </x:c>
      <x:c r="J254" s="48" t="n">
        <x:v>0.4</x:v>
      </x:c>
      <x:c r="K254" s="48" t="str">
        <x:v>Yes</x:v>
      </x:c>
      <x:c r="L254" s="48" t="str">
        <x:v>PDF text</x:v>
      </x:c>
    </x:row>
    <x:row r="255">
      <x:c r="A255" s="48" t="str">
        <x:v>RED-0254</x:v>
      </x:c>
      <x:c r="B255" s="48" t="str">
        <x:v>RED</x:v>
      </x:c>
      <x:c r="C255" s="48" t="str">
        <x:v>English</x:v>
      </x:c>
      <x:c r="D255" s="48" t="n">
        <x:v>24</x:v>
      </x:c>
      <x:c r="E255" s="48" t="str"/>
      <x:c r="F255" s="48" t="str">
        <x:v>These assistants may include a resident engineer, and/or independent inspectors appointed to inspect and/or test items of Plant and/or Materials.</x:v>
      </x:c>
      <x:c r="G255" s="48" t="str">
        <x:v>Right</x:v>
      </x:c>
      <x:c r="H255" s="48" t="str">
        <x:v>Shared</x:v>
      </x:c>
      <x:c r="I255" s="48" t="n">
        <x:v>0.78</x:v>
      </x:c>
      <x:c r="J255" s="48" t="n">
        <x:v>0.4</x:v>
      </x:c>
      <x:c r="K255" s="48" t="str">
        <x:v>Yes</x:v>
      </x:c>
      <x:c r="L255" s="48" t="str">
        <x:v>PDF text</x:v>
      </x:c>
    </x:row>
    <x:row r="256">
      <x:c r="A256" s="48" t="str">
        <x:v>RED-0255</x:v>
      </x:c>
      <x:c r="B256" s="48" t="str">
        <x:v>RED</x:v>
      </x:c>
      <x:c r="C256" s="48" t="str">
        <x:v>English</x:v>
      </x:c>
      <x:c r="D256" s="48" t="n">
        <x:v>24</x:v>
      </x:c>
      <x:c r="E256" s="48" t="str"/>
      <x:c r="F256" s="48" t="str">
        <x:v>The assignment, delegation or revocation shall be in writing and shall not take effect until copies have been received by both Parties.</x:v>
      </x:c>
      <x:c r="G256" s="48" t="str">
        <x:v>Obligation</x:v>
      </x:c>
      <x:c r="H256" s="48" t="str">
        <x:v>Shared</x:v>
      </x:c>
      <x:c r="I256" s="48" t="n">
        <x:v>0.88</x:v>
      </x:c>
      <x:c r="J256" s="48" t="n">
        <x:v>0.93</x:v>
      </x:c>
      <x:c r="K256" s="48" t="str">
        <x:v>No</x:v>
      </x:c>
      <x:c r="L256" s="48" t="str">
        <x:v>PDF text</x:v>
      </x:c>
    </x:row>
    <x:row r="257">
      <x:c r="A257" s="48" t="str">
        <x:v>RED-0256</x:v>
      </x:c>
      <x:c r="B257" s="48" t="str">
        <x:v>RED</x:v>
      </x:c>
      <x:c r="C257" s="48" t="str">
        <x:v>English</x:v>
      </x:c>
      <x:c r="D257" s="48" t="n">
        <x:v>24</x:v>
      </x:c>
      <x:c r="E257" s="48" t="str"/>
      <x:c r="F257" s="48" t="str">
        <x:v>However, unless otherwise agreed by both Parties, the Engineer shall not delegate the</x:v>
      </x:c>
      <x:c r="G257" s="48" t="str">
        <x:v>Obligation</x:v>
      </x:c>
      <x:c r="H257" s="48" t="str">
        <x:v>Shared</x:v>
      </x:c>
      <x:c r="I257" s="48" t="n">
        <x:v>0.88</x:v>
      </x:c>
      <x:c r="J257" s="48" t="n">
        <x:v>0.93</x:v>
      </x:c>
      <x:c r="K257" s="48" t="str">
        <x:v>No</x:v>
      </x:c>
      <x:c r="L257" s="48" t="str">
        <x:v>PDF text</x:v>
      </x:c>
    </x:row>
    <x:row r="258">
      <x:c r="A258" s="48" t="str">
        <x:v>RED-0257</x:v>
      </x:c>
      <x:c r="B258" s="48" t="str">
        <x:v>RED</x:v>
      </x:c>
      <x:c r="C258" s="48" t="str">
        <x:v>English</x:v>
      </x:c>
      <x:c r="D258" s="48" t="n">
        <x:v>25</x:v>
      </x:c>
      <x:c r="E258" s="48" t="str"/>
      <x:c r="F258" s="48" t="str">
        <x:v>authority to determine any matter in accordance with Sub-Clause 3.5 [Determinations].</x:v>
      </x:c>
      <x:c r="G258" s="48" t="str">
        <x:v>Obligation</x:v>
      </x:c>
      <x:c r="H258" s="48" t="str">
        <x:v>Shared</x:v>
      </x:c>
      <x:c r="I258" s="48" t="n">
        <x:v>0.45</x:v>
      </x:c>
      <x:c r="J258" s="48" t="n">
        <x:v>0.4</x:v>
      </x:c>
      <x:c r="K258" s="48" t="str">
        <x:v>Yes</x:v>
      </x:c>
      <x:c r="L258" s="48" t="str">
        <x:v>PDF text</x:v>
      </x:c>
    </x:row>
    <x:row r="259">
      <x:c r="A259" s="48" t="str">
        <x:v>RED-0258</x:v>
      </x:c>
      <x:c r="B259" s="48" t="str">
        <x:v>RED</x:v>
      </x:c>
      <x:c r="C259" s="48" t="str">
        <x:v>English</x:v>
      </x:c>
      <x:c r="D259" s="48" t="n">
        <x:v>25</x:v>
      </x:c>
      <x:c r="E259" s="48" t="str"/>
      <x:c r="F259" s="48" t="str">
        <x:v>Assistants shall be suitably qualified persons, who are competent to carry out these duties and exercise this authority, and who are fluent in the language for communications defined in Sub-Clause 1.4 [Law and Language].</x:v>
      </x:c>
      <x:c r="G259" s="48" t="str">
        <x:v>Obligation</x:v>
      </x:c>
      <x:c r="H259" s="48" t="str">
        <x:v>Shared</x:v>
      </x:c>
      <x:c r="I259" s="48" t="n">
        <x:v>0.88</x:v>
      </x:c>
      <x:c r="J259" s="48" t="n">
        <x:v>0.4</x:v>
      </x:c>
      <x:c r="K259" s="48" t="str">
        <x:v>Yes</x:v>
      </x:c>
      <x:c r="L259" s="48" t="str">
        <x:v>PDF text</x:v>
      </x:c>
    </x:row>
    <x:row r="260">
      <x:c r="A260" s="48" t="str">
        <x:v>RED-0259</x:v>
      </x:c>
      <x:c r="B260" s="48" t="str">
        <x:v>RED</x:v>
      </x:c>
      <x:c r="C260" s="48" t="str">
        <x:v>English</x:v>
      </x:c>
      <x:c r="D260" s="48" t="n">
        <x:v>25</x:v>
      </x:c>
      <x:c r="E260" s="48" t="str"/>
      <x:c r="F260" s="48" t="str">
        <x:v>Each assistant, to whom duties have been assigned or authority has been delegated, shall only be authorised to issue instructions to the Contractor to the extent defined by the delegation.</x:v>
      </x:c>
      <x:c r="G260" s="48" t="str">
        <x:v>Obligation</x:v>
      </x:c>
      <x:c r="H260" s="48" t="str">
        <x:v>Contractor</x:v>
      </x:c>
      <x:c r="I260" s="48" t="n">
        <x:v>0.88</x:v>
      </x:c>
      <x:c r="J260" s="48" t="n">
        <x:v>0.68</x:v>
      </x:c>
      <x:c r="K260" s="48" t="str">
        <x:v>Yes</x:v>
      </x:c>
      <x:c r="L260" s="48" t="str">
        <x:v>PDF text</x:v>
      </x:c>
    </x:row>
    <x:row r="261">
      <x:c r="A261" s="48" t="str">
        <x:v>RED-0260</x:v>
      </x:c>
      <x:c r="B261" s="48" t="str">
        <x:v>RED</x:v>
      </x:c>
      <x:c r="C261" s="48" t="str">
        <x:v>English</x:v>
      </x:c>
      <x:c r="D261" s="48" t="n">
        <x:v>25</x:v>
      </x:c>
      <x:c r="E261" s="48" t="str"/>
      <x:c r="F261" s="48" t="str">
        <x:v>Any approval, check, certificate, consent, examination, inspection, instruction, notice, proposal, request, test, or similar act by an assistant, in accordance with the delegation, shall have the same effect as though the act had been an act of the Engineer.</x:v>
      </x:c>
      <x:c r="G261" s="48" t="str">
        <x:v>Obligation</x:v>
      </x:c>
      <x:c r="H261" s="48" t="str">
        <x:v>Shared</x:v>
      </x:c>
      <x:c r="I261" s="48" t="n">
        <x:v>0.88</x:v>
      </x:c>
      <x:c r="J261" s="48" t="n">
        <x:v>0.4</x:v>
      </x:c>
      <x:c r="K261" s="48" t="str">
        <x:v>Yes</x:v>
      </x:c>
      <x:c r="L261" s="48" t="str">
        <x:v>PDF text</x:v>
      </x:c>
    </x:row>
    <x:row r="262">
      <x:c r="A262" s="48" t="str">
        <x:v>RED-0261</x:v>
      </x:c>
      <x:c r="B262" s="48" t="str">
        <x:v>RED</x:v>
      </x:c>
      <x:c r="C262" s="48" t="str">
        <x:v>English</x:v>
      </x:c>
      <x:c r="D262" s="48" t="n">
        <x:v>25</x:v>
      </x:c>
      <x:c r="E262" s="48" t="str"/>
      <x:c r="F262" s="48" t="str">
        <x:v>However: (a) any failure to disapprove any work, Plant or Materials shall not constitute approval, and shall therefore not prejudice the right of the Engineer to reject the work, Plant or Materials; (b) if the Contractor questions any determination or instruction of an assistant, the</x:v>
      </x:c>
      <x:c r="G262" s="48" t="str">
        <x:v>Risk</x:v>
      </x:c>
      <x:c r="H262" s="48" t="str">
        <x:v>Contractor</x:v>
      </x:c>
      <x:c r="I262" s="48" t="n">
        <x:v>0.78</x:v>
      </x:c>
      <x:c r="J262" s="48" t="n">
        <x:v>0.68</x:v>
      </x:c>
      <x:c r="K262" s="48" t="str">
        <x:v>Yes</x:v>
      </x:c>
      <x:c r="L262" s="48" t="str">
        <x:v>PDF text</x:v>
      </x:c>
    </x:row>
    <x:row r="263">
      <x:c r="A263" s="48" t="str">
        <x:v>RED-0262</x:v>
      </x:c>
      <x:c r="B263" s="48" t="str">
        <x:v>RED</x:v>
      </x:c>
      <x:c r="C263" s="48" t="str">
        <x:v>English</x:v>
      </x:c>
      <x:c r="D263" s="48" t="n">
        <x:v>25</x:v>
      </x:c>
      <x:c r="E263" s="48" t="str"/>
      <x:c r="F263" s="48" t="str">
        <x:v>Contractor may refer the matter to the Engineer, who shall promptly confirm,</x:v>
      </x:c>
      <x:c r="G263" s="48" t="str">
        <x:v>Obligation</x:v>
      </x:c>
      <x:c r="H263" s="48" t="str">
        <x:v>Contractor</x:v>
      </x:c>
      <x:c r="I263" s="48" t="n">
        <x:v>0.88</x:v>
      </x:c>
      <x:c r="J263" s="48" t="n">
        <x:v>0.68</x:v>
      </x:c>
      <x:c r="K263" s="48" t="str">
        <x:v>Yes</x:v>
      </x:c>
      <x:c r="L263" s="48" t="str">
        <x:v>PDF text</x:v>
      </x:c>
    </x:row>
    <x:row r="264">
      <x:c r="A264" s="48" t="str">
        <x:v>RED-0263</x:v>
      </x:c>
      <x:c r="B264" s="48" t="str">
        <x:v>RED</x:v>
      </x:c>
      <x:c r="C264" s="48" t="str">
        <x:v>English</x:v>
      </x:c>
      <x:c r="D264" s="48" t="n">
        <x:v>25</x:v>
      </x:c>
      <x:c r="E264" s="48" t="str"/>
      <x:c r="F264" s="48" t="str">
        <x:v>reverse or vary the determination or instruction.</x:v>
      </x:c>
      <x:c r="G264" s="48" t="str">
        <x:v>Obligation</x:v>
      </x:c>
      <x:c r="H264" s="48" t="str">
        <x:v>Shared</x:v>
      </x:c>
      <x:c r="I264" s="48" t="n">
        <x:v>0.45</x:v>
      </x:c>
      <x:c r="J264" s="48" t="n">
        <x:v>0.4</x:v>
      </x:c>
      <x:c r="K264" s="48" t="str">
        <x:v>Yes</x:v>
      </x:c>
      <x:c r="L264" s="48" t="str">
        <x:v>PDF text</x:v>
      </x:c>
    </x:row>
    <x:row r="265">
      <x:c r="A265" s="48" t="str">
        <x:v>RED-0264</x:v>
      </x:c>
      <x:c r="B265" s="48" t="str">
        <x:v>RED</x:v>
      </x:c>
      <x:c r="C265" s="48" t="str">
        <x:v>English</x:v>
      </x:c>
      <x:c r="D265" s="48" t="n">
        <x:v>25</x:v>
      </x:c>
      <x:c r="E265" s="48" t="str"/>
      <x:c r="F265" s="48" t="str">
        <x:v>The Engineer may issue to the Contractor (at any time) instructions and additional or modified Drawings which may be necessary for the execution of the Works and the remedying of any defects, all in accordance with the Contract.</x:v>
      </x:c>
      <x:c r="G265" s="48" t="str">
        <x:v>Right</x:v>
      </x:c>
      <x:c r="H265" s="48" t="str">
        <x:v>Contractor</x:v>
      </x:c>
      <x:c r="I265" s="48" t="n">
        <x:v>0.78</x:v>
      </x:c>
      <x:c r="J265" s="48" t="n">
        <x:v>0.68</x:v>
      </x:c>
      <x:c r="K265" s="48" t="str">
        <x:v>Yes</x:v>
      </x:c>
      <x:c r="L265" s="48" t="str">
        <x:v>PDF text</x:v>
      </x:c>
    </x:row>
    <x:row r="266">
      <x:c r="A266" s="48" t="str">
        <x:v>RED-0265</x:v>
      </x:c>
      <x:c r="B266" s="48" t="str">
        <x:v>RED</x:v>
      </x:c>
      <x:c r="C266" s="48" t="str">
        <x:v>English</x:v>
      </x:c>
      <x:c r="D266" s="48" t="n">
        <x:v>25</x:v>
      </x:c>
      <x:c r="E266" s="48" t="str"/>
      <x:c r="F266" s="48" t="str">
        <x:v>The Contractor shall only take instructions from the Engineer, or from an assistant to whom the appropriate authority has been delegated under this Clause.</x:v>
      </x:c>
      <x:c r="G266" s="48" t="str">
        <x:v>Obligation</x:v>
      </x:c>
      <x:c r="H266" s="48" t="str">
        <x:v>Contractor</x:v>
      </x:c>
      <x:c r="I266" s="48" t="n">
        <x:v>0.88</x:v>
      </x:c>
      <x:c r="J266" s="48" t="n">
        <x:v>0.92</x:v>
      </x:c>
      <x:c r="K266" s="48" t="str">
        <x:v>No</x:v>
      </x:c>
      <x:c r="L266" s="48" t="str">
        <x:v>PDF text</x:v>
      </x:c>
    </x:row>
    <x:row r="267">
      <x:c r="A267" s="48" t="str">
        <x:v>RED-0266</x:v>
      </x:c>
      <x:c r="B267" s="48" t="str">
        <x:v>RED</x:v>
      </x:c>
      <x:c r="C267" s="48" t="str">
        <x:v>English</x:v>
      </x:c>
      <x:c r="D267" s="48" t="n">
        <x:v>25</x:v>
      </x:c>
      <x:c r="E267" s="48" t="str"/>
      <x:c r="F267" s="48" t="str">
        <x:v>If an instruction constitutes a Variation, Clause 13 [Variations and Adjustments] shall apply.</x:v>
      </x:c>
      <x:c r="G267" s="48" t="str">
        <x:v>Obligation</x:v>
      </x:c>
      <x:c r="H267" s="48" t="str">
        <x:v>Shared</x:v>
      </x:c>
      <x:c r="I267" s="48" t="n">
        <x:v>0.88</x:v>
      </x:c>
      <x:c r="J267" s="48" t="n">
        <x:v>0.4</x:v>
      </x:c>
      <x:c r="K267" s="48" t="str">
        <x:v>Yes</x:v>
      </x:c>
      <x:c r="L267" s="48" t="str">
        <x:v>PDF text</x:v>
      </x:c>
    </x:row>
    <x:row r="268">
      <x:c r="A268" s="48" t="str">
        <x:v>RED-0267</x:v>
      </x:c>
      <x:c r="B268" s="48" t="str">
        <x:v>RED</x:v>
      </x:c>
      <x:c r="C268" s="48" t="str">
        <x:v>English</x:v>
      </x:c>
      <x:c r="D268" s="48" t="n">
        <x:v>25</x:v>
      </x:c>
      <x:c r="E268" s="48" t="str"/>
      <x:c r="F268" s="48" t="str">
        <x:v>The Contractor shall comply with the instructions given by the Engineer or delegated assistant, on any matter related to the Contract.</x:v>
      </x:c>
      <x:c r="G268" s="48" t="str">
        <x:v>Obligation</x:v>
      </x:c>
      <x:c r="H268" s="48" t="str">
        <x:v>Contractor</x:v>
      </x:c>
      <x:c r="I268" s="48" t="n">
        <x:v>0.88</x:v>
      </x:c>
      <x:c r="J268" s="48" t="n">
        <x:v>0.92</x:v>
      </x:c>
      <x:c r="K268" s="48" t="str">
        <x:v>No</x:v>
      </x:c>
      <x:c r="L268" s="48" t="str">
        <x:v>PDF text</x:v>
      </x:c>
    </x:row>
    <x:row r="269">
      <x:c r="A269" s="48" t="str">
        <x:v>RED-0268</x:v>
      </x:c>
      <x:c r="B269" s="48" t="str">
        <x:v>RED</x:v>
      </x:c>
      <x:c r="C269" s="48" t="str">
        <x:v>English</x:v>
      </x:c>
      <x:c r="D269" s="48" t="n">
        <x:v>25</x:v>
      </x:c>
      <x:c r="E269" s="48" t="str"/>
      <x:c r="F269" s="48" t="str">
        <x:v>Whenever practicable, their instructions shall be given in writing.</x:v>
      </x:c>
      <x:c r="G269" s="48" t="str">
        <x:v>Obligation</x:v>
      </x:c>
      <x:c r="H269" s="48" t="str">
        <x:v>Shared</x:v>
      </x:c>
      <x:c r="I269" s="48" t="n">
        <x:v>0.88</x:v>
      </x:c>
      <x:c r="J269" s="48" t="n">
        <x:v>0.4</x:v>
      </x:c>
      <x:c r="K269" s="48" t="str">
        <x:v>Yes</x:v>
      </x:c>
      <x:c r="L269" s="48" t="str">
        <x:v>PDF text</x:v>
      </x:c>
    </x:row>
    <x:row r="270">
      <x:c r="A270" s="48" t="str">
        <x:v>RED-0269</x:v>
      </x:c>
      <x:c r="B270" s="48" t="str">
        <x:v>RED</x:v>
      </x:c>
      <x:c r="C270" s="48" t="str">
        <x:v>English</x:v>
      </x:c>
      <x:c r="D270" s="48" t="n">
        <x:v>25</x:v>
      </x:c>
      <x:c r="E270" s="48" t="str"/>
      <x:c r="F270" s="48" t="str">
        <x:v>If the Engineer or a delegated assistant: (a) gives an oral instruction, (b) receives a written confirmation of the instruction, from (or on behalf of) the</x:v>
      </x:c>
      <x:c r="G270" s="48" t="str">
        <x:v>Obligation</x:v>
      </x:c>
      <x:c r="H270" s="48" t="str">
        <x:v>Shared</x:v>
      </x:c>
      <x:c r="I270" s="48" t="n">
        <x:v>0.45</x:v>
      </x:c>
      <x:c r="J270" s="48" t="n">
        <x:v>0.4</x:v>
      </x:c>
      <x:c r="K270" s="48" t="str">
        <x:v>Yes</x:v>
      </x:c>
      <x:c r="L270" s="48" t="str">
        <x:v>PDF text</x:v>
      </x:c>
    </x:row>
    <x:row r="271">
      <x:c r="A271" s="48" t="str">
        <x:v>RED-0270</x:v>
      </x:c>
      <x:c r="B271" s="48" t="str">
        <x:v>RED</x:v>
      </x:c>
      <x:c r="C271" s="48" t="str">
        <x:v>English</x:v>
      </x:c>
      <x:c r="D271" s="48" t="n">
        <x:v>25</x:v>
      </x:c>
      <x:c r="E271" s="48" t="str"/>
      <x:c r="F271" s="48" t="str">
        <x:v>Contractor, within two working days after giving the instruction, and</x:v>
      </x:c>
      <x:c r="G271" s="48" t="str">
        <x:v>Obligation</x:v>
      </x:c>
      <x:c r="H271" s="48" t="str">
        <x:v>Contractor</x:v>
      </x:c>
      <x:c r="I271" s="48" t="n">
        <x:v>0.45</x:v>
      </x:c>
      <x:c r="J271" s="48" t="n">
        <x:v>0.68</x:v>
      </x:c>
      <x:c r="K271" s="48" t="str">
        <x:v>Yes</x:v>
      </x:c>
      <x:c r="L271" s="48" t="str">
        <x:v>PDF text</x:v>
      </x:c>
    </x:row>
    <x:row r="272">
      <x:c r="A272" s="48" t="str">
        <x:v>RED-0271</x:v>
      </x:c>
      <x:c r="B272" s="48" t="str">
        <x:v>RED</x:v>
      </x:c>
      <x:c r="C272" s="48" t="str">
        <x:v>English</x:v>
      </x:c>
      <x:c r="D272" s="48" t="n">
        <x:v>25</x:v>
      </x:c>
      <x:c r="E272" s="48" t="str"/>
      <x:c r="F272" s="48" t="str">
        <x:v>(c) does not reply by issuing a written rejection and/or instruction within two working days after receiving the confirmation, then the confirmation shall constitute the written instruction of the Engineer or delegated assistant (as the case may be).</x:v>
      </x:c>
      <x:c r="G272" s="48" t="str">
        <x:v>Obligation</x:v>
      </x:c>
      <x:c r="H272" s="48" t="str">
        <x:v>Shared</x:v>
      </x:c>
      <x:c r="I272" s="48" t="n">
        <x:v>0.88</x:v>
      </x:c>
      <x:c r="J272" s="48" t="n">
        <x:v>0.4</x:v>
      </x:c>
      <x:c r="K272" s="48" t="str">
        <x:v>Yes</x:v>
      </x:c>
      <x:c r="L272" s="48" t="str">
        <x:v>PDF text</x:v>
      </x:c>
    </x:row>
    <x:row r="273">
      <x:c r="A273" s="48" t="str">
        <x:v>RED-0272</x:v>
      </x:c>
      <x:c r="B273" s="48" t="str">
        <x:v>RED</x:v>
      </x:c>
      <x:c r="C273" s="48" t="str">
        <x:v>English</x:v>
      </x:c>
      <x:c r="D273" s="48" t="n">
        <x:v>25</x:v>
      </x:c>
      <x:c r="E273" s="48" t="str"/>
      <x:c r="F273" s="48" t="str">
        <x:v>Notwithstanding Sub-Clause 3.1, if the Employer intends to replace the Engineer, the Employer shall, not less than 21 days before the intended date of replacement, give notice to the Contractor of the name, address and relevant experience of the intended replacement Engineer.</x:v>
      </x:c>
      <x:c r="G273" s="48" t="str">
        <x:v>Obligation</x:v>
      </x:c>
      <x:c r="H273" s="48" t="str">
        <x:v>Employer</x:v>
      </x:c>
      <x:c r="I273" s="48" t="n">
        <x:v>0.88</x:v>
      </x:c>
      <x:c r="J273" s="48" t="n">
        <x:v>0.92</x:v>
      </x:c>
      <x:c r="K273" s="48" t="str">
        <x:v>No</x:v>
      </x:c>
      <x:c r="L273" s="48" t="str">
        <x:v>PDF text</x:v>
      </x:c>
    </x:row>
    <x:row r="274">
      <x:c r="A274" s="48" t="str">
        <x:v>RED-0273</x:v>
      </x:c>
      <x:c r="B274" s="48" t="str">
        <x:v>RED</x:v>
      </x:c>
      <x:c r="C274" s="48" t="str">
        <x:v>English</x:v>
      </x:c>
      <x:c r="D274" s="48" t="n">
        <x:v>25</x:v>
      </x:c>
      <x:c r="E274" s="48" t="str"/>
      <x:c r="F274" s="48" t="str">
        <x:v>If the Contractor considers the intended replacement Engineer to be unsuitable, he has the right to raise reasonable objection against him by notice to the Employer, with supporting particulars, and the Employer shall give full and fair consideration to this objection.</x:v>
      </x:c>
      <x:c r="G274" s="48" t="str">
        <x:v>Obligation</x:v>
      </x:c>
      <x:c r="H274" s="48" t="str">
        <x:v>Employer</x:v>
      </x:c>
      <x:c r="I274" s="48" t="n">
        <x:v>0.88</x:v>
      </x:c>
      <x:c r="J274" s="48" t="n">
        <x:v>0.92</x:v>
      </x:c>
      <x:c r="K274" s="48" t="str">
        <x:v>No</x:v>
      </x:c>
      <x:c r="L274" s="48" t="str">
        <x:v>PDF text</x:v>
      </x:c>
    </x:row>
    <x:row r="275">
      <x:c r="A275" s="48" t="str">
        <x:v>RED-0274</x:v>
      </x:c>
      <x:c r="B275" s="48" t="str">
        <x:v>RED</x:v>
      </x:c>
      <x:c r="C275" s="48" t="str">
        <x:v>English</x:v>
      </x:c>
      <x:c r="D275" s="48" t="n">
        <x:v>25</x:v>
      </x:c>
      <x:c r="E275" s="48" t="str"/>
      <x:c r="F275" s="48" t="str">
        <x:v>Whenever these Conditions provide that the Engineer shall proceed in accordance</x:v>
      </x:c>
      <x:c r="G275" s="48" t="str">
        <x:v>Obligation</x:v>
      </x:c>
      <x:c r="H275" s="48" t="str">
        <x:v>Shared</x:v>
      </x:c>
      <x:c r="I275" s="48" t="n">
        <x:v>0.88</x:v>
      </x:c>
      <x:c r="J275" s="48" t="n">
        <x:v>0.4</x:v>
      </x:c>
      <x:c r="K275" s="48" t="str">
        <x:v>Yes</x:v>
      </x:c>
      <x:c r="L275" s="48" t="str">
        <x:v>PDF text</x:v>
      </x:c>
    </x:row>
    <x:row r="276">
      <x:c r="A276" s="48" t="str">
        <x:v>RED-0275</x:v>
      </x:c>
      <x:c r="B276" s="48" t="str">
        <x:v>RED</x:v>
      </x:c>
      <x:c r="C276" s="48" t="str">
        <x:v>English</x:v>
      </x:c>
      <x:c r="D276" s="48" t="n">
        <x:v>25</x:v>
      </x:c>
      <x:c r="E276" s="48" t="str"/>
      <x:c r="F276" s="48" t="str">
        <x:v>with this Sub-Clause 3.5 to agree or determine any matter, the Engineer shall consult with each Party in an endeavour to reach agreement.</x:v>
      </x:c>
      <x:c r="G276" s="48" t="str">
        <x:v>Obligation</x:v>
      </x:c>
      <x:c r="H276" s="48" t="str">
        <x:v>Shared</x:v>
      </x:c>
      <x:c r="I276" s="48" t="n">
        <x:v>0.88</x:v>
      </x:c>
      <x:c r="J276" s="48" t="n">
        <x:v>0.93</x:v>
      </x:c>
      <x:c r="K276" s="48" t="str">
        <x:v>No</x:v>
      </x:c>
      <x:c r="L276" s="48" t="str">
        <x:v>PDF text</x:v>
      </x:c>
    </x:row>
    <x:row r="277">
      <x:c r="A277" s="48" t="str">
        <x:v>RED-0276</x:v>
      </x:c>
      <x:c r="B277" s="48" t="str">
        <x:v>RED</x:v>
      </x:c>
      <x:c r="C277" s="48" t="str">
        <x:v>English</x:v>
      </x:c>
      <x:c r="D277" s="48" t="n">
        <x:v>25</x:v>
      </x:c>
      <x:c r="E277" s="48" t="str"/>
      <x:c r="F277" s="48" t="str">
        <x:v>If agreement is not achieved, the Engineer shall make a fair determination in accordance with the Contract, taking due regard of all relevant circumstances.</x:v>
      </x:c>
      <x:c r="G277" s="48" t="str">
        <x:v>Obligation</x:v>
      </x:c>
      <x:c r="H277" s="48" t="str">
        <x:v>Shared</x:v>
      </x:c>
      <x:c r="I277" s="48" t="n">
        <x:v>0.88</x:v>
      </x:c>
      <x:c r="J277" s="48" t="n">
        <x:v>0.4</x:v>
      </x:c>
      <x:c r="K277" s="48" t="str">
        <x:v>Yes</x:v>
      </x:c>
      <x:c r="L277" s="48" t="str">
        <x:v>PDF text</x:v>
      </x:c>
    </x:row>
    <x:row r="278">
      <x:c r="A278" s="48" t="str">
        <x:v>RED-0277</x:v>
      </x:c>
      <x:c r="B278" s="48" t="str">
        <x:v>RED</x:v>
      </x:c>
      <x:c r="C278" s="48" t="str">
        <x:v>English</x:v>
      </x:c>
      <x:c r="D278" s="48" t="n">
        <x:v>25</x:v>
      </x:c>
      <x:c r="E278" s="48" t="str"/>
      <x:c r="F278" s="48" t="str">
        <x:v>Instructions of the</x:v>
      </x:c>
      <x:c r="G278" s="48" t="str">
        <x:v>Obligation</x:v>
      </x:c>
      <x:c r="H278" s="48" t="str">
        <x:v>Shared</x:v>
      </x:c>
      <x:c r="I278" s="48" t="n">
        <x:v>0.45</x:v>
      </x:c>
      <x:c r="J278" s="48" t="n">
        <x:v>0.4</x:v>
      </x:c>
      <x:c r="K278" s="48" t="str">
        <x:v>Yes</x:v>
      </x:c>
      <x:c r="L278" s="48" t="str">
        <x:v>PDF text</x:v>
      </x:c>
    </x:row>
    <x:row r="279">
      <x:c r="A279" s="48" t="str">
        <x:v>RED-0278</x:v>
      </x:c>
      <x:c r="B279" s="48" t="str">
        <x:v>RED</x:v>
      </x:c>
      <x:c r="C279" s="48" t="str">
        <x:v>English</x:v>
      </x:c>
      <x:c r="D279" s="48" t="n">
        <x:v>25</x:v>
      </x:c>
      <x:c r="E279" s="48" t="str"/>
      <x:c r="F279" s="48" t="str">
        <x:v>Replacement of the</x:v>
      </x:c>
      <x:c r="G279" s="48" t="str">
        <x:v>Obligation</x:v>
      </x:c>
      <x:c r="H279" s="48" t="str">
        <x:v>Shared</x:v>
      </x:c>
      <x:c r="I279" s="48" t="n">
        <x:v>0.45</x:v>
      </x:c>
      <x:c r="J279" s="48" t="n">
        <x:v>0.4</x:v>
      </x:c>
      <x:c r="K279" s="48" t="str">
        <x:v>Yes</x:v>
      </x:c>
      <x:c r="L279" s="48" t="str">
        <x:v>PDF text</x:v>
      </x:c>
    </x:row>
    <x:row r="280">
      <x:c r="A280" s="48" t="str">
        <x:v>RED-0279</x:v>
      </x:c>
      <x:c r="B280" s="48" t="str">
        <x:v>RED</x:v>
      </x:c>
      <x:c r="C280" s="48" t="str">
        <x:v>English</x:v>
      </x:c>
      <x:c r="D280" s="48" t="n">
        <x:v>25</x:v>
      </x:c>
      <x:c r="E280" s="48" t="str"/>
      <x:c r="F280" s="48" t="str">
        <x:v>Determinations</x:v>
      </x:c>
      <x:c r="G280" s="48" t="str">
        <x:v>Obligation</x:v>
      </x:c>
      <x:c r="H280" s="48" t="str">
        <x:v>Shared</x:v>
      </x:c>
      <x:c r="I280" s="48" t="n">
        <x:v>0.45</x:v>
      </x:c>
      <x:c r="J280" s="48" t="n">
        <x:v>0.4</x:v>
      </x:c>
      <x:c r="K280" s="48" t="str">
        <x:v>Yes</x:v>
      </x:c>
      <x:c r="L280" s="48" t="str">
        <x:v>PDF text</x:v>
      </x:c>
    </x:row>
    <x:row r="281">
      <x:c r="A281" s="48" t="str">
        <x:v>RED-0280</x:v>
      </x:c>
      <x:c r="B281" s="48" t="str">
        <x:v>RED</x:v>
      </x:c>
      <x:c r="C281" s="48" t="str">
        <x:v>English</x:v>
      </x:c>
      <x:c r="D281" s="48" t="n">
        <x:v>26</x:v>
      </x:c>
      <x:c r="E281" s="48" t="str"/>
      <x:c r="F281" s="48" t="str">
        <x:v>The Engineer shall give notice to both Parties of each agreement or determination, with supporting particulars.</x:v>
      </x:c>
      <x:c r="G281" s="48" t="str">
        <x:v>Obligation</x:v>
      </x:c>
      <x:c r="H281" s="48" t="str">
        <x:v>Shared</x:v>
      </x:c>
      <x:c r="I281" s="48" t="n">
        <x:v>0.88</x:v>
      </x:c>
      <x:c r="J281" s="48" t="n">
        <x:v>0.93</x:v>
      </x:c>
      <x:c r="K281" s="48" t="str">
        <x:v>No</x:v>
      </x:c>
      <x:c r="L281" s="48" t="str">
        <x:v>PDF text</x:v>
      </x:c>
    </x:row>
    <x:row r="282">
      <x:c r="A282" s="48" t="str">
        <x:v>RED-0281</x:v>
      </x:c>
      <x:c r="B282" s="48" t="str">
        <x:v>RED</x:v>
      </x:c>
      <x:c r="C282" s="48" t="str">
        <x:v>English</x:v>
      </x:c>
      <x:c r="D282" s="48" t="n">
        <x:v>26</x:v>
      </x:c>
      <x:c r="E282" s="48" t="str"/>
      <x:c r="F282" s="48" t="str">
        <x:v>Each Party shall give effect to each agreement or determination unless and until revised under Clause 20 [Claims, Disputes and Arbitration].</x:v>
      </x:c>
      <x:c r="G282" s="48" t="str">
        <x:v>Obligation</x:v>
      </x:c>
      <x:c r="H282" s="48" t="str">
        <x:v>Shared</x:v>
      </x:c>
      <x:c r="I282" s="48" t="n">
        <x:v>0.88</x:v>
      </x:c>
      <x:c r="J282" s="48" t="n">
        <x:v>0.93</x:v>
      </x:c>
      <x:c r="K282" s="48" t="str">
        <x:v>No</x:v>
      </x:c>
      <x:c r="L282" s="48" t="str">
        <x:v>PDF text</x:v>
      </x:c>
    </x:row>
    <x:row r="283">
      <x:c r="A283" s="48" t="str">
        <x:v>RED-0282</x:v>
      </x:c>
      <x:c r="B283" s="48" t="str">
        <x:v>RED</x:v>
      </x:c>
      <x:c r="C283" s="48" t="str">
        <x:v>English</x:v>
      </x:c>
      <x:c r="D283" s="48" t="n">
        <x:v>26</x:v>
      </x:c>
      <x:c r="E283" s="48" t="str"/>
      <x:c r="F283" s="48" t="str">
        <x:v>The Contractor shall design (to the extent specified in the Contract), execute and complete the Works in accordance with the Contract and with the Engineer’s instructions, and shall remedy any defects in the Works.</x:v>
      </x:c>
      <x:c r="G283" s="48" t="str">
        <x:v>Obligation</x:v>
      </x:c>
      <x:c r="H283" s="48" t="str">
        <x:v>Contractor</x:v>
      </x:c>
      <x:c r="I283" s="48" t="n">
        <x:v>0.88</x:v>
      </x:c>
      <x:c r="J283" s="48" t="n">
        <x:v>0.92</x:v>
      </x:c>
      <x:c r="K283" s="48" t="str">
        <x:v>No</x:v>
      </x:c>
      <x:c r="L283" s="48" t="str">
        <x:v>PDF text</x:v>
      </x:c>
    </x:row>
    <x:row r="284">
      <x:c r="A284" s="48" t="str">
        <x:v>RED-0283</x:v>
      </x:c>
      <x:c r="B284" s="48" t="str">
        <x:v>RED</x:v>
      </x:c>
      <x:c r="C284" s="48" t="str">
        <x:v>English</x:v>
      </x:c>
      <x:c r="D284" s="48" t="n">
        <x:v>26</x:v>
      </x:c>
      <x:c r="E284" s="48" t="str"/>
      <x:c r="F284" s="48" t="str">
        <x:v>The Contractor shall provide the Plant and Contractor’s Documents specified in the</x:v>
      </x:c>
      <x:c r="G284" s="48" t="str">
        <x:v>Obligation</x:v>
      </x:c>
      <x:c r="H284" s="48" t="str">
        <x:v>Contractor</x:v>
      </x:c>
      <x:c r="I284" s="48" t="n">
        <x:v>0.88</x:v>
      </x:c>
      <x:c r="J284" s="48" t="n">
        <x:v>0.92</x:v>
      </x:c>
      <x:c r="K284" s="48" t="str">
        <x:v>No</x:v>
      </x:c>
      <x:c r="L284" s="48" t="str">
        <x:v>PDF text</x:v>
      </x:c>
    </x:row>
    <x:row r="285">
      <x:c r="A285" s="48" t="str">
        <x:v>RED-0284</x:v>
      </x:c>
      <x:c r="B285" s="48" t="str">
        <x:v>RED</x:v>
      </x:c>
      <x:c r="C285" s="48" t="str">
        <x:v>English</x:v>
      </x:c>
      <x:c r="D285" s="48" t="n">
        <x:v>26</x:v>
      </x:c>
      <x:c r="E285" s="48" t="str"/>
      <x:c r="F285" s="48" t="str">
        <x:v>Contract, and all Contractor’s Personnel, Goods, consumables and other things and</x:v>
      </x:c>
      <x:c r="G285" s="48" t="str">
        <x:v>Obligation</x:v>
      </x:c>
      <x:c r="H285" s="48" t="str">
        <x:v>Contractor</x:v>
      </x:c>
      <x:c r="I285" s="48" t="n">
        <x:v>0.45</x:v>
      </x:c>
      <x:c r="J285" s="48" t="n">
        <x:v>0.68</x:v>
      </x:c>
      <x:c r="K285" s="48" t="str">
        <x:v>Yes</x:v>
      </x:c>
      <x:c r="L285" s="48" t="str">
        <x:v>PDF text</x:v>
      </x:c>
    </x:row>
    <x:row r="286">
      <x:c r="A286" s="48" t="str">
        <x:v>RED-0285</x:v>
      </x:c>
      <x:c r="B286" s="48" t="str">
        <x:v>RED</x:v>
      </x:c>
      <x:c r="C286" s="48" t="str">
        <x:v>English</x:v>
      </x:c>
      <x:c r="D286" s="48" t="n">
        <x:v>26</x:v>
      </x:c>
      <x:c r="E286" s="48" t="str"/>
      <x:c r="F286" s="48" t="str">
        <x:v>services, whether of a temporary or permanent nature, required in and for this design, execution, completion and remedying of defects.</x:v>
      </x:c>
      <x:c r="G286" s="48" t="str">
        <x:v>Obligation</x:v>
      </x:c>
      <x:c r="H286" s="48" t="str">
        <x:v>Shared</x:v>
      </x:c>
      <x:c r="I286" s="48" t="n">
        <x:v>0.45</x:v>
      </x:c>
      <x:c r="J286" s="48" t="n">
        <x:v>0.4</x:v>
      </x:c>
      <x:c r="K286" s="48" t="str">
        <x:v>Yes</x:v>
      </x:c>
      <x:c r="L286" s="48" t="str">
        <x:v>PDF text</x:v>
      </x:c>
    </x:row>
    <x:row r="287">
      <x:c r="A287" s="48" t="str">
        <x:v>RED-0286</x:v>
      </x:c>
      <x:c r="B287" s="48" t="str">
        <x:v>RED</x:v>
      </x:c>
      <x:c r="C287" s="48" t="str">
        <x:v>English</x:v>
      </x:c>
      <x:c r="D287" s="48" t="n">
        <x:v>26</x:v>
      </x:c>
      <x:c r="E287" s="48" t="str"/>
      <x:c r="F287" s="48" t="str">
        <x:v>All equipment, material, and services to be incorporated in or required for the Works shall have their origin in any eligible source country as defined by the Bank.</x:v>
      </x:c>
      <x:c r="G287" s="48" t="str">
        <x:v>Obligation</x:v>
      </x:c>
      <x:c r="H287" s="48" t="str">
        <x:v>Shared</x:v>
      </x:c>
      <x:c r="I287" s="48" t="n">
        <x:v>0.88</x:v>
      </x:c>
      <x:c r="J287" s="48" t="n">
        <x:v>0.4</x:v>
      </x:c>
      <x:c r="K287" s="48" t="str">
        <x:v>Yes</x:v>
      </x:c>
      <x:c r="L287" s="48" t="str">
        <x:v>PDF text</x:v>
      </x:c>
    </x:row>
    <x:row r="288">
      <x:c r="A288" s="48" t="str">
        <x:v>RED-0287</x:v>
      </x:c>
      <x:c r="B288" s="48" t="str">
        <x:v>RED</x:v>
      </x:c>
      <x:c r="C288" s="48" t="str">
        <x:v>English</x:v>
      </x:c>
      <x:c r="D288" s="48" t="n">
        <x:v>26</x:v>
      </x:c>
      <x:c r="E288" s="48" t="str"/>
      <x:c r="F288" s="48" t="str">
        <x:v>The Contractor shall be responsible for the adequacy, stability and safety of all Site operations and of all methods of construction.</x:v>
      </x:c>
      <x:c r="G288" s="48" t="str">
        <x:v>Obligation</x:v>
      </x:c>
      <x:c r="H288" s="48" t="str">
        <x:v>Contractor</x:v>
      </x:c>
      <x:c r="I288" s="48" t="n">
        <x:v>0.88</x:v>
      </x:c>
      <x:c r="J288" s="48" t="n">
        <x:v>0.92</x:v>
      </x:c>
      <x:c r="K288" s="48" t="str">
        <x:v>No</x:v>
      </x:c>
      <x:c r="L288" s="48" t="str">
        <x:v>PDF text</x:v>
      </x:c>
    </x:row>
    <x:row r="289">
      <x:c r="A289" s="48" t="str">
        <x:v>RED-0288</x:v>
      </x:c>
      <x:c r="B289" s="48" t="str">
        <x:v>RED</x:v>
      </x:c>
      <x:c r="C289" s="48" t="str">
        <x:v>English</x:v>
      </x:c>
      <x:c r="D289" s="48" t="n">
        <x:v>26</x:v>
      </x:c>
      <x:c r="E289" s="48" t="str"/>
      <x:c r="F289" s="48" t="str">
        <x:v>Except to the extent specified in the</x:v>
      </x:c>
      <x:c r="G289" s="48" t="str">
        <x:v>Obligation</x:v>
      </x:c>
      <x:c r="H289" s="48" t="str">
        <x:v>Shared</x:v>
      </x:c>
      <x:c r="I289" s="48" t="n">
        <x:v>0.45</x:v>
      </x:c>
      <x:c r="J289" s="48" t="n">
        <x:v>0.4</x:v>
      </x:c>
      <x:c r="K289" s="48" t="str">
        <x:v>Yes</x:v>
      </x:c>
      <x:c r="L289" s="48" t="str">
        <x:v>PDF text</x:v>
      </x:c>
    </x:row>
    <x:row r="290">
      <x:c r="A290" s="48" t="str">
        <x:v>RED-0289</x:v>
      </x:c>
      <x:c r="B290" s="48" t="str">
        <x:v>RED</x:v>
      </x:c>
      <x:c r="C290" s="48" t="str">
        <x:v>English</x:v>
      </x:c>
      <x:c r="D290" s="48" t="n">
        <x:v>26</x:v>
      </x:c>
      <x:c r="E290" s="48" t="str"/>
      <x:c r="F290" s="48" t="str">
        <x:v>Contract, the Contractor (i) shall be responsible for all Contractor’s Documents,</x:v>
      </x:c>
      <x:c r="G290" s="48" t="str">
        <x:v>Obligation</x:v>
      </x:c>
      <x:c r="H290" s="48" t="str">
        <x:v>Contractor</x:v>
      </x:c>
      <x:c r="I290" s="48" t="n">
        <x:v>0.88</x:v>
      </x:c>
      <x:c r="J290" s="48" t="n">
        <x:v>0.68</x:v>
      </x:c>
      <x:c r="K290" s="48" t="str">
        <x:v>Yes</x:v>
      </x:c>
      <x:c r="L290" s="48" t="str">
        <x:v>PDF text</x:v>
      </x:c>
    </x:row>
    <x:row r="291">
      <x:c r="A291" s="48" t="str">
        <x:v>RED-0290</x:v>
      </x:c>
      <x:c r="B291" s="48" t="str">
        <x:v>RED</x:v>
      </x:c>
      <x:c r="C291" s="48" t="str">
        <x:v>English</x:v>
      </x:c>
      <x:c r="D291" s="48" t="n">
        <x:v>26</x:v>
      </x:c>
      <x:c r="E291" s="48" t="str"/>
      <x:c r="F291" s="48" t="str">
        <x:v>Temporary Works, and such design of each item of Plant and Materials as is required for the item to be in accordance with the Contract, and (ii) shall not otherwise be responsible for the design or specification of the Permanent Works.</x:v>
      </x:c>
      <x:c r="G291" s="48" t="str">
        <x:v>Obligation</x:v>
      </x:c>
      <x:c r="H291" s="48" t="str">
        <x:v>Shared</x:v>
      </x:c>
      <x:c r="I291" s="48" t="n">
        <x:v>0.88</x:v>
      </x:c>
      <x:c r="J291" s="48" t="n">
        <x:v>0.4</x:v>
      </x:c>
      <x:c r="K291" s="48" t="str">
        <x:v>Yes</x:v>
      </x:c>
      <x:c r="L291" s="48" t="str">
        <x:v>PDF text</x:v>
      </x:c>
    </x:row>
    <x:row r="292">
      <x:c r="A292" s="48" t="str">
        <x:v>RED-0291</x:v>
      </x:c>
      <x:c r="B292" s="48" t="str">
        <x:v>RED</x:v>
      </x:c>
      <x:c r="C292" s="48" t="str">
        <x:v>English</x:v>
      </x:c>
      <x:c r="D292" s="48" t="n">
        <x:v>26</x:v>
      </x:c>
      <x:c r="E292" s="48" t="str"/>
      <x:c r="F292" s="48" t="str">
        <x:v>The Contractor shall, whenever required by the Engineer, submit details of the</x:v>
      </x:c>
      <x:c r="G292" s="48" t="str">
        <x:v>Obligation</x:v>
      </x:c>
      <x:c r="H292" s="48" t="str">
        <x:v>Contractor</x:v>
      </x:c>
      <x:c r="I292" s="48" t="n">
        <x:v>0.88</x:v>
      </x:c>
      <x:c r="J292" s="48" t="n">
        <x:v>0.92</x:v>
      </x:c>
      <x:c r="K292" s="48" t="str">
        <x:v>No</x:v>
      </x:c>
      <x:c r="L292" s="48" t="str">
        <x:v>PDF text</x:v>
      </x:c>
    </x:row>
    <x:row r="293">
      <x:c r="A293" s="48" t="str">
        <x:v>RED-0292</x:v>
      </x:c>
      <x:c r="B293" s="48" t="str">
        <x:v>RED</x:v>
      </x:c>
      <x:c r="C293" s="48" t="str">
        <x:v>English</x:v>
      </x:c>
      <x:c r="D293" s="48" t="n">
        <x:v>26</x:v>
      </x:c>
      <x:c r="E293" s="48" t="str"/>
      <x:c r="F293" s="48" t="str">
        <x:v>arrangements and methods which the Contractor proposes to adopt for the execution of the Works.</x:v>
      </x:c>
      <x:c r="G293" s="48" t="str">
        <x:v>Obligation</x:v>
      </x:c>
      <x:c r="H293" s="48" t="str">
        <x:v>Contractor</x:v>
      </x:c>
      <x:c r="I293" s="48" t="n">
        <x:v>0.45</x:v>
      </x:c>
      <x:c r="J293" s="48" t="n">
        <x:v>0.68</x:v>
      </x:c>
      <x:c r="K293" s="48" t="str">
        <x:v>Yes</x:v>
      </x:c>
      <x:c r="L293" s="48" t="str">
        <x:v>PDF text</x:v>
      </x:c>
    </x:row>
    <x:row r="294">
      <x:c r="A294" s="48" t="str">
        <x:v>RED-0293</x:v>
      </x:c>
      <x:c r="B294" s="48" t="str">
        <x:v>RED</x:v>
      </x:c>
      <x:c r="C294" s="48" t="str">
        <x:v>English</x:v>
      </x:c>
      <x:c r="D294" s="48" t="n">
        <x:v>26</x:v>
      </x:c>
      <x:c r="E294" s="48" t="str"/>
      <x:c r="F294" s="48" t="str">
        <x:v>No significant alteration to these arrangements and methods shall be made without this having previously been notified to the Engineer.</x:v>
      </x:c>
      <x:c r="G294" s="48" t="str">
        <x:v>Obligation</x:v>
      </x:c>
      <x:c r="H294" s="48" t="str">
        <x:v>Shared</x:v>
      </x:c>
      <x:c r="I294" s="48" t="n">
        <x:v>0.88</x:v>
      </x:c>
      <x:c r="J294" s="48" t="n">
        <x:v>0.4</x:v>
      </x:c>
      <x:c r="K294" s="48" t="str">
        <x:v>Yes</x:v>
      </x:c>
      <x:c r="L294" s="48" t="str">
        <x:v>PDF text</x:v>
      </x:c>
    </x:row>
    <x:row r="295">
      <x:c r="A295" s="48" t="str">
        <x:v>RED-0294</x:v>
      </x:c>
      <x:c r="B295" s="48" t="str">
        <x:v>RED</x:v>
      </x:c>
      <x:c r="C295" s="48" t="str">
        <x:v>English</x:v>
      </x:c>
      <x:c r="D295" s="48" t="n">
        <x:v>26</x:v>
      </x:c>
      <x:c r="E295" s="48" t="str"/>
      <x:c r="F295" s="48" t="str">
        <x:v>If the Contract specifies that the Contractor shall design any part of the Permanent Works, then unless otherwise stated in the Particular Conditions: (a) the Contractor shall submit to the Engineer the Contractor’s Documents for this part in accordance with the procedures specified in the Contract; (b) these Contractor’s Documents shall be in accordance with the Specification and Drawings, shall be written in the language for communications defined in Sub-Clause 1.4 [Law and Language], and shall include additional information required by the Engineer to add to the Drawings for co-ordination of each Party’s designs; (c) the Contractor shall be responsible for this part and it shall, when the Works are completed, be fit for such purposes for which the part is intended as are specified in the Contract; and (d) prior to the commencement of the Tests on Completion, the Contractor shall submit to the Engineer the “as-built” documents and operation and maintenance manuals in accordance with the Specification and in sufficient detail for the Employer to operate, maintain, dismantle, reassemble, adjust and repair this part of the Works.</x:v>
      </x:c>
      <x:c r="G295" s="48" t="str">
        <x:v>Obligation</x:v>
      </x:c>
      <x:c r="H295" s="48" t="str">
        <x:v>Shared</x:v>
      </x:c>
      <x:c r="I295" s="48" t="n">
        <x:v>0.88</x:v>
      </x:c>
      <x:c r="J295" s="48" t="n">
        <x:v>0.93</x:v>
      </x:c>
      <x:c r="K295" s="48" t="str">
        <x:v>No</x:v>
      </x:c>
      <x:c r="L295" s="48" t="str">
        <x:v>PDF text</x:v>
      </x:c>
    </x:row>
    <x:row r="296">
      <x:c r="A296" s="48" t="str">
        <x:v>RED-0295</x:v>
      </x:c>
      <x:c r="B296" s="48" t="str">
        <x:v>RED</x:v>
      </x:c>
      <x:c r="C296" s="48" t="str">
        <x:v>English</x:v>
      </x:c>
      <x:c r="D296" s="48" t="n">
        <x:v>26</x:v>
      </x:c>
      <x:c r="E296" s="48" t="str"/>
      <x:c r="F296" s="48" t="str">
        <x:v>Such part shall not be considered to be completed for the purposes of taking-over under Sub-Clause 10.1 [Taking Over of the Works and Sections] until these documents and manuals have been submitted to the Engineer.</x:v>
      </x:c>
      <x:c r="G296" s="48" t="str">
        <x:v>Obligation</x:v>
      </x:c>
      <x:c r="H296" s="48" t="str">
        <x:v>Shared</x:v>
      </x:c>
      <x:c r="I296" s="48" t="n">
        <x:v>0.88</x:v>
      </x:c>
      <x:c r="J296" s="48" t="n">
        <x:v>0.4</x:v>
      </x:c>
      <x:c r="K296" s="48" t="str">
        <x:v>Yes</x:v>
      </x:c>
      <x:c r="L296" s="48" t="str">
        <x:v>PDF text</x:v>
      </x:c>
    </x:row>
    <x:row r="297">
      <x:c r="A297" s="48" t="str">
        <x:v>RED-0296</x:v>
      </x:c>
      <x:c r="B297" s="48" t="str">
        <x:v>RED</x:v>
      </x:c>
      <x:c r="C297" s="48" t="str">
        <x:v>English</x:v>
      </x:c>
      <x:c r="D297" s="48" t="n">
        <x:v>26</x:v>
      </x:c>
      <x:c r="E297" s="48" t="str"/>
      <x:c r="F297" s="48" t="str">
        <x:v>Contractor’s General</x:v>
      </x:c>
      <x:c r="G297" s="48" t="str">
        <x:v>Obligation</x:v>
      </x:c>
      <x:c r="H297" s="48" t="str">
        <x:v>Contractor</x:v>
      </x:c>
      <x:c r="I297" s="48" t="n">
        <x:v>0.45</x:v>
      </x:c>
      <x:c r="J297" s="48" t="n">
        <x:v>0.68</x:v>
      </x:c>
      <x:c r="K297" s="48" t="str">
        <x:v>Yes</x:v>
      </x:c>
      <x:c r="L297" s="48" t="str">
        <x:v>PDF text</x:v>
      </x:c>
    </x:row>
    <x:row r="298">
      <x:c r="A298" s="48" t="str">
        <x:v>RED-0297</x:v>
      </x:c>
      <x:c r="B298" s="48" t="str">
        <x:v>RED</x:v>
      </x:c>
      <x:c r="C298" s="48" t="str">
        <x:v>English</x:v>
      </x:c>
      <x:c r="D298" s="48" t="n">
        <x:v>26</x:v>
      </x:c>
      <x:c r="E298" s="48" t="str"/>
      <x:c r="F298" s="48" t="str">
        <x:v>Obligations 4</x:v>
      </x:c>
      <x:c r="G298" s="48" t="str">
        <x:v>Obligation</x:v>
      </x:c>
      <x:c r="H298" s="48" t="str">
        <x:v>Shared</x:v>
      </x:c>
      <x:c r="I298" s="48" t="n">
        <x:v>0.45</x:v>
      </x:c>
      <x:c r="J298" s="48" t="n">
        <x:v>0.4</x:v>
      </x:c>
      <x:c r="K298" s="48" t="str">
        <x:v>Yes</x:v>
      </x:c>
      <x:c r="L298" s="48" t="str">
        <x:v>PDF text</x:v>
      </x:c>
    </x:row>
    <x:row r="299">
      <x:c r="A299" s="48" t="str">
        <x:v>RED-0298</x:v>
      </x:c>
      <x:c r="B299" s="48" t="str">
        <x:v>RED</x:v>
      </x:c>
      <x:c r="C299" s="48" t="str">
        <x:v>English</x:v>
      </x:c>
      <x:c r="D299" s="48" t="n">
        <x:v>26</x:v>
      </x:c>
      <x:c r="E299" s="48" t="str"/>
      <x:c r="F299" s="48" t="str">
        <x:v>The Contractor</x:v>
      </x:c>
      <x:c r="G299" s="48" t="str">
        <x:v>Obligation</x:v>
      </x:c>
      <x:c r="H299" s="48" t="str">
        <x:v>Contractor</x:v>
      </x:c>
      <x:c r="I299" s="48" t="n">
        <x:v>0.45</x:v>
      </x:c>
      <x:c r="J299" s="48" t="n">
        <x:v>0.68</x:v>
      </x:c>
      <x:c r="K299" s="48" t="str">
        <x:v>Yes</x:v>
      </x:c>
      <x:c r="L299" s="48" t="str">
        <x:v>PDF text</x:v>
      </x:c>
    </x:row>
    <x:row r="300">
      <x:c r="A300" s="48" t="str">
        <x:v>RED-0299</x:v>
      </x:c>
      <x:c r="B300" s="48" t="str">
        <x:v>RED</x:v>
      </x:c>
      <x:c r="C300" s="48" t="str">
        <x:v>English</x:v>
      </x:c>
      <x:c r="D300" s="48" t="n">
        <x:v>27</x:v>
      </x:c>
      <x:c r="E300" s="48" t="str"/>
      <x:c r="F300" s="48" t="str">
        <x:v>The Contractor shall obtain (at his cost) a Performance Security for proper</x:v>
      </x:c>
      <x:c r="G300" s="48" t="str">
        <x:v>Obligation</x:v>
      </x:c>
      <x:c r="H300" s="48" t="str">
        <x:v>Contractor</x:v>
      </x:c>
      <x:c r="I300" s="48" t="n">
        <x:v>0.88</x:v>
      </x:c>
      <x:c r="J300" s="48" t="n">
        <x:v>0.92</x:v>
      </x:c>
      <x:c r="K300" s="48" t="str">
        <x:v>No</x:v>
      </x:c>
      <x:c r="L300" s="48" t="str">
        <x:v>PDF text</x:v>
      </x:c>
    </x:row>
    <x:row r="301">
      <x:c r="A301" s="48" t="str">
        <x:v>RED-0300</x:v>
      </x:c>
      <x:c r="B301" s="48" t="str">
        <x:v>RED</x:v>
      </x:c>
      <x:c r="C301" s="48" t="str">
        <x:v>English</x:v>
      </x:c>
      <x:c r="D301" s="48" t="n">
        <x:v>27</x:v>
      </x:c>
      <x:c r="E301" s="48" t="str"/>
      <x:c r="F301" s="48" t="str">
        <x:v>performance, in the form, amount and currencies stated in the Contract Data.</x:v>
      </x:c>
      <x:c r="G301" s="48" t="str">
        <x:v>Obligation</x:v>
      </x:c>
      <x:c r="H301" s="48" t="str">
        <x:v>Shared</x:v>
      </x:c>
      <x:c r="I301" s="48" t="n">
        <x:v>0.45</x:v>
      </x:c>
      <x:c r="J301" s="48" t="n">
        <x:v>0.4</x:v>
      </x:c>
      <x:c r="K301" s="48" t="str">
        <x:v>Yes</x:v>
      </x:c>
      <x:c r="L301" s="48" t="str">
        <x:v>PDF text</x:v>
      </x:c>
    </x:row>
    <x:row r="302">
      <x:c r="A302" s="48" t="str">
        <x:v>RED-0301</x:v>
      </x:c>
      <x:c r="B302" s="48" t="str">
        <x:v>RED</x:v>
      </x:c>
      <x:c r="C302" s="48" t="str">
        <x:v>English</x:v>
      </x:c>
      <x:c r="D302" s="48" t="n">
        <x:v>27</x:v>
      </x:c>
      <x:c r="E302" s="48" t="str"/>
      <x:c r="F302" s="48" t="str">
        <x:v>If an amount is not stated in the Contract Data, this Sub-Clause shall not apply.</x:v>
      </x:c>
      <x:c r="G302" s="48" t="str">
        <x:v>Obligation</x:v>
      </x:c>
      <x:c r="H302" s="48" t="str">
        <x:v>Shared</x:v>
      </x:c>
      <x:c r="I302" s="48" t="n">
        <x:v>0.88</x:v>
      </x:c>
      <x:c r="J302" s="48" t="n">
        <x:v>0.4</x:v>
      </x:c>
      <x:c r="K302" s="48" t="str">
        <x:v>Yes</x:v>
      </x:c>
      <x:c r="L302" s="48" t="str">
        <x:v>PDF text</x:v>
      </x:c>
    </x:row>
    <x:row r="303">
      <x:c r="A303" s="48" t="str">
        <x:v>RED-0302</x:v>
      </x:c>
      <x:c r="B303" s="48" t="str">
        <x:v>RED</x:v>
      </x:c>
      <x:c r="C303" s="48" t="str">
        <x:v>English</x:v>
      </x:c>
      <x:c r="D303" s="48" t="n">
        <x:v>27</x:v>
      </x:c>
      <x:c r="E303" s="48" t="str"/>
      <x:c r="F303" s="48" t="str">
        <x:v>The Contractor shall deliver the Performance Security to the Employer within 28 days after receiving the Letter of Acceptance, and shall send a copy to the Engineer.</x:v>
      </x:c>
      <x:c r="G303" s="48" t="str">
        <x:v>Obligation</x:v>
      </x:c>
      <x:c r="H303" s="48" t="str">
        <x:v>Contractor</x:v>
      </x:c>
      <x:c r="I303" s="48" t="n">
        <x:v>0.88</x:v>
      </x:c>
      <x:c r="J303" s="48" t="n">
        <x:v>0.92</x:v>
      </x:c>
      <x:c r="K303" s="48" t="str">
        <x:v>No</x:v>
      </x:c>
      <x:c r="L303" s="48" t="str">
        <x:v>PDF text</x:v>
      </x:c>
    </x:row>
    <x:row r="304">
      <x:c r="A304" s="48" t="str">
        <x:v>RED-0303</x:v>
      </x:c>
      <x:c r="B304" s="48" t="str">
        <x:v>RED</x:v>
      </x:c>
      <x:c r="C304" s="48" t="str">
        <x:v>English</x:v>
      </x:c>
      <x:c r="D304" s="48" t="n">
        <x:v>27</x:v>
      </x:c>
      <x:c r="E304" s="48" t="str"/>
      <x:c r="F304" s="48" t="str">
        <x:v>The Performance Security shall be issued by an entity and from within a country (or other jurisdiction) approved by the Employer, and shall be in the form annexed to the Particular Conditions or in another form approved by the Employer.</x:v>
      </x:c>
      <x:c r="G304" s="48" t="str">
        <x:v>Obligation</x:v>
      </x:c>
      <x:c r="H304" s="48" t="str">
        <x:v>Employer</x:v>
      </x:c>
      <x:c r="I304" s="48" t="n">
        <x:v>0.88</x:v>
      </x:c>
      <x:c r="J304" s="48" t="n">
        <x:v>0.68</x:v>
      </x:c>
      <x:c r="K304" s="48" t="str">
        <x:v>Yes</x:v>
      </x:c>
      <x:c r="L304" s="48" t="str">
        <x:v>PDF text</x:v>
      </x:c>
    </x:row>
    <x:row r="305">
      <x:c r="A305" s="48" t="str">
        <x:v>RED-0304</x:v>
      </x:c>
      <x:c r="B305" s="48" t="str">
        <x:v>RED</x:v>
      </x:c>
      <x:c r="C305" s="48" t="str">
        <x:v>English</x:v>
      </x:c>
      <x:c r="D305" s="48" t="n">
        <x:v>27</x:v>
      </x:c>
      <x:c r="E305" s="48" t="str"/>
      <x:c r="F305" s="48" t="str">
        <x:v>The Contractor shall ensure that the Performance Security is valid and enforceable until the Contractor has executed and completed the Works and remedied any defects.</x:v>
      </x:c>
      <x:c r="G305" s="48" t="str">
        <x:v>Obligation</x:v>
      </x:c>
      <x:c r="H305" s="48" t="str">
        <x:v>Contractor</x:v>
      </x:c>
      <x:c r="I305" s="48" t="n">
        <x:v>0.88</x:v>
      </x:c>
      <x:c r="J305" s="48" t="n">
        <x:v>0.92</x:v>
      </x:c>
      <x:c r="K305" s="48" t="str">
        <x:v>No</x:v>
      </x:c>
      <x:c r="L305" s="48" t="str">
        <x:v>PDF text</x:v>
      </x:c>
    </x:row>
    <x:row r="306">
      <x:c r="A306" s="48" t="str">
        <x:v>RED-0305</x:v>
      </x:c>
      <x:c r="B306" s="48" t="str">
        <x:v>RED</x:v>
      </x:c>
      <x:c r="C306" s="48" t="str">
        <x:v>English</x:v>
      </x:c>
      <x:c r="D306" s="48" t="n">
        <x:v>27</x:v>
      </x:c>
      <x:c r="E306" s="48" t="str"/>
      <x:c r="F306" s="48" t="str">
        <x:v>If the terms of the Performance Security specify its expiry date, and the Contractor has not become entitled to receive the Performance Certificate by the date 28 days prior to the expiry date, the Contractor shall extend the validity of the</x:v>
      </x:c>
      <x:c r="G306" s="48" t="str">
        <x:v>Obligation</x:v>
      </x:c>
      <x:c r="H306" s="48" t="str">
        <x:v>Contractor</x:v>
      </x:c>
      <x:c r="I306" s="48" t="n">
        <x:v>0.88</x:v>
      </x:c>
      <x:c r="J306" s="48" t="n">
        <x:v>0.92</x:v>
      </x:c>
      <x:c r="K306" s="48" t="str">
        <x:v>No</x:v>
      </x:c>
      <x:c r="L306" s="48" t="str">
        <x:v>PDF text</x:v>
      </x:c>
    </x:row>
    <x:row r="307">
      <x:c r="A307" s="48" t="str">
        <x:v>RED-0306</x:v>
      </x:c>
      <x:c r="B307" s="48" t="str">
        <x:v>RED</x:v>
      </x:c>
      <x:c r="C307" s="48" t="str">
        <x:v>English</x:v>
      </x:c>
      <x:c r="D307" s="48" t="n">
        <x:v>27</x:v>
      </x:c>
      <x:c r="E307" s="48" t="str"/>
      <x:c r="F307" s="48" t="str">
        <x:v>Performance Security until the Works have been completed and any defects have</x:v>
      </x:c>
      <x:c r="G307" s="48" t="str">
        <x:v>Obligation</x:v>
      </x:c>
      <x:c r="H307" s="48" t="str">
        <x:v>Shared</x:v>
      </x:c>
      <x:c r="I307" s="48" t="n">
        <x:v>0.45</x:v>
      </x:c>
      <x:c r="J307" s="48" t="n">
        <x:v>0.4</x:v>
      </x:c>
      <x:c r="K307" s="48" t="str">
        <x:v>Yes</x:v>
      </x:c>
      <x:c r="L307" s="48" t="str">
        <x:v>PDF text</x:v>
      </x:c>
    </x:row>
    <x:row r="308">
      <x:c r="A308" s="48" t="str">
        <x:v>RED-0307</x:v>
      </x:c>
      <x:c r="B308" s="48" t="str">
        <x:v>RED</x:v>
      </x:c>
      <x:c r="C308" s="48" t="str">
        <x:v>English</x:v>
      </x:c>
      <x:c r="D308" s="48" t="n">
        <x:v>27</x:v>
      </x:c>
      <x:c r="E308" s="48" t="str"/>
      <x:c r="F308" s="48" t="str">
        <x:v>been remedied.</x:v>
      </x:c>
      <x:c r="G308" s="48" t="str">
        <x:v>Obligation</x:v>
      </x:c>
      <x:c r="H308" s="48" t="str">
        <x:v>Shared</x:v>
      </x:c>
      <x:c r="I308" s="48" t="n">
        <x:v>0.45</x:v>
      </x:c>
      <x:c r="J308" s="48" t="n">
        <x:v>0.4</x:v>
      </x:c>
      <x:c r="K308" s="48" t="str">
        <x:v>Yes</x:v>
      </x:c>
      <x:c r="L308" s="48" t="str">
        <x:v>PDF text</x:v>
      </x:c>
    </x:row>
    <x:row r="309">
      <x:c r="A309" s="48" t="str">
        <x:v>RED-0308</x:v>
      </x:c>
      <x:c r="B309" s="48" t="str">
        <x:v>RED</x:v>
      </x:c>
      <x:c r="C309" s="48" t="str">
        <x:v>English</x:v>
      </x:c>
      <x:c r="D309" s="48" t="n">
        <x:v>27</x:v>
      </x:c>
      <x:c r="E309" s="48" t="str"/>
      <x:c r="F309" s="48" t="str">
        <x:v>The Employer shall not make a claim under the Performance Security, except for amounts to which the Employer is entitled under the Contract.</x:v>
      </x:c>
      <x:c r="G309" s="48" t="str">
        <x:v>Obligation</x:v>
      </x:c>
      <x:c r="H309" s="48" t="str">
        <x:v>Employer</x:v>
      </x:c>
      <x:c r="I309" s="48" t="n">
        <x:v>0.88</x:v>
      </x:c>
      <x:c r="J309" s="48" t="n">
        <x:v>0.92</x:v>
      </x:c>
      <x:c r="K309" s="48" t="str">
        <x:v>No</x:v>
      </x:c>
      <x:c r="L309" s="48" t="str">
        <x:v>PDF text</x:v>
      </x:c>
    </x:row>
    <x:row r="310">
      <x:c r="A310" s="48" t="str">
        <x:v>RED-0309</x:v>
      </x:c>
      <x:c r="B310" s="48" t="str">
        <x:v>RED</x:v>
      </x:c>
      <x:c r="C310" s="48" t="str">
        <x:v>English</x:v>
      </x:c>
      <x:c r="D310" s="48" t="n">
        <x:v>27</x:v>
      </x:c>
      <x:c r="E310" s="48" t="str"/>
      <x:c r="F310" s="48" t="str">
        <x:v>The Employer shall indemnify and hold the Contractor harmless against and from all damages, losses and expenses (including legal fees and expenses) resulting from a claim under the Performance Security to the extent to which the Employer was not entitled to make the claim.</x:v>
      </x:c>
      <x:c r="G310" s="48" t="str">
        <x:v>Obligation</x:v>
      </x:c>
      <x:c r="H310" s="48" t="str">
        <x:v>Employer</x:v>
      </x:c>
      <x:c r="I310" s="48" t="n">
        <x:v>0.88</x:v>
      </x:c>
      <x:c r="J310" s="48" t="n">
        <x:v>0.92</x:v>
      </x:c>
      <x:c r="K310" s="48" t="str">
        <x:v>No</x:v>
      </x:c>
      <x:c r="L310" s="48" t="str">
        <x:v>PDF text</x:v>
      </x:c>
    </x:row>
    <x:row r="311">
      <x:c r="A311" s="48" t="str">
        <x:v>RED-0310</x:v>
      </x:c>
      <x:c r="B311" s="48" t="str">
        <x:v>RED</x:v>
      </x:c>
      <x:c r="C311" s="48" t="str">
        <x:v>English</x:v>
      </x:c>
      <x:c r="D311" s="48" t="n">
        <x:v>27</x:v>
      </x:c>
      <x:c r="E311" s="48" t="str"/>
      <x:c r="F311" s="48" t="str">
        <x:v>The Employer shall return the Performance Security to the Contractor within 21 days after receiving a copy of the Performance Certificate.</x:v>
      </x:c>
      <x:c r="G311" s="48" t="str">
        <x:v>Obligation</x:v>
      </x:c>
      <x:c r="H311" s="48" t="str">
        <x:v>Employer</x:v>
      </x:c>
      <x:c r="I311" s="48" t="n">
        <x:v>0.88</x:v>
      </x:c>
      <x:c r="J311" s="48" t="n">
        <x:v>0.92</x:v>
      </x:c>
      <x:c r="K311" s="48" t="str">
        <x:v>No</x:v>
      </x:c>
      <x:c r="L311" s="48" t="str">
        <x:v>PDF text</x:v>
      </x:c>
    </x:row>
    <x:row r="312">
      <x:c r="A312" s="48" t="str">
        <x:v>RED-0311</x:v>
      </x:c>
      <x:c r="B312" s="48" t="str">
        <x:v>RED</x:v>
      </x:c>
      <x:c r="C312" s="48" t="str">
        <x:v>English</x:v>
      </x:c>
      <x:c r="D312" s="48" t="n">
        <x:v>27</x:v>
      </x:c>
      <x:c r="E312" s="48" t="str"/>
      <x:c r="F312" s="48" t="str">
        <x:v>Without limitation to the provisions of the rest of this Sub-Clause, whenever the Engineer determines an addition or a reduction to the Contract Price as a result of a change in cost and/or legislation or as a result of a Variation amounting to more than 25 percent of the portion of the Contract Price payable in a specific currency, the Contractor shall at the Engineer’s request promptly increase, or may decrease, as the case may be, the value of the Performance Security in that currency by an equal percentage.</x:v>
      </x:c>
      <x:c r="G312" s="48" t="str">
        <x:v>Obligation</x:v>
      </x:c>
      <x:c r="H312" s="48" t="str">
        <x:v>Contractor</x:v>
      </x:c>
      <x:c r="I312" s="48" t="n">
        <x:v>0.88</x:v>
      </x:c>
      <x:c r="J312" s="48" t="n">
        <x:v>0.92</x:v>
      </x:c>
      <x:c r="K312" s="48" t="str">
        <x:v>No</x:v>
      </x:c>
      <x:c r="L312" s="48" t="str">
        <x:v>PDF text</x:v>
      </x:c>
    </x:row>
    <x:row r="313">
      <x:c r="A313" s="48" t="str">
        <x:v>RED-0312</x:v>
      </x:c>
      <x:c r="B313" s="48" t="str">
        <x:v>RED</x:v>
      </x:c>
      <x:c r="C313" s="48" t="str">
        <x:v>English</x:v>
      </x:c>
      <x:c r="D313" s="48" t="n">
        <x:v>27</x:v>
      </x:c>
      <x:c r="E313" s="48" t="str"/>
      <x:c r="F313" s="48" t="str">
        <x:v>The Contractor shall appoint the Contractor’s Representative and shall give him all authority necessary to act on the Contractor’s behalf under the Contract.</x:v>
      </x:c>
      <x:c r="G313" s="48" t="str">
        <x:v>Obligation</x:v>
      </x:c>
      <x:c r="H313" s="48" t="str">
        <x:v>Contractor</x:v>
      </x:c>
      <x:c r="I313" s="48" t="n">
        <x:v>0.88</x:v>
      </x:c>
      <x:c r="J313" s="48" t="n">
        <x:v>0.92</x:v>
      </x:c>
      <x:c r="K313" s="48" t="str">
        <x:v>No</x:v>
      </x:c>
      <x:c r="L313" s="48" t="str">
        <x:v>PDF text</x:v>
      </x:c>
    </x:row>
    <x:row r="314">
      <x:c r="A314" s="48" t="str">
        <x:v>RED-0313</x:v>
      </x:c>
      <x:c r="B314" s="48" t="str">
        <x:v>RED</x:v>
      </x:c>
      <x:c r="C314" s="48" t="str">
        <x:v>English</x:v>
      </x:c>
      <x:c r="D314" s="48" t="n">
        <x:v>27</x:v>
      </x:c>
      <x:c r="E314" s="48" t="str"/>
      <x:c r="F314" s="48" t="str">
        <x:v>Unless the Contractor’s Representative is named in the Contract, the Contractor shall, prior to the Commencement Date, submit to the Engineer for consent the name and particulars of the person the Contractor proposes to appoint as Contractor’s Representative.</x:v>
      </x:c>
      <x:c r="G314" s="48" t="str">
        <x:v>Obligation</x:v>
      </x:c>
      <x:c r="H314" s="48" t="str">
        <x:v>Contractor</x:v>
      </x:c>
      <x:c r="I314" s="48" t="n">
        <x:v>0.88</x:v>
      </x:c>
      <x:c r="J314" s="48" t="n">
        <x:v>0.92</x:v>
      </x:c>
      <x:c r="K314" s="48" t="str">
        <x:v>No</x:v>
      </x:c>
      <x:c r="L314" s="48" t="str">
        <x:v>PDF text</x:v>
      </x:c>
    </x:row>
    <x:row r="315">
      <x:c r="A315" s="48" t="str">
        <x:v>RED-0314</x:v>
      </x:c>
      <x:c r="B315" s="48" t="str">
        <x:v>RED</x:v>
      </x:c>
      <x:c r="C315" s="48" t="str">
        <x:v>English</x:v>
      </x:c>
      <x:c r="D315" s="48" t="n">
        <x:v>27</x:v>
      </x:c>
      <x:c r="E315" s="48" t="str"/>
      <x:c r="F315" s="48" t="str">
        <x:v>If consent is withheld or subsequently revoked, or if the appointed person fails to act as Contractor’s Representative, the Contractor shall similarly submit the name and particulars of another suitable person for such appointment.</x:v>
      </x:c>
      <x:c r="G315" s="48" t="str">
        <x:v>Obligation</x:v>
      </x:c>
      <x:c r="H315" s="48" t="str">
        <x:v>Contractor</x:v>
      </x:c>
      <x:c r="I315" s="48" t="n">
        <x:v>0.88</x:v>
      </x:c>
      <x:c r="J315" s="48" t="n">
        <x:v>0.92</x:v>
      </x:c>
      <x:c r="K315" s="48" t="str">
        <x:v>No</x:v>
      </x:c>
      <x:c r="L315" s="48" t="str">
        <x:v>PDF text</x:v>
      </x:c>
    </x:row>
    <x:row r="316">
      <x:c r="A316" s="48" t="str">
        <x:v>RED-0315</x:v>
      </x:c>
      <x:c r="B316" s="48" t="str">
        <x:v>RED</x:v>
      </x:c>
      <x:c r="C316" s="48" t="str">
        <x:v>English</x:v>
      </x:c>
      <x:c r="D316" s="48" t="n">
        <x:v>27</x:v>
      </x:c>
      <x:c r="E316" s="48" t="str"/>
      <x:c r="F316" s="48" t="str">
        <x:v>The Contractor shall not, without the prior consent of the Engineer, revoke the</x:v>
      </x:c>
      <x:c r="G316" s="48" t="str">
        <x:v>Obligation</x:v>
      </x:c>
      <x:c r="H316" s="48" t="str">
        <x:v>Contractor</x:v>
      </x:c>
      <x:c r="I316" s="48" t="n">
        <x:v>0.88</x:v>
      </x:c>
      <x:c r="J316" s="48" t="n">
        <x:v>0.92</x:v>
      </x:c>
      <x:c r="K316" s="48" t="str">
        <x:v>No</x:v>
      </x:c>
      <x:c r="L316" s="48" t="str">
        <x:v>PDF text</x:v>
      </x:c>
    </x:row>
    <x:row r="317">
      <x:c r="A317" s="48" t="str">
        <x:v>RED-0316</x:v>
      </x:c>
      <x:c r="B317" s="48" t="str">
        <x:v>RED</x:v>
      </x:c>
      <x:c r="C317" s="48" t="str">
        <x:v>English</x:v>
      </x:c>
      <x:c r="D317" s="48" t="n">
        <x:v>27</x:v>
      </x:c>
      <x:c r="E317" s="48" t="str"/>
      <x:c r="F317" s="48" t="str">
        <x:v>appointment of the Contractor’s Representative or appoint a replacement.</x:v>
      </x:c>
      <x:c r="G317" s="48" t="str">
        <x:v>Obligation</x:v>
      </x:c>
      <x:c r="H317" s="48" t="str">
        <x:v>Contractor</x:v>
      </x:c>
      <x:c r="I317" s="48" t="n">
        <x:v>0.45</x:v>
      </x:c>
      <x:c r="J317" s="48" t="n">
        <x:v>0.68</x:v>
      </x:c>
      <x:c r="K317" s="48" t="str">
        <x:v>Yes</x:v>
      </x:c>
      <x:c r="L317" s="48" t="str">
        <x:v>PDF text</x:v>
      </x:c>
    </x:row>
    <x:row r="318">
      <x:c r="A318" s="48" t="str">
        <x:v>RED-0317</x:v>
      </x:c>
      <x:c r="B318" s="48" t="str">
        <x:v>RED</x:v>
      </x:c>
      <x:c r="C318" s="48" t="str">
        <x:v>English</x:v>
      </x:c>
      <x:c r="D318" s="48" t="n">
        <x:v>27</x:v>
      </x:c>
      <x:c r="E318" s="48" t="str"/>
      <x:c r="F318" s="48" t="str">
        <x:v>The whole time of the Contractor’s Representative shall be given to directing the</x:v>
      </x:c>
      <x:c r="G318" s="48" t="str">
        <x:v>Obligation</x:v>
      </x:c>
      <x:c r="H318" s="48" t="str">
        <x:v>Contractor</x:v>
      </x:c>
      <x:c r="I318" s="48" t="n">
        <x:v>0.88</x:v>
      </x:c>
      <x:c r="J318" s="48" t="n">
        <x:v>0.68</x:v>
      </x:c>
      <x:c r="K318" s="48" t="str">
        <x:v>Yes</x:v>
      </x:c>
      <x:c r="L318" s="48" t="str">
        <x:v>PDF text</x:v>
      </x:c>
    </x:row>
    <x:row r="319">
      <x:c r="A319" s="48" t="str">
        <x:v>RED-0318</x:v>
      </x:c>
      <x:c r="B319" s="48" t="str">
        <x:v>RED</x:v>
      </x:c>
      <x:c r="C319" s="48" t="str">
        <x:v>English</x:v>
      </x:c>
      <x:c r="D319" s="48" t="n">
        <x:v>27</x:v>
      </x:c>
      <x:c r="E319" s="48" t="str"/>
      <x:c r="F319" s="48" t="str">
        <x:v>Contractor’s performance of the Contract.</x:v>
      </x:c>
      <x:c r="G319" s="48" t="str">
        <x:v>Obligation</x:v>
      </x:c>
      <x:c r="H319" s="48" t="str">
        <x:v>Contractor</x:v>
      </x:c>
      <x:c r="I319" s="48" t="n">
        <x:v>0.45</x:v>
      </x:c>
      <x:c r="J319" s="48" t="n">
        <x:v>0.68</x:v>
      </x:c>
      <x:c r="K319" s="48" t="str">
        <x:v>Yes</x:v>
      </x:c>
      <x:c r="L319" s="48" t="str">
        <x:v>PDF text</x:v>
      </x:c>
    </x:row>
    <x:row r="320">
      <x:c r="A320" s="48" t="str">
        <x:v>RED-0319</x:v>
      </x:c>
      <x:c r="B320" s="48" t="str">
        <x:v>RED</x:v>
      </x:c>
      <x:c r="C320" s="48" t="str">
        <x:v>English</x:v>
      </x:c>
      <x:c r="D320" s="48" t="n">
        <x:v>27</x:v>
      </x:c>
      <x:c r="E320" s="48" t="str"/>
      <x:c r="F320" s="48" t="str">
        <x:v>If the Contractor’s Representative is to be temporarily absent from the Site during the execution of the Works, a suitable replacement person shall be appointed, subject to the Engineer’s prior consent, and the Engineer shall be notified accordingly.</x:v>
      </x:c>
      <x:c r="G320" s="48" t="str">
        <x:v>Obligation</x:v>
      </x:c>
      <x:c r="H320" s="48" t="str">
        <x:v>Contractor</x:v>
      </x:c>
      <x:c r="I320" s="48" t="n">
        <x:v>0.88</x:v>
      </x:c>
      <x:c r="J320" s="48" t="n">
        <x:v>0.68</x:v>
      </x:c>
      <x:c r="K320" s="48" t="str">
        <x:v>Yes</x:v>
      </x:c>
      <x:c r="L320" s="48" t="str">
        <x:v>PDF text</x:v>
      </x:c>
    </x:row>
    <x:row r="321">
      <x:c r="A321" s="48" t="str">
        <x:v>RED-0320</x:v>
      </x:c>
      <x:c r="B321" s="48" t="str">
        <x:v>RED</x:v>
      </x:c>
      <x:c r="C321" s="48" t="str">
        <x:v>English</x:v>
      </x:c>
      <x:c r="D321" s="48" t="n">
        <x:v>27</x:v>
      </x:c>
      <x:c r="E321" s="48" t="str"/>
      <x:c r="F321" s="48" t="str">
        <x:v>The Contractor’s Representative shall, on behalf of the Contractor, receive instructions under Sub-Clause 3.3 [Instructions of the Engineer].</x:v>
      </x:c>
      <x:c r="G321" s="48" t="str">
        <x:v>Obligation</x:v>
      </x:c>
      <x:c r="H321" s="48" t="str">
        <x:v>Contractor</x:v>
      </x:c>
      <x:c r="I321" s="48" t="n">
        <x:v>0.88</x:v>
      </x:c>
      <x:c r="J321" s="48" t="n">
        <x:v>0.68</x:v>
      </x:c>
      <x:c r="K321" s="48" t="str">
        <x:v>Yes</x:v>
      </x:c>
      <x:c r="L321" s="48" t="str">
        <x:v>PDF text</x:v>
      </x:c>
    </x:row>
    <x:row r="322">
      <x:c r="A322" s="48" t="str">
        <x:v>RED-0321</x:v>
      </x:c>
      <x:c r="B322" s="48" t="str">
        <x:v>RED</x:v>
      </x:c>
      <x:c r="C322" s="48" t="str">
        <x:v>English</x:v>
      </x:c>
      <x:c r="D322" s="48" t="n">
        <x:v>27</x:v>
      </x:c>
      <x:c r="E322" s="48" t="str"/>
      <x:c r="F322" s="48" t="str">
        <x:v>Performance Security</x:v>
      </x:c>
      <x:c r="G322" s="48" t="str">
        <x:v>Obligation</x:v>
      </x:c>
      <x:c r="H322" s="48" t="str">
        <x:v>Shared</x:v>
      </x:c>
      <x:c r="I322" s="48" t="n">
        <x:v>0.45</x:v>
      </x:c>
      <x:c r="J322" s="48" t="n">
        <x:v>0.4</x:v>
      </x:c>
      <x:c r="K322" s="48" t="str">
        <x:v>Yes</x:v>
      </x:c>
      <x:c r="L322" s="48" t="str">
        <x:v>PDF text</x:v>
      </x:c>
    </x:row>
    <x:row r="323">
      <x:c r="A323" s="48" t="str">
        <x:v>RED-0322</x:v>
      </x:c>
      <x:c r="B323" s="48" t="str">
        <x:v>RED</x:v>
      </x:c>
      <x:c r="C323" s="48" t="str">
        <x:v>English</x:v>
      </x:c>
      <x:c r="D323" s="48" t="n">
        <x:v>27</x:v>
      </x:c>
      <x:c r="E323" s="48" t="str"/>
      <x:c r="F323" s="48" t="str">
        <x:v>Contractor’s</x:v>
      </x:c>
      <x:c r="G323" s="48" t="str">
        <x:v>Obligation</x:v>
      </x:c>
      <x:c r="H323" s="48" t="str">
        <x:v>Contractor</x:v>
      </x:c>
      <x:c r="I323" s="48" t="n">
        <x:v>0.45</x:v>
      </x:c>
      <x:c r="J323" s="48" t="n">
        <x:v>0.68</x:v>
      </x:c>
      <x:c r="K323" s="48" t="str">
        <x:v>Yes</x:v>
      </x:c>
      <x:c r="L323" s="48" t="str">
        <x:v>PDF text</x:v>
      </x:c>
    </x:row>
    <x:row r="324">
      <x:c r="A324" s="48" t="str">
        <x:v>RED-0323</x:v>
      </x:c>
      <x:c r="B324" s="48" t="str">
        <x:v>RED</x:v>
      </x:c>
      <x:c r="C324" s="48" t="str">
        <x:v>English</x:v>
      </x:c>
      <x:c r="D324" s="48" t="n">
        <x:v>27</x:v>
      </x:c>
      <x:c r="E324" s="48" t="str"/>
      <x:c r="F324" s="48" t="str">
        <x:v>Representative</x:v>
      </x:c>
      <x:c r="G324" s="48" t="str">
        <x:v>Obligation</x:v>
      </x:c>
      <x:c r="H324" s="48" t="str">
        <x:v>Shared</x:v>
      </x:c>
      <x:c r="I324" s="48" t="n">
        <x:v>0.45</x:v>
      </x:c>
      <x:c r="J324" s="48" t="n">
        <x:v>0.4</x:v>
      </x:c>
      <x:c r="K324" s="48" t="str">
        <x:v>Yes</x:v>
      </x:c>
      <x:c r="L324" s="48" t="str">
        <x:v>PDF text</x:v>
      </x:c>
    </x:row>
    <x:row r="325">
      <x:c r="A325" s="48" t="str">
        <x:v>RED-0324</x:v>
      </x:c>
      <x:c r="B325" s="48" t="str">
        <x:v>RED</x:v>
      </x:c>
      <x:c r="C325" s="48" t="str">
        <x:v>English</x:v>
      </x:c>
      <x:c r="D325" s="48" t="n">
        <x:v>28</x:v>
      </x:c>
      <x:c r="E325" s="48" t="str"/>
      <x:c r="F325" s="48" t="str">
        <x:v>The Contractor’s Representative may delegate any powers, functions and authority to any competent person, and may at any time revoke the delegation.</x:v>
      </x:c>
      <x:c r="G325" s="48" t="str">
        <x:v>Right</x:v>
      </x:c>
      <x:c r="H325" s="48" t="str">
        <x:v>Contractor</x:v>
      </x:c>
      <x:c r="I325" s="48" t="n">
        <x:v>0.78</x:v>
      </x:c>
      <x:c r="J325" s="48" t="n">
        <x:v>0.68</x:v>
      </x:c>
      <x:c r="K325" s="48" t="str">
        <x:v>Yes</x:v>
      </x:c>
      <x:c r="L325" s="48" t="str">
        <x:v>PDF text</x:v>
      </x:c>
    </x:row>
    <x:row r="326">
      <x:c r="A326" s="48" t="str">
        <x:v>RED-0325</x:v>
      </x:c>
      <x:c r="B326" s="48" t="str">
        <x:v>RED</x:v>
      </x:c>
      <x:c r="C326" s="48" t="str">
        <x:v>English</x:v>
      </x:c>
      <x:c r="D326" s="48" t="n">
        <x:v>28</x:v>
      </x:c>
      <x:c r="E326" s="48" t="str"/>
      <x:c r="F326" s="48" t="str">
        <x:v>Any delegation or revocation shall not take effect until the Engineer has received prior notice signed by the Contractor’s Representative, naming the person and specifying the powers, functions and authority being delegated or revoked.</x:v>
      </x:c>
      <x:c r="G326" s="48" t="str">
        <x:v>Obligation</x:v>
      </x:c>
      <x:c r="H326" s="48" t="str">
        <x:v>Contractor</x:v>
      </x:c>
      <x:c r="I326" s="48" t="n">
        <x:v>0.88</x:v>
      </x:c>
      <x:c r="J326" s="48" t="n">
        <x:v>0.68</x:v>
      </x:c>
      <x:c r="K326" s="48" t="str">
        <x:v>Yes</x:v>
      </x:c>
      <x:c r="L326" s="48" t="str">
        <x:v>PDF text</x:v>
      </x:c>
    </x:row>
    <x:row r="327">
      <x:c r="A327" s="48" t="str">
        <x:v>RED-0326</x:v>
      </x:c>
      <x:c r="B327" s="48" t="str">
        <x:v>RED</x:v>
      </x:c>
      <x:c r="C327" s="48" t="str">
        <x:v>English</x:v>
      </x:c>
      <x:c r="D327" s="48" t="n">
        <x:v>28</x:v>
      </x:c>
      <x:c r="E327" s="48" t="str"/>
      <x:c r="F327" s="48" t="str">
        <x:v>The Contractor’s Representative shall be fluent in the language for communications defined in Sub-Clause 1.4 [Law and Language].</x:v>
      </x:c>
      <x:c r="G327" s="48" t="str">
        <x:v>Obligation</x:v>
      </x:c>
      <x:c r="H327" s="48" t="str">
        <x:v>Contractor</x:v>
      </x:c>
      <x:c r="I327" s="48" t="n">
        <x:v>0.88</x:v>
      </x:c>
      <x:c r="J327" s="48" t="n">
        <x:v>0.68</x:v>
      </x:c>
      <x:c r="K327" s="48" t="str">
        <x:v>Yes</x:v>
      </x:c>
      <x:c r="L327" s="48" t="str">
        <x:v>PDF text</x:v>
      </x:c>
    </x:row>
    <x:row r="328">
      <x:c r="A328" s="48" t="str">
        <x:v>RED-0327</x:v>
      </x:c>
      <x:c r="B328" s="48" t="str">
        <x:v>RED</x:v>
      </x:c>
      <x:c r="C328" s="48" t="str">
        <x:v>English</x:v>
      </x:c>
      <x:c r="D328" s="48" t="n">
        <x:v>28</x:v>
      </x:c>
      <x:c r="E328" s="48" t="str"/>
      <x:c r="F328" s="48" t="str">
        <x:v>If the Contractor’s Representative’s delegates are not fluent in the said language, the Contractor shall make competent interpreters available during all working hours in a number deemed sufficient by the Engineer.</x:v>
      </x:c>
      <x:c r="G328" s="48" t="str">
        <x:v>Obligation</x:v>
      </x:c>
      <x:c r="H328" s="48" t="str">
        <x:v>Contractor</x:v>
      </x:c>
      <x:c r="I328" s="48" t="n">
        <x:v>0.88</x:v>
      </x:c>
      <x:c r="J328" s="48" t="n">
        <x:v>0.92</x:v>
      </x:c>
      <x:c r="K328" s="48" t="str">
        <x:v>No</x:v>
      </x:c>
      <x:c r="L328" s="48" t="str">
        <x:v>PDF text</x:v>
      </x:c>
    </x:row>
    <x:row r="329">
      <x:c r="A329" s="48" t="str">
        <x:v>RED-0328</x:v>
      </x:c>
      <x:c r="B329" s="48" t="str">
        <x:v>RED</x:v>
      </x:c>
      <x:c r="C329" s="48" t="str">
        <x:v>English</x:v>
      </x:c>
      <x:c r="D329" s="48" t="n">
        <x:v>28</x:v>
      </x:c>
      <x:c r="E329" s="48" t="str"/>
      <x:c r="F329" s="48" t="str">
        <x:v>The Contractor shall not subcontract the whole of the Works.</x:v>
      </x:c>
      <x:c r="G329" s="48" t="str">
        <x:v>Obligation</x:v>
      </x:c>
      <x:c r="H329" s="48" t="str">
        <x:v>Contractor</x:v>
      </x:c>
      <x:c r="I329" s="48" t="n">
        <x:v>0.88</x:v>
      </x:c>
      <x:c r="J329" s="48" t="n">
        <x:v>0.92</x:v>
      </x:c>
      <x:c r="K329" s="48" t="str">
        <x:v>No</x:v>
      </x:c>
      <x:c r="L329" s="48" t="str">
        <x:v>PDF text</x:v>
      </x:c>
    </x:row>
    <x:row r="330">
      <x:c r="A330" s="48" t="str">
        <x:v>RED-0329</x:v>
      </x:c>
      <x:c r="B330" s="48" t="str">
        <x:v>RED</x:v>
      </x:c>
      <x:c r="C330" s="48" t="str">
        <x:v>English</x:v>
      </x:c>
      <x:c r="D330" s="48" t="n">
        <x:v>28</x:v>
      </x:c>
      <x:c r="E330" s="48" t="str"/>
      <x:c r="F330" s="48" t="str">
        <x:v>The Contractor shall be responsible for the acts or defaults of any Subcontractor, his agents or employees, as if they were the acts or defaults of the Contractor.</x:v>
      </x:c>
      <x:c r="G330" s="48" t="str">
        <x:v>Obligation</x:v>
      </x:c>
      <x:c r="H330" s="48" t="str">
        <x:v>Contractor</x:v>
      </x:c>
      <x:c r="I330" s="48" t="n">
        <x:v>0.88</x:v>
      </x:c>
      <x:c r="J330" s="48" t="n">
        <x:v>0.92</x:v>
      </x:c>
      <x:c r="K330" s="48" t="str">
        <x:v>No</x:v>
      </x:c>
      <x:c r="L330" s="48" t="str">
        <x:v>PDF text</x:v>
      </x:c>
    </x:row>
    <x:row r="331">
      <x:c r="A331" s="48" t="str">
        <x:v>RED-0330</x:v>
      </x:c>
      <x:c r="B331" s="48" t="str">
        <x:v>RED</x:v>
      </x:c>
      <x:c r="C331" s="48" t="str">
        <x:v>English</x:v>
      </x:c>
      <x:c r="D331" s="48" t="n">
        <x:v>28</x:v>
      </x:c>
      <x:c r="E331" s="48" t="str"/>
      <x:c r="F331" s="48" t="str">
        <x:v>Unless otherwise stated in the Particular Conditions: (a) the Contractor shall not be required to obtain consent to suppliers solely of</x:v>
      </x:c>
      <x:c r="G331" s="48" t="str">
        <x:v>Obligation</x:v>
      </x:c>
      <x:c r="H331" s="48" t="str">
        <x:v>Contractor</x:v>
      </x:c>
      <x:c r="I331" s="48" t="n">
        <x:v>0.88</x:v>
      </x:c>
      <x:c r="J331" s="48" t="n">
        <x:v>0.92</x:v>
      </x:c>
      <x:c r="K331" s="48" t="str">
        <x:v>No</x:v>
      </x:c>
      <x:c r="L331" s="48" t="str">
        <x:v>PDF text</x:v>
      </x:c>
    </x:row>
    <x:row r="332">
      <x:c r="A332" s="48" t="str">
        <x:v>RED-0331</x:v>
      </x:c>
      <x:c r="B332" s="48" t="str">
        <x:v>RED</x:v>
      </x:c>
      <x:c r="C332" s="48" t="str">
        <x:v>English</x:v>
      </x:c>
      <x:c r="D332" s="48" t="n">
        <x:v>28</x:v>
      </x:c>
      <x:c r="E332" s="48" t="str"/>
      <x:c r="F332" s="48" t="str">
        <x:v>Materials, or to a subcontract for which the Subcontractor is named in the</x:v>
      </x:c>
      <x:c r="G332" s="48" t="str">
        <x:v>Obligation</x:v>
      </x:c>
      <x:c r="H332" s="48" t="str">
        <x:v>Shared</x:v>
      </x:c>
      <x:c r="I332" s="48" t="n">
        <x:v>0.45</x:v>
      </x:c>
      <x:c r="J332" s="48" t="n">
        <x:v>0.4</x:v>
      </x:c>
      <x:c r="K332" s="48" t="str">
        <x:v>Yes</x:v>
      </x:c>
      <x:c r="L332" s="48" t="str">
        <x:v>PDF text</x:v>
      </x:c>
    </x:row>
    <x:row r="333">
      <x:c r="A333" s="48" t="str">
        <x:v>RED-0332</x:v>
      </x:c>
      <x:c r="B333" s="48" t="str">
        <x:v>RED</x:v>
      </x:c>
      <x:c r="C333" s="48" t="str">
        <x:v>English</x:v>
      </x:c>
      <x:c r="D333" s="48" t="n">
        <x:v>28</x:v>
      </x:c>
      <x:c r="E333" s="48" t="str"/>
      <x:c r="F333" s="48" t="str">
        <x:v>Contract; (b) the prior consent of the Engineer shall be obtained to other proposed Subcontractors; (c) the Contractor shall give the Engineer not less than 28 days’ notice of the intended date of the commencement of each Subcontractor’s work, and of the commencement of such work on the Site; and (d) each subcontract shall include provisions which would entitle the Employer to require the subcontract to be assigned to the Employer under Sub-Clause 4.5 [Assignment of Benefit of Subcontract] (if or when applicable) or in the event of termination under Sub-Clause 15.2 [Termination by Employer].</x:v>
      </x:c>
      <x:c r="G333" s="48" t="str">
        <x:v>Obligation</x:v>
      </x:c>
      <x:c r="H333" s="48" t="str">
        <x:v>Contractor</x:v>
      </x:c>
      <x:c r="I333" s="48" t="n">
        <x:v>0.88</x:v>
      </x:c>
      <x:c r="J333" s="48" t="n">
        <x:v>0.92</x:v>
      </x:c>
      <x:c r="K333" s="48" t="str">
        <x:v>No</x:v>
      </x:c>
      <x:c r="L333" s="48" t="str">
        <x:v>PDF text</x:v>
      </x:c>
    </x:row>
    <x:row r="334">
      <x:c r="A334" s="48" t="str">
        <x:v>RED-0333</x:v>
      </x:c>
      <x:c r="B334" s="48" t="str">
        <x:v>RED</x:v>
      </x:c>
      <x:c r="C334" s="48" t="str">
        <x:v>English</x:v>
      </x:c>
      <x:c r="D334" s="48" t="n">
        <x:v>28</x:v>
      </x:c>
      <x:c r="E334" s="48" t="str"/>
      <x:c r="F334" s="48" t="str">
        <x:v>The Contractor shall ensure that the requirements imposed on the Contractor by SubClause 1.12 [Confidential Details] apply equally to each Subcontractor.</x:v>
      </x:c>
      <x:c r="G334" s="48" t="str">
        <x:v>Obligation</x:v>
      </x:c>
      <x:c r="H334" s="48" t="str">
        <x:v>Contractor</x:v>
      </x:c>
      <x:c r="I334" s="48" t="n">
        <x:v>0.88</x:v>
      </x:c>
      <x:c r="J334" s="48" t="n">
        <x:v>0.92</x:v>
      </x:c>
      <x:c r="K334" s="48" t="str">
        <x:v>No</x:v>
      </x:c>
      <x:c r="L334" s="48" t="str">
        <x:v>PDF text</x:v>
      </x:c>
    </x:row>
    <x:row r="335">
      <x:c r="A335" s="48" t="str">
        <x:v>RED-0334</x:v>
      </x:c>
      <x:c r="B335" s="48" t="str">
        <x:v>RED</x:v>
      </x:c>
      <x:c r="C335" s="48" t="str">
        <x:v>English</x:v>
      </x:c>
      <x:c r="D335" s="48" t="n">
        <x:v>28</x:v>
      </x:c>
      <x:c r="E335" s="48" t="str"/>
      <x:c r="F335" s="48" t="str">
        <x:v>Where practicable, the Contractor shall give fair and reasonable opportunity for</x:v>
      </x:c>
      <x:c r="G335" s="48" t="str">
        <x:v>Obligation</x:v>
      </x:c>
      <x:c r="H335" s="48" t="str">
        <x:v>Contractor</x:v>
      </x:c>
      <x:c r="I335" s="48" t="n">
        <x:v>0.88</x:v>
      </x:c>
      <x:c r="J335" s="48" t="n">
        <x:v>0.92</x:v>
      </x:c>
      <x:c r="K335" s="48" t="str">
        <x:v>No</x:v>
      </x:c>
      <x:c r="L335" s="48" t="str">
        <x:v>PDF text</x:v>
      </x:c>
    </x:row>
    <x:row r="336">
      <x:c r="A336" s="48" t="str">
        <x:v>RED-0335</x:v>
      </x:c>
      <x:c r="B336" s="48" t="str">
        <x:v>RED</x:v>
      </x:c>
      <x:c r="C336" s="48" t="str">
        <x:v>English</x:v>
      </x:c>
      <x:c r="D336" s="48" t="n">
        <x:v>28</x:v>
      </x:c>
      <x:c r="E336" s="48" t="str"/>
      <x:c r="F336" s="48" t="str">
        <x:v>contractors from the Country to be appointed as Subcontractors.</x:v>
      </x:c>
      <x:c r="G336" s="48" t="str">
        <x:v>Obligation</x:v>
      </x:c>
      <x:c r="H336" s="48" t="str">
        <x:v>Shared</x:v>
      </x:c>
      <x:c r="I336" s="48" t="n">
        <x:v>0.45</x:v>
      </x:c>
      <x:c r="J336" s="48" t="n">
        <x:v>0.4</x:v>
      </x:c>
      <x:c r="K336" s="48" t="str">
        <x:v>Yes</x:v>
      </x:c>
      <x:c r="L336" s="48" t="str">
        <x:v>PDF text</x:v>
      </x:c>
    </x:row>
    <x:row r="337">
      <x:c r="A337" s="48" t="str">
        <x:v>RED-0336</x:v>
      </x:c>
      <x:c r="B337" s="48" t="str">
        <x:v>RED</x:v>
      </x:c>
      <x:c r="C337" s="48" t="str">
        <x:v>English</x:v>
      </x:c>
      <x:c r="D337" s="48" t="n">
        <x:v>28</x:v>
      </x:c>
      <x:c r="E337" s="48" t="str"/>
      <x:c r="F337" s="48" t="str">
        <x:v>If a Subcontractor’s obligations extend beyond the expiry date of the relevant Defects Notification Period and the Engineer, prior to this date, instructs the Contractor to assign the benefit of such obligations to the Employer, then the Contractor shall do so.</x:v>
      </x:c>
      <x:c r="G337" s="48" t="str">
        <x:v>Obligation</x:v>
      </x:c>
      <x:c r="H337" s="48" t="str">
        <x:v>Contractor</x:v>
      </x:c>
      <x:c r="I337" s="48" t="n">
        <x:v>0.88</x:v>
      </x:c>
      <x:c r="J337" s="48" t="n">
        <x:v>0.92</x:v>
      </x:c>
      <x:c r="K337" s="48" t="str">
        <x:v>No</x:v>
      </x:c>
      <x:c r="L337" s="48" t="str">
        <x:v>PDF text</x:v>
      </x:c>
    </x:row>
    <x:row r="338">
      <x:c r="A338" s="48" t="str">
        <x:v>RED-0337</x:v>
      </x:c>
      <x:c r="B338" s="48" t="str">
        <x:v>RED</x:v>
      </x:c>
      <x:c r="C338" s="48" t="str">
        <x:v>English</x:v>
      </x:c>
      <x:c r="D338" s="48" t="n">
        <x:v>28</x:v>
      </x:c>
      <x:c r="E338" s="48" t="str"/>
      <x:c r="F338" s="48" t="str">
        <x:v>Unless otherwise stated in the assignment, the Contractor shall have no liability to the Employer for the work carried out by the Subcontractor after the assignment takes effect.</x:v>
      </x:c>
      <x:c r="G338" s="48" t="str">
        <x:v>Risk</x:v>
      </x:c>
      <x:c r="H338" s="48" t="str">
        <x:v>Contractor</x:v>
      </x:c>
      <x:c r="I338" s="48" t="n">
        <x:v>0.78</x:v>
      </x:c>
      <x:c r="J338" s="48" t="n">
        <x:v>0.92</x:v>
      </x:c>
      <x:c r="K338" s="48" t="str">
        <x:v>No</x:v>
      </x:c>
      <x:c r="L338" s="48" t="str">
        <x:v>PDF text</x:v>
      </x:c>
    </x:row>
    <x:row r="339">
      <x:c r="A339" s="48" t="str">
        <x:v>RED-0338</x:v>
      </x:c>
      <x:c r="B339" s="48" t="str">
        <x:v>RED</x:v>
      </x:c>
      <x:c r="C339" s="48" t="str">
        <x:v>English</x:v>
      </x:c>
      <x:c r="D339" s="48" t="n">
        <x:v>28</x:v>
      </x:c>
      <x:c r="E339" s="48" t="str"/>
      <x:c r="F339" s="48" t="str">
        <x:v>The Contractor shall, as specified in the Contract or as instructed by the Engineer, allow appropriate opportunities for carrying out work to: (a) the Employer’s Personnel, (b) any other contractors employed by the Employer, and (c) the personnel of any legally constituted public authorities, who may be employed in the execution on or near the Site of any work not included in the Contract.</x:v>
      </x:c>
      <x:c r="G339" s="48" t="str">
        <x:v>Obligation</x:v>
      </x:c>
      <x:c r="H339" s="48" t="str">
        <x:v>Contractor</x:v>
      </x:c>
      <x:c r="I339" s="48" t="n">
        <x:v>0.88</x:v>
      </x:c>
      <x:c r="J339" s="48" t="n">
        <x:v>0.92</x:v>
      </x:c>
      <x:c r="K339" s="48" t="str">
        <x:v>No</x:v>
      </x:c>
      <x:c r="L339" s="48" t="str">
        <x:v>PDF text</x:v>
      </x:c>
    </x:row>
    <x:row r="340">
      <x:c r="A340" s="48" t="str">
        <x:v>RED-0339</x:v>
      </x:c>
      <x:c r="B340" s="48" t="str">
        <x:v>RED</x:v>
      </x:c>
      <x:c r="C340" s="48" t="str">
        <x:v>English</x:v>
      </x:c>
      <x:c r="D340" s="48" t="n">
        <x:v>28</x:v>
      </x:c>
      <x:c r="E340" s="48" t="str"/>
      <x:c r="F340" s="48" t="str">
        <x:v>Subcontractors</x:v>
      </x:c>
      <x:c r="G340" s="48" t="str">
        <x:v>Obligation</x:v>
      </x:c>
      <x:c r="H340" s="48" t="str">
        <x:v>Shared</x:v>
      </x:c>
      <x:c r="I340" s="48" t="n">
        <x:v>0.45</x:v>
      </x:c>
      <x:c r="J340" s="48" t="n">
        <x:v>0.4</x:v>
      </x:c>
      <x:c r="K340" s="48" t="str">
        <x:v>Yes</x:v>
      </x:c>
      <x:c r="L340" s="48" t="str">
        <x:v>PDF text</x:v>
      </x:c>
    </x:row>
    <x:row r="341">
      <x:c r="A341" s="48" t="str">
        <x:v>RED-0340</x:v>
      </x:c>
      <x:c r="B341" s="48" t="str">
        <x:v>RED</x:v>
      </x:c>
      <x:c r="C341" s="48" t="str">
        <x:v>English</x:v>
      </x:c>
      <x:c r="D341" s="48" t="n">
        <x:v>28</x:v>
      </x:c>
      <x:c r="E341" s="48" t="str"/>
      <x:c r="F341" s="48" t="str">
        <x:v>Assignment of Benefit</x:v>
      </x:c>
      <x:c r="G341" s="48" t="str">
        <x:v>Obligation</x:v>
      </x:c>
      <x:c r="H341" s="48" t="str">
        <x:v>Shared</x:v>
      </x:c>
      <x:c r="I341" s="48" t="n">
        <x:v>0.45</x:v>
      </x:c>
      <x:c r="J341" s="48" t="n">
        <x:v>0.4</x:v>
      </x:c>
      <x:c r="K341" s="48" t="str">
        <x:v>Yes</x:v>
      </x:c>
      <x:c r="L341" s="48" t="str">
        <x:v>PDF text</x:v>
      </x:c>
    </x:row>
    <x:row r="342">
      <x:c r="A342" s="48" t="str">
        <x:v>RED-0341</x:v>
      </x:c>
      <x:c r="B342" s="48" t="str">
        <x:v>RED</x:v>
      </x:c>
      <x:c r="C342" s="48" t="str">
        <x:v>English</x:v>
      </x:c>
      <x:c r="D342" s="48" t="n">
        <x:v>28</x:v>
      </x:c>
      <x:c r="E342" s="48" t="str"/>
      <x:c r="F342" s="48" t="str">
        <x:v>of Subcontract 4.6</x:v>
      </x:c>
      <x:c r="G342" s="48" t="str">
        <x:v>Obligation</x:v>
      </x:c>
      <x:c r="H342" s="48" t="str">
        <x:v>Shared</x:v>
      </x:c>
      <x:c r="I342" s="48" t="n">
        <x:v>0.45</x:v>
      </x:c>
      <x:c r="J342" s="48" t="n">
        <x:v>0.4</x:v>
      </x:c>
      <x:c r="K342" s="48" t="str">
        <x:v>Yes</x:v>
      </x:c>
      <x:c r="L342" s="48" t="str">
        <x:v>PDF text</x:v>
      </x:c>
    </x:row>
    <x:row r="343">
      <x:c r="A343" s="48" t="str">
        <x:v>RED-0342</x:v>
      </x:c>
      <x:c r="B343" s="48" t="str">
        <x:v>RED</x:v>
      </x:c>
      <x:c r="C343" s="48" t="str">
        <x:v>English</x:v>
      </x:c>
      <x:c r="D343" s="48" t="n">
        <x:v>28</x:v>
      </x:c>
      <x:c r="E343" s="48" t="str"/>
      <x:c r="F343" s="48" t="str">
        <x:v>Co-operation</x:v>
      </x:c>
      <x:c r="G343" s="48" t="str">
        <x:v>Obligation</x:v>
      </x:c>
      <x:c r="H343" s="48" t="str">
        <x:v>Shared</x:v>
      </x:c>
      <x:c r="I343" s="48" t="n">
        <x:v>0.45</x:v>
      </x:c>
      <x:c r="J343" s="48" t="n">
        <x:v>0.4</x:v>
      </x:c>
      <x:c r="K343" s="48" t="str">
        <x:v>Yes</x:v>
      </x:c>
      <x:c r="L343" s="48" t="str">
        <x:v>PDF text</x:v>
      </x:c>
    </x:row>
    <x:row r="344">
      <x:c r="A344" s="48" t="str">
        <x:v>RED-0343</x:v>
      </x:c>
      <x:c r="B344" s="48" t="str">
        <x:v>RED</x:v>
      </x:c>
      <x:c r="C344" s="48" t="str">
        <x:v>English</x:v>
      </x:c>
      <x:c r="D344" s="48" t="n">
        <x:v>29</x:v>
      </x:c>
      <x:c r="E344" s="48" t="str"/>
      <x:c r="F344" s="48" t="str">
        <x:v>Any such instruction shall constitute a Variation if and to the extent that it causes the Contractor to incur Unforeseeable Cost.</x:v>
      </x:c>
      <x:c r="G344" s="48" t="str">
        <x:v>Risk</x:v>
      </x:c>
      <x:c r="H344" s="48" t="str">
        <x:v>Contractor</x:v>
      </x:c>
      <x:c r="I344" s="48" t="n">
        <x:v>0.78</x:v>
      </x:c>
      <x:c r="J344" s="48" t="n">
        <x:v>0.68</x:v>
      </x:c>
      <x:c r="K344" s="48" t="str">
        <x:v>Yes</x:v>
      </x:c>
      <x:c r="L344" s="48" t="str">
        <x:v>PDF text</x:v>
      </x:c>
    </x:row>
    <x:row r="345">
      <x:c r="A345" s="48" t="str">
        <x:v>RED-0344</x:v>
      </x:c>
      <x:c r="B345" s="48" t="str">
        <x:v>RED</x:v>
      </x:c>
      <x:c r="C345" s="48" t="str">
        <x:v>English</x:v>
      </x:c>
      <x:c r="D345" s="48" t="n">
        <x:v>29</x:v>
      </x:c>
      <x:c r="E345" s="48" t="str"/>
      <x:c r="F345" s="48" t="str">
        <x:v>Services for these personnel and other contractors may include the use of Contractor’s Equipment, Temporary Works or access arrangements which are the responsibility of the Contractor.</x:v>
      </x:c>
      <x:c r="G345" s="48" t="str">
        <x:v>Right</x:v>
      </x:c>
      <x:c r="H345" s="48" t="str">
        <x:v>Contractor</x:v>
      </x:c>
      <x:c r="I345" s="48" t="n">
        <x:v>0.78</x:v>
      </x:c>
      <x:c r="J345" s="48" t="n">
        <x:v>0.68</x:v>
      </x:c>
      <x:c r="K345" s="48" t="str">
        <x:v>Yes</x:v>
      </x:c>
      <x:c r="L345" s="48" t="str">
        <x:v>PDF text</x:v>
      </x:c>
    </x:row>
    <x:row r="346">
      <x:c r="A346" s="48" t="str">
        <x:v>RED-0345</x:v>
      </x:c>
      <x:c r="B346" s="48" t="str">
        <x:v>RED</x:v>
      </x:c>
      <x:c r="C346" s="48" t="str">
        <x:v>English</x:v>
      </x:c>
      <x:c r="D346" s="48" t="n">
        <x:v>29</x:v>
      </x:c>
      <x:c r="E346" s="48" t="str"/>
      <x:c r="F346" s="48" t="str">
        <x:v>If, under the Contract, the Employer is required to give to the Contractor possession of any foundation, structure, plant or means of access in accordance with Contractor’s Documents, the Contractor shall submit such documents to the Engineer in the time and manner stated in the Specification.</x:v>
      </x:c>
      <x:c r="G346" s="48" t="str">
        <x:v>Obligation</x:v>
      </x:c>
      <x:c r="H346" s="48" t="str">
        <x:v>Contractor</x:v>
      </x:c>
      <x:c r="I346" s="48" t="n">
        <x:v>0.88</x:v>
      </x:c>
      <x:c r="J346" s="48" t="n">
        <x:v>0.92</x:v>
      </x:c>
      <x:c r="K346" s="48" t="str">
        <x:v>No</x:v>
      </x:c>
      <x:c r="L346" s="48" t="str">
        <x:v>PDF text</x:v>
      </x:c>
    </x:row>
    <x:row r="347">
      <x:c r="A347" s="48" t="str">
        <x:v>RED-0346</x:v>
      </x:c>
      <x:c r="B347" s="48" t="str">
        <x:v>RED</x:v>
      </x:c>
      <x:c r="C347" s="48" t="str">
        <x:v>English</x:v>
      </x:c>
      <x:c r="D347" s="48" t="n">
        <x:v>29</x:v>
      </x:c>
      <x:c r="E347" s="48" t="str"/>
      <x:c r="F347" s="48" t="str">
        <x:v>The Contractor shall set out the Works in relation to original points, lines and levels of reference specified in the Contract or notified by the Engineer.</x:v>
      </x:c>
      <x:c r="G347" s="48" t="str">
        <x:v>Obligation</x:v>
      </x:c>
      <x:c r="H347" s="48" t="str">
        <x:v>Contractor</x:v>
      </x:c>
      <x:c r="I347" s="48" t="n">
        <x:v>0.88</x:v>
      </x:c>
      <x:c r="J347" s="48" t="n">
        <x:v>0.92</x:v>
      </x:c>
      <x:c r="K347" s="48" t="str">
        <x:v>No</x:v>
      </x:c>
      <x:c r="L347" s="48" t="str">
        <x:v>PDF text</x:v>
      </x:c>
    </x:row>
    <x:row r="348">
      <x:c r="A348" s="48" t="str">
        <x:v>RED-0347</x:v>
      </x:c>
      <x:c r="B348" s="48" t="str">
        <x:v>RED</x:v>
      </x:c>
      <x:c r="C348" s="48" t="str">
        <x:v>English</x:v>
      </x:c>
      <x:c r="D348" s="48" t="n">
        <x:v>29</x:v>
      </x:c>
      <x:c r="E348" s="48" t="str"/>
      <x:c r="F348" s="48" t="str">
        <x:v>The Contractor shall be responsible for the correct positioning of all parts of the Works, and shall rectify any error in the positions, levels, dimensions or alignment of the Works.</x:v>
      </x:c>
      <x:c r="G348" s="48" t="str">
        <x:v>Obligation</x:v>
      </x:c>
      <x:c r="H348" s="48" t="str">
        <x:v>Contractor</x:v>
      </x:c>
      <x:c r="I348" s="48" t="n">
        <x:v>0.88</x:v>
      </x:c>
      <x:c r="J348" s="48" t="n">
        <x:v>0.92</x:v>
      </x:c>
      <x:c r="K348" s="48" t="str">
        <x:v>No</x:v>
      </x:c>
      <x:c r="L348" s="48" t="str">
        <x:v>PDF text</x:v>
      </x:c>
    </x:row>
    <x:row r="349">
      <x:c r="A349" s="48" t="str">
        <x:v>RED-0348</x:v>
      </x:c>
      <x:c r="B349" s="48" t="str">
        <x:v>RED</x:v>
      </x:c>
      <x:c r="C349" s="48" t="str">
        <x:v>English</x:v>
      </x:c>
      <x:c r="D349" s="48" t="n">
        <x:v>29</x:v>
      </x:c>
      <x:c r="E349" s="48" t="str"/>
      <x:c r="F349" s="48" t="str">
        <x:v>The Employer shall be responsible for any errors in these specified or notified items of reference, but the Contractor shall use reasonable efforts to verify their accuracy before they are used.</x:v>
      </x:c>
      <x:c r="G349" s="48" t="str">
        <x:v>Obligation</x:v>
      </x:c>
      <x:c r="H349" s="48" t="str">
        <x:v>Contractor</x:v>
      </x:c>
      <x:c r="I349" s="48" t="n">
        <x:v>0.88</x:v>
      </x:c>
      <x:c r="J349" s="48" t="n">
        <x:v>0.92</x:v>
      </x:c>
      <x:c r="K349" s="48" t="str">
        <x:v>No</x:v>
      </x:c>
      <x:c r="L349" s="48" t="str">
        <x:v>PDF text</x:v>
      </x:c>
    </x:row>
    <x:row r="350">
      <x:c r="A350" s="48" t="str">
        <x:v>RED-0349</x:v>
      </x:c>
      <x:c r="B350" s="48" t="str">
        <x:v>RED</x:v>
      </x:c>
      <x:c r="C350" s="48" t="str">
        <x:v>English</x:v>
      </x:c>
      <x:c r="D350" s="48" t="n">
        <x:v>29</x:v>
      </x:c>
      <x:c r="E350" s="48" t="str"/>
      <x:c r="F350" s="48" t="str">
        <x:v>If the Contractor suffers delay and/or incurs Cost from executing work which was</x:v>
      </x:c>
      <x:c r="G350" s="48" t="str">
        <x:v>Risk</x:v>
      </x:c>
      <x:c r="H350" s="48" t="str">
        <x:v>Contractor</x:v>
      </x:c>
      <x:c r="I350" s="48" t="n">
        <x:v>0.78</x:v>
      </x:c>
      <x:c r="J350" s="48" t="n">
        <x:v>0.68</x:v>
      </x:c>
      <x:c r="K350" s="48" t="str">
        <x:v>Yes</x:v>
      </x:c>
      <x:c r="L350" s="48" t="str">
        <x:v>PDF text</x:v>
      </x:c>
    </x:row>
    <x:row r="351">
      <x:c r="A351" s="48" t="str">
        <x:v>RED-0350</x:v>
      </x:c>
      <x:c r="B351" s="48" t="str">
        <x:v>RED</x:v>
      </x:c>
      <x:c r="C351" s="48" t="str">
        <x:v>English</x:v>
      </x:c>
      <x:c r="D351" s="48" t="n">
        <x:v>29</x:v>
      </x:c>
      <x:c r="E351" s="48" t="str"/>
      <x:c r="F351" s="48" t="str">
        <x:v>necessitated by an error in these items of reference, and an experienced contractor could not reasonably have discovered such error and avoided this delay and/or Cost, the Contractor shall give notice to the Engineer and shall be entitled subject to SubClause 20.1 [Contractor’s Claims] to: (a) an extension of time for any such delay, if completion is or will be delayed, under Sub-Clause 8.4 [Extension of Time for Completion], and (b) payment of any such Cost plus profit, which shall be included in the Contract Price.</x:v>
      </x:c>
      <x:c r="G351" s="48" t="str">
        <x:v>Risk</x:v>
      </x:c>
      <x:c r="H351" s="48" t="str">
        <x:v>Contractor</x:v>
      </x:c>
      <x:c r="I351" s="48" t="n">
        <x:v>0.78</x:v>
      </x:c>
      <x:c r="J351" s="48" t="n">
        <x:v>0.92</x:v>
      </x:c>
      <x:c r="K351" s="48" t="str">
        <x:v>No</x:v>
      </x:c>
      <x:c r="L351" s="48" t="str">
        <x:v>PDF text</x:v>
      </x:c>
    </x:row>
    <x:row r="352">
      <x:c r="A352" s="48" t="str">
        <x:v>RED-0351</x:v>
      </x:c>
      <x:c r="B352" s="48" t="str">
        <x:v>RED</x:v>
      </x:c>
      <x:c r="C352" s="48" t="str">
        <x:v>English</x:v>
      </x:c>
      <x:c r="D352" s="48" t="n">
        <x:v>29</x:v>
      </x:c>
      <x:c r="E352" s="48" t="str">
        <x:v>3.5</x:v>
      </x:c>
      <x:c r="F352" s="48" t="str">
        <x:v>3.5 [Determinations] to agree or determine (i) whether and (if so) to what extent the</x:v>
      </x:c>
      <x:c r="G352" s="48" t="str">
        <x:v>Obligation</x:v>
      </x:c>
      <x:c r="H352" s="48" t="str">
        <x:v>Shared</x:v>
      </x:c>
      <x:c r="I352" s="48" t="n">
        <x:v>0.45</x:v>
      </x:c>
      <x:c r="J352" s="48" t="n">
        <x:v>0.4</x:v>
      </x:c>
      <x:c r="K352" s="48" t="str">
        <x:v>Yes</x:v>
      </x:c>
      <x:c r="L352" s="48" t="str">
        <x:v>PDF text</x:v>
      </x:c>
    </x:row>
    <x:row r="353">
      <x:c r="A353" s="48" t="str">
        <x:v>RED-0352</x:v>
      </x:c>
      <x:c r="B353" s="48" t="str">
        <x:v>RED</x:v>
      </x:c>
      <x:c r="C353" s="48" t="str">
        <x:v>English</x:v>
      </x:c>
      <x:c r="D353" s="48" t="n">
        <x:v>29</x:v>
      </x:c>
      <x:c r="E353" s="48" t="str"/>
      <x:c r="F353" s="48" t="str">
        <x:v>error could not reasonably have been discovered, and (ii) the matters described in sub-paragraphs (a) and (b) above related to this extent.</x:v>
      </x:c>
      <x:c r="G353" s="48" t="str">
        <x:v>Obligation</x:v>
      </x:c>
      <x:c r="H353" s="48" t="str">
        <x:v>Shared</x:v>
      </x:c>
      <x:c r="I353" s="48" t="n">
        <x:v>0.45</x:v>
      </x:c>
      <x:c r="J353" s="48" t="n">
        <x:v>0.4</x:v>
      </x:c>
      <x:c r="K353" s="48" t="str">
        <x:v>Yes</x:v>
      </x:c>
      <x:c r="L353" s="48" t="str">
        <x:v>PDF text</x:v>
      </x:c>
    </x:row>
    <x:row r="354">
      <x:c r="A354" s="48" t="str">
        <x:v>RED-0353</x:v>
      </x:c>
      <x:c r="B354" s="48" t="str">
        <x:v>RED</x:v>
      </x:c>
      <x:c r="C354" s="48" t="str">
        <x:v>English</x:v>
      </x:c>
      <x:c r="D354" s="48" t="n">
        <x:v>29</x:v>
      </x:c>
      <x:c r="E354" s="48" t="str"/>
      <x:c r="F354" s="48" t="str">
        <x:v>The Contractor shall: (a) comply with all applicable safety regulations, (b) take care for the safety of all persons entitled to be on the Site, (c) use reasonable efforts to keep the Site and Works clear of unnecessary obstruction so as to avoid danger to these persons, (d) provide fencing, lighting, guarding and watching of the Works until completion and taking over under Clause 10 [Employer’s Taking Over], and (e) provide any Temporary Works (including roadways, footways, guards and fences) which may be necessary, because of the execution of the Works, for the use and protection of the public and of owners and occupiers of adjacent land.</x:v>
      </x:c>
      <x:c r="G354" s="48" t="str">
        <x:v>Obligation</x:v>
      </x:c>
      <x:c r="H354" s="48" t="str">
        <x:v>Contractor</x:v>
      </x:c>
      <x:c r="I354" s="48" t="n">
        <x:v>0.88</x:v>
      </x:c>
      <x:c r="J354" s="48" t="n">
        <x:v>0.92</x:v>
      </x:c>
      <x:c r="K354" s="48" t="str">
        <x:v>No</x:v>
      </x:c>
      <x:c r="L354" s="48" t="str">
        <x:v>PDF text</x:v>
      </x:c>
    </x:row>
    <x:row r="355">
      <x:c r="A355" s="48" t="str">
        <x:v>RED-0354</x:v>
      </x:c>
      <x:c r="B355" s="48" t="str">
        <x:v>RED</x:v>
      </x:c>
      <x:c r="C355" s="48" t="str">
        <x:v>English</x:v>
      </x:c>
      <x:c r="D355" s="48" t="n">
        <x:v>29</x:v>
      </x:c>
      <x:c r="E355" s="48" t="str"/>
      <x:c r="F355" s="48" t="str">
        <x:v>The Contractor shall institute a quality assurance system to demonstrate compliance with the requirements of the Contract.</x:v>
      </x:c>
      <x:c r="G355" s="48" t="str">
        <x:v>Obligation</x:v>
      </x:c>
      <x:c r="H355" s="48" t="str">
        <x:v>Contractor</x:v>
      </x:c>
      <x:c r="I355" s="48" t="n">
        <x:v>0.88</x:v>
      </x:c>
      <x:c r="J355" s="48" t="n">
        <x:v>0.92</x:v>
      </x:c>
      <x:c r="K355" s="48" t="str">
        <x:v>No</x:v>
      </x:c>
      <x:c r="L355" s="48" t="str">
        <x:v>PDF text</x:v>
      </x:c>
    </x:row>
    <x:row r="356">
      <x:c r="A356" s="48" t="str">
        <x:v>RED-0355</x:v>
      </x:c>
      <x:c r="B356" s="48" t="str">
        <x:v>RED</x:v>
      </x:c>
      <x:c r="C356" s="48" t="str">
        <x:v>English</x:v>
      </x:c>
      <x:c r="D356" s="48" t="n">
        <x:v>29</x:v>
      </x:c>
      <x:c r="E356" s="48" t="str"/>
      <x:c r="F356" s="48" t="str">
        <x:v>The system shall be in accordance with the details stated in the Contract.</x:v>
      </x:c>
      <x:c r="G356" s="48" t="str">
        <x:v>Obligation</x:v>
      </x:c>
      <x:c r="H356" s="48" t="str">
        <x:v>Shared</x:v>
      </x:c>
      <x:c r="I356" s="48" t="n">
        <x:v>0.88</x:v>
      </x:c>
      <x:c r="J356" s="48" t="n">
        <x:v>0.4</x:v>
      </x:c>
      <x:c r="K356" s="48" t="str">
        <x:v>Yes</x:v>
      </x:c>
      <x:c r="L356" s="48" t="str">
        <x:v>PDF text</x:v>
      </x:c>
    </x:row>
    <x:row r="357">
      <x:c r="A357" s="48" t="str">
        <x:v>RED-0356</x:v>
      </x:c>
      <x:c r="B357" s="48" t="str">
        <x:v>RED</x:v>
      </x:c>
      <x:c r="C357" s="48" t="str">
        <x:v>English</x:v>
      </x:c>
      <x:c r="D357" s="48" t="n">
        <x:v>29</x:v>
      </x:c>
      <x:c r="E357" s="48" t="str"/>
      <x:c r="F357" s="48" t="str">
        <x:v>The Engineer shall be entitled to audit any aspect of the system.</x:v>
      </x:c>
      <x:c r="G357" s="48" t="str">
        <x:v>Obligation</x:v>
      </x:c>
      <x:c r="H357" s="48" t="str">
        <x:v>Shared</x:v>
      </x:c>
      <x:c r="I357" s="48" t="n">
        <x:v>0.88</x:v>
      </x:c>
      <x:c r="J357" s="48" t="n">
        <x:v>0.4</x:v>
      </x:c>
      <x:c r="K357" s="48" t="str">
        <x:v>Yes</x:v>
      </x:c>
      <x:c r="L357" s="48" t="str">
        <x:v>PDF text</x:v>
      </x:c>
    </x:row>
    <x:row r="358">
      <x:c r="A358" s="48" t="str">
        <x:v>RED-0357</x:v>
      </x:c>
      <x:c r="B358" s="48" t="str">
        <x:v>RED</x:v>
      </x:c>
      <x:c r="C358" s="48" t="str">
        <x:v>English</x:v>
      </x:c>
      <x:c r="D358" s="48" t="n">
        <x:v>29</x:v>
      </x:c>
      <x:c r="E358" s="48" t="str"/>
      <x:c r="F358" s="48" t="str">
        <x:v>Details of all procedures and compliance documents shall be submitted to the Engineer for information before each design and execution stage is commenced.</x:v>
      </x:c>
      <x:c r="G358" s="48" t="str">
        <x:v>Obligation</x:v>
      </x:c>
      <x:c r="H358" s="48" t="str">
        <x:v>Shared</x:v>
      </x:c>
      <x:c r="I358" s="48" t="n">
        <x:v>0.88</x:v>
      </x:c>
      <x:c r="J358" s="48" t="n">
        <x:v>0.4</x:v>
      </x:c>
      <x:c r="K358" s="48" t="str">
        <x:v>Yes</x:v>
      </x:c>
      <x:c r="L358" s="48" t="str">
        <x:v>PDF text</x:v>
      </x:c>
    </x:row>
    <x:row r="359">
      <x:c r="A359" s="48" t="str">
        <x:v>RED-0358</x:v>
      </x:c>
      <x:c r="B359" s="48" t="str">
        <x:v>RED</x:v>
      </x:c>
      <x:c r="C359" s="48" t="str">
        <x:v>English</x:v>
      </x:c>
      <x:c r="D359" s="48" t="n">
        <x:v>29</x:v>
      </x:c>
      <x:c r="E359" s="48" t="str"/>
      <x:c r="F359" s="48" t="str">
        <x:v>When any 4.7</x:v>
      </x:c>
      <x:c r="G359" s="48" t="str">
        <x:v>Obligation</x:v>
      </x:c>
      <x:c r="H359" s="48" t="str">
        <x:v>Shared</x:v>
      </x:c>
      <x:c r="I359" s="48" t="n">
        <x:v>0.45</x:v>
      </x:c>
      <x:c r="J359" s="48" t="n">
        <x:v>0.4</x:v>
      </x:c>
      <x:c r="K359" s="48" t="str">
        <x:v>Yes</x:v>
      </x:c>
      <x:c r="L359" s="48" t="str">
        <x:v>PDF text</x:v>
      </x:c>
    </x:row>
    <x:row r="360">
      <x:c r="A360" s="48" t="str">
        <x:v>RED-0359</x:v>
      </x:c>
      <x:c r="B360" s="48" t="str">
        <x:v>RED</x:v>
      </x:c>
      <x:c r="C360" s="48" t="str">
        <x:v>English</x:v>
      </x:c>
      <x:c r="D360" s="48" t="n">
        <x:v>29</x:v>
      </x:c>
      <x:c r="E360" s="48" t="str"/>
      <x:c r="F360" s="48" t="str">
        <x:v>Setting Out</x:v>
      </x:c>
      <x:c r="G360" s="48" t="str">
        <x:v>Obligation</x:v>
      </x:c>
      <x:c r="H360" s="48" t="str">
        <x:v>Shared</x:v>
      </x:c>
      <x:c r="I360" s="48" t="n">
        <x:v>0.45</x:v>
      </x:c>
      <x:c r="J360" s="48" t="n">
        <x:v>0.4</x:v>
      </x:c>
      <x:c r="K360" s="48" t="str">
        <x:v>Yes</x:v>
      </x:c>
      <x:c r="L360" s="48" t="str">
        <x:v>PDF text</x:v>
      </x:c>
    </x:row>
    <x:row r="361">
      <x:c r="A361" s="48" t="str">
        <x:v>RED-0360</x:v>
      </x:c>
      <x:c r="B361" s="48" t="str">
        <x:v>RED</x:v>
      </x:c>
      <x:c r="C361" s="48" t="str">
        <x:v>English</x:v>
      </x:c>
      <x:c r="D361" s="48" t="n">
        <x:v>29</x:v>
      </x:c>
      <x:c r="E361" s="48" t="str"/>
      <x:c r="F361" s="48" t="str">
        <x:v>Safety Procedures</x:v>
      </x:c>
      <x:c r="G361" s="48" t="str">
        <x:v>Obligation</x:v>
      </x:c>
      <x:c r="H361" s="48" t="str">
        <x:v>Shared</x:v>
      </x:c>
      <x:c r="I361" s="48" t="n">
        <x:v>0.45</x:v>
      </x:c>
      <x:c r="J361" s="48" t="n">
        <x:v>0.4</x:v>
      </x:c>
      <x:c r="K361" s="48" t="str">
        <x:v>Yes</x:v>
      </x:c>
      <x:c r="L361" s="48" t="str">
        <x:v>PDF text</x:v>
      </x:c>
    </x:row>
    <x:row r="362">
      <x:c r="A362" s="48" t="str">
        <x:v>RED-0361</x:v>
      </x:c>
      <x:c r="B362" s="48" t="str">
        <x:v>RED</x:v>
      </x:c>
      <x:c r="C362" s="48" t="str">
        <x:v>English</x:v>
      </x:c>
      <x:c r="D362" s="48" t="n">
        <x:v>29</x:v>
      </x:c>
      <x:c r="E362" s="48" t="str"/>
      <x:c r="F362" s="48" t="str">
        <x:v>Quality Assurance</x:v>
      </x:c>
      <x:c r="G362" s="48" t="str">
        <x:v>Obligation</x:v>
      </x:c>
      <x:c r="H362" s="48" t="str">
        <x:v>Shared</x:v>
      </x:c>
      <x:c r="I362" s="48" t="n">
        <x:v>0.45</x:v>
      </x:c>
      <x:c r="J362" s="48" t="n">
        <x:v>0.4</x:v>
      </x:c>
      <x:c r="K362" s="48" t="str">
        <x:v>Yes</x:v>
      </x:c>
      <x:c r="L362" s="48" t="str">
        <x:v>PDF text</x:v>
      </x:c>
    </x:row>
    <x:row r="363">
      <x:c r="A363" s="48" t="str">
        <x:v>RED-0362</x:v>
      </x:c>
      <x:c r="B363" s="48" t="str">
        <x:v>RED</x:v>
      </x:c>
      <x:c r="C363" s="48" t="str">
        <x:v>English</x:v>
      </x:c>
      <x:c r="D363" s="48" t="n">
        <x:v>30</x:v>
      </x:c>
      <x:c r="E363" s="48" t="str"/>
      <x:c r="F363" s="48" t="str">
        <x:v>document of a technical nature is issued to the Engineer, evidence of the prior approval by the Contractor himself shall be apparent on the document itself.</x:v>
      </x:c>
      <x:c r="G363" s="48" t="str">
        <x:v>Obligation</x:v>
      </x:c>
      <x:c r="H363" s="48" t="str">
        <x:v>Contractor</x:v>
      </x:c>
      <x:c r="I363" s="48" t="n">
        <x:v>0.88</x:v>
      </x:c>
      <x:c r="J363" s="48" t="n">
        <x:v>0.68</x:v>
      </x:c>
      <x:c r="K363" s="48" t="str">
        <x:v>Yes</x:v>
      </x:c>
      <x:c r="L363" s="48" t="str">
        <x:v>PDF text</x:v>
      </x:c>
    </x:row>
    <x:row r="364">
      <x:c r="A364" s="48" t="str">
        <x:v>RED-0363</x:v>
      </x:c>
      <x:c r="B364" s="48" t="str">
        <x:v>RED</x:v>
      </x:c>
      <x:c r="C364" s="48" t="str">
        <x:v>English</x:v>
      </x:c>
      <x:c r="D364" s="48" t="n">
        <x:v>30</x:v>
      </x:c>
      <x:c r="E364" s="48" t="str"/>
      <x:c r="F364" s="48" t="str">
        <x:v>Compliance with the quality assurance system shall not relieve the Contractor of any of his duties, obligations or responsibilities under the Contract.</x:v>
      </x:c>
      <x:c r="G364" s="48" t="str">
        <x:v>Obligation</x:v>
      </x:c>
      <x:c r="H364" s="48" t="str">
        <x:v>Contractor</x:v>
      </x:c>
      <x:c r="I364" s="48" t="n">
        <x:v>0.88</x:v>
      </x:c>
      <x:c r="J364" s="48" t="n">
        <x:v>0.68</x:v>
      </x:c>
      <x:c r="K364" s="48" t="str">
        <x:v>Yes</x:v>
      </x:c>
      <x:c r="L364" s="48" t="str">
        <x:v>PDF text</x:v>
      </x:c>
    </x:row>
    <x:row r="365">
      <x:c r="A365" s="48" t="str">
        <x:v>RED-0364</x:v>
      </x:c>
      <x:c r="B365" s="48" t="str">
        <x:v>RED</x:v>
      </x:c>
      <x:c r="C365" s="48" t="str">
        <x:v>English</x:v>
      </x:c>
      <x:c r="D365" s="48" t="n">
        <x:v>30</x:v>
      </x:c>
      <x:c r="E365" s="48" t="str"/>
      <x:c r="F365" s="48" t="str">
        <x:v>The Employer shall have made available to the Contractor for his information, prior to the Base Date, all relevant data in the Employer’s possession on sub-surface and hydrological conditions at the Site, including environmental aspects.</x:v>
      </x:c>
      <x:c r="G365" s="48" t="str">
        <x:v>Obligation</x:v>
      </x:c>
      <x:c r="H365" s="48" t="str">
        <x:v>Employer</x:v>
      </x:c>
      <x:c r="I365" s="48" t="n">
        <x:v>0.88</x:v>
      </x:c>
      <x:c r="J365" s="48" t="n">
        <x:v>0.92</x:v>
      </x:c>
      <x:c r="K365" s="48" t="str">
        <x:v>No</x:v>
      </x:c>
      <x:c r="L365" s="48" t="str">
        <x:v>PDF text</x:v>
      </x:c>
    </x:row>
    <x:row r="366">
      <x:c r="A366" s="48" t="str">
        <x:v>RED-0365</x:v>
      </x:c>
      <x:c r="B366" s="48" t="str">
        <x:v>RED</x:v>
      </x:c>
      <x:c r="C366" s="48" t="str">
        <x:v>English</x:v>
      </x:c>
      <x:c r="D366" s="48" t="n">
        <x:v>30</x:v>
      </x:c>
      <x:c r="E366" s="48" t="str"/>
      <x:c r="F366" s="48" t="str">
        <x:v>The Employer shall similarly make available to the Contractor all such data which come into the Employer’s possession after the Base Date.</x:v>
      </x:c>
      <x:c r="G366" s="48" t="str">
        <x:v>Obligation</x:v>
      </x:c>
      <x:c r="H366" s="48" t="str">
        <x:v>Employer</x:v>
      </x:c>
      <x:c r="I366" s="48" t="n">
        <x:v>0.88</x:v>
      </x:c>
      <x:c r="J366" s="48" t="n">
        <x:v>0.92</x:v>
      </x:c>
      <x:c r="K366" s="48" t="str">
        <x:v>No</x:v>
      </x:c>
      <x:c r="L366" s="48" t="str">
        <x:v>PDF text</x:v>
      </x:c>
    </x:row>
    <x:row r="367">
      <x:c r="A367" s="48" t="str">
        <x:v>RED-0366</x:v>
      </x:c>
      <x:c r="B367" s="48" t="str">
        <x:v>RED</x:v>
      </x:c>
      <x:c r="C367" s="48" t="str">
        <x:v>English</x:v>
      </x:c>
      <x:c r="D367" s="48" t="n">
        <x:v>30</x:v>
      </x:c>
      <x:c r="E367" s="48" t="str"/>
      <x:c r="F367" s="48" t="str">
        <x:v>The Contractor shall be responsible for interpreting all such data.</x:v>
      </x:c>
      <x:c r="G367" s="48" t="str">
        <x:v>Obligation</x:v>
      </x:c>
      <x:c r="H367" s="48" t="str">
        <x:v>Contractor</x:v>
      </x:c>
      <x:c r="I367" s="48" t="n">
        <x:v>0.88</x:v>
      </x:c>
      <x:c r="J367" s="48" t="n">
        <x:v>0.92</x:v>
      </x:c>
      <x:c r="K367" s="48" t="str">
        <x:v>No</x:v>
      </x:c>
      <x:c r="L367" s="48" t="str">
        <x:v>PDF text</x:v>
      </x:c>
    </x:row>
    <x:row r="368">
      <x:c r="A368" s="48" t="str">
        <x:v>RED-0367</x:v>
      </x:c>
      <x:c r="B368" s="48" t="str">
        <x:v>RED</x:v>
      </x:c>
      <x:c r="C368" s="48" t="str">
        <x:v>English</x:v>
      </x:c>
      <x:c r="D368" s="48" t="n">
        <x:v>30</x:v>
      </x:c>
      <x:c r="E368" s="48" t="str"/>
      <x:c r="F368" s="48" t="str">
        <x:v>To the extent which was practicable (taking account of cost and time), the Contractor shall be deemed to have obtained all necessary information as to risks, contingencies and other circumstances which may influence or affect the Tender or Works.</x:v>
      </x:c>
      <x:c r="G368" s="48" t="str">
        <x:v>Obligation</x:v>
      </x:c>
      <x:c r="H368" s="48" t="str">
        <x:v>Contractor</x:v>
      </x:c>
      <x:c r="I368" s="48" t="n">
        <x:v>0.88</x:v>
      </x:c>
      <x:c r="J368" s="48" t="n">
        <x:v>0.92</x:v>
      </x:c>
      <x:c r="K368" s="48" t="str">
        <x:v>No</x:v>
      </x:c>
      <x:c r="L368" s="48" t="str">
        <x:v>PDF text</x:v>
      </x:c>
    </x:row>
    <x:row r="369">
      <x:c r="A369" s="48" t="str">
        <x:v>RED-0368</x:v>
      </x:c>
      <x:c r="B369" s="48" t="str">
        <x:v>RED</x:v>
      </x:c>
      <x:c r="C369" s="48" t="str">
        <x:v>English</x:v>
      </x:c>
      <x:c r="D369" s="48" t="n">
        <x:v>30</x:v>
      </x:c>
      <x:c r="E369" s="48" t="str"/>
      <x:c r="F369" s="48" t="str">
        <x:v>To the same extent, the Contractor shall be deemed to have inspected and examined the Site, its surroundings, the above data and other available information, and to have been satisfied before submitting the Tender as to all relevant matters, including (without limitation): (a) the form and nature of the Site, including sub-surface conditions, (b) the hydrological and climatic conditions, (c) the extent and nature of the work and Goods necessary for the execution and completion of the Works and the remedying of any defects, (d) the Laws, procedures and labour practices of the Country, and (e) the Contractor’s requirements for access, accommodation, facilities, personnel, power, transport, water and other services.</x:v>
      </x:c>
      <x:c r="G369" s="48" t="str">
        <x:v>Obligation</x:v>
      </x:c>
      <x:c r="H369" s="48" t="str">
        <x:v>Contractor</x:v>
      </x:c>
      <x:c r="I369" s="48" t="n">
        <x:v>0.88</x:v>
      </x:c>
      <x:c r="J369" s="48" t="n">
        <x:v>0.92</x:v>
      </x:c>
      <x:c r="K369" s="48" t="str">
        <x:v>No</x:v>
      </x:c>
      <x:c r="L369" s="48" t="str">
        <x:v>PDF text</x:v>
      </x:c>
    </x:row>
    <x:row r="370">
      <x:c r="A370" s="48" t="str">
        <x:v>RED-0369</x:v>
      </x:c>
      <x:c r="B370" s="48" t="str">
        <x:v>RED</x:v>
      </x:c>
      <x:c r="C370" s="48" t="str">
        <x:v>English</x:v>
      </x:c>
      <x:c r="D370" s="48" t="n">
        <x:v>30</x:v>
      </x:c>
      <x:c r="E370" s="48" t="str"/>
      <x:c r="F370" s="48" t="str">
        <x:v>The Contractor shall be deemed to: (a) have satisfied himself as to the correctness and sufficiency of the Accepted</x:v>
      </x:c>
      <x:c r="G370" s="48" t="str">
        <x:v>Obligation</x:v>
      </x:c>
      <x:c r="H370" s="48" t="str">
        <x:v>Contractor</x:v>
      </x:c>
      <x:c r="I370" s="48" t="n">
        <x:v>0.88</x:v>
      </x:c>
      <x:c r="J370" s="48" t="n">
        <x:v>0.92</x:v>
      </x:c>
      <x:c r="K370" s="48" t="str">
        <x:v>No</x:v>
      </x:c>
      <x:c r="L370" s="48" t="str">
        <x:v>PDF text</x:v>
      </x:c>
    </x:row>
    <x:row r="371">
      <x:c r="A371" s="48" t="str">
        <x:v>RED-0370</x:v>
      </x:c>
      <x:c r="B371" s="48" t="str">
        <x:v>RED</x:v>
      </x:c>
      <x:c r="C371" s="48" t="str">
        <x:v>English</x:v>
      </x:c>
      <x:c r="D371" s="48" t="n">
        <x:v>30</x:v>
      </x:c>
      <x:c r="E371" s="48" t="str"/>
      <x:c r="F371" s="48" t="str">
        <x:v>Contract Amount, and</x:v>
      </x:c>
      <x:c r="G371" s="48" t="str">
        <x:v>Obligation</x:v>
      </x:c>
      <x:c r="H371" s="48" t="str">
        <x:v>Shared</x:v>
      </x:c>
      <x:c r="I371" s="48" t="n">
        <x:v>0.45</x:v>
      </x:c>
      <x:c r="J371" s="48" t="n">
        <x:v>0.4</x:v>
      </x:c>
      <x:c r="K371" s="48" t="str">
        <x:v>Yes</x:v>
      </x:c>
      <x:c r="L371" s="48" t="str">
        <x:v>PDF text</x:v>
      </x:c>
    </x:row>
    <x:row r="372">
      <x:c r="A372" s="48" t="str">
        <x:v>RED-0371</x:v>
      </x:c>
      <x:c r="B372" s="48" t="str">
        <x:v>RED</x:v>
      </x:c>
      <x:c r="C372" s="48" t="str">
        <x:v>English</x:v>
      </x:c>
      <x:c r="D372" s="48" t="n">
        <x:v>30</x:v>
      </x:c>
      <x:c r="E372" s="48" t="str"/>
      <x:c r="F372" s="48" t="str">
        <x:v>(b) have based the Accepted Contract Amount on the data, interpretations, necessary information, inspections, examinations and satisfaction as to all relevant matters referred to in Sub-Clause 4.10 [Site Data].</x:v>
      </x:c>
      <x:c r="G372" s="48" t="str">
        <x:v>Obligation</x:v>
      </x:c>
      <x:c r="H372" s="48" t="str">
        <x:v>Shared</x:v>
      </x:c>
      <x:c r="I372" s="48" t="n">
        <x:v>0.45</x:v>
      </x:c>
      <x:c r="J372" s="48" t="n">
        <x:v>0.4</x:v>
      </x:c>
      <x:c r="K372" s="48" t="str">
        <x:v>Yes</x:v>
      </x:c>
      <x:c r="L372" s="48" t="str">
        <x:v>PDF text</x:v>
      </x:c>
    </x:row>
    <x:row r="373">
      <x:c r="A373" s="48" t="str">
        <x:v>RED-0372</x:v>
      </x:c>
      <x:c r="B373" s="48" t="str">
        <x:v>RED</x:v>
      </x:c>
      <x:c r="C373" s="48" t="str">
        <x:v>English</x:v>
      </x:c>
      <x:c r="D373" s="48" t="n">
        <x:v>30</x:v>
      </x:c>
      <x:c r="E373" s="48" t="str"/>
      <x:c r="F373" s="48" t="str">
        <x:v>Unless otherwise stated in the Contract, the Accepted Contract Amount covers all the Contractor’s obligations under the Contract (including those under Provisional Sums, if any) and all things necessary for the proper execution and completion of the Works and the remedying of any defects.</x:v>
      </x:c>
      <x:c r="G373" s="48" t="str">
        <x:v>Obligation</x:v>
      </x:c>
      <x:c r="H373" s="48" t="str">
        <x:v>Contractor</x:v>
      </x:c>
      <x:c r="I373" s="48" t="n">
        <x:v>0.45</x:v>
      </x:c>
      <x:c r="J373" s="48" t="n">
        <x:v>0.68</x:v>
      </x:c>
      <x:c r="K373" s="48" t="str">
        <x:v>Yes</x:v>
      </x:c>
      <x:c r="L373" s="48" t="str">
        <x:v>PDF text</x:v>
      </x:c>
    </x:row>
    <x:row r="374">
      <x:c r="A374" s="48" t="str">
        <x:v>RED-0373</x:v>
      </x:c>
      <x:c r="B374" s="48" t="str">
        <x:v>RED</x:v>
      </x:c>
      <x:c r="C374" s="48" t="str">
        <x:v>English</x:v>
      </x:c>
      <x:c r="D374" s="48" t="n">
        <x:v>30</x:v>
      </x:c>
      <x:c r="E374" s="48" t="str"/>
      <x:c r="F374" s="48" t="str">
        <x:v>In this Sub-Clause, “physical conditions” means natural physical conditions and manmade and other physical obstructions and pollutants, which the Contractor encounters at the Site when executing the Works, including sub-surface and hydrological conditions but excluding climatic conditions.</x:v>
      </x:c>
      <x:c r="G374" s="48" t="str">
        <x:v>Definition</x:v>
      </x:c>
      <x:c r="H374" s="48" t="str"/>
      <x:c r="I374" s="48" t="n">
        <x:v>0.97</x:v>
      </x:c>
      <x:c r="J374" s="48" t="n">
        <x:v>0.99</x:v>
      </x:c>
      <x:c r="K374" s="48" t="str">
        <x:v>No</x:v>
      </x:c>
      <x:c r="L374" s="48" t="str">
        <x:v>PDF text</x:v>
      </x:c>
    </x:row>
    <x:row r="375">
      <x:c r="A375" s="48" t="str">
        <x:v>RED-0374</x:v>
      </x:c>
      <x:c r="B375" s="48" t="str">
        <x:v>RED</x:v>
      </x:c>
      <x:c r="C375" s="48" t="str">
        <x:v>English</x:v>
      </x:c>
      <x:c r="D375" s="48" t="n">
        <x:v>30</x:v>
      </x:c>
      <x:c r="E375" s="48" t="str"/>
      <x:c r="F375" s="48" t="str">
        <x:v>If the Contractor encounters adverse physical conditions which he considers to have been Unforeseeable, the Contractor shall give notice to the Engineer as soon as practicable.</x:v>
      </x:c>
      <x:c r="G375" s="48" t="str">
        <x:v>Risk</x:v>
      </x:c>
      <x:c r="H375" s="48" t="str">
        <x:v>Contractor</x:v>
      </x:c>
      <x:c r="I375" s="48" t="n">
        <x:v>0.78</x:v>
      </x:c>
      <x:c r="J375" s="48" t="n">
        <x:v>0.92</x:v>
      </x:c>
      <x:c r="K375" s="48" t="str">
        <x:v>No</x:v>
      </x:c>
      <x:c r="L375" s="48" t="str">
        <x:v>PDF text</x:v>
      </x:c>
    </x:row>
    <x:row r="376">
      <x:c r="A376" s="48" t="str">
        <x:v>RED-0375</x:v>
      </x:c>
      <x:c r="B376" s="48" t="str">
        <x:v>RED</x:v>
      </x:c>
      <x:c r="C376" s="48" t="str">
        <x:v>English</x:v>
      </x:c>
      <x:c r="D376" s="48" t="n">
        <x:v>30</x:v>
      </x:c>
      <x:c r="E376" s="48" t="str"/>
      <x:c r="F376" s="48" t="str">
        <x:v>This notice shall describe the physical conditions, so that they can be inspected by the Engineer, and shall set out the reasons why the Contractor considers them to be 4.10</x:v>
      </x:c>
      <x:c r="G376" s="48" t="str">
        <x:v>Obligation</x:v>
      </x:c>
      <x:c r="H376" s="48" t="str">
        <x:v>Contractor</x:v>
      </x:c>
      <x:c r="I376" s="48" t="n">
        <x:v>0.88</x:v>
      </x:c>
      <x:c r="J376" s="48" t="n">
        <x:v>0.68</x:v>
      </x:c>
      <x:c r="K376" s="48" t="str">
        <x:v>Yes</x:v>
      </x:c>
      <x:c r="L376" s="48" t="str">
        <x:v>PDF text</x:v>
      </x:c>
    </x:row>
    <x:row r="377">
      <x:c r="A377" s="48" t="str">
        <x:v>RED-0376</x:v>
      </x:c>
      <x:c r="B377" s="48" t="str">
        <x:v>RED</x:v>
      </x:c>
      <x:c r="C377" s="48" t="str">
        <x:v>English</x:v>
      </x:c>
      <x:c r="D377" s="48" t="n">
        <x:v>30</x:v>
      </x:c>
      <x:c r="E377" s="48" t="str"/>
      <x:c r="F377" s="48" t="str">
        <x:v>Site Data</x:v>
      </x:c>
      <x:c r="G377" s="48" t="str">
        <x:v>Obligation</x:v>
      </x:c>
      <x:c r="H377" s="48" t="str">
        <x:v>Shared</x:v>
      </x:c>
      <x:c r="I377" s="48" t="n">
        <x:v>0.45</x:v>
      </x:c>
      <x:c r="J377" s="48" t="n">
        <x:v>0.4</x:v>
      </x:c>
      <x:c r="K377" s="48" t="str">
        <x:v>Yes</x:v>
      </x:c>
      <x:c r="L377" s="48" t="str">
        <x:v>PDF text</x:v>
      </x:c>
    </x:row>
    <x:row r="378">
      <x:c r="A378" s="48" t="str">
        <x:v>RED-0377</x:v>
      </x:c>
      <x:c r="B378" s="48" t="str">
        <x:v>RED</x:v>
      </x:c>
      <x:c r="C378" s="48" t="str">
        <x:v>English</x:v>
      </x:c>
      <x:c r="D378" s="48" t="n">
        <x:v>30</x:v>
      </x:c>
      <x:c r="E378" s="48" t="str"/>
      <x:c r="F378" s="48" t="str">
        <x:v>Sufficiency of the</x:v>
      </x:c>
      <x:c r="G378" s="48" t="str">
        <x:v>Obligation</x:v>
      </x:c>
      <x:c r="H378" s="48" t="str">
        <x:v>Shared</x:v>
      </x:c>
      <x:c r="I378" s="48" t="n">
        <x:v>0.45</x:v>
      </x:c>
      <x:c r="J378" s="48" t="n">
        <x:v>0.4</x:v>
      </x:c>
      <x:c r="K378" s="48" t="str">
        <x:v>Yes</x:v>
      </x:c>
      <x:c r="L378" s="48" t="str">
        <x:v>PDF text</x:v>
      </x:c>
    </x:row>
    <x:row r="379">
      <x:c r="A379" s="48" t="str">
        <x:v>RED-0378</x:v>
      </x:c>
      <x:c r="B379" s="48" t="str">
        <x:v>RED</x:v>
      </x:c>
      <x:c r="C379" s="48" t="str">
        <x:v>English</x:v>
      </x:c>
      <x:c r="D379" s="48" t="n">
        <x:v>30</x:v>
      </x:c>
      <x:c r="E379" s="48" t="str"/>
      <x:c r="F379" s="48" t="str">
        <x:v>Accepted Contract</x:v>
      </x:c>
      <x:c r="G379" s="48" t="str">
        <x:v>Obligation</x:v>
      </x:c>
      <x:c r="H379" s="48" t="str">
        <x:v>Shared</x:v>
      </x:c>
      <x:c r="I379" s="48" t="n">
        <x:v>0.45</x:v>
      </x:c>
      <x:c r="J379" s="48" t="n">
        <x:v>0.4</x:v>
      </x:c>
      <x:c r="K379" s="48" t="str">
        <x:v>Yes</x:v>
      </x:c>
      <x:c r="L379" s="48" t="str">
        <x:v>PDF text</x:v>
      </x:c>
    </x:row>
    <x:row r="380">
      <x:c r="A380" s="48" t="str">
        <x:v>RED-0379</x:v>
      </x:c>
      <x:c r="B380" s="48" t="str">
        <x:v>RED</x:v>
      </x:c>
      <x:c r="C380" s="48" t="str">
        <x:v>English</x:v>
      </x:c>
      <x:c r="D380" s="48" t="n">
        <x:v>30</x:v>
      </x:c>
      <x:c r="E380" s="48" t="str"/>
      <x:c r="F380" s="48" t="str">
        <x:v>Unforeseeable Physical</x:v>
      </x:c>
      <x:c r="G380" s="48" t="str">
        <x:v>Obligation</x:v>
      </x:c>
      <x:c r="H380" s="48" t="str">
        <x:v>Shared</x:v>
      </x:c>
      <x:c r="I380" s="48" t="n">
        <x:v>0.45</x:v>
      </x:c>
      <x:c r="J380" s="48" t="n">
        <x:v>0.4</x:v>
      </x:c>
      <x:c r="K380" s="48" t="str">
        <x:v>Yes</x:v>
      </x:c>
      <x:c r="L380" s="48" t="str">
        <x:v>PDF text</x:v>
      </x:c>
    </x:row>
    <x:row r="381">
      <x:c r="A381" s="48" t="str">
        <x:v>RED-0380</x:v>
      </x:c>
      <x:c r="B381" s="48" t="str">
        <x:v>RED</x:v>
      </x:c>
      <x:c r="C381" s="48" t="str">
        <x:v>English</x:v>
      </x:c>
      <x:c r="D381" s="48" t="n">
        <x:v>30</x:v>
      </x:c>
      <x:c r="E381" s="48" t="str"/>
      <x:c r="F381" s="48" t="str">
        <x:v>Conditions</x:v>
      </x:c>
      <x:c r="G381" s="48" t="str">
        <x:v>Obligation</x:v>
      </x:c>
      <x:c r="H381" s="48" t="str">
        <x:v>Shared</x:v>
      </x:c>
      <x:c r="I381" s="48" t="n">
        <x:v>0.45</x:v>
      </x:c>
      <x:c r="J381" s="48" t="n">
        <x:v>0.4</x:v>
      </x:c>
      <x:c r="K381" s="48" t="str">
        <x:v>Yes</x:v>
      </x:c>
      <x:c r="L381" s="48" t="str">
        <x:v>PDF text</x:v>
      </x:c>
    </x:row>
    <x:row r="382">
      <x:c r="A382" s="48" t="str">
        <x:v>RED-0381</x:v>
      </x:c>
      <x:c r="B382" s="48" t="str">
        <x:v>RED</x:v>
      </x:c>
      <x:c r="C382" s="48" t="str">
        <x:v>English</x:v>
      </x:c>
      <x:c r="D382" s="48" t="n">
        <x:v>31</x:v>
      </x:c>
      <x:c r="E382" s="48" t="str"/>
      <x:c r="F382" s="48" t="str">
        <x:v>Unforeseeable.</x:v>
      </x:c>
      <x:c r="G382" s="48" t="str">
        <x:v>Obligation</x:v>
      </x:c>
      <x:c r="H382" s="48" t="str">
        <x:v>Shared</x:v>
      </x:c>
      <x:c r="I382" s="48" t="n">
        <x:v>0.45</x:v>
      </x:c>
      <x:c r="J382" s="48" t="n">
        <x:v>0.4</x:v>
      </x:c>
      <x:c r="K382" s="48" t="str">
        <x:v>Yes</x:v>
      </x:c>
      <x:c r="L382" s="48" t="str">
        <x:v>PDF text</x:v>
      </x:c>
    </x:row>
    <x:row r="383">
      <x:c r="A383" s="48" t="str">
        <x:v>RED-0382</x:v>
      </x:c>
      <x:c r="B383" s="48" t="str">
        <x:v>RED</x:v>
      </x:c>
      <x:c r="C383" s="48" t="str">
        <x:v>English</x:v>
      </x:c>
      <x:c r="D383" s="48" t="n">
        <x:v>31</x:v>
      </x:c>
      <x:c r="E383" s="48" t="str"/>
      <x:c r="F383" s="48" t="str">
        <x:v>The Contractor shall continue executing the Works, using such proper and reasonable measures as are appropriate for the physical conditions, and shall comply with any instructions which the Engineer may give.</x:v>
      </x:c>
      <x:c r="G383" s="48" t="str">
        <x:v>Obligation</x:v>
      </x:c>
      <x:c r="H383" s="48" t="str">
        <x:v>Contractor</x:v>
      </x:c>
      <x:c r="I383" s="48" t="n">
        <x:v>0.88</x:v>
      </x:c>
      <x:c r="J383" s="48" t="n">
        <x:v>0.92</x:v>
      </x:c>
      <x:c r="K383" s="48" t="str">
        <x:v>No</x:v>
      </x:c>
      <x:c r="L383" s="48" t="str">
        <x:v>PDF text</x:v>
      </x:c>
    </x:row>
    <x:row r="384">
      <x:c r="A384" s="48" t="str">
        <x:v>RED-0383</x:v>
      </x:c>
      <x:c r="B384" s="48" t="str">
        <x:v>RED</x:v>
      </x:c>
      <x:c r="C384" s="48" t="str">
        <x:v>English</x:v>
      </x:c>
      <x:c r="D384" s="48" t="n">
        <x:v>31</x:v>
      </x:c>
      <x:c r="E384" s="48" t="str"/>
      <x:c r="F384" s="48" t="str">
        <x:v>If and to the extent that the Contractor encounters physical conditions which are</x:v>
      </x:c>
      <x:c r="G384" s="48" t="str">
        <x:v>Obligation</x:v>
      </x:c>
      <x:c r="H384" s="48" t="str">
        <x:v>Contractor</x:v>
      </x:c>
      <x:c r="I384" s="48" t="n">
        <x:v>0.45</x:v>
      </x:c>
      <x:c r="J384" s="48" t="n">
        <x:v>0.68</x:v>
      </x:c>
      <x:c r="K384" s="48" t="str">
        <x:v>Yes</x:v>
      </x:c>
      <x:c r="L384" s="48" t="str">
        <x:v>PDF text</x:v>
      </x:c>
    </x:row>
    <x:row r="385">
      <x:c r="A385" s="48" t="str">
        <x:v>RED-0384</x:v>
      </x:c>
      <x:c r="B385" s="48" t="str">
        <x:v>RED</x:v>
      </x:c>
      <x:c r="C385" s="48" t="str">
        <x:v>English</x:v>
      </x:c>
      <x:c r="D385" s="48" t="n">
        <x:v>31</x:v>
      </x:c>
      <x:c r="E385" s="48" t="str"/>
      <x:c r="F385" s="48" t="str">
        <x:v>Unforeseeable, gives such a notice, and suffers delay and/or incurs Cost due to these conditions, the Contractor shall be entitled subject to Sub-Clause 20.1 [Contractor’s Claims] to: (a) an extension of time for any such delay, if completion is or will be delayed, under Sub-Clause 8.4 [Extension of Time for Completion], and (b) payment of any such Cost, which shall be included in the Contract Price.</x:v>
      </x:c>
      <x:c r="G385" s="48" t="str">
        <x:v>Risk</x:v>
      </x:c>
      <x:c r="H385" s="48" t="str">
        <x:v>Contractor</x:v>
      </x:c>
      <x:c r="I385" s="48" t="n">
        <x:v>0.78</x:v>
      </x:c>
      <x:c r="J385" s="48" t="n">
        <x:v>0.92</x:v>
      </x:c>
      <x:c r="K385" s="48" t="str">
        <x:v>No</x:v>
      </x:c>
      <x:c r="L385" s="48" t="str">
        <x:v>PDF text</x:v>
      </x:c>
    </x:row>
    <x:row r="386">
      <x:c r="A386" s="48" t="str">
        <x:v>RED-0385</x:v>
      </x:c>
      <x:c r="B386" s="48" t="str">
        <x:v>RED</x:v>
      </x:c>
      <x:c r="C386" s="48" t="str">
        <x:v>English</x:v>
      </x:c>
      <x:c r="D386" s="48" t="n">
        <x:v>31</x:v>
      </x:c>
      <x:c r="E386" s="48" t="str"/>
      <x:c r="F386" s="48" t="str">
        <x:v>After receiving such notice and inspecting and/or investigating these physical</x:v>
      </x:c>
      <x:c r="G386" s="48" t="str">
        <x:v>Obligation</x:v>
      </x:c>
      <x:c r="H386" s="48" t="str">
        <x:v>Shared</x:v>
      </x:c>
      <x:c r="I386" s="48" t="n">
        <x:v>0.55</x:v>
      </x:c>
      <x:c r="J386" s="48" t="n">
        <x:v>0.4</x:v>
      </x:c>
      <x:c r="K386" s="48" t="str">
        <x:v>Yes</x:v>
      </x:c>
      <x:c r="L386" s="48" t="str">
        <x:v>PDF text</x:v>
      </x:c>
    </x:row>
    <x:row r="387">
      <x:c r="A387" s="48" t="str">
        <x:v>RED-0386</x:v>
      </x:c>
      <x:c r="B387" s="48" t="str">
        <x:v>RED</x:v>
      </x:c>
      <x:c r="C387" s="48" t="str">
        <x:v>English</x:v>
      </x:c>
      <x:c r="D387" s="48" t="n">
        <x:v>31</x:v>
      </x:c>
      <x:c r="E387" s="48" t="str"/>
      <x:c r="F387" s="48" t="str">
        <x:v>conditions, the Engineer shall proceed in accordance with Sub-Clause 3.5 [Determinations] to agree or determine (i) whether and (if so) to what extent these physical conditions were Unforeseeable, and (ii) the matters described in subparagraphs (a) and (b) above related to this extent.</x:v>
      </x:c>
      <x:c r="G387" s="48" t="str">
        <x:v>Risk</x:v>
      </x:c>
      <x:c r="H387" s="48" t="str">
        <x:v>Shared</x:v>
      </x:c>
      <x:c r="I387" s="48" t="n">
        <x:v>0.78</x:v>
      </x:c>
      <x:c r="J387" s="48" t="n">
        <x:v>0.4</x:v>
      </x:c>
      <x:c r="K387" s="48" t="str">
        <x:v>Yes</x:v>
      </x:c>
      <x:c r="L387" s="48" t="str">
        <x:v>PDF text</x:v>
      </x:c>
    </x:row>
    <x:row r="388">
      <x:c r="A388" s="48" t="str">
        <x:v>RED-0387</x:v>
      </x:c>
      <x:c r="B388" s="48" t="str">
        <x:v>RED</x:v>
      </x:c>
      <x:c r="C388" s="48" t="str">
        <x:v>English</x:v>
      </x:c>
      <x:c r="D388" s="48" t="n">
        <x:v>31</x:v>
      </x:c>
      <x:c r="E388" s="48" t="str"/>
      <x:c r="F388" s="48" t="str">
        <x:v>However, before additional Cost is finally agreed or determined under sub-paragraph (ii), the Engineer may also review whether other physical conditions in similar parts of the Works (if any) were more favourable than could reasonably have been foreseen when the Contractor submitted the Tender.</x:v>
      </x:c>
      <x:c r="G388" s="48" t="str">
        <x:v>Right</x:v>
      </x:c>
      <x:c r="H388" s="48" t="str">
        <x:v>Contractor</x:v>
      </x:c>
      <x:c r="I388" s="48" t="n">
        <x:v>0.78</x:v>
      </x:c>
      <x:c r="J388" s="48" t="n">
        <x:v>0.68</x:v>
      </x:c>
      <x:c r="K388" s="48" t="str">
        <x:v>Yes</x:v>
      </x:c>
      <x:c r="L388" s="48" t="str">
        <x:v>PDF text</x:v>
      </x:c>
    </x:row>
    <x:row r="389">
      <x:c r="A389" s="48" t="str">
        <x:v>RED-0388</x:v>
      </x:c>
      <x:c r="B389" s="48" t="str">
        <x:v>RED</x:v>
      </x:c>
      <x:c r="C389" s="48" t="str">
        <x:v>English</x:v>
      </x:c>
      <x:c r="D389" s="48" t="n">
        <x:v>31</x:v>
      </x:c>
      <x:c r="E389" s="48" t="str"/>
      <x:c r="F389" s="48" t="str">
        <x:v>If and to the extent that these more favourable conditions were encountered, the Engineer may proceed in accordance with Sub-Clause 3.5 [Determinations] to agree or determine the reductions in Cost which were due to these conditions, which may be included (as deductions) in the Contract Price and Payment Certificates.</x:v>
      </x:c>
      <x:c r="G389" s="48" t="str">
        <x:v>Right</x:v>
      </x:c>
      <x:c r="H389" s="48" t="str">
        <x:v>Shared</x:v>
      </x:c>
      <x:c r="I389" s="48" t="n">
        <x:v>0.78</x:v>
      </x:c>
      <x:c r="J389" s="48" t="n">
        <x:v>0.4</x:v>
      </x:c>
      <x:c r="K389" s="48" t="str">
        <x:v>Yes</x:v>
      </x:c>
      <x:c r="L389" s="48" t="str">
        <x:v>PDF text</x:v>
      </x:c>
    </x:row>
    <x:row r="390">
      <x:c r="A390" s="48" t="str">
        <x:v>RED-0389</x:v>
      </x:c>
      <x:c r="B390" s="48" t="str">
        <x:v>RED</x:v>
      </x:c>
      <x:c r="C390" s="48" t="str">
        <x:v>English</x:v>
      </x:c>
      <x:c r="D390" s="48" t="n">
        <x:v>31</x:v>
      </x:c>
      <x:c r="E390" s="48" t="str"/>
      <x:c r="F390" s="48" t="str">
        <x:v>However, the net effect of all adjustments under sub-paragraph (b) and all these reductions, for all the physical conditions encountered in similar parts of the Works, shall not result in a net reduction in the Contract Price.</x:v>
      </x:c>
      <x:c r="G390" s="48" t="str">
        <x:v>Obligation</x:v>
      </x:c>
      <x:c r="H390" s="48" t="str">
        <x:v>Shared</x:v>
      </x:c>
      <x:c r="I390" s="48" t="n">
        <x:v>0.88</x:v>
      </x:c>
      <x:c r="J390" s="48" t="n">
        <x:v>0.4</x:v>
      </x:c>
      <x:c r="K390" s="48" t="str">
        <x:v>Yes</x:v>
      </x:c>
      <x:c r="L390" s="48" t="str">
        <x:v>PDF text</x:v>
      </x:c>
    </x:row>
    <x:row r="391">
      <x:c r="A391" s="48" t="str">
        <x:v>RED-0390</x:v>
      </x:c>
      <x:c r="B391" s="48" t="str">
        <x:v>RED</x:v>
      </x:c>
      <x:c r="C391" s="48" t="str">
        <x:v>English</x:v>
      </x:c>
      <x:c r="D391" s="48" t="n">
        <x:v>31</x:v>
      </x:c>
      <x:c r="E391" s="48" t="str"/>
      <x:c r="F391" s="48" t="str">
        <x:v>The Engineer may take account of any evidence of the physical conditions foreseen</x:v>
      </x:c>
      <x:c r="G391" s="48" t="str">
        <x:v>Right</x:v>
      </x:c>
      <x:c r="H391" s="48" t="str">
        <x:v>Shared</x:v>
      </x:c>
      <x:c r="I391" s="48" t="n">
        <x:v>0.78</x:v>
      </x:c>
      <x:c r="J391" s="48" t="n">
        <x:v>0.4</x:v>
      </x:c>
      <x:c r="K391" s="48" t="str">
        <x:v>Yes</x:v>
      </x:c>
      <x:c r="L391" s="48" t="str">
        <x:v>PDF text</x:v>
      </x:c>
    </x:row>
    <x:row r="392">
      <x:c r="A392" s="48" t="str">
        <x:v>RED-0391</x:v>
      </x:c>
      <x:c r="B392" s="48" t="str">
        <x:v>RED</x:v>
      </x:c>
      <x:c r="C392" s="48" t="str">
        <x:v>English</x:v>
      </x:c>
      <x:c r="D392" s="48" t="n">
        <x:v>31</x:v>
      </x:c>
      <x:c r="E392" s="48" t="str"/>
      <x:c r="F392" s="48" t="str">
        <x:v>by the Contractor when submitting the Tender, which may be made available by the Contractor, but shall not be bound by any such evidence.</x:v>
      </x:c>
      <x:c r="G392" s="48" t="str">
        <x:v>Obligation</x:v>
      </x:c>
      <x:c r="H392" s="48" t="str">
        <x:v>Contractor</x:v>
      </x:c>
      <x:c r="I392" s="48" t="n">
        <x:v>0.88</x:v>
      </x:c>
      <x:c r="J392" s="48" t="n">
        <x:v>0.68</x:v>
      </x:c>
      <x:c r="K392" s="48" t="str">
        <x:v>Yes</x:v>
      </x:c>
      <x:c r="L392" s="48" t="str">
        <x:v>PDF text</x:v>
      </x:c>
    </x:row>
    <x:row r="393">
      <x:c r="A393" s="48" t="str">
        <x:v>RED-0392</x:v>
      </x:c>
      <x:c r="B393" s="48" t="str">
        <x:v>RED</x:v>
      </x:c>
      <x:c r="C393" s="48" t="str">
        <x:v>English</x:v>
      </x:c>
      <x:c r="D393" s="48" t="n">
        <x:v>31</x:v>
      </x:c>
      <x:c r="E393" s="48" t="str"/>
      <x:c r="F393" s="48" t="str">
        <x:v>The Contractor shall bear all costs and charges for special and/or temporary rightsof-way which he may require, including those for access to the Site.</x:v>
      </x:c>
      <x:c r="G393" s="48" t="str">
        <x:v>Obligation</x:v>
      </x:c>
      <x:c r="H393" s="48" t="str">
        <x:v>Contractor</x:v>
      </x:c>
      <x:c r="I393" s="48" t="n">
        <x:v>0.88</x:v>
      </x:c>
      <x:c r="J393" s="48" t="n">
        <x:v>0.92</x:v>
      </x:c>
      <x:c r="K393" s="48" t="str">
        <x:v>No</x:v>
      </x:c>
      <x:c r="L393" s="48" t="str">
        <x:v>PDF text</x:v>
      </x:c>
    </x:row>
    <x:row r="394">
      <x:c r="A394" s="48" t="str">
        <x:v>RED-0393</x:v>
      </x:c>
      <x:c r="B394" s="48" t="str">
        <x:v>RED</x:v>
      </x:c>
      <x:c r="C394" s="48" t="str">
        <x:v>English</x:v>
      </x:c>
      <x:c r="D394" s="48" t="n">
        <x:v>31</x:v>
      </x:c>
      <x:c r="E394" s="48" t="str"/>
      <x:c r="F394" s="48" t="str">
        <x:v>The Contractor shall also obtain, at his risk and cost, any additional facilities outside the Site which he may require for the purposes of the Works.</x:v>
      </x:c>
      <x:c r="G394" s="48" t="str">
        <x:v>Risk</x:v>
      </x:c>
      <x:c r="H394" s="48" t="str">
        <x:v>Contractor</x:v>
      </x:c>
      <x:c r="I394" s="48" t="n">
        <x:v>0.78</x:v>
      </x:c>
      <x:c r="J394" s="48" t="n">
        <x:v>0.92</x:v>
      </x:c>
      <x:c r="K394" s="48" t="str">
        <x:v>No</x:v>
      </x:c>
      <x:c r="L394" s="48" t="str">
        <x:v>PDF text</x:v>
      </x:c>
    </x:row>
    <x:row r="395">
      <x:c r="A395" s="48" t="str">
        <x:v>RED-0394</x:v>
      </x:c>
      <x:c r="B395" s="48" t="str">
        <x:v>RED</x:v>
      </x:c>
      <x:c r="C395" s="48" t="str">
        <x:v>English</x:v>
      </x:c>
      <x:c r="D395" s="48" t="n">
        <x:v>31</x:v>
      </x:c>
      <x:c r="E395" s="48" t="str"/>
      <x:c r="F395" s="48" t="str">
        <x:v>The Contractor shall not interfere unnecessarily or improperly with: (a) the convenience of the public, or (b) the access to and use and occupation of all roads and footpaths, irrespective of whether they are public or in the possession of the Employer or of others.</x:v>
      </x:c>
      <x:c r="G395" s="48" t="str">
        <x:v>Obligation</x:v>
      </x:c>
      <x:c r="H395" s="48" t="str">
        <x:v>Contractor</x:v>
      </x:c>
      <x:c r="I395" s="48" t="n">
        <x:v>0.88</x:v>
      </x:c>
      <x:c r="J395" s="48" t="n">
        <x:v>0.92</x:v>
      </x:c>
      <x:c r="K395" s="48" t="str">
        <x:v>No</x:v>
      </x:c>
      <x:c r="L395" s="48" t="str">
        <x:v>PDF text</x:v>
      </x:c>
    </x:row>
    <x:row r="396">
      <x:c r="A396" s="48" t="str">
        <x:v>RED-0395</x:v>
      </x:c>
      <x:c r="B396" s="48" t="str">
        <x:v>RED</x:v>
      </x:c>
      <x:c r="C396" s="48" t="str">
        <x:v>English</x:v>
      </x:c>
      <x:c r="D396" s="48" t="n">
        <x:v>31</x:v>
      </x:c>
      <x:c r="E396" s="48" t="str"/>
      <x:c r="F396" s="48" t="str">
        <x:v>The Contractor shall indemnify and hold the Employer harmless against and from all damages, losses and expenses (including legal fees and expenses) resulting from any such unnecessary or improper interference.</x:v>
      </x:c>
      <x:c r="G396" s="48" t="str">
        <x:v>Obligation</x:v>
      </x:c>
      <x:c r="H396" s="48" t="str">
        <x:v>Contractor</x:v>
      </x:c>
      <x:c r="I396" s="48" t="n">
        <x:v>0.88</x:v>
      </x:c>
      <x:c r="J396" s="48" t="n">
        <x:v>0.92</x:v>
      </x:c>
      <x:c r="K396" s="48" t="str">
        <x:v>No</x:v>
      </x:c>
      <x:c r="L396" s="48" t="str">
        <x:v>PDF text</x:v>
      </x:c>
    </x:row>
    <x:row r="397">
      <x:c r="A397" s="48" t="str">
        <x:v>RED-0396</x:v>
      </x:c>
      <x:c r="B397" s="48" t="str">
        <x:v>RED</x:v>
      </x:c>
      <x:c r="C397" s="48" t="str">
        <x:v>English</x:v>
      </x:c>
      <x:c r="D397" s="48" t="n">
        <x:v>31</x:v>
      </x:c>
      <x:c r="E397" s="48" t="str"/>
      <x:c r="F397" s="48" t="str">
        <x:v>The Contractor shall be deemed to have been satisfied as to the suitability and availability of access routes to the Site.</x:v>
      </x:c>
      <x:c r="G397" s="48" t="str">
        <x:v>Obligation</x:v>
      </x:c>
      <x:c r="H397" s="48" t="str">
        <x:v>Contractor</x:v>
      </x:c>
      <x:c r="I397" s="48" t="n">
        <x:v>0.88</x:v>
      </x:c>
      <x:c r="J397" s="48" t="n">
        <x:v>0.92</x:v>
      </x:c>
      <x:c r="K397" s="48" t="str">
        <x:v>No</x:v>
      </x:c>
      <x:c r="L397" s="48" t="str">
        <x:v>PDF text</x:v>
      </x:c>
    </x:row>
    <x:row r="398">
      <x:c r="A398" s="48" t="str">
        <x:v>RED-0397</x:v>
      </x:c>
      <x:c r="B398" s="48" t="str">
        <x:v>RED</x:v>
      </x:c>
      <x:c r="C398" s="48" t="str">
        <x:v>English</x:v>
      </x:c>
      <x:c r="D398" s="48" t="n">
        <x:v>31</x:v>
      </x:c>
      <x:c r="E398" s="48" t="str"/>
      <x:c r="F398" s="48" t="str">
        <x:v>The Contractor shall use reasonable efforts to prevent any 4.13</x:v>
      </x:c>
      <x:c r="G398" s="48" t="str">
        <x:v>Obligation</x:v>
      </x:c>
      <x:c r="H398" s="48" t="str">
        <x:v>Contractor</x:v>
      </x:c>
      <x:c r="I398" s="48" t="n">
        <x:v>0.88</x:v>
      </x:c>
      <x:c r="J398" s="48" t="n">
        <x:v>0.92</x:v>
      </x:c>
      <x:c r="K398" s="48" t="str">
        <x:v>No</x:v>
      </x:c>
      <x:c r="L398" s="48" t="str">
        <x:v>PDF text</x:v>
      </x:c>
    </x:row>
    <x:row r="399">
      <x:c r="A399" s="48" t="str">
        <x:v>RED-0398</x:v>
      </x:c>
      <x:c r="B399" s="48" t="str">
        <x:v>RED</x:v>
      </x:c>
      <x:c r="C399" s="48" t="str">
        <x:v>English</x:v>
      </x:c>
      <x:c r="D399" s="48" t="n">
        <x:v>31</x:v>
      </x:c>
      <x:c r="E399" s="48" t="str"/>
      <x:c r="F399" s="48" t="str">
        <x:v>Rights of Way and</x:v>
      </x:c>
      <x:c r="G399" s="48" t="str">
        <x:v>Obligation</x:v>
      </x:c>
      <x:c r="H399" s="48" t="str">
        <x:v>Shared</x:v>
      </x:c>
      <x:c r="I399" s="48" t="n">
        <x:v>0.45</x:v>
      </x:c>
      <x:c r="J399" s="48" t="n">
        <x:v>0.4</x:v>
      </x:c>
      <x:c r="K399" s="48" t="str">
        <x:v>Yes</x:v>
      </x:c>
      <x:c r="L399" s="48" t="str">
        <x:v>PDF text</x:v>
      </x:c>
    </x:row>
    <x:row r="400">
      <x:c r="A400" s="48" t="str">
        <x:v>RED-0399</x:v>
      </x:c>
      <x:c r="B400" s="48" t="str">
        <x:v>RED</x:v>
      </x:c>
      <x:c r="C400" s="48" t="str">
        <x:v>English</x:v>
      </x:c>
      <x:c r="D400" s="48" t="n">
        <x:v>31</x:v>
      </x:c>
      <x:c r="E400" s="48" t="str"/>
      <x:c r="F400" s="48" t="str">
        <x:v>Facilities</x:v>
      </x:c>
      <x:c r="G400" s="48" t="str">
        <x:v>Obligation</x:v>
      </x:c>
      <x:c r="H400" s="48" t="str">
        <x:v>Shared</x:v>
      </x:c>
      <x:c r="I400" s="48" t="n">
        <x:v>0.45</x:v>
      </x:c>
      <x:c r="J400" s="48" t="n">
        <x:v>0.4</x:v>
      </x:c>
      <x:c r="K400" s="48" t="str">
        <x:v>Yes</x:v>
      </x:c>
      <x:c r="L400" s="48" t="str">
        <x:v>PDF text</x:v>
      </x:c>
    </x:row>
    <x:row r="401">
      <x:c r="A401" s="48" t="str">
        <x:v>RED-0400</x:v>
      </x:c>
      <x:c r="B401" s="48" t="str">
        <x:v>RED</x:v>
      </x:c>
      <x:c r="C401" s="48" t="str">
        <x:v>English</x:v>
      </x:c>
      <x:c r="D401" s="48" t="n">
        <x:v>31</x:v>
      </x:c>
      <x:c r="E401" s="48" t="str"/>
      <x:c r="F401" s="48" t="str">
        <x:v>Avoidance of</x:v>
      </x:c>
      <x:c r="G401" s="48" t="str">
        <x:v>Obligation</x:v>
      </x:c>
      <x:c r="H401" s="48" t="str">
        <x:v>Shared</x:v>
      </x:c>
      <x:c r="I401" s="48" t="n">
        <x:v>0.45</x:v>
      </x:c>
      <x:c r="J401" s="48" t="n">
        <x:v>0.4</x:v>
      </x:c>
      <x:c r="K401" s="48" t="str">
        <x:v>Yes</x:v>
      </x:c>
      <x:c r="L401" s="48" t="str">
        <x:v>PDF text</x:v>
      </x:c>
    </x:row>
    <x:row r="402">
      <x:c r="A402" s="48" t="str">
        <x:v>RED-0401</x:v>
      </x:c>
      <x:c r="B402" s="48" t="str">
        <x:v>RED</x:v>
      </x:c>
      <x:c r="C402" s="48" t="str">
        <x:v>English</x:v>
      </x:c>
      <x:c r="D402" s="48" t="n">
        <x:v>31</x:v>
      </x:c>
      <x:c r="E402" s="48" t="str"/>
      <x:c r="F402" s="48" t="str">
        <x:v>Interference</x:v>
      </x:c>
      <x:c r="G402" s="48" t="str">
        <x:v>Obligation</x:v>
      </x:c>
      <x:c r="H402" s="48" t="str">
        <x:v>Shared</x:v>
      </x:c>
      <x:c r="I402" s="48" t="n">
        <x:v>0.45</x:v>
      </x:c>
      <x:c r="J402" s="48" t="n">
        <x:v>0.4</x:v>
      </x:c>
      <x:c r="K402" s="48" t="str">
        <x:v>Yes</x:v>
      </x:c>
      <x:c r="L402" s="48" t="str">
        <x:v>PDF text</x:v>
      </x:c>
    </x:row>
    <x:row r="403">
      <x:c r="A403" s="48" t="str">
        <x:v>RED-0402</x:v>
      </x:c>
      <x:c r="B403" s="48" t="str">
        <x:v>RED</x:v>
      </x:c>
      <x:c r="C403" s="48" t="str">
        <x:v>English</x:v>
      </x:c>
      <x:c r="D403" s="48" t="n">
        <x:v>31</x:v>
      </x:c>
      <x:c r="E403" s="48" t="str"/>
      <x:c r="F403" s="48" t="str">
        <x:v>Access Route</x:v>
      </x:c>
      <x:c r="G403" s="48" t="str">
        <x:v>Obligation</x:v>
      </x:c>
      <x:c r="H403" s="48" t="str">
        <x:v>Shared</x:v>
      </x:c>
      <x:c r="I403" s="48" t="n">
        <x:v>0.45</x:v>
      </x:c>
      <x:c r="J403" s="48" t="n">
        <x:v>0.4</x:v>
      </x:c>
      <x:c r="K403" s="48" t="str">
        <x:v>Yes</x:v>
      </x:c>
      <x:c r="L403" s="48" t="str">
        <x:v>PDF text</x:v>
      </x:c>
    </x:row>
    <x:row r="404">
      <x:c r="A404" s="48" t="str">
        <x:v>RED-0403</x:v>
      </x:c>
      <x:c r="B404" s="48" t="str">
        <x:v>RED</x:v>
      </x:c>
      <x:c r="C404" s="48" t="str">
        <x:v>English</x:v>
      </x:c>
      <x:c r="D404" s="48" t="n">
        <x:v>32</x:v>
      </x:c>
      <x:c r="E404" s="48" t="str"/>
      <x:c r="F404" s="48" t="str">
        <x:v>road or bridge from being damaged by the Contractor’s traffic or by the Contractor’s Personnel.</x:v>
      </x:c>
      <x:c r="G404" s="48" t="str">
        <x:v>Obligation</x:v>
      </x:c>
      <x:c r="H404" s="48" t="str">
        <x:v>Contractor</x:v>
      </x:c>
      <x:c r="I404" s="48" t="n">
        <x:v>0.45</x:v>
      </x:c>
      <x:c r="J404" s="48" t="n">
        <x:v>0.68</x:v>
      </x:c>
      <x:c r="K404" s="48" t="str">
        <x:v>Yes</x:v>
      </x:c>
      <x:c r="L404" s="48" t="str">
        <x:v>PDF text</x:v>
      </x:c>
    </x:row>
    <x:row r="405">
      <x:c r="A405" s="48" t="str">
        <x:v>RED-0404</x:v>
      </x:c>
      <x:c r="B405" s="48" t="str">
        <x:v>RED</x:v>
      </x:c>
      <x:c r="C405" s="48" t="str">
        <x:v>English</x:v>
      </x:c>
      <x:c r="D405" s="48" t="n">
        <x:v>32</x:v>
      </x:c>
      <x:c r="E405" s="48" t="str"/>
      <x:c r="F405" s="48" t="str">
        <x:v>These efforts shall include the proper use of appropriate vehicles and routes.</x:v>
      </x:c>
      <x:c r="G405" s="48" t="str">
        <x:v>Obligation</x:v>
      </x:c>
      <x:c r="H405" s="48" t="str">
        <x:v>Shared</x:v>
      </x:c>
      <x:c r="I405" s="48" t="n">
        <x:v>0.88</x:v>
      </x:c>
      <x:c r="J405" s="48" t="n">
        <x:v>0.4</x:v>
      </x:c>
      <x:c r="K405" s="48" t="str">
        <x:v>Yes</x:v>
      </x:c>
      <x:c r="L405" s="48" t="str">
        <x:v>PDF text</x:v>
      </x:c>
    </x:row>
    <x:row r="406">
      <x:c r="A406" s="48" t="str">
        <x:v>RED-0405</x:v>
      </x:c>
      <x:c r="B406" s="48" t="str">
        <x:v>RED</x:v>
      </x:c>
      <x:c r="C406" s="48" t="str">
        <x:v>English</x:v>
      </x:c>
      <x:c r="D406" s="48" t="n">
        <x:v>32</x:v>
      </x:c>
      <x:c r="E406" s="48" t="str"/>
      <x:c r="F406" s="48" t="str">
        <x:v>Except as otherwise stated in these Conditions: (a) the Contractor shall (as between the Parties) be responsible for any maintenance which may be required for his use of access routes; (b) the Contractor shall provide all necessary signs or directions along access routes, and shall obtain any permission which may be required from the relevant authorities for his use of routes, signs and directions; (c) the Employer shall not be responsible for any claims which may arise from the use or otherwise of any access route; (d) the Employer does not guarantee the suitability or availability of particular access routes; and (e)</x:v>
      </x:c>
      <x:c r="G406" s="48" t="str">
        <x:v>Obligation</x:v>
      </x:c>
      <x:c r="H406" s="48" t="str">
        <x:v>Shared</x:v>
      </x:c>
      <x:c r="I406" s="48" t="n">
        <x:v>0.88</x:v>
      </x:c>
      <x:c r="J406" s="48" t="n">
        <x:v>0.93</x:v>
      </x:c>
      <x:c r="K406" s="48" t="str">
        <x:v>No</x:v>
      </x:c>
      <x:c r="L406" s="48" t="str">
        <x:v>PDF text</x:v>
      </x:c>
    </x:row>
    <x:row r="407">
      <x:c r="A407" s="48" t="str">
        <x:v>RED-0406</x:v>
      </x:c>
      <x:c r="B407" s="48" t="str">
        <x:v>RED</x:v>
      </x:c>
      <x:c r="C407" s="48" t="str">
        <x:v>English</x:v>
      </x:c>
      <x:c r="D407" s="48" t="n">
        <x:v>32</x:v>
      </x:c>
      <x:c r="E407" s="48" t="str"/>
      <x:c r="F407" s="48" t="str">
        <x:v>Costs due to non-suitability or non-availability, for the use required by the</x:v>
      </x:c>
      <x:c r="G407" s="48" t="str">
        <x:v>Obligation</x:v>
      </x:c>
      <x:c r="H407" s="48" t="str">
        <x:v>Shared</x:v>
      </x:c>
      <x:c r="I407" s="48" t="n">
        <x:v>0.45</x:v>
      </x:c>
      <x:c r="J407" s="48" t="n">
        <x:v>0.4</x:v>
      </x:c>
      <x:c r="K407" s="48" t="str">
        <x:v>Yes</x:v>
      </x:c>
      <x:c r="L407" s="48" t="str">
        <x:v>PDF text</x:v>
      </x:c>
    </x:row>
    <x:row r="408">
      <x:c r="A408" s="48" t="str">
        <x:v>RED-0407</x:v>
      </x:c>
      <x:c r="B408" s="48" t="str">
        <x:v>RED</x:v>
      </x:c>
      <x:c r="C408" s="48" t="str">
        <x:v>English</x:v>
      </x:c>
      <x:c r="D408" s="48" t="n">
        <x:v>32</x:v>
      </x:c>
      <x:c r="E408" s="48" t="str"/>
      <x:c r="F408" s="48" t="str">
        <x:v>Contractor, of access routes shall be borne by the Contractor.</x:v>
      </x:c>
      <x:c r="G408" s="48" t="str">
        <x:v>Obligation</x:v>
      </x:c>
      <x:c r="H408" s="48" t="str">
        <x:v>Contractor</x:v>
      </x:c>
      <x:c r="I408" s="48" t="n">
        <x:v>0.88</x:v>
      </x:c>
      <x:c r="J408" s="48" t="n">
        <x:v>0.68</x:v>
      </x:c>
      <x:c r="K408" s="48" t="str">
        <x:v>Yes</x:v>
      </x:c>
      <x:c r="L408" s="48" t="str">
        <x:v>PDF text</x:v>
      </x:c>
    </x:row>
    <x:row r="409">
      <x:c r="A409" s="48" t="str">
        <x:v>RED-0408</x:v>
      </x:c>
      <x:c r="B409" s="48" t="str">
        <x:v>RED</x:v>
      </x:c>
      <x:c r="C409" s="48" t="str">
        <x:v>English</x:v>
      </x:c>
      <x:c r="D409" s="48" t="n">
        <x:v>32</x:v>
      </x:c>
      <x:c r="E409" s="48" t="str"/>
      <x:c r="F409" s="48" t="str">
        <x:v>Unless otherwise stated in the Particular Conditions: (a) the Contractor shall give the Engineer not less than 21 days’ notice of the date on which any Plant or a major item of other Goods will be delivered to the Site; (b) the Contractor shall be responsible for packing, loading, transporting, receiving, unloading, storing and protecting all Goods and other things required for the Works; and (c) the Contractor shall indemnify and hold the Employer harmless against and from all damages, losses and expenses (including legal fees and expenses) resulting from the transport of Goods, and shall negotiate and pay all claims arising from their transport.</x:v>
      </x:c>
      <x:c r="G409" s="48" t="str">
        <x:v>Obligation</x:v>
      </x:c>
      <x:c r="H409" s="48" t="str">
        <x:v>Contractor</x:v>
      </x:c>
      <x:c r="I409" s="48" t="n">
        <x:v>0.88</x:v>
      </x:c>
      <x:c r="J409" s="48" t="n">
        <x:v>0.92</x:v>
      </x:c>
      <x:c r="K409" s="48" t="str">
        <x:v>No</x:v>
      </x:c>
      <x:c r="L409" s="48" t="str">
        <x:v>PDF text</x:v>
      </x:c>
    </x:row>
    <x:row r="410">
      <x:c r="A410" s="48" t="str">
        <x:v>RED-0409</x:v>
      </x:c>
      <x:c r="B410" s="48" t="str">
        <x:v>RED</x:v>
      </x:c>
      <x:c r="C410" s="48" t="str">
        <x:v>English</x:v>
      </x:c>
      <x:c r="D410" s="48" t="n">
        <x:v>32</x:v>
      </x:c>
      <x:c r="E410" s="48" t="str"/>
      <x:c r="F410" s="48" t="str">
        <x:v>The Contractor shall be responsible for all Contractor’s Equipment.</x:v>
      </x:c>
      <x:c r="G410" s="48" t="str">
        <x:v>Obligation</x:v>
      </x:c>
      <x:c r="H410" s="48" t="str">
        <x:v>Contractor</x:v>
      </x:c>
      <x:c r="I410" s="48" t="n">
        <x:v>0.88</x:v>
      </x:c>
      <x:c r="J410" s="48" t="n">
        <x:v>0.92</x:v>
      </x:c>
      <x:c r="K410" s="48" t="str">
        <x:v>No</x:v>
      </x:c>
      <x:c r="L410" s="48" t="str">
        <x:v>PDF text</x:v>
      </x:c>
    </x:row>
    <x:row r="411">
      <x:c r="A411" s="48" t="str">
        <x:v>RED-0410</x:v>
      </x:c>
      <x:c r="B411" s="48" t="str">
        <x:v>RED</x:v>
      </x:c>
      <x:c r="C411" s="48" t="str">
        <x:v>English</x:v>
      </x:c>
      <x:c r="D411" s="48" t="n">
        <x:v>32</x:v>
      </x:c>
      <x:c r="E411" s="48" t="str"/>
      <x:c r="F411" s="48" t="str">
        <x:v>When brought on to the Site, Contractor’s Equipment shall be deemed to be exclusively intended for the execution of the Works.</x:v>
      </x:c>
      <x:c r="G411" s="48" t="str">
        <x:v>Obligation</x:v>
      </x:c>
      <x:c r="H411" s="48" t="str">
        <x:v>Contractor</x:v>
      </x:c>
      <x:c r="I411" s="48" t="n">
        <x:v>0.88</x:v>
      </x:c>
      <x:c r="J411" s="48" t="n">
        <x:v>0.68</x:v>
      </x:c>
      <x:c r="K411" s="48" t="str">
        <x:v>Yes</x:v>
      </x:c>
      <x:c r="L411" s="48" t="str">
        <x:v>PDF text</x:v>
      </x:c>
    </x:row>
    <x:row r="412">
      <x:c r="A412" s="48" t="str">
        <x:v>RED-0411</x:v>
      </x:c>
      <x:c r="B412" s="48" t="str">
        <x:v>RED</x:v>
      </x:c>
      <x:c r="C412" s="48" t="str">
        <x:v>English</x:v>
      </x:c>
      <x:c r="D412" s="48" t="n">
        <x:v>32</x:v>
      </x:c>
      <x:c r="E412" s="48" t="str"/>
      <x:c r="F412" s="48" t="str">
        <x:v>The Contractor shall not remove from the Site any major items of Contractor’s Equipment without the consent of the Engineer.</x:v>
      </x:c>
      <x:c r="G412" s="48" t="str">
        <x:v>Obligation</x:v>
      </x:c>
      <x:c r="H412" s="48" t="str">
        <x:v>Contractor</x:v>
      </x:c>
      <x:c r="I412" s="48" t="n">
        <x:v>0.88</x:v>
      </x:c>
      <x:c r="J412" s="48" t="n">
        <x:v>0.92</x:v>
      </x:c>
      <x:c r="K412" s="48" t="str">
        <x:v>No</x:v>
      </x:c>
      <x:c r="L412" s="48" t="str">
        <x:v>PDF text</x:v>
      </x:c>
    </x:row>
    <x:row r="413">
      <x:c r="A413" s="48" t="str">
        <x:v>RED-0412</x:v>
      </x:c>
      <x:c r="B413" s="48" t="str">
        <x:v>RED</x:v>
      </x:c>
      <x:c r="C413" s="48" t="str">
        <x:v>English</x:v>
      </x:c>
      <x:c r="D413" s="48" t="n">
        <x:v>32</x:v>
      </x:c>
      <x:c r="E413" s="48" t="str"/>
      <x:c r="F413" s="48" t="str">
        <x:v>However, consent shall not be required for vehicles transporting Goods or Contractor’s Personnel off Site.</x:v>
      </x:c>
      <x:c r="G413" s="48" t="str">
        <x:v>Obligation</x:v>
      </x:c>
      <x:c r="H413" s="48" t="str">
        <x:v>Contractor</x:v>
      </x:c>
      <x:c r="I413" s="48" t="n">
        <x:v>0.88</x:v>
      </x:c>
      <x:c r="J413" s="48" t="n">
        <x:v>0.68</x:v>
      </x:c>
      <x:c r="K413" s="48" t="str">
        <x:v>Yes</x:v>
      </x:c>
      <x:c r="L413" s="48" t="str">
        <x:v>PDF text</x:v>
      </x:c>
    </x:row>
    <x:row r="414">
      <x:c r="A414" s="48" t="str">
        <x:v>RED-0413</x:v>
      </x:c>
      <x:c r="B414" s="48" t="str">
        <x:v>RED</x:v>
      </x:c>
      <x:c r="C414" s="48" t="str">
        <x:v>English</x:v>
      </x:c>
      <x:c r="D414" s="48" t="n">
        <x:v>32</x:v>
      </x:c>
      <x:c r="E414" s="48" t="str"/>
      <x:c r="F414" s="48" t="str">
        <x:v>The Contractor shall take all reasonable steps to protect the environment (both on and off the Site) and to limit damage and nuisance to people and property resulting from pollution, noise and other results of his operations.</x:v>
      </x:c>
      <x:c r="G414" s="48" t="str">
        <x:v>Obligation</x:v>
      </x:c>
      <x:c r="H414" s="48" t="str">
        <x:v>Contractor</x:v>
      </x:c>
      <x:c r="I414" s="48" t="n">
        <x:v>0.88</x:v>
      </x:c>
      <x:c r="J414" s="48" t="n">
        <x:v>0.92</x:v>
      </x:c>
      <x:c r="K414" s="48" t="str">
        <x:v>No</x:v>
      </x:c>
      <x:c r="L414" s="48" t="str">
        <x:v>PDF text</x:v>
      </x:c>
    </x:row>
    <x:row r="415">
      <x:c r="A415" s="48" t="str">
        <x:v>RED-0414</x:v>
      </x:c>
      <x:c r="B415" s="48" t="str">
        <x:v>RED</x:v>
      </x:c>
      <x:c r="C415" s="48" t="str">
        <x:v>English</x:v>
      </x:c>
      <x:c r="D415" s="48" t="n">
        <x:v>32</x:v>
      </x:c>
      <x:c r="E415" s="48" t="str"/>
      <x:c r="F415" s="48" t="str">
        <x:v>The Contractor shall ensure that emissions, surface discharges and effluent from the Contractor’s activities shall not exceed the values stated in the Specification or prescribed by applicable Laws.</x:v>
      </x:c>
      <x:c r="G415" s="48" t="str">
        <x:v>Obligation</x:v>
      </x:c>
      <x:c r="H415" s="48" t="str">
        <x:v>Contractor</x:v>
      </x:c>
      <x:c r="I415" s="48" t="n">
        <x:v>0.88</x:v>
      </x:c>
      <x:c r="J415" s="48" t="n">
        <x:v>0.92</x:v>
      </x:c>
      <x:c r="K415" s="48" t="str">
        <x:v>No</x:v>
      </x:c>
      <x:c r="L415" s="48" t="str">
        <x:v>PDF text</x:v>
      </x:c>
    </x:row>
    <x:row r="416">
      <x:c r="A416" s="48" t="str">
        <x:v>RED-0415</x:v>
      </x:c>
      <x:c r="B416" s="48" t="str">
        <x:v>RED</x:v>
      </x:c>
      <x:c r="C416" s="48" t="str">
        <x:v>English</x:v>
      </x:c>
      <x:c r="D416" s="48" t="n">
        <x:v>32</x:v>
      </x:c>
      <x:c r="E416" s="48" t="str"/>
      <x:c r="F416" s="48" t="str">
        <x:v>The Contractor shall, except as stated below, be responsible for the provision of all power, water and other services he may require.</x:v>
      </x:c>
      <x:c r="G416" s="48" t="str">
        <x:v>Obligation</x:v>
      </x:c>
      <x:c r="H416" s="48" t="str">
        <x:v>Contractor</x:v>
      </x:c>
      <x:c r="I416" s="48" t="n">
        <x:v>0.88</x:v>
      </x:c>
      <x:c r="J416" s="48" t="n">
        <x:v>0.92</x:v>
      </x:c>
      <x:c r="K416" s="48" t="str">
        <x:v>No</x:v>
      </x:c>
      <x:c r="L416" s="48" t="str">
        <x:v>PDF text</x:v>
      </x:c>
    </x:row>
    <x:row r="417">
      <x:c r="A417" s="48" t="str">
        <x:v>RED-0416</x:v>
      </x:c>
      <x:c r="B417" s="48" t="str">
        <x:v>RED</x:v>
      </x:c>
      <x:c r="C417" s="48" t="str">
        <x:v>English</x:v>
      </x:c>
      <x:c r="D417" s="48" t="n">
        <x:v>32</x:v>
      </x:c>
      <x:c r="E417" s="48" t="str"/>
      <x:c r="F417" s="48" t="str">
        <x:v>The Contractor shall be entitled to use for the purposes of the Works such supplies of electricity, water, gas and other services as may be available on the Site and of which details and prices are given in the Specification.</x:v>
      </x:c>
      <x:c r="G417" s="48" t="str">
        <x:v>Obligation</x:v>
      </x:c>
      <x:c r="H417" s="48" t="str">
        <x:v>Contractor</x:v>
      </x:c>
      <x:c r="I417" s="48" t="n">
        <x:v>0.88</x:v>
      </x:c>
      <x:c r="J417" s="48" t="n">
        <x:v>0.92</x:v>
      </x:c>
      <x:c r="K417" s="48" t="str">
        <x:v>No</x:v>
      </x:c>
      <x:c r="L417" s="48" t="str">
        <x:v>PDF text</x:v>
      </x:c>
    </x:row>
    <x:row r="418">
      <x:c r="A418" s="48" t="str">
        <x:v>RED-0417</x:v>
      </x:c>
      <x:c r="B418" s="48" t="str">
        <x:v>RED</x:v>
      </x:c>
      <x:c r="C418" s="48" t="str">
        <x:v>English</x:v>
      </x:c>
      <x:c r="D418" s="48" t="n">
        <x:v>32</x:v>
      </x:c>
      <x:c r="E418" s="48" t="str"/>
      <x:c r="F418" s="48" t="str">
        <x:v>The Contractor shall, at his risk and cost, provide any apparatus necessary for his use of these services and for measuring the quantities consumed.</x:v>
      </x:c>
      <x:c r="G418" s="48" t="str">
        <x:v>Risk</x:v>
      </x:c>
      <x:c r="H418" s="48" t="str">
        <x:v>Contractor</x:v>
      </x:c>
      <x:c r="I418" s="48" t="n">
        <x:v>0.78</x:v>
      </x:c>
      <x:c r="J418" s="48" t="n">
        <x:v>0.92</x:v>
      </x:c>
      <x:c r="K418" s="48" t="str">
        <x:v>No</x:v>
      </x:c>
      <x:c r="L418" s="48" t="str">
        <x:v>PDF text</x:v>
      </x:c>
    </x:row>
    <x:row r="419">
      <x:c r="A419" s="48" t="str">
        <x:v>RED-0418</x:v>
      </x:c>
      <x:c r="B419" s="48" t="str">
        <x:v>RED</x:v>
      </x:c>
      <x:c r="C419" s="48" t="str">
        <x:v>English</x:v>
      </x:c>
      <x:c r="D419" s="48" t="n">
        <x:v>32</x:v>
      </x:c>
      <x:c r="E419" s="48" t="str"/>
      <x:c r="F419" s="48" t="str">
        <x:v>Transport of Goods</x:v>
      </x:c>
      <x:c r="G419" s="48" t="str">
        <x:v>Obligation</x:v>
      </x:c>
      <x:c r="H419" s="48" t="str">
        <x:v>Shared</x:v>
      </x:c>
      <x:c r="I419" s="48" t="n">
        <x:v>0.45</x:v>
      </x:c>
      <x:c r="J419" s="48" t="n">
        <x:v>0.4</x:v>
      </x:c>
      <x:c r="K419" s="48" t="str">
        <x:v>Yes</x:v>
      </x:c>
      <x:c r="L419" s="48" t="str">
        <x:v>PDF text</x:v>
      </x:c>
    </x:row>
    <x:row r="420">
      <x:c r="A420" s="48" t="str">
        <x:v>RED-0419</x:v>
      </x:c>
      <x:c r="B420" s="48" t="str">
        <x:v>RED</x:v>
      </x:c>
      <x:c r="C420" s="48" t="str">
        <x:v>English</x:v>
      </x:c>
      <x:c r="D420" s="48" t="n">
        <x:v>32</x:v>
      </x:c>
      <x:c r="E420" s="48" t="str"/>
      <x:c r="F420" s="48" t="str">
        <x:v>Equipment</x:v>
      </x:c>
      <x:c r="G420" s="48" t="str">
        <x:v>Obligation</x:v>
      </x:c>
      <x:c r="H420" s="48" t="str">
        <x:v>Shared</x:v>
      </x:c>
      <x:c r="I420" s="48" t="n">
        <x:v>0.45</x:v>
      </x:c>
      <x:c r="J420" s="48" t="n">
        <x:v>0.4</x:v>
      </x:c>
      <x:c r="K420" s="48" t="str">
        <x:v>Yes</x:v>
      </x:c>
      <x:c r="L420" s="48" t="str">
        <x:v>PDF text</x:v>
      </x:c>
    </x:row>
    <x:row r="421">
      <x:c r="A421" s="48" t="str">
        <x:v>RED-0420</x:v>
      </x:c>
      <x:c r="B421" s="48" t="str">
        <x:v>RED</x:v>
      </x:c>
      <x:c r="C421" s="48" t="str">
        <x:v>English</x:v>
      </x:c>
      <x:c r="D421" s="48" t="n">
        <x:v>32</x:v>
      </x:c>
      <x:c r="E421" s="48" t="str"/>
      <x:c r="F421" s="48" t="str">
        <x:v>Protection of the</x:v>
      </x:c>
      <x:c r="G421" s="48" t="str">
        <x:v>Obligation</x:v>
      </x:c>
      <x:c r="H421" s="48" t="str">
        <x:v>Shared</x:v>
      </x:c>
      <x:c r="I421" s="48" t="n">
        <x:v>0.45</x:v>
      </x:c>
      <x:c r="J421" s="48" t="n">
        <x:v>0.4</x:v>
      </x:c>
      <x:c r="K421" s="48" t="str">
        <x:v>Yes</x:v>
      </x:c>
      <x:c r="L421" s="48" t="str">
        <x:v>PDF text</x:v>
      </x:c>
    </x:row>
    <x:row r="422">
      <x:c r="A422" s="48" t="str">
        <x:v>RED-0421</x:v>
      </x:c>
      <x:c r="B422" s="48" t="str">
        <x:v>RED</x:v>
      </x:c>
      <x:c r="C422" s="48" t="str">
        <x:v>English</x:v>
      </x:c>
      <x:c r="D422" s="48" t="n">
        <x:v>32</x:v>
      </x:c>
      <x:c r="E422" s="48" t="str"/>
      <x:c r="F422" s="48" t="str">
        <x:v>Environment</x:v>
      </x:c>
      <x:c r="G422" s="48" t="str">
        <x:v>Obligation</x:v>
      </x:c>
      <x:c r="H422" s="48" t="str">
        <x:v>Shared</x:v>
      </x:c>
      <x:c r="I422" s="48" t="n">
        <x:v>0.45</x:v>
      </x:c>
      <x:c r="J422" s="48" t="n">
        <x:v>0.4</x:v>
      </x:c>
      <x:c r="K422" s="48" t="str">
        <x:v>Yes</x:v>
      </x:c>
      <x:c r="L422" s="48" t="str">
        <x:v>PDF text</x:v>
      </x:c>
    </x:row>
    <x:row r="423">
      <x:c r="A423" s="48" t="str">
        <x:v>RED-0422</x:v>
      </x:c>
      <x:c r="B423" s="48" t="str">
        <x:v>RED</x:v>
      </x:c>
      <x:c r="C423" s="48" t="str">
        <x:v>English</x:v>
      </x:c>
      <x:c r="D423" s="48" t="n">
        <x:v>32</x:v>
      </x:c>
      <x:c r="E423" s="48" t="str"/>
      <x:c r="F423" s="48" t="str">
        <x:v>Electricity, Water and</x:v>
      </x:c>
      <x:c r="G423" s="48" t="str">
        <x:v>Obligation</x:v>
      </x:c>
      <x:c r="H423" s="48" t="str">
        <x:v>Shared</x:v>
      </x:c>
      <x:c r="I423" s="48" t="n">
        <x:v>0.45</x:v>
      </x:c>
      <x:c r="J423" s="48" t="n">
        <x:v>0.4</x:v>
      </x:c>
      <x:c r="K423" s="48" t="str">
        <x:v>Yes</x:v>
      </x:c>
      <x:c r="L423" s="48" t="str">
        <x:v>PDF text</x:v>
      </x:c>
    </x:row>
    <x:row r="424">
      <x:c r="A424" s="48" t="str">
        <x:v>RED-0423</x:v>
      </x:c>
      <x:c r="B424" s="48" t="str">
        <x:v>RED</x:v>
      </x:c>
      <x:c r="C424" s="48" t="str">
        <x:v>English</x:v>
      </x:c>
      <x:c r="D424" s="48" t="n">
        <x:v>33</x:v>
      </x:c>
      <x:c r="E424" s="48" t="str"/>
      <x:c r="F424" s="48" t="str">
        <x:v>The quantities consumed and the amounts due (at these prices) for such services shall be agreed or determined by the Engineer in accordance with Sub-Clause 2.5 [Employer’s Claims] and Sub-Clause 3.5 [Determinations].</x:v>
      </x:c>
      <x:c r="G424" s="48" t="str">
        <x:v>Obligation</x:v>
      </x:c>
      <x:c r="H424" s="48" t="str">
        <x:v>Employer</x:v>
      </x:c>
      <x:c r="I424" s="48" t="n">
        <x:v>0.88</x:v>
      </x:c>
      <x:c r="J424" s="48" t="n">
        <x:v>0.68</x:v>
      </x:c>
      <x:c r="K424" s="48" t="str">
        <x:v>Yes</x:v>
      </x:c>
      <x:c r="L424" s="48" t="str">
        <x:v>PDF text</x:v>
      </x:c>
    </x:row>
    <x:row r="425">
      <x:c r="A425" s="48" t="str">
        <x:v>RED-0424</x:v>
      </x:c>
      <x:c r="B425" s="48" t="str">
        <x:v>RED</x:v>
      </x:c>
      <x:c r="C425" s="48" t="str">
        <x:v>English</x:v>
      </x:c>
      <x:c r="D425" s="48" t="n">
        <x:v>33</x:v>
      </x:c>
      <x:c r="E425" s="48" t="str"/>
      <x:c r="F425" s="48" t="str">
        <x:v>The Contractor shall pay these amounts to the Employer.</x:v>
      </x:c>
      <x:c r="G425" s="48" t="str">
        <x:v>Obligation</x:v>
      </x:c>
      <x:c r="H425" s="48" t="str">
        <x:v>Contractor</x:v>
      </x:c>
      <x:c r="I425" s="48" t="n">
        <x:v>0.88</x:v>
      </x:c>
      <x:c r="J425" s="48" t="n">
        <x:v>0.92</x:v>
      </x:c>
      <x:c r="K425" s="48" t="str">
        <x:v>No</x:v>
      </x:c>
      <x:c r="L425" s="48" t="str">
        <x:v>PDF text</x:v>
      </x:c>
    </x:row>
    <x:row r="426">
      <x:c r="A426" s="48" t="str">
        <x:v>RED-0425</x:v>
      </x:c>
      <x:c r="B426" s="48" t="str">
        <x:v>RED</x:v>
      </x:c>
      <x:c r="C426" s="48" t="str">
        <x:v>English</x:v>
      </x:c>
      <x:c r="D426" s="48" t="n">
        <x:v>33</x:v>
      </x:c>
      <x:c r="E426" s="48" t="str"/>
      <x:c r="F426" s="48" t="str">
        <x:v>The Employer shall make the Employer’s Equipment (if any) available for the use of the Contractor in the execution of the Works in accordance with the details, arrangements and prices stated in the Specification.</x:v>
      </x:c>
      <x:c r="G426" s="48" t="str">
        <x:v>Obligation</x:v>
      </x:c>
      <x:c r="H426" s="48" t="str">
        <x:v>Employer</x:v>
      </x:c>
      <x:c r="I426" s="48" t="n">
        <x:v>0.88</x:v>
      </x:c>
      <x:c r="J426" s="48" t="n">
        <x:v>0.92</x:v>
      </x:c>
      <x:c r="K426" s="48" t="str">
        <x:v>No</x:v>
      </x:c>
      <x:c r="L426" s="48" t="str">
        <x:v>PDF text</x:v>
      </x:c>
    </x:row>
    <x:row r="427">
      <x:c r="A427" s="48" t="str">
        <x:v>RED-0426</x:v>
      </x:c>
      <x:c r="B427" s="48" t="str">
        <x:v>RED</x:v>
      </x:c>
      <x:c r="C427" s="48" t="str">
        <x:v>English</x:v>
      </x:c>
      <x:c r="D427" s="48" t="n">
        <x:v>33</x:v>
      </x:c>
      <x:c r="E427" s="48" t="str"/>
      <x:c r="F427" s="48" t="str">
        <x:v>Unless otherwise stated in the Specification: (a) the Employer shall be responsible for the Employer’s Equipment, except that (b) the Contractor shall be responsible for each item of Employer’s Equipment whilst any of the Contractor’s Personnel is operating it, driving it, directing it or in possession or control of it.</x:v>
      </x:c>
      <x:c r="G427" s="48" t="str">
        <x:v>Obligation</x:v>
      </x:c>
      <x:c r="H427" s="48" t="str">
        <x:v>Contractor</x:v>
      </x:c>
      <x:c r="I427" s="48" t="n">
        <x:v>0.88</x:v>
      </x:c>
      <x:c r="J427" s="48" t="n">
        <x:v>0.92</x:v>
      </x:c>
      <x:c r="K427" s="48" t="str">
        <x:v>No</x:v>
      </x:c>
      <x:c r="L427" s="48" t="str">
        <x:v>PDF text</x:v>
      </x:c>
    </x:row>
    <x:row r="428">
      <x:c r="A428" s="48" t="str">
        <x:v>RED-0427</x:v>
      </x:c>
      <x:c r="B428" s="48" t="str">
        <x:v>RED</x:v>
      </x:c>
      <x:c r="C428" s="48" t="str">
        <x:v>English</x:v>
      </x:c>
      <x:c r="D428" s="48" t="n">
        <x:v>33</x:v>
      </x:c>
      <x:c r="E428" s="48" t="str"/>
      <x:c r="F428" s="48" t="str">
        <x:v>The appropriate quantities and the amounts due (at such stated prices) for the use of</x:v>
      </x:c>
      <x:c r="G428" s="48" t="str">
        <x:v>Obligation</x:v>
      </x:c>
      <x:c r="H428" s="48" t="str">
        <x:v>Shared</x:v>
      </x:c>
      <x:c r="I428" s="48" t="n">
        <x:v>0.45</x:v>
      </x:c>
      <x:c r="J428" s="48" t="n">
        <x:v>0.4</x:v>
      </x:c>
      <x:c r="K428" s="48" t="str">
        <x:v>Yes</x:v>
      </x:c>
      <x:c r="L428" s="48" t="str">
        <x:v>PDF text</x:v>
      </x:c>
    </x:row>
    <x:row r="429">
      <x:c r="A429" s="48" t="str">
        <x:v>RED-0428</x:v>
      </x:c>
      <x:c r="B429" s="48" t="str">
        <x:v>RED</x:v>
      </x:c>
      <x:c r="C429" s="48" t="str">
        <x:v>English</x:v>
      </x:c>
      <x:c r="D429" s="48" t="n">
        <x:v>33</x:v>
      </x:c>
      <x:c r="E429" s="48" t="str"/>
      <x:c r="F429" s="48" t="str">
        <x:v>Employer’s Equipment shall be agreed or determined by the Engineer in accordance</x:v>
      </x:c>
      <x:c r="G429" s="48" t="str">
        <x:v>Obligation</x:v>
      </x:c>
      <x:c r="H429" s="48" t="str">
        <x:v>Employer</x:v>
      </x:c>
      <x:c r="I429" s="48" t="n">
        <x:v>0.88</x:v>
      </x:c>
      <x:c r="J429" s="48" t="n">
        <x:v>0.68</x:v>
      </x:c>
      <x:c r="K429" s="48" t="str">
        <x:v>Yes</x:v>
      </x:c>
      <x:c r="L429" s="48" t="str">
        <x:v>PDF text</x:v>
      </x:c>
    </x:row>
    <x:row r="430">
      <x:c r="A430" s="48" t="str">
        <x:v>RED-0429</x:v>
      </x:c>
      <x:c r="B430" s="48" t="str">
        <x:v>RED</x:v>
      </x:c>
      <x:c r="C430" s="48" t="str">
        <x:v>English</x:v>
      </x:c>
      <x:c r="D430" s="48" t="n">
        <x:v>33</x:v>
      </x:c>
      <x:c r="E430" s="48" t="str"/>
      <x:c r="F430" s="48" t="str">
        <x:v>with Sub-Clause 2.5 [Employer’s Claims] and Sub-Clause 3.5 [Determinations].</x:v>
      </x:c>
      <x:c r="G430" s="48" t="str">
        <x:v>Obligation</x:v>
      </x:c>
      <x:c r="H430" s="48" t="str">
        <x:v>Employer</x:v>
      </x:c>
      <x:c r="I430" s="48" t="n">
        <x:v>0.45</x:v>
      </x:c>
      <x:c r="J430" s="48" t="n">
        <x:v>0.68</x:v>
      </x:c>
      <x:c r="K430" s="48" t="str">
        <x:v>Yes</x:v>
      </x:c>
      <x:c r="L430" s="48" t="str">
        <x:v>PDF text</x:v>
      </x:c>
    </x:row>
    <x:row r="431">
      <x:c r="A431" s="48" t="str">
        <x:v>RED-0430</x:v>
      </x:c>
      <x:c r="B431" s="48" t="str">
        <x:v>RED</x:v>
      </x:c>
      <x:c r="C431" s="48" t="str">
        <x:v>English</x:v>
      </x:c>
      <x:c r="D431" s="48" t="n">
        <x:v>33</x:v>
      </x:c>
      <x:c r="E431" s="48" t="str"/>
      <x:c r="F431" s="48" t="str">
        <x:v>The Employer shall supply, free of charge, the “free-issue materials” (if any) in accordance with the details stated in the Specification.</x:v>
      </x:c>
      <x:c r="G431" s="48" t="str">
        <x:v>Obligation</x:v>
      </x:c>
      <x:c r="H431" s="48" t="str">
        <x:v>Employer</x:v>
      </x:c>
      <x:c r="I431" s="48" t="n">
        <x:v>0.88</x:v>
      </x:c>
      <x:c r="J431" s="48" t="n">
        <x:v>0.92</x:v>
      </x:c>
      <x:c r="K431" s="48" t="str">
        <x:v>No</x:v>
      </x:c>
      <x:c r="L431" s="48" t="str">
        <x:v>PDF text</x:v>
      </x:c>
    </x:row>
    <x:row r="432">
      <x:c r="A432" s="48" t="str">
        <x:v>RED-0431</x:v>
      </x:c>
      <x:c r="B432" s="48" t="str">
        <x:v>RED</x:v>
      </x:c>
      <x:c r="C432" s="48" t="str">
        <x:v>English</x:v>
      </x:c>
      <x:c r="D432" s="48" t="n">
        <x:v>33</x:v>
      </x:c>
      <x:c r="E432" s="48" t="str"/>
      <x:c r="F432" s="48" t="str">
        <x:v>The Employer shall, at his risk and cost, provide these materials at the time and place specified in the Contract.</x:v>
      </x:c>
      <x:c r="G432" s="48" t="str">
        <x:v>Risk</x:v>
      </x:c>
      <x:c r="H432" s="48" t="str">
        <x:v>Employer</x:v>
      </x:c>
      <x:c r="I432" s="48" t="n">
        <x:v>0.78</x:v>
      </x:c>
      <x:c r="J432" s="48" t="n">
        <x:v>0.92</x:v>
      </x:c>
      <x:c r="K432" s="48" t="str">
        <x:v>No</x:v>
      </x:c>
      <x:c r="L432" s="48" t="str">
        <x:v>PDF text</x:v>
      </x:c>
    </x:row>
    <x:row r="433">
      <x:c r="A433" s="48" t="str">
        <x:v>RED-0432</x:v>
      </x:c>
      <x:c r="B433" s="48" t="str">
        <x:v>RED</x:v>
      </x:c>
      <x:c r="C433" s="48" t="str">
        <x:v>English</x:v>
      </x:c>
      <x:c r="D433" s="48" t="n">
        <x:v>33</x:v>
      </x:c>
      <x:c r="E433" s="48" t="str"/>
      <x:c r="F433" s="48" t="str">
        <x:v>The Contractor shall then visually inspect them, and shall promptly give notice to the Engineer of any shortage, defect or default in these materials.</x:v>
      </x:c>
      <x:c r="G433" s="48" t="str">
        <x:v>Obligation</x:v>
      </x:c>
      <x:c r="H433" s="48" t="str">
        <x:v>Contractor</x:v>
      </x:c>
      <x:c r="I433" s="48" t="n">
        <x:v>0.88</x:v>
      </x:c>
      <x:c r="J433" s="48" t="n">
        <x:v>0.92</x:v>
      </x:c>
      <x:c r="K433" s="48" t="str">
        <x:v>No</x:v>
      </x:c>
      <x:c r="L433" s="48" t="str">
        <x:v>PDF text</x:v>
      </x:c>
    </x:row>
    <x:row r="434">
      <x:c r="A434" s="48" t="str">
        <x:v>RED-0433</x:v>
      </x:c>
      <x:c r="B434" s="48" t="str">
        <x:v>RED</x:v>
      </x:c>
      <x:c r="C434" s="48" t="str">
        <x:v>English</x:v>
      </x:c>
      <x:c r="D434" s="48" t="n">
        <x:v>33</x:v>
      </x:c>
      <x:c r="E434" s="48" t="str"/>
      <x:c r="F434" s="48" t="str">
        <x:v>Unless otherwise agreed by both Parties, the Employer shall immediately rectify the notified shortage, defect or default.</x:v>
      </x:c>
      <x:c r="G434" s="48" t="str">
        <x:v>Obligation</x:v>
      </x:c>
      <x:c r="H434" s="48" t="str">
        <x:v>Shared</x:v>
      </x:c>
      <x:c r="I434" s="48" t="n">
        <x:v>0.88</x:v>
      </x:c>
      <x:c r="J434" s="48" t="n">
        <x:v>0.93</x:v>
      </x:c>
      <x:c r="K434" s="48" t="str">
        <x:v>No</x:v>
      </x:c>
      <x:c r="L434" s="48" t="str">
        <x:v>PDF text</x:v>
      </x:c>
    </x:row>
    <x:row r="435">
      <x:c r="A435" s="48" t="str">
        <x:v>RED-0434</x:v>
      </x:c>
      <x:c r="B435" s="48" t="str">
        <x:v>RED</x:v>
      </x:c>
      <x:c r="C435" s="48" t="str">
        <x:v>English</x:v>
      </x:c>
      <x:c r="D435" s="48" t="n">
        <x:v>33</x:v>
      </x:c>
      <x:c r="E435" s="48" t="str"/>
      <x:c r="F435" s="48" t="str">
        <x:v>After this visual inspection, the free-issue materials shall come under the care, custody and control of the Contractor.</x:v>
      </x:c>
      <x:c r="G435" s="48" t="str">
        <x:v>Obligation</x:v>
      </x:c>
      <x:c r="H435" s="48" t="str">
        <x:v>Contractor</x:v>
      </x:c>
      <x:c r="I435" s="48" t="n">
        <x:v>0.88</x:v>
      </x:c>
      <x:c r="J435" s="48" t="n">
        <x:v>0.68</x:v>
      </x:c>
      <x:c r="K435" s="48" t="str">
        <x:v>Yes</x:v>
      </x:c>
      <x:c r="L435" s="48" t="str">
        <x:v>PDF text</x:v>
      </x:c>
    </x:row>
    <x:row r="436">
      <x:c r="A436" s="48" t="str">
        <x:v>RED-0435</x:v>
      </x:c>
      <x:c r="B436" s="48" t="str">
        <x:v>RED</x:v>
      </x:c>
      <x:c r="C436" s="48" t="str">
        <x:v>English</x:v>
      </x:c>
      <x:c r="D436" s="48" t="n">
        <x:v>33</x:v>
      </x:c>
      <x:c r="E436" s="48" t="str"/>
      <x:c r="F436" s="48" t="str">
        <x:v>The Contractor’s obligations of inspection, care, custody and control shall not relieve the Employer of liability for any shortage, defect or default not apparent from a visual inspection.</x:v>
      </x:c>
      <x:c r="G436" s="48" t="str">
        <x:v>Risk</x:v>
      </x:c>
      <x:c r="H436" s="48" t="str">
        <x:v>Shared</x:v>
      </x:c>
      <x:c r="I436" s="48" t="n">
        <x:v>0.78</x:v>
      </x:c>
      <x:c r="J436" s="48" t="n">
        <x:v>0.6</x:v>
      </x:c>
      <x:c r="K436" s="48" t="str">
        <x:v>Yes</x:v>
      </x:c>
      <x:c r="L436" s="48" t="str">
        <x:v>PDF text</x:v>
      </x:c>
    </x:row>
    <x:row r="437">
      <x:c r="A437" s="48" t="str">
        <x:v>RED-0436</x:v>
      </x:c>
      <x:c r="B437" s="48" t="str">
        <x:v>RED</x:v>
      </x:c>
      <x:c r="C437" s="48" t="str">
        <x:v>English</x:v>
      </x:c>
      <x:c r="D437" s="48" t="n">
        <x:v>33</x:v>
      </x:c>
      <x:c r="E437" s="48" t="str"/>
      <x:c r="F437" s="48" t="str">
        <x:v>Unless otherwise stated in the Particular Conditions, monthly progress reports shall be prepared by the Contractor and submitted to the Engineer in six copies.</x:v>
      </x:c>
      <x:c r="G437" s="48" t="str">
        <x:v>Obligation</x:v>
      </x:c>
      <x:c r="H437" s="48" t="str">
        <x:v>Contractor</x:v>
      </x:c>
      <x:c r="I437" s="48" t="n">
        <x:v>0.88</x:v>
      </x:c>
      <x:c r="J437" s="48" t="n">
        <x:v>0.68</x:v>
      </x:c>
      <x:c r="K437" s="48" t="str">
        <x:v>Yes</x:v>
      </x:c>
      <x:c r="L437" s="48" t="str">
        <x:v>PDF text</x:v>
      </x:c>
    </x:row>
    <x:row r="438">
      <x:c r="A438" s="48" t="str">
        <x:v>RED-0437</x:v>
      </x:c>
      <x:c r="B438" s="48" t="str">
        <x:v>RED</x:v>
      </x:c>
      <x:c r="C438" s="48" t="str">
        <x:v>English</x:v>
      </x:c>
      <x:c r="D438" s="48" t="n">
        <x:v>33</x:v>
      </x:c>
      <x:c r="E438" s="48" t="str"/>
      <x:c r="F438" s="48" t="str">
        <x:v>The first report shall cover the period up to the end of the first calendar month following the Commencement Date.</x:v>
      </x:c>
      <x:c r="G438" s="48" t="str">
        <x:v>Obligation</x:v>
      </x:c>
      <x:c r="H438" s="48" t="str">
        <x:v>Shared</x:v>
      </x:c>
      <x:c r="I438" s="48" t="n">
        <x:v>0.88</x:v>
      </x:c>
      <x:c r="J438" s="48" t="n">
        <x:v>0.4</x:v>
      </x:c>
      <x:c r="K438" s="48" t="str">
        <x:v>Yes</x:v>
      </x:c>
      <x:c r="L438" s="48" t="str">
        <x:v>PDF text</x:v>
      </x:c>
    </x:row>
    <x:row r="439">
      <x:c r="A439" s="48" t="str">
        <x:v>RED-0438</x:v>
      </x:c>
      <x:c r="B439" s="48" t="str">
        <x:v>RED</x:v>
      </x:c>
      <x:c r="C439" s="48" t="str">
        <x:v>English</x:v>
      </x:c>
      <x:c r="D439" s="48" t="n">
        <x:v>33</x:v>
      </x:c>
      <x:c r="E439" s="48" t="str"/>
      <x:c r="F439" s="48" t="str">
        <x:v>Reports shall be submitted monthly thereafter, each within 7 days after the last day of the period to which it relates.</x:v>
      </x:c>
      <x:c r="G439" s="48" t="str">
        <x:v>Obligation</x:v>
      </x:c>
      <x:c r="H439" s="48" t="str">
        <x:v>Shared</x:v>
      </x:c>
      <x:c r="I439" s="48" t="n">
        <x:v>0.88</x:v>
      </x:c>
      <x:c r="J439" s="48" t="n">
        <x:v>0.4</x:v>
      </x:c>
      <x:c r="K439" s="48" t="str">
        <x:v>Yes</x:v>
      </x:c>
      <x:c r="L439" s="48" t="str">
        <x:v>PDF text</x:v>
      </x:c>
    </x:row>
    <x:row r="440">
      <x:c r="A440" s="48" t="str">
        <x:v>RED-0439</x:v>
      </x:c>
      <x:c r="B440" s="48" t="str">
        <x:v>RED</x:v>
      </x:c>
      <x:c r="C440" s="48" t="str">
        <x:v>English</x:v>
      </x:c>
      <x:c r="D440" s="48" t="n">
        <x:v>33</x:v>
      </x:c>
      <x:c r="E440" s="48" t="str"/>
      <x:c r="F440" s="48" t="str">
        <x:v>Reporting shall continue until the Contractor has completed all work which is known to be outstanding at the completion date stated in the Taking-Over Certificate for the Works.</x:v>
      </x:c>
      <x:c r="G440" s="48" t="str">
        <x:v>Obligation</x:v>
      </x:c>
      <x:c r="H440" s="48" t="str">
        <x:v>Contractor</x:v>
      </x:c>
      <x:c r="I440" s="48" t="n">
        <x:v>0.88</x:v>
      </x:c>
      <x:c r="J440" s="48" t="n">
        <x:v>0.68</x:v>
      </x:c>
      <x:c r="K440" s="48" t="str">
        <x:v>Yes</x:v>
      </x:c>
      <x:c r="L440" s="48" t="str">
        <x:v>PDF text</x:v>
      </x:c>
    </x:row>
    <x:row r="441">
      <x:c r="A441" s="48" t="str">
        <x:v>RED-0440</x:v>
      </x:c>
      <x:c r="B441" s="48" t="str">
        <x:v>RED</x:v>
      </x:c>
      <x:c r="C441" s="48" t="str">
        <x:v>English</x:v>
      </x:c>
      <x:c r="D441" s="48" t="n">
        <x:v>33</x:v>
      </x:c>
      <x:c r="E441" s="48" t="str"/>
      <x:c r="F441" s="48" t="str">
        <x:v>Each report shall include: (a) charts and detailed descriptions of progress, including each stage of design (if any), Contractor’s Documents, procurement, manufacture, delivery to Site, construction, erection and testing; and including these stages for work by each nominated Subcontractor (as defined in Clause 5 [Nominated Subcontractors]), (b) photographs showing the status of manufacture and of progress on the Site; (c) for the manufacture of each main item of Plant and Materials, the name of the manufacturer, manufacture location, percentage progress, and the actual or expected dates of: (i) commencement of manufacture, (ii)</x:v>
      </x:c>
      <x:c r="G441" s="48" t="str">
        <x:v>Obligation</x:v>
      </x:c>
      <x:c r="H441" s="48" t="str">
        <x:v>Contractor</x:v>
      </x:c>
      <x:c r="I441" s="48" t="n">
        <x:v>0.88</x:v>
      </x:c>
      <x:c r="J441" s="48" t="n">
        <x:v>0.68</x:v>
      </x:c>
      <x:c r="K441" s="48" t="str">
        <x:v>Yes</x:v>
      </x:c>
      <x:c r="L441" s="48" t="str">
        <x:v>PDF text</x:v>
      </x:c>
    </x:row>
    <x:row r="442">
      <x:c r="A442" s="48" t="str">
        <x:v>RED-0441</x:v>
      </x:c>
      <x:c r="B442" s="48" t="str">
        <x:v>RED</x:v>
      </x:c>
      <x:c r="C442" s="48" t="str">
        <x:v>English</x:v>
      </x:c>
      <x:c r="D442" s="48" t="n">
        <x:v>33</x:v>
      </x:c>
      <x:c r="E442" s="48" t="str"/>
      <x:c r="F442" s="48" t="str">
        <x:v>Contractor’s inspections,</x:v>
      </x:c>
      <x:c r="G442" s="48" t="str">
        <x:v>Obligation</x:v>
      </x:c>
      <x:c r="H442" s="48" t="str">
        <x:v>Contractor</x:v>
      </x:c>
      <x:c r="I442" s="48" t="n">
        <x:v>0.45</x:v>
      </x:c>
      <x:c r="J442" s="48" t="n">
        <x:v>0.68</x:v>
      </x:c>
      <x:c r="K442" s="48" t="str">
        <x:v>Yes</x:v>
      </x:c>
      <x:c r="L442" s="48" t="str">
        <x:v>PDF text</x:v>
      </x:c>
    </x:row>
    <x:row r="443">
      <x:c r="A443" s="48" t="str">
        <x:v>RED-0442</x:v>
      </x:c>
      <x:c r="B443" s="48" t="str">
        <x:v>RED</x:v>
      </x:c>
      <x:c r="C443" s="48" t="str">
        <x:v>English</x:v>
      </x:c>
      <x:c r="D443" s="48" t="n">
        <x:v>33</x:v>
      </x:c>
      <x:c r="E443" s="48" t="str"/>
      <x:c r="F443" s="48" t="str">
        <x:v>(iii) tests, and (iv) shipment and arrival at the Site; 4.20</x:v>
      </x:c>
      <x:c r="G443" s="48" t="str">
        <x:v>Obligation</x:v>
      </x:c>
      <x:c r="H443" s="48" t="str">
        <x:v>Shared</x:v>
      </x:c>
      <x:c r="I443" s="48" t="n">
        <x:v>0.45</x:v>
      </x:c>
      <x:c r="J443" s="48" t="n">
        <x:v>0.4</x:v>
      </x:c>
      <x:c r="K443" s="48" t="str">
        <x:v>Yes</x:v>
      </x:c>
      <x:c r="L443" s="48" t="str">
        <x:v>PDF text</x:v>
      </x:c>
    </x:row>
    <x:row r="444">
      <x:c r="A444" s="48" t="str">
        <x:v>RED-0443</x:v>
      </x:c>
      <x:c r="B444" s="48" t="str">
        <x:v>RED</x:v>
      </x:c>
      <x:c r="C444" s="48" t="str">
        <x:v>English</x:v>
      </x:c>
      <x:c r="D444" s="48" t="n">
        <x:v>33</x:v>
      </x:c>
      <x:c r="E444" s="48" t="str"/>
      <x:c r="F444" s="48" t="str">
        <x:v>Employer’s Equipment</x:v>
      </x:c>
      <x:c r="G444" s="48" t="str">
        <x:v>Obligation</x:v>
      </x:c>
      <x:c r="H444" s="48" t="str">
        <x:v>Employer</x:v>
      </x:c>
      <x:c r="I444" s="48" t="n">
        <x:v>0.45</x:v>
      </x:c>
      <x:c r="J444" s="48" t="n">
        <x:v>0.68</x:v>
      </x:c>
      <x:c r="K444" s="48" t="str">
        <x:v>Yes</x:v>
      </x:c>
      <x:c r="L444" s="48" t="str">
        <x:v>PDF text</x:v>
      </x:c>
    </x:row>
    <x:row r="445">
      <x:c r="A445" s="48" t="str">
        <x:v>RED-0444</x:v>
      </x:c>
      <x:c r="B445" s="48" t="str">
        <x:v>RED</x:v>
      </x:c>
      <x:c r="C445" s="48" t="str">
        <x:v>English</x:v>
      </x:c>
      <x:c r="D445" s="48" t="n">
        <x:v>33</x:v>
      </x:c>
      <x:c r="E445" s="48" t="str"/>
      <x:c r="F445" s="48" t="str">
        <x:v>and Free-Issue Material 4.21</x:v>
      </x:c>
      <x:c r="G445" s="48" t="str">
        <x:v>Obligation</x:v>
      </x:c>
      <x:c r="H445" s="48" t="str">
        <x:v>Shared</x:v>
      </x:c>
      <x:c r="I445" s="48" t="n">
        <x:v>0.45</x:v>
      </x:c>
      <x:c r="J445" s="48" t="n">
        <x:v>0.4</x:v>
      </x:c>
      <x:c r="K445" s="48" t="str">
        <x:v>Yes</x:v>
      </x:c>
      <x:c r="L445" s="48" t="str">
        <x:v>PDF text</x:v>
      </x:c>
    </x:row>
    <x:row r="446">
      <x:c r="A446" s="48" t="str">
        <x:v>RED-0445</x:v>
      </x:c>
      <x:c r="B446" s="48" t="str">
        <x:v>RED</x:v>
      </x:c>
      <x:c r="C446" s="48" t="str">
        <x:v>English</x:v>
      </x:c>
      <x:c r="D446" s="48" t="n">
        <x:v>33</x:v>
      </x:c>
      <x:c r="E446" s="48" t="str"/>
      <x:c r="F446" s="48" t="str">
        <x:v>Progress Reports</x:v>
      </x:c>
      <x:c r="G446" s="48" t="str">
        <x:v>Obligation</x:v>
      </x:c>
      <x:c r="H446" s="48" t="str">
        <x:v>Shared</x:v>
      </x:c>
      <x:c r="I446" s="48" t="n">
        <x:v>0.45</x:v>
      </x:c>
      <x:c r="J446" s="48" t="n">
        <x:v>0.4</x:v>
      </x:c>
      <x:c r="K446" s="48" t="str">
        <x:v>Yes</x:v>
      </x:c>
      <x:c r="L446" s="48" t="str">
        <x:v>PDF text</x:v>
      </x:c>
    </x:row>
    <x:row r="447">
      <x:c r="A447" s="48" t="str">
        <x:v>RED-0446</x:v>
      </x:c>
      <x:c r="B447" s="48" t="str">
        <x:v>RED</x:v>
      </x:c>
      <x:c r="C447" s="48" t="str">
        <x:v>English</x:v>
      </x:c>
      <x:c r="D447" s="48" t="n">
        <x:v>34</x:v>
      </x:c>
      <x:c r="E447" s="48" t="str"/>
      <x:c r="F447" s="48" t="str">
        <x:v>(d) the details described in Sub-Clause 6.10 [Records of Contractor’s Personnel and Equipment]; (e) copies of quality assurance documents, test results and certificates of Materials; (f) list of notices given under Sub-Clause 2.5 [Employer’s Claims] and notices given under Sub-Clause 20.1 [Contractor’s Claims]; (g) safety statistics, including details of any hazardous incidents and activities relating to environmental aspects and public relations; and (h) comparisons of actual and planned progress, with details of any events or circumstances which may jeopardise the completion in accordance with the Contract, and the measures being (or to be) adopted to overcome delays.</x:v>
      </x:c>
      <x:c r="G447" s="48" t="str">
        <x:v>Right</x:v>
      </x:c>
      <x:c r="H447" s="48" t="str">
        <x:v>Shared</x:v>
      </x:c>
      <x:c r="I447" s="48" t="n">
        <x:v>0.78</x:v>
      </x:c>
      <x:c r="J447" s="48" t="n">
        <x:v>0.6</x:v>
      </x:c>
      <x:c r="K447" s="48" t="str">
        <x:v>Yes</x:v>
      </x:c>
      <x:c r="L447" s="48" t="str">
        <x:v>PDF text</x:v>
      </x:c>
    </x:row>
    <x:row r="448">
      <x:c r="A448" s="48" t="str">
        <x:v>RED-0447</x:v>
      </x:c>
      <x:c r="B448" s="48" t="str">
        <x:v>RED</x:v>
      </x:c>
      <x:c r="C448" s="48" t="str">
        <x:v>English</x:v>
      </x:c>
      <x:c r="D448" s="48" t="n">
        <x:v>34</x:v>
      </x:c>
      <x:c r="E448" s="48" t="str"/>
      <x:c r="F448" s="48" t="str">
        <x:v>Unless otherwise stated in the Particular Conditions: (a) the Contractor shall be responsible for keeping unauthorised persons off the</x:v>
      </x:c>
      <x:c r="G448" s="48" t="str">
        <x:v>Obligation</x:v>
      </x:c>
      <x:c r="H448" s="48" t="str">
        <x:v>Contractor</x:v>
      </x:c>
      <x:c r="I448" s="48" t="n">
        <x:v>0.88</x:v>
      </x:c>
      <x:c r="J448" s="48" t="n">
        <x:v>0.92</x:v>
      </x:c>
      <x:c r="K448" s="48" t="str">
        <x:v>No</x:v>
      </x:c>
      <x:c r="L448" s="48" t="str">
        <x:v>PDF text</x:v>
      </x:c>
    </x:row>
    <x:row r="449">
      <x:c r="A449" s="48" t="str">
        <x:v>RED-0448</x:v>
      </x:c>
      <x:c r="B449" s="48" t="str">
        <x:v>RED</x:v>
      </x:c>
      <x:c r="C449" s="48" t="str">
        <x:v>English</x:v>
      </x:c>
      <x:c r="D449" s="48" t="n">
        <x:v>34</x:v>
      </x:c>
      <x:c r="E449" s="48" t="str"/>
      <x:c r="F449" s="48" t="str">
        <x:v>Site, and</x:v>
      </x:c>
      <x:c r="G449" s="48" t="str">
        <x:v>Obligation</x:v>
      </x:c>
      <x:c r="H449" s="48" t="str">
        <x:v>Shared</x:v>
      </x:c>
      <x:c r="I449" s="48" t="n">
        <x:v>0.45</x:v>
      </x:c>
      <x:c r="J449" s="48" t="n">
        <x:v>0.4</x:v>
      </x:c>
      <x:c r="K449" s="48" t="str">
        <x:v>Yes</x:v>
      </x:c>
      <x:c r="L449" s="48" t="str">
        <x:v>PDF text</x:v>
      </x:c>
    </x:row>
    <x:row r="450">
      <x:c r="A450" s="48" t="str">
        <x:v>RED-0449</x:v>
      </x:c>
      <x:c r="B450" s="48" t="str">
        <x:v>RED</x:v>
      </x:c>
      <x:c r="C450" s="48" t="str">
        <x:v>English</x:v>
      </x:c>
      <x:c r="D450" s="48" t="n">
        <x:v>34</x:v>
      </x:c>
      <x:c r="E450" s="48" t="str"/>
      <x:c r="F450" s="48" t="str">
        <x:v>(b) authorised persons shall be limited to the Contractor’s Personnel and the Employer’s Personnel; and to any other personnel notified to the Contractor, by the Employer or the Engineer, as authorised personnel of the Employer’s other contractors on the Site.</x:v>
      </x:c>
      <x:c r="G450" s="48" t="str">
        <x:v>Obligation</x:v>
      </x:c>
      <x:c r="H450" s="48" t="str">
        <x:v>Shared</x:v>
      </x:c>
      <x:c r="I450" s="48" t="n">
        <x:v>0.88</x:v>
      </x:c>
      <x:c r="J450" s="48" t="n">
        <x:v>0.6</x:v>
      </x:c>
      <x:c r="K450" s="48" t="str">
        <x:v>Yes</x:v>
      </x:c>
      <x:c r="L450" s="48" t="str">
        <x:v>PDF text</x:v>
      </x:c>
    </x:row>
    <x:row r="451">
      <x:c r="A451" s="48" t="str">
        <x:v>RED-0450</x:v>
      </x:c>
      <x:c r="B451" s="48" t="str">
        <x:v>RED</x:v>
      </x:c>
      <x:c r="C451" s="48" t="str">
        <x:v>English</x:v>
      </x:c>
      <x:c r="D451" s="48" t="n">
        <x:v>34</x:v>
      </x:c>
      <x:c r="E451" s="48" t="str"/>
      <x:c r="F451" s="48" t="str">
        <x:v>The Contractor shall confine his operations to the Site, and to any additional areas which may be obtained by the Contractor and agreed by the Engineer as working areas.</x:v>
      </x:c>
      <x:c r="G451" s="48" t="str">
        <x:v>Obligation</x:v>
      </x:c>
      <x:c r="H451" s="48" t="str">
        <x:v>Contractor</x:v>
      </x:c>
      <x:c r="I451" s="48" t="n">
        <x:v>0.88</x:v>
      </x:c>
      <x:c r="J451" s="48" t="n">
        <x:v>0.92</x:v>
      </x:c>
      <x:c r="K451" s="48" t="str">
        <x:v>No</x:v>
      </x:c>
      <x:c r="L451" s="48" t="str">
        <x:v>PDF text</x:v>
      </x:c>
    </x:row>
    <x:row r="452">
      <x:c r="A452" s="48" t="str">
        <x:v>RED-0451</x:v>
      </x:c>
      <x:c r="B452" s="48" t="str">
        <x:v>RED</x:v>
      </x:c>
      <x:c r="C452" s="48" t="str">
        <x:v>English</x:v>
      </x:c>
      <x:c r="D452" s="48" t="n">
        <x:v>34</x:v>
      </x:c>
      <x:c r="E452" s="48" t="str"/>
      <x:c r="F452" s="48" t="str">
        <x:v>The Contractor shall take all necessary precautions to keep Contractor’s Equipment and Contractor’s Personnel within the Site and these additional areas, and to keep them off adjacent land.</x:v>
      </x:c>
      <x:c r="G452" s="48" t="str">
        <x:v>Obligation</x:v>
      </x:c>
      <x:c r="H452" s="48" t="str">
        <x:v>Contractor</x:v>
      </x:c>
      <x:c r="I452" s="48" t="n">
        <x:v>0.88</x:v>
      </x:c>
      <x:c r="J452" s="48" t="n">
        <x:v>0.92</x:v>
      </x:c>
      <x:c r="K452" s="48" t="str">
        <x:v>No</x:v>
      </x:c>
      <x:c r="L452" s="48" t="str">
        <x:v>PDF text</x:v>
      </x:c>
    </x:row>
    <x:row r="453">
      <x:c r="A453" s="48" t="str">
        <x:v>RED-0452</x:v>
      </x:c>
      <x:c r="B453" s="48" t="str">
        <x:v>RED</x:v>
      </x:c>
      <x:c r="C453" s="48" t="str">
        <x:v>English</x:v>
      </x:c>
      <x:c r="D453" s="48" t="n">
        <x:v>34</x:v>
      </x:c>
      <x:c r="E453" s="48" t="str"/>
      <x:c r="F453" s="48" t="str">
        <x:v>During the execution of the Works, the Contractor shall keep the Site free from all unnecessary obstruction, and shall store or dispose of any Contractor’s Equipment or surplus materials.</x:v>
      </x:c>
      <x:c r="G453" s="48" t="str">
        <x:v>Obligation</x:v>
      </x:c>
      <x:c r="H453" s="48" t="str">
        <x:v>Contractor</x:v>
      </x:c>
      <x:c r="I453" s="48" t="n">
        <x:v>0.88</x:v>
      </x:c>
      <x:c r="J453" s="48" t="n">
        <x:v>0.92</x:v>
      </x:c>
      <x:c r="K453" s="48" t="str">
        <x:v>No</x:v>
      </x:c>
      <x:c r="L453" s="48" t="str">
        <x:v>PDF text</x:v>
      </x:c>
    </x:row>
    <x:row r="454">
      <x:c r="A454" s="48" t="str">
        <x:v>RED-0453</x:v>
      </x:c>
      <x:c r="B454" s="48" t="str">
        <x:v>RED</x:v>
      </x:c>
      <x:c r="C454" s="48" t="str">
        <x:v>English</x:v>
      </x:c>
      <x:c r="D454" s="48" t="n">
        <x:v>34</x:v>
      </x:c>
      <x:c r="E454" s="48" t="str"/>
      <x:c r="F454" s="48" t="str">
        <x:v>The Contractor shall clear away and remove from the Site any wreckage, rubbish and Temporary Works which are no longer required.</x:v>
      </x:c>
      <x:c r="G454" s="48" t="str">
        <x:v>Obligation</x:v>
      </x:c>
      <x:c r="H454" s="48" t="str">
        <x:v>Contractor</x:v>
      </x:c>
      <x:c r="I454" s="48" t="n">
        <x:v>0.88</x:v>
      </x:c>
      <x:c r="J454" s="48" t="n">
        <x:v>0.92</x:v>
      </x:c>
      <x:c r="K454" s="48" t="str">
        <x:v>No</x:v>
      </x:c>
      <x:c r="L454" s="48" t="str">
        <x:v>PDF text</x:v>
      </x:c>
    </x:row>
    <x:row r="455">
      <x:c r="A455" s="48" t="str">
        <x:v>RED-0454</x:v>
      </x:c>
      <x:c r="B455" s="48" t="str">
        <x:v>RED</x:v>
      </x:c>
      <x:c r="C455" s="48" t="str">
        <x:v>English</x:v>
      </x:c>
      <x:c r="D455" s="48" t="n">
        <x:v>34</x:v>
      </x:c>
      <x:c r="E455" s="48" t="str"/>
      <x:c r="F455" s="48" t="str">
        <x:v>Upon the issue of a Taking-Over Certificate, the Contractor shall clear away and remove, from that part of the Site and Works to which the Taking-Over Certificate refers, all Contractor’s Equipment, surplus material, wreckage, rubbish and Temporary Works.</x:v>
      </x:c>
      <x:c r="G455" s="48" t="str">
        <x:v>Obligation</x:v>
      </x:c>
      <x:c r="H455" s="48" t="str">
        <x:v>Contractor</x:v>
      </x:c>
      <x:c r="I455" s="48" t="n">
        <x:v>0.88</x:v>
      </x:c>
      <x:c r="J455" s="48" t="n">
        <x:v>0.92</x:v>
      </x:c>
      <x:c r="K455" s="48" t="str">
        <x:v>No</x:v>
      </x:c>
      <x:c r="L455" s="48" t="str">
        <x:v>PDF text</x:v>
      </x:c>
    </x:row>
    <x:row r="456">
      <x:c r="A456" s="48" t="str">
        <x:v>RED-0455</x:v>
      </x:c>
      <x:c r="B456" s="48" t="str">
        <x:v>RED</x:v>
      </x:c>
      <x:c r="C456" s="48" t="str">
        <x:v>English</x:v>
      </x:c>
      <x:c r="D456" s="48" t="n">
        <x:v>34</x:v>
      </x:c>
      <x:c r="E456" s="48" t="str"/>
      <x:c r="F456" s="48" t="str">
        <x:v>The Contractor shall leave that part of the Site and the Works in a clean and safe condition.</x:v>
      </x:c>
      <x:c r="G456" s="48" t="str">
        <x:v>Obligation</x:v>
      </x:c>
      <x:c r="H456" s="48" t="str">
        <x:v>Contractor</x:v>
      </x:c>
      <x:c r="I456" s="48" t="n">
        <x:v>0.88</x:v>
      </x:c>
      <x:c r="J456" s="48" t="n">
        <x:v>0.92</x:v>
      </x:c>
      <x:c r="K456" s="48" t="str">
        <x:v>No</x:v>
      </x:c>
      <x:c r="L456" s="48" t="str">
        <x:v>PDF text</x:v>
      </x:c>
    </x:row>
    <x:row r="457">
      <x:c r="A457" s="48" t="str">
        <x:v>RED-0456</x:v>
      </x:c>
      <x:c r="B457" s="48" t="str">
        <x:v>RED</x:v>
      </x:c>
      <x:c r="C457" s="48" t="str">
        <x:v>English</x:v>
      </x:c>
      <x:c r="D457" s="48" t="n">
        <x:v>34</x:v>
      </x:c>
      <x:c r="E457" s="48" t="str"/>
      <x:c r="F457" s="48" t="str">
        <x:v>However, the Contractor may retain on Site, during the Defects Notification Period, such Goods as are required for the Contractor to fulfill obligations under the Contract.</x:v>
      </x:c>
      <x:c r="G457" s="48" t="str">
        <x:v>Right</x:v>
      </x:c>
      <x:c r="H457" s="48" t="str">
        <x:v>Contractor</x:v>
      </x:c>
      <x:c r="I457" s="48" t="n">
        <x:v>0.78</x:v>
      </x:c>
      <x:c r="J457" s="48" t="n">
        <x:v>0.92</x:v>
      </x:c>
      <x:c r="K457" s="48" t="str">
        <x:v>No</x:v>
      </x:c>
      <x:c r="L457" s="48" t="str">
        <x:v>PDF text</x:v>
      </x:c>
    </x:row>
    <x:row r="458">
      <x:c r="A458" s="48" t="str">
        <x:v>RED-0457</x:v>
      </x:c>
      <x:c r="B458" s="48" t="str">
        <x:v>RED</x:v>
      </x:c>
      <x:c r="C458" s="48" t="str">
        <x:v>English</x:v>
      </x:c>
      <x:c r="D458" s="48" t="n">
        <x:v>34</x:v>
      </x:c>
      <x:c r="E458" s="48" t="str"/>
      <x:c r="F458" s="48" t="str">
        <x:v>All fossils, coins, articles of value or antiquity, and structures and other remains or items of geological or archaeological interest found on the Site shall be placed under the care and authority of the Employer.</x:v>
      </x:c>
      <x:c r="G458" s="48" t="str">
        <x:v>Obligation</x:v>
      </x:c>
      <x:c r="H458" s="48" t="str">
        <x:v>Employer</x:v>
      </x:c>
      <x:c r="I458" s="48" t="n">
        <x:v>0.88</x:v>
      </x:c>
      <x:c r="J458" s="48" t="n">
        <x:v>0.68</x:v>
      </x:c>
      <x:c r="K458" s="48" t="str">
        <x:v>Yes</x:v>
      </x:c>
      <x:c r="L458" s="48" t="str">
        <x:v>PDF text</x:v>
      </x:c>
    </x:row>
    <x:row r="459">
      <x:c r="A459" s="48" t="str">
        <x:v>RED-0458</x:v>
      </x:c>
      <x:c r="B459" s="48" t="str">
        <x:v>RED</x:v>
      </x:c>
      <x:c r="C459" s="48" t="str">
        <x:v>English</x:v>
      </x:c>
      <x:c r="D459" s="48" t="n">
        <x:v>34</x:v>
      </x:c>
      <x:c r="E459" s="48" t="str"/>
      <x:c r="F459" s="48" t="str">
        <x:v>The Contractor shall take reasonable precautions to prevent Contractor’s Personnel or other persons from removing or damaging any of these findings.</x:v>
      </x:c>
      <x:c r="G459" s="48" t="str">
        <x:v>Obligation</x:v>
      </x:c>
      <x:c r="H459" s="48" t="str">
        <x:v>Contractor</x:v>
      </x:c>
      <x:c r="I459" s="48" t="n">
        <x:v>0.88</x:v>
      </x:c>
      <x:c r="J459" s="48" t="n">
        <x:v>0.92</x:v>
      </x:c>
      <x:c r="K459" s="48" t="str">
        <x:v>No</x:v>
      </x:c>
      <x:c r="L459" s="48" t="str">
        <x:v>PDF text</x:v>
      </x:c>
    </x:row>
    <x:row r="460">
      <x:c r="A460" s="48" t="str">
        <x:v>RED-0459</x:v>
      </x:c>
      <x:c r="B460" s="48" t="str">
        <x:v>RED</x:v>
      </x:c>
      <x:c r="C460" s="48" t="str">
        <x:v>English</x:v>
      </x:c>
      <x:c r="D460" s="48" t="n">
        <x:v>34</x:v>
      </x:c>
      <x:c r="E460" s="48" t="str"/>
      <x:c r="F460" s="48" t="str">
        <x:v>The Contractor shall, upon discovery of any such finding, promptly give notice to the Engineer, who shall issue instructions for dealing with it.</x:v>
      </x:c>
      <x:c r="G460" s="48" t="str">
        <x:v>Obligation</x:v>
      </x:c>
      <x:c r="H460" s="48" t="str">
        <x:v>Contractor</x:v>
      </x:c>
      <x:c r="I460" s="48" t="n">
        <x:v>0.88</x:v>
      </x:c>
      <x:c r="J460" s="48" t="n">
        <x:v>0.92</x:v>
      </x:c>
      <x:c r="K460" s="48" t="str">
        <x:v>No</x:v>
      </x:c>
      <x:c r="L460" s="48" t="str">
        <x:v>PDF text</x:v>
      </x:c>
    </x:row>
    <x:row r="461">
      <x:c r="A461" s="48" t="str">
        <x:v>RED-0460</x:v>
      </x:c>
      <x:c r="B461" s="48" t="str">
        <x:v>RED</x:v>
      </x:c>
      <x:c r="C461" s="48" t="str">
        <x:v>English</x:v>
      </x:c>
      <x:c r="D461" s="48" t="n">
        <x:v>34</x:v>
      </x:c>
      <x:c r="E461" s="48" t="str"/>
      <x:c r="F461" s="48" t="str">
        <x:v>If the Contractor suffers delay and/or incurs Cost from complying with the instructions, the Contractor shall give a further notice to the Engineer and shall be entitled subject to Sub-Clause 20.1 [Contractor’s Claims] to: (a) an extension of time for any such delay, if completion is or will be delayed, under Sub-Clause 8.4 [Extension of Time for Completion], and (b) payment of any such Cost, which shall be included in the Contract Price.</x:v>
      </x:c>
      <x:c r="G461" s="48" t="str">
        <x:v>Risk</x:v>
      </x:c>
      <x:c r="H461" s="48" t="str">
        <x:v>Contractor</x:v>
      </x:c>
      <x:c r="I461" s="48" t="n">
        <x:v>0.78</x:v>
      </x:c>
      <x:c r="J461" s="48" t="n">
        <x:v>0.92</x:v>
      </x:c>
      <x:c r="K461" s="48" t="str">
        <x:v>No</x:v>
      </x:c>
      <x:c r="L461" s="48" t="str">
        <x:v>PDF text</x:v>
      </x:c>
    </x:row>
    <x:row r="462">
      <x:c r="A462" s="48" t="str">
        <x:v>RED-0461</x:v>
      </x:c>
      <x:c r="B462" s="48" t="str">
        <x:v>RED</x:v>
      </x:c>
      <x:c r="C462" s="48" t="str">
        <x:v>English</x:v>
      </x:c>
      <x:c r="D462" s="48" t="n">
        <x:v>34</x:v>
      </x:c>
      <x:c r="E462" s="48" t="str"/>
      <x:c r="F462" s="48" t="str">
        <x:v>Security of the Site</x:v>
      </x:c>
      <x:c r="G462" s="48" t="str">
        <x:v>Obligation</x:v>
      </x:c>
      <x:c r="H462" s="48" t="str">
        <x:v>Shared</x:v>
      </x:c>
      <x:c r="I462" s="48" t="n">
        <x:v>0.45</x:v>
      </x:c>
      <x:c r="J462" s="48" t="n">
        <x:v>0.4</x:v>
      </x:c>
      <x:c r="K462" s="48" t="str">
        <x:v>Yes</x:v>
      </x:c>
      <x:c r="L462" s="48" t="str">
        <x:v>PDF text</x:v>
      </x:c>
    </x:row>
    <x:row r="463">
      <x:c r="A463" s="48" t="str">
        <x:v>RED-0462</x:v>
      </x:c>
      <x:c r="B463" s="48" t="str">
        <x:v>RED</x:v>
      </x:c>
      <x:c r="C463" s="48" t="str">
        <x:v>English</x:v>
      </x:c>
      <x:c r="D463" s="48" t="n">
        <x:v>34</x:v>
      </x:c>
      <x:c r="E463" s="48" t="str"/>
      <x:c r="F463" s="48" t="str">
        <x:v>Contractor’s Operations</x:v>
      </x:c>
      <x:c r="G463" s="48" t="str">
        <x:v>Obligation</x:v>
      </x:c>
      <x:c r="H463" s="48" t="str">
        <x:v>Contractor</x:v>
      </x:c>
      <x:c r="I463" s="48" t="n">
        <x:v>0.45</x:v>
      </x:c>
      <x:c r="J463" s="48" t="n">
        <x:v>0.68</x:v>
      </x:c>
      <x:c r="K463" s="48" t="str">
        <x:v>Yes</x:v>
      </x:c>
      <x:c r="L463" s="48" t="str">
        <x:v>PDF text</x:v>
      </x:c>
    </x:row>
    <x:row r="464">
      <x:c r="A464" s="48" t="str">
        <x:v>RED-0463</x:v>
      </x:c>
      <x:c r="B464" s="48" t="str">
        <x:v>RED</x:v>
      </x:c>
      <x:c r="C464" s="48" t="str">
        <x:v>English</x:v>
      </x:c>
      <x:c r="D464" s="48" t="n">
        <x:v>34</x:v>
      </x:c>
      <x:c r="E464" s="48" t="str"/>
      <x:c r="F464" s="48" t="str">
        <x:v>on Site 4.24</x:v>
      </x:c>
      <x:c r="G464" s="48" t="str">
        <x:v>Obligation</x:v>
      </x:c>
      <x:c r="H464" s="48" t="str">
        <x:v>Shared</x:v>
      </x:c>
      <x:c r="I464" s="48" t="n">
        <x:v>0.45</x:v>
      </x:c>
      <x:c r="J464" s="48" t="n">
        <x:v>0.4</x:v>
      </x:c>
      <x:c r="K464" s="48" t="str">
        <x:v>Yes</x:v>
      </x:c>
      <x:c r="L464" s="48" t="str">
        <x:v>PDF text</x:v>
      </x:c>
    </x:row>
    <x:row r="465">
      <x:c r="A465" s="48" t="str">
        <x:v>RED-0464</x:v>
      </x:c>
      <x:c r="B465" s="48" t="str">
        <x:v>RED</x:v>
      </x:c>
      <x:c r="C465" s="48" t="str">
        <x:v>English</x:v>
      </x:c>
      <x:c r="D465" s="48" t="n">
        <x:v>35</x:v>
      </x:c>
      <x:c r="E465" s="48" t="str"/>
      <x:c r="F465" s="48" t="str">
        <x:v>In the Contract, “nominated Subcontractor” means a Subcontractor: (a) who is stated in the Contract as being a nominated Subcontractor, or (b) whom the Engineer, under Clause 13 [Variations and Adjustments], instructs the Contractor to employ as a Subcontractor.</x:v>
      </x:c>
      <x:c r="G465" s="48" t="str">
        <x:v>Definition</x:v>
      </x:c>
      <x:c r="H465" s="48" t="str"/>
      <x:c r="I465" s="48" t="n">
        <x:v>0.97</x:v>
      </x:c>
      <x:c r="J465" s="48" t="n">
        <x:v>0.99</x:v>
      </x:c>
      <x:c r="K465" s="48" t="str">
        <x:v>No</x:v>
      </x:c>
      <x:c r="L465" s="48" t="str">
        <x:v>PDF text</x:v>
      </x:c>
    </x:row>
    <x:row r="466">
      <x:c r="A466" s="48" t="str">
        <x:v>RED-0465</x:v>
      </x:c>
      <x:c r="B466" s="48" t="str">
        <x:v>RED</x:v>
      </x:c>
      <x:c r="C466" s="48" t="str">
        <x:v>English</x:v>
      </x:c>
      <x:c r="D466" s="48" t="n">
        <x:v>35</x:v>
      </x:c>
      <x:c r="E466" s="48" t="str"/>
      <x:c r="F466" s="48" t="str">
        <x:v>The Contractor shall not be under any obligation to employ a nominated</x:v>
      </x:c>
      <x:c r="G466" s="48" t="str">
        <x:v>Obligation</x:v>
      </x:c>
      <x:c r="H466" s="48" t="str">
        <x:v>Contractor</x:v>
      </x:c>
      <x:c r="I466" s="48" t="n">
        <x:v>0.88</x:v>
      </x:c>
      <x:c r="J466" s="48" t="n">
        <x:v>0.92</x:v>
      </x:c>
      <x:c r="K466" s="48" t="str">
        <x:v>No</x:v>
      </x:c>
      <x:c r="L466" s="48" t="str">
        <x:v>PDF text</x:v>
      </x:c>
    </x:row>
    <x:row r="467">
      <x:c r="A467" s="48" t="str">
        <x:v>RED-0466</x:v>
      </x:c>
      <x:c r="B467" s="48" t="str">
        <x:v>RED</x:v>
      </x:c>
      <x:c r="C467" s="48" t="str">
        <x:v>English</x:v>
      </x:c>
      <x:c r="D467" s="48" t="n">
        <x:v>35</x:v>
      </x:c>
      <x:c r="E467" s="48" t="str"/>
      <x:c r="F467" s="48" t="str">
        <x:v>Subcontractor against whom the Contractor raises reasonable objection by notice to the Engineer as soon as practicable, with supporting particulars.</x:v>
      </x:c>
      <x:c r="G467" s="48" t="str">
        <x:v>Obligation</x:v>
      </x:c>
      <x:c r="H467" s="48" t="str">
        <x:v>Contractor</x:v>
      </x:c>
      <x:c r="I467" s="48" t="n">
        <x:v>0.55</x:v>
      </x:c>
      <x:c r="J467" s="48" t="n">
        <x:v>0.68</x:v>
      </x:c>
      <x:c r="K467" s="48" t="str">
        <x:v>Yes</x:v>
      </x:c>
      <x:c r="L467" s="48" t="str">
        <x:v>PDF text</x:v>
      </x:c>
    </x:row>
    <x:row r="468">
      <x:c r="A468" s="48" t="str">
        <x:v>RED-0467</x:v>
      </x:c>
      <x:c r="B468" s="48" t="str">
        <x:v>RED</x:v>
      </x:c>
      <x:c r="C468" s="48" t="str">
        <x:v>English</x:v>
      </x:c>
      <x:c r="D468" s="48" t="n">
        <x:v>35</x:v>
      </x:c>
      <x:c r="E468" s="48" t="str"/>
      <x:c r="F468" s="48" t="str">
        <x:v>An objection shall be deemed reasonable if it arises from (among other things) any of the following matters, unless the Employer agrees to indemnify the Contractor against and from the consequences of the matter: (a) there are reasons to believe that the Subcontractor does not have sufficient competence, resources or financial strength; (b) the subcontract does not specify that the nominated Subcontractor shall indemnify the Contractor against and from any negligence or misuse of Goods by the nominated Subcontractor, his agents and employees; or (c) the subcontract does not specify that, for the subcontracted work (including design, if any), the nominated Subcontractor shall: (i) undertake to the Contractor such obligations and liabilities as will enable the</x:v>
      </x:c>
      <x:c r="G468" s="48" t="str">
        <x:v>Obligation</x:v>
      </x:c>
      <x:c r="H468" s="48" t="str">
        <x:v>Shared</x:v>
      </x:c>
      <x:c r="I468" s="48" t="n">
        <x:v>0.88</x:v>
      </x:c>
      <x:c r="J468" s="48" t="n">
        <x:v>0.6</x:v>
      </x:c>
      <x:c r="K468" s="48" t="str">
        <x:v>Yes</x:v>
      </x:c>
      <x:c r="L468" s="48" t="str">
        <x:v>PDF text</x:v>
      </x:c>
    </x:row>
    <x:row r="469">
      <x:c r="A469" s="48" t="str">
        <x:v>RED-0468</x:v>
      </x:c>
      <x:c r="B469" s="48" t="str">
        <x:v>RED</x:v>
      </x:c>
      <x:c r="C469" s="48" t="str">
        <x:v>English</x:v>
      </x:c>
      <x:c r="D469" s="48" t="n">
        <x:v>35</x:v>
      </x:c>
      <x:c r="E469" s="48" t="str"/>
      <x:c r="F469" s="48" t="str">
        <x:v>Contractor to discharge his obligations and liabilities under the Contract, and</x:v>
      </x:c>
      <x:c r="G469" s="48" t="str">
        <x:v>Obligation</x:v>
      </x:c>
      <x:c r="H469" s="48" t="str">
        <x:v>Contractor</x:v>
      </x:c>
      <x:c r="I469" s="48" t="n">
        <x:v>0.45</x:v>
      </x:c>
      <x:c r="J469" s="48" t="n">
        <x:v>0.68</x:v>
      </x:c>
      <x:c r="K469" s="48" t="str">
        <x:v>Yes</x:v>
      </x:c>
      <x:c r="L469" s="48" t="str">
        <x:v>PDF text</x:v>
      </x:c>
    </x:row>
    <x:row r="470">
      <x:c r="A470" s="48" t="str">
        <x:v>RED-0469</x:v>
      </x:c>
      <x:c r="B470" s="48" t="str">
        <x:v>RED</x:v>
      </x:c>
      <x:c r="C470" s="48" t="str">
        <x:v>English</x:v>
      </x:c>
      <x:c r="D470" s="48" t="n">
        <x:v>35</x:v>
      </x:c>
      <x:c r="E470" s="48" t="str"/>
      <x:c r="F470" s="48" t="str">
        <x:v>(ii) indemnify the Contractor against and from all obligations and liabilities arising under or in connection with the Contract and from the consequences of any failure by the Subcontractor to perform these obligations or to fulfil these liabilities.</x:v>
      </x:c>
      <x:c r="G470" s="48" t="str">
        <x:v>Obligation</x:v>
      </x:c>
      <x:c r="H470" s="48" t="str">
        <x:v>Contractor</x:v>
      </x:c>
      <x:c r="I470" s="48" t="n">
        <x:v>0.45</x:v>
      </x:c>
      <x:c r="J470" s="48" t="n">
        <x:v>0.68</x:v>
      </x:c>
      <x:c r="K470" s="48" t="str">
        <x:v>Yes</x:v>
      </x:c>
      <x:c r="L470" s="48" t="str">
        <x:v>PDF text</x:v>
      </x:c>
    </x:row>
    <x:row r="471">
      <x:c r="A471" s="48" t="str">
        <x:v>RED-0470</x:v>
      </x:c>
      <x:c r="B471" s="48" t="str">
        <x:v>RED</x:v>
      </x:c>
      <x:c r="C471" s="48" t="str">
        <x:v>English</x:v>
      </x:c>
      <x:c r="D471" s="48" t="n">
        <x:v>35</x:v>
      </x:c>
      <x:c r="E471" s="48" t="str"/>
      <x:c r="F471" s="48" t="str">
        <x:v>The Contractor shall pay to the nominated Subcontractor the amounts which the</x:v>
      </x:c>
      <x:c r="G471" s="48" t="str">
        <x:v>Obligation</x:v>
      </x:c>
      <x:c r="H471" s="48" t="str">
        <x:v>Contractor</x:v>
      </x:c>
      <x:c r="I471" s="48" t="n">
        <x:v>0.88</x:v>
      </x:c>
      <x:c r="J471" s="48" t="n">
        <x:v>0.92</x:v>
      </x:c>
      <x:c r="K471" s="48" t="str">
        <x:v>No</x:v>
      </x:c>
      <x:c r="L471" s="48" t="str">
        <x:v>PDF text</x:v>
      </x:c>
    </x:row>
    <x:row r="472">
      <x:c r="A472" s="48" t="str">
        <x:v>RED-0471</x:v>
      </x:c>
      <x:c r="B472" s="48" t="str">
        <x:v>RED</x:v>
      </x:c>
      <x:c r="C472" s="48" t="str">
        <x:v>English</x:v>
      </x:c>
      <x:c r="D472" s="48" t="n">
        <x:v>35</x:v>
      </x:c>
      <x:c r="E472" s="48" t="str"/>
      <x:c r="F472" s="48" t="str">
        <x:v>Engineer certifies to be due in accordance with the subcontract.</x:v>
      </x:c>
      <x:c r="G472" s="48" t="str">
        <x:v>Obligation</x:v>
      </x:c>
      <x:c r="H472" s="48" t="str">
        <x:v>Shared</x:v>
      </x:c>
      <x:c r="I472" s="48" t="n">
        <x:v>0.45</x:v>
      </x:c>
      <x:c r="J472" s="48" t="n">
        <x:v>0.4</x:v>
      </x:c>
      <x:c r="K472" s="48" t="str">
        <x:v>Yes</x:v>
      </x:c>
      <x:c r="L472" s="48" t="str">
        <x:v>PDF text</x:v>
      </x:c>
    </x:row>
    <x:row r="473">
      <x:c r="A473" s="48" t="str">
        <x:v>RED-0472</x:v>
      </x:c>
      <x:c r="B473" s="48" t="str">
        <x:v>RED</x:v>
      </x:c>
      <x:c r="C473" s="48" t="str">
        <x:v>English</x:v>
      </x:c>
      <x:c r="D473" s="48" t="n">
        <x:v>35</x:v>
      </x:c>
      <x:c r="E473" s="48" t="str"/>
      <x:c r="F473" s="48" t="str">
        <x:v>These amounts plus other charges shall be included in the Contract Price in accordance with subparagraph (b) of Sub-Clause 13.5 [Provisional Sums], except as stated in Sub-Clause</x:v>
      </x:c>
      <x:c r="G473" s="48" t="str">
        <x:v>Obligation</x:v>
      </x:c>
      <x:c r="H473" s="48" t="str">
        <x:v>Shared</x:v>
      </x:c>
      <x:c r="I473" s="48" t="n">
        <x:v>0.88</x:v>
      </x:c>
      <x:c r="J473" s="48" t="n">
        <x:v>0.4</x:v>
      </x:c>
      <x:c r="K473" s="48" t="str">
        <x:v>Yes</x:v>
      </x:c>
      <x:c r="L473" s="48" t="str">
        <x:v>PDF text</x:v>
      </x:c>
    </x:row>
    <x:row r="474">
      <x:c r="A474" s="48" t="str">
        <x:v>RED-0473</x:v>
      </x:c>
      <x:c r="B474" s="48" t="str">
        <x:v>RED</x:v>
      </x:c>
      <x:c r="C474" s="48" t="str">
        <x:v>English</x:v>
      </x:c>
      <x:c r="D474" s="48" t="n">
        <x:v>35</x:v>
      </x:c>
      <x:c r="E474" s="48" t="str">
        <x:v>5.4</x:v>
      </x:c>
      <x:c r="F474" s="48" t="str">
        <x:v>5.4 [Evidence of Payments].</x:v>
      </x:c>
      <x:c r="G474" s="48" t="str">
        <x:v>Obligation</x:v>
      </x:c>
      <x:c r="H474" s="48" t="str">
        <x:v>Shared</x:v>
      </x:c>
      <x:c r="I474" s="48" t="n">
        <x:v>0.45</x:v>
      </x:c>
      <x:c r="J474" s="48" t="n">
        <x:v>0.4</x:v>
      </x:c>
      <x:c r="K474" s="48" t="str">
        <x:v>Yes</x:v>
      </x:c>
      <x:c r="L474" s="48" t="str">
        <x:v>PDF text</x:v>
      </x:c>
    </x:row>
    <x:row r="475">
      <x:c r="A475" s="48" t="str">
        <x:v>RED-0474</x:v>
      </x:c>
      <x:c r="B475" s="48" t="str">
        <x:v>RED</x:v>
      </x:c>
      <x:c r="C475" s="48" t="str">
        <x:v>English</x:v>
      </x:c>
      <x:c r="D475" s="48" t="n">
        <x:v>35</x:v>
      </x:c>
      <x:c r="E475" s="48" t="str"/>
      <x:c r="F475" s="48" t="str">
        <x:v>Before issuing a Payment Certificate which includes an amount payable to a</x:v>
      </x:c>
      <x:c r="G475" s="48" t="str">
        <x:v>Obligation</x:v>
      </x:c>
      <x:c r="H475" s="48" t="str">
        <x:v>Shared</x:v>
      </x:c>
      <x:c r="I475" s="48" t="n">
        <x:v>0.55</x:v>
      </x:c>
      <x:c r="J475" s="48" t="n">
        <x:v>0.4</x:v>
      </x:c>
      <x:c r="K475" s="48" t="str">
        <x:v>Yes</x:v>
      </x:c>
      <x:c r="L475" s="48" t="str">
        <x:v>PDF text</x:v>
      </x:c>
    </x:row>
    <x:row r="476">
      <x:c r="A476" s="48" t="str">
        <x:v>RED-0475</x:v>
      </x:c>
      <x:c r="B476" s="48" t="str">
        <x:v>RED</x:v>
      </x:c>
      <x:c r="C476" s="48" t="str">
        <x:v>English</x:v>
      </x:c>
      <x:c r="D476" s="48" t="n">
        <x:v>35</x:v>
      </x:c>
      <x:c r="E476" s="48" t="str"/>
      <x:c r="F476" s="48" t="str">
        <x:v>nominated Subcontractor, the Engineer may request the Contractor to supply reasonable evidence that the nominated Subcontractor has received all amounts due in accordance with previous Payment Certificates, less applicable deductions for retention or otherwise.</x:v>
      </x:c>
      <x:c r="G476" s="48" t="str">
        <x:v>Right</x:v>
      </x:c>
      <x:c r="H476" s="48" t="str">
        <x:v>Contractor</x:v>
      </x:c>
      <x:c r="I476" s="48" t="n">
        <x:v>0.78</x:v>
      </x:c>
      <x:c r="J476" s="48" t="n">
        <x:v>0.68</x:v>
      </x:c>
      <x:c r="K476" s="48" t="str">
        <x:v>Yes</x:v>
      </x:c>
      <x:c r="L476" s="48" t="str">
        <x:v>PDF text</x:v>
      </x:c>
    </x:row>
    <x:row r="477">
      <x:c r="A477" s="48" t="str">
        <x:v>RED-0476</x:v>
      </x:c>
      <x:c r="B477" s="48" t="str">
        <x:v>RED</x:v>
      </x:c>
      <x:c r="C477" s="48" t="str">
        <x:v>English</x:v>
      </x:c>
      <x:c r="D477" s="48" t="n">
        <x:v>35</x:v>
      </x:c>
      <x:c r="E477" s="48" t="str"/>
      <x:c r="F477" s="48" t="str">
        <x:v>Unless the Contractor: (a) submits this reasonable evidence to the Engineer, or (b) (i) satisfies the Engineer in writing that the Contractor is reasonably entitled to withhold or refuse to pay these amounts, and (ii) submits to the Engineer reasonable evidence that the nominated</x:v>
      </x:c>
      <x:c r="G477" s="48" t="str">
        <x:v>Right</x:v>
      </x:c>
      <x:c r="H477" s="48" t="str">
        <x:v>Contractor</x:v>
      </x:c>
      <x:c r="I477" s="48" t="n">
        <x:v>0.78</x:v>
      </x:c>
      <x:c r="J477" s="48" t="n">
        <x:v>0.68</x:v>
      </x:c>
      <x:c r="K477" s="48" t="str">
        <x:v>Yes</x:v>
      </x:c>
      <x:c r="L477" s="48" t="str">
        <x:v>PDF text</x:v>
      </x:c>
    </x:row>
    <x:row r="478">
      <x:c r="A478" s="48" t="str">
        <x:v>RED-0477</x:v>
      </x:c>
      <x:c r="B478" s="48" t="str">
        <x:v>RED</x:v>
      </x:c>
      <x:c r="C478" s="48" t="str">
        <x:v>English</x:v>
      </x:c>
      <x:c r="D478" s="48" t="n">
        <x:v>35</x:v>
      </x:c>
      <x:c r="E478" s="48" t="str"/>
      <x:c r="F478" s="48" t="str">
        <x:v>Subcontractor has been notified of the Contractor’s entitlement,</x:v>
      </x:c>
      <x:c r="G478" s="48" t="str">
        <x:v>Obligation</x:v>
      </x:c>
      <x:c r="H478" s="48" t="str">
        <x:v>Contractor</x:v>
      </x:c>
      <x:c r="I478" s="48" t="n">
        <x:v>0.45</x:v>
      </x:c>
      <x:c r="J478" s="48" t="n">
        <x:v>0.68</x:v>
      </x:c>
      <x:c r="K478" s="48" t="str">
        <x:v>Yes</x:v>
      </x:c>
      <x:c r="L478" s="48" t="str">
        <x:v>PDF text</x:v>
      </x:c>
    </x:row>
    <x:row r="479">
      <x:c r="A479" s="48" t="str">
        <x:v>RED-0478</x:v>
      </x:c>
      <x:c r="B479" s="48" t="str">
        <x:v>RED</x:v>
      </x:c>
      <x:c r="C479" s="48" t="str">
        <x:v>English</x:v>
      </x:c>
      <x:c r="D479" s="48" t="n">
        <x:v>35</x:v>
      </x:c>
      <x:c r="E479" s="48" t="str">
        <x:v>5.1</x:v>
      </x:c>
      <x:c r="F479" s="48" t="str">
        <x:v>5.1 Definition of “nominated Subcontractor” 5.2</x:v>
      </x:c>
      <x:c r="G479" s="48" t="str">
        <x:v>Heading</x:v>
      </x:c>
      <x:c r="H479" s="48" t="str"/>
      <x:c r="I479" s="48" t="n">
        <x:v>0.9</x:v>
      </x:c>
      <x:c r="J479" s="48" t="n">
        <x:v>0.99</x:v>
      </x:c>
      <x:c r="K479" s="48" t="str">
        <x:v>No</x:v>
      </x:c>
      <x:c r="L479" s="48" t="str">
        <x:v>PDF text</x:v>
      </x:c>
    </x:row>
    <x:row r="480">
      <x:c r="A480" s="48" t="str">
        <x:v>RED-0479</x:v>
      </x:c>
      <x:c r="B480" s="48" t="str">
        <x:v>RED</x:v>
      </x:c>
      <x:c r="C480" s="48" t="str">
        <x:v>English</x:v>
      </x:c>
      <x:c r="D480" s="48" t="n">
        <x:v>35</x:v>
      </x:c>
      <x:c r="E480" s="48" t="str"/>
      <x:c r="F480" s="48" t="str">
        <x:v>Objection to Nomination</x:v>
      </x:c>
      <x:c r="G480" s="48" t="str">
        <x:v>Obligation</x:v>
      </x:c>
      <x:c r="H480" s="48" t="str">
        <x:v>Shared</x:v>
      </x:c>
      <x:c r="I480" s="48" t="n">
        <x:v>0.45</x:v>
      </x:c>
      <x:c r="J480" s="48" t="n">
        <x:v>0.4</x:v>
      </x:c>
      <x:c r="K480" s="48" t="str">
        <x:v>Yes</x:v>
      </x:c>
      <x:c r="L480" s="48" t="str">
        <x:v>PDF text</x:v>
      </x:c>
    </x:row>
    <x:row r="481">
      <x:c r="A481" s="48" t="str">
        <x:v>RED-0480</x:v>
      </x:c>
      <x:c r="B481" s="48" t="str">
        <x:v>RED</x:v>
      </x:c>
      <x:c r="C481" s="48" t="str">
        <x:v>English</x:v>
      </x:c>
      <x:c r="D481" s="48" t="n">
        <x:v>35</x:v>
      </x:c>
      <x:c r="E481" s="48" t="str"/>
      <x:c r="F481" s="48" t="str">
        <x:v>Payments to nominated</x:v>
      </x:c>
      <x:c r="G481" s="48" t="str">
        <x:v>Obligation</x:v>
      </x:c>
      <x:c r="H481" s="48" t="str">
        <x:v>Shared</x:v>
      </x:c>
      <x:c r="I481" s="48" t="n">
        <x:v>0.45</x:v>
      </x:c>
      <x:c r="J481" s="48" t="n">
        <x:v>0.4</x:v>
      </x:c>
      <x:c r="K481" s="48" t="str">
        <x:v>Yes</x:v>
      </x:c>
      <x:c r="L481" s="48" t="str">
        <x:v>PDF text</x:v>
      </x:c>
    </x:row>
    <x:row r="482">
      <x:c r="A482" s="48" t="str">
        <x:v>RED-0481</x:v>
      </x:c>
      <x:c r="B482" s="48" t="str">
        <x:v>RED</x:v>
      </x:c>
      <x:c r="C482" s="48" t="str">
        <x:v>English</x:v>
      </x:c>
      <x:c r="D482" s="48" t="n">
        <x:v>35</x:v>
      </x:c>
      <x:c r="E482" s="48" t="str"/>
      <x:c r="F482" s="48" t="str">
        <x:v>Nominated Subcontractors</x:v>
      </x:c>
      <x:c r="G482" s="48" t="str">
        <x:v>Obligation</x:v>
      </x:c>
      <x:c r="H482" s="48" t="str">
        <x:v>Shared</x:v>
      </x:c>
      <x:c r="I482" s="48" t="n">
        <x:v>0.45</x:v>
      </x:c>
      <x:c r="J482" s="48" t="n">
        <x:v>0.4</x:v>
      </x:c>
      <x:c r="K482" s="48" t="str">
        <x:v>Yes</x:v>
      </x:c>
      <x:c r="L482" s="48" t="str">
        <x:v>PDF text</x:v>
      </x:c>
    </x:row>
    <x:row r="483">
      <x:c r="A483" s="48" t="str">
        <x:v>RED-0482</x:v>
      </x:c>
      <x:c r="B483" s="48" t="str">
        <x:v>RED</x:v>
      </x:c>
      <x:c r="C483" s="48" t="str">
        <x:v>English</x:v>
      </x:c>
      <x:c r="D483" s="48" t="n">
        <x:v>36</x:v>
      </x:c>
      <x:c r="E483" s="48" t="str"/>
      <x:c r="F483" s="48" t="str">
        <x:v>then the Employer may (at his sole discretion) pay, direct to the nominated</x:v>
      </x:c>
      <x:c r="G483" s="48" t="str">
        <x:v>Obligation</x:v>
      </x:c>
      <x:c r="H483" s="48" t="str">
        <x:v>Employer</x:v>
      </x:c>
      <x:c r="I483" s="48" t="n">
        <x:v>0.45</x:v>
      </x:c>
      <x:c r="J483" s="48" t="n">
        <x:v>0.68</x:v>
      </x:c>
      <x:c r="K483" s="48" t="str">
        <x:v>Yes</x:v>
      </x:c>
      <x:c r="L483" s="48" t="str">
        <x:v>PDF text</x:v>
      </x:c>
    </x:row>
    <x:row r="484">
      <x:c r="A484" s="48" t="str">
        <x:v>RED-0483</x:v>
      </x:c>
      <x:c r="B484" s="48" t="str">
        <x:v>RED</x:v>
      </x:c>
      <x:c r="C484" s="48" t="str">
        <x:v>English</x:v>
      </x:c>
      <x:c r="D484" s="48" t="n">
        <x:v>36</x:v>
      </x:c>
      <x:c r="E484" s="48" t="str"/>
      <x:c r="F484" s="48" t="str">
        <x:v>Subcontractor, part or all of such amounts previously certified (less applicable</x:v>
      </x:c>
      <x:c r="G484" s="48" t="str">
        <x:v>Obligation</x:v>
      </x:c>
      <x:c r="H484" s="48" t="str">
        <x:v>Shared</x:v>
      </x:c>
      <x:c r="I484" s="48" t="n">
        <x:v>0.45</x:v>
      </x:c>
      <x:c r="J484" s="48" t="n">
        <x:v>0.4</x:v>
      </x:c>
      <x:c r="K484" s="48" t="str">
        <x:v>Yes</x:v>
      </x:c>
      <x:c r="L484" s="48" t="str">
        <x:v>PDF text</x:v>
      </x:c>
    </x:row>
    <x:row r="485">
      <x:c r="A485" s="48" t="str">
        <x:v>RED-0484</x:v>
      </x:c>
      <x:c r="B485" s="48" t="str">
        <x:v>RED</x:v>
      </x:c>
      <x:c r="C485" s="48" t="str">
        <x:v>English</x:v>
      </x:c>
      <x:c r="D485" s="48" t="n">
        <x:v>36</x:v>
      </x:c>
      <x:c r="E485" s="48" t="str"/>
      <x:c r="F485" s="48" t="str">
        <x:v>deductions) as are due to the nominated Subcontractor and for which the Contractor has failed to submit the evidence described in sub-paragraphs (a) or (b) above.</x:v>
      </x:c>
      <x:c r="G485" s="48" t="str">
        <x:v>Obligation</x:v>
      </x:c>
      <x:c r="H485" s="48" t="str">
        <x:v>Contractor</x:v>
      </x:c>
      <x:c r="I485" s="48" t="n">
        <x:v>0.45</x:v>
      </x:c>
      <x:c r="J485" s="48" t="n">
        <x:v>0.68</x:v>
      </x:c>
      <x:c r="K485" s="48" t="str">
        <x:v>Yes</x:v>
      </x:c>
      <x:c r="L485" s="48" t="str">
        <x:v>PDF text</x:v>
      </x:c>
    </x:row>
    <x:row r="486">
      <x:c r="A486" s="48" t="str">
        <x:v>RED-0485</x:v>
      </x:c>
      <x:c r="B486" s="48" t="str">
        <x:v>RED</x:v>
      </x:c>
      <x:c r="C486" s="48" t="str">
        <x:v>English</x:v>
      </x:c>
      <x:c r="D486" s="48" t="n">
        <x:v>36</x:v>
      </x:c>
      <x:c r="E486" s="48" t="str"/>
      <x:c r="F486" s="48" t="str">
        <x:v>Contractor shall then repay, to the Employer, the amount which the nominated</x:v>
      </x:c>
      <x:c r="G486" s="48" t="str">
        <x:v>Obligation</x:v>
      </x:c>
      <x:c r="H486" s="48" t="str">
        <x:v>Shared</x:v>
      </x:c>
      <x:c r="I486" s="48" t="n">
        <x:v>0.88</x:v>
      </x:c>
      <x:c r="J486" s="48" t="n">
        <x:v>0.6</x:v>
      </x:c>
      <x:c r="K486" s="48" t="str">
        <x:v>Yes</x:v>
      </x:c>
      <x:c r="L486" s="48" t="str">
        <x:v>PDF text</x:v>
      </x:c>
    </x:row>
    <x:row r="487">
      <x:c r="A487" s="48" t="str">
        <x:v>RED-0486</x:v>
      </x:c>
      <x:c r="B487" s="48" t="str">
        <x:v>RED</x:v>
      </x:c>
      <x:c r="C487" s="48" t="str">
        <x:v>English</x:v>
      </x:c>
      <x:c r="D487" s="48" t="n">
        <x:v>36</x:v>
      </x:c>
      <x:c r="E487" s="48" t="str"/>
      <x:c r="F487" s="48" t="str">
        <x:v>Subcontractor was directly paid by the Employer.</x:v>
      </x:c>
      <x:c r="G487" s="48" t="str">
        <x:v>Obligation</x:v>
      </x:c>
      <x:c r="H487" s="48" t="str">
        <x:v>Employer</x:v>
      </x:c>
      <x:c r="I487" s="48" t="n">
        <x:v>0.45</x:v>
      </x:c>
      <x:c r="J487" s="48" t="n">
        <x:v>0.68</x:v>
      </x:c>
      <x:c r="K487" s="48" t="str">
        <x:v>Yes</x:v>
      </x:c>
      <x:c r="L487" s="48" t="str">
        <x:v>PDF text</x:v>
      </x:c>
    </x:row>
    <x:row r="488">
      <x:c r="A488" s="48" t="str">
        <x:v>RED-0487</x:v>
      </x:c>
      <x:c r="B488" s="48" t="str">
        <x:v>RED</x:v>
      </x:c>
      <x:c r="C488" s="48" t="str">
        <x:v>English</x:v>
      </x:c>
      <x:c r="D488" s="48" t="n">
        <x:v>36</x:v>
      </x:c>
      <x:c r="E488" s="48" t="str"/>
      <x:c r="F488" s="48" t="str">
        <x:v>Except as otherwise stated in the Specification, the Contractor shall make</x:v>
      </x:c>
      <x:c r="G488" s="48" t="str">
        <x:v>Obligation</x:v>
      </x:c>
      <x:c r="H488" s="48" t="str">
        <x:v>Contractor</x:v>
      </x:c>
      <x:c r="I488" s="48" t="n">
        <x:v>0.88</x:v>
      </x:c>
      <x:c r="J488" s="48" t="n">
        <x:v>0.92</x:v>
      </x:c>
      <x:c r="K488" s="48" t="str">
        <x:v>No</x:v>
      </x:c>
      <x:c r="L488" s="48" t="str">
        <x:v>PDF text</x:v>
      </x:c>
    </x:row>
    <x:row r="489">
      <x:c r="A489" s="48" t="str">
        <x:v>RED-0488</x:v>
      </x:c>
      <x:c r="B489" s="48" t="str">
        <x:v>RED</x:v>
      </x:c>
      <x:c r="C489" s="48" t="str">
        <x:v>English</x:v>
      </x:c>
      <x:c r="D489" s="48" t="n">
        <x:v>36</x:v>
      </x:c>
      <x:c r="E489" s="48" t="str"/>
      <x:c r="F489" s="48" t="str">
        <x:v>arrangements for the engagement of all staff and labour, local or otherwise, and for their payment, housing, feeding and transport.</x:v>
      </x:c>
      <x:c r="G489" s="48" t="str">
        <x:v>Obligation</x:v>
      </x:c>
      <x:c r="H489" s="48" t="str">
        <x:v>Shared</x:v>
      </x:c>
      <x:c r="I489" s="48" t="n">
        <x:v>0.55</x:v>
      </x:c>
      <x:c r="J489" s="48" t="n">
        <x:v>0.4</x:v>
      </x:c>
      <x:c r="K489" s="48" t="str">
        <x:v>Yes</x:v>
      </x:c>
      <x:c r="L489" s="48" t="str">
        <x:v>PDF text</x:v>
      </x:c>
    </x:row>
    <x:row r="490">
      <x:c r="A490" s="48" t="str">
        <x:v>RED-0489</x:v>
      </x:c>
      <x:c r="B490" s="48" t="str">
        <x:v>RED</x:v>
      </x:c>
      <x:c r="C490" s="48" t="str">
        <x:v>English</x:v>
      </x:c>
      <x:c r="D490" s="48" t="n">
        <x:v>36</x:v>
      </x:c>
      <x:c r="E490" s="48" t="str"/>
      <x:c r="F490" s="48" t="str">
        <x:v>The Contractor is encouraged, to the extent practicable and reasonable, to employ</x:v>
      </x:c>
      <x:c r="G490" s="48" t="str">
        <x:v>Obligation</x:v>
      </x:c>
      <x:c r="H490" s="48" t="str">
        <x:v>Contractor</x:v>
      </x:c>
      <x:c r="I490" s="48" t="n">
        <x:v>0.45</x:v>
      </x:c>
      <x:c r="J490" s="48" t="n">
        <x:v>0.68</x:v>
      </x:c>
      <x:c r="K490" s="48" t="str">
        <x:v>Yes</x:v>
      </x:c>
      <x:c r="L490" s="48" t="str">
        <x:v>PDF text</x:v>
      </x:c>
    </x:row>
    <x:row r="491">
      <x:c r="A491" s="48" t="str">
        <x:v>RED-0490</x:v>
      </x:c>
      <x:c r="B491" s="48" t="str">
        <x:v>RED</x:v>
      </x:c>
      <x:c r="C491" s="48" t="str">
        <x:v>English</x:v>
      </x:c>
      <x:c r="D491" s="48" t="n">
        <x:v>36</x:v>
      </x:c>
      <x:c r="E491" s="48" t="str"/>
      <x:c r="F491" s="48" t="str">
        <x:v>staff and labour with appropriate qualifications and experience from sources within the Country.</x:v>
      </x:c>
      <x:c r="G491" s="48" t="str">
        <x:v>Obligation</x:v>
      </x:c>
      <x:c r="H491" s="48" t="str">
        <x:v>Shared</x:v>
      </x:c>
      <x:c r="I491" s="48" t="n">
        <x:v>0.45</x:v>
      </x:c>
      <x:c r="J491" s="48" t="n">
        <x:v>0.4</x:v>
      </x:c>
      <x:c r="K491" s="48" t="str">
        <x:v>Yes</x:v>
      </x:c>
      <x:c r="L491" s="48" t="str">
        <x:v>PDF text</x:v>
      </x:c>
    </x:row>
    <x:row r="492">
      <x:c r="A492" s="48" t="str">
        <x:v>RED-0491</x:v>
      </x:c>
      <x:c r="B492" s="48" t="str">
        <x:v>RED</x:v>
      </x:c>
      <x:c r="C492" s="48" t="str">
        <x:v>English</x:v>
      </x:c>
      <x:c r="D492" s="48" t="n">
        <x:v>36</x:v>
      </x:c>
      <x:c r="E492" s="48" t="str"/>
      <x:c r="F492" s="48" t="str">
        <x:v>The Contractor shall pay rates of wages, and observe conditions of labour, which are not lower than those established for the trade or industry where the work is carried out.</x:v>
      </x:c>
      <x:c r="G492" s="48" t="str">
        <x:v>Obligation</x:v>
      </x:c>
      <x:c r="H492" s="48" t="str">
        <x:v>Contractor</x:v>
      </x:c>
      <x:c r="I492" s="48" t="n">
        <x:v>0.88</x:v>
      </x:c>
      <x:c r="J492" s="48" t="n">
        <x:v>0.92</x:v>
      </x:c>
      <x:c r="K492" s="48" t="str">
        <x:v>No</x:v>
      </x:c>
      <x:c r="L492" s="48" t="str">
        <x:v>PDF text</x:v>
      </x:c>
    </x:row>
    <x:row r="493">
      <x:c r="A493" s="48" t="str">
        <x:v>RED-0492</x:v>
      </x:c>
      <x:c r="B493" s="48" t="str">
        <x:v>RED</x:v>
      </x:c>
      <x:c r="C493" s="48" t="str">
        <x:v>English</x:v>
      </x:c>
      <x:c r="D493" s="48" t="n">
        <x:v>36</x:v>
      </x:c>
      <x:c r="E493" s="48" t="str"/>
      <x:c r="F493" s="48" t="str">
        <x:v>If no established rates or conditions are applicable, the Contractor shall pay rates of wages and observe conditions which are not lower than the general level of wages and conditions observed locally by employers whose trade or industry is similar to that of the Contractor.</x:v>
      </x:c>
      <x:c r="G493" s="48" t="str">
        <x:v>Obligation</x:v>
      </x:c>
      <x:c r="H493" s="48" t="str">
        <x:v>Contractor</x:v>
      </x:c>
      <x:c r="I493" s="48" t="n">
        <x:v>0.88</x:v>
      </x:c>
      <x:c r="J493" s="48" t="n">
        <x:v>0.92</x:v>
      </x:c>
      <x:c r="K493" s="48" t="str">
        <x:v>No</x:v>
      </x:c>
      <x:c r="L493" s="48" t="str">
        <x:v>PDF text</x:v>
      </x:c>
    </x:row>
    <x:row r="494">
      <x:c r="A494" s="48" t="str">
        <x:v>RED-0493</x:v>
      </x:c>
      <x:c r="B494" s="48" t="str">
        <x:v>RED</x:v>
      </x:c>
      <x:c r="C494" s="48" t="str">
        <x:v>English</x:v>
      </x:c>
      <x:c r="D494" s="48" t="n">
        <x:v>36</x:v>
      </x:c>
      <x:c r="E494" s="48" t="str"/>
      <x:c r="F494" s="48" t="str">
        <x:v>The Contractor shall inform the Contractor’s Personnel about their liability to pay personal income taxes in the Country in respect of such of their salaries, wages and allowances as are chargeable under the Laws of the Country for the time being in force, and the Contractor shall perform such duties in regard to such deductions thereof as may be imposed on him by such Laws.</x:v>
      </x:c>
      <x:c r="G494" s="48" t="str">
        <x:v>Risk</x:v>
      </x:c>
      <x:c r="H494" s="48" t="str">
        <x:v>Contractor</x:v>
      </x:c>
      <x:c r="I494" s="48" t="n">
        <x:v>0.78</x:v>
      </x:c>
      <x:c r="J494" s="48" t="n">
        <x:v>0.92</x:v>
      </x:c>
      <x:c r="K494" s="48" t="str">
        <x:v>No</x:v>
      </x:c>
      <x:c r="L494" s="48" t="str">
        <x:v>PDF text</x:v>
      </x:c>
    </x:row>
    <x:row r="495">
      <x:c r="A495" s="48" t="str">
        <x:v>RED-0494</x:v>
      </x:c>
      <x:c r="B495" s="48" t="str">
        <x:v>RED</x:v>
      </x:c>
      <x:c r="C495" s="48" t="str">
        <x:v>English</x:v>
      </x:c>
      <x:c r="D495" s="48" t="n">
        <x:v>36</x:v>
      </x:c>
      <x:c r="E495" s="48" t="str"/>
      <x:c r="F495" s="48" t="str">
        <x:v>The Contractor shall not recruit, or attempt to recruit, staff and labour from amongst the Employer’s Personnel.</x:v>
      </x:c>
      <x:c r="G495" s="48" t="str">
        <x:v>Obligation</x:v>
      </x:c>
      <x:c r="H495" s="48" t="str">
        <x:v>Contractor</x:v>
      </x:c>
      <x:c r="I495" s="48" t="n">
        <x:v>0.88</x:v>
      </x:c>
      <x:c r="J495" s="48" t="n">
        <x:v>0.92</x:v>
      </x:c>
      <x:c r="K495" s="48" t="str">
        <x:v>No</x:v>
      </x:c>
      <x:c r="L495" s="48" t="str">
        <x:v>PDF text</x:v>
      </x:c>
    </x:row>
    <x:row r="496">
      <x:c r="A496" s="48" t="str">
        <x:v>RED-0495</x:v>
      </x:c>
      <x:c r="B496" s="48" t="str">
        <x:v>RED</x:v>
      </x:c>
      <x:c r="C496" s="48" t="str">
        <x:v>English</x:v>
      </x:c>
      <x:c r="D496" s="48" t="n">
        <x:v>36</x:v>
      </x:c>
      <x:c r="E496" s="48" t="str"/>
      <x:c r="F496" s="48" t="str">
        <x:v>The Contractor shall comply with all the relevant labour Laws applicable to the</x:v>
      </x:c>
      <x:c r="G496" s="48" t="str">
        <x:v>Obligation</x:v>
      </x:c>
      <x:c r="H496" s="48" t="str">
        <x:v>Contractor</x:v>
      </x:c>
      <x:c r="I496" s="48" t="n">
        <x:v>0.88</x:v>
      </x:c>
      <x:c r="J496" s="48" t="n">
        <x:v>0.92</x:v>
      </x:c>
      <x:c r="K496" s="48" t="str">
        <x:v>No</x:v>
      </x:c>
      <x:c r="L496" s="48" t="str">
        <x:v>PDF text</x:v>
      </x:c>
    </x:row>
    <x:row r="497">
      <x:c r="A497" s="48" t="str">
        <x:v>RED-0496</x:v>
      </x:c>
      <x:c r="B497" s="48" t="str">
        <x:v>RED</x:v>
      </x:c>
      <x:c r="C497" s="48" t="str">
        <x:v>English</x:v>
      </x:c>
      <x:c r="D497" s="48" t="n">
        <x:v>36</x:v>
      </x:c>
      <x:c r="E497" s="48" t="str"/>
      <x:c r="F497" s="48" t="str">
        <x:v>Contractor’s Personnel, including Laws relating to their employment, health, safety, welfare, immigration and emigration, and shall allow them all their legal rights.</x:v>
      </x:c>
      <x:c r="G497" s="48" t="str">
        <x:v>Obligation</x:v>
      </x:c>
      <x:c r="H497" s="48" t="str">
        <x:v>Contractor</x:v>
      </x:c>
      <x:c r="I497" s="48" t="n">
        <x:v>0.88</x:v>
      </x:c>
      <x:c r="J497" s="48" t="n">
        <x:v>0.68</x:v>
      </x:c>
      <x:c r="K497" s="48" t="str">
        <x:v>Yes</x:v>
      </x:c>
      <x:c r="L497" s="48" t="str">
        <x:v>PDF text</x:v>
      </x:c>
    </x:row>
    <x:row r="498">
      <x:c r="A498" s="48" t="str">
        <x:v>RED-0497</x:v>
      </x:c>
      <x:c r="B498" s="48" t="str">
        <x:v>RED</x:v>
      </x:c>
      <x:c r="C498" s="48" t="str">
        <x:v>English</x:v>
      </x:c>
      <x:c r="D498" s="48" t="n">
        <x:v>36</x:v>
      </x:c>
      <x:c r="E498" s="48" t="str"/>
      <x:c r="F498" s="48" t="str">
        <x:v>The Contractor shall require his employees to obey all applicable Laws, including</x:v>
      </x:c>
      <x:c r="G498" s="48" t="str">
        <x:v>Obligation</x:v>
      </x:c>
      <x:c r="H498" s="48" t="str">
        <x:v>Contractor</x:v>
      </x:c>
      <x:c r="I498" s="48" t="n">
        <x:v>0.88</x:v>
      </x:c>
      <x:c r="J498" s="48" t="n">
        <x:v>0.92</x:v>
      </x:c>
      <x:c r="K498" s="48" t="str">
        <x:v>No</x:v>
      </x:c>
      <x:c r="L498" s="48" t="str">
        <x:v>PDF text</x:v>
      </x:c>
    </x:row>
    <x:row r="499">
      <x:c r="A499" s="48" t="str">
        <x:v>RED-0498</x:v>
      </x:c>
      <x:c r="B499" s="48" t="str">
        <x:v>RED</x:v>
      </x:c>
      <x:c r="C499" s="48" t="str">
        <x:v>English</x:v>
      </x:c>
      <x:c r="D499" s="48" t="n">
        <x:v>36</x:v>
      </x:c>
      <x:c r="E499" s="48" t="str"/>
      <x:c r="F499" s="48" t="str">
        <x:v>those concerning safety at work.</x:v>
      </x:c>
      <x:c r="G499" s="48" t="str">
        <x:v>Obligation</x:v>
      </x:c>
      <x:c r="H499" s="48" t="str">
        <x:v>Shared</x:v>
      </x:c>
      <x:c r="I499" s="48" t="n">
        <x:v>0.45</x:v>
      </x:c>
      <x:c r="J499" s="48" t="n">
        <x:v>0.4</x:v>
      </x:c>
      <x:c r="K499" s="48" t="str">
        <x:v>Yes</x:v>
      </x:c>
      <x:c r="L499" s="48" t="str">
        <x:v>PDF text</x:v>
      </x:c>
    </x:row>
    <x:row r="500">
      <x:c r="A500" s="48" t="str">
        <x:v>RED-0499</x:v>
      </x:c>
      <x:c r="B500" s="48" t="str">
        <x:v>RED</x:v>
      </x:c>
      <x:c r="C500" s="48" t="str">
        <x:v>English</x:v>
      </x:c>
      <x:c r="D500" s="48" t="n">
        <x:v>36</x:v>
      </x:c>
      <x:c r="E500" s="48" t="str"/>
      <x:c r="F500" s="48" t="str">
        <x:v>No work shall be carried out on the Site on locally recognised days of rest, or outside the normal working hours stated in the Contract Data, unless: (a) otherwise stated in the Contract, (b) the Engineer gives consent, or (c) the work is unavoidable, or necessary for the protection of life or property or for the safety of the Works, in which case the Contractor shall immediately advise the Engineer.</x:v>
      </x:c>
      <x:c r="G500" s="48" t="str">
        <x:v>Obligation</x:v>
      </x:c>
      <x:c r="H500" s="48" t="str">
        <x:v>Contractor</x:v>
      </x:c>
      <x:c r="I500" s="48" t="n">
        <x:v>0.88</x:v>
      </x:c>
      <x:c r="J500" s="48" t="n">
        <x:v>0.92</x:v>
      </x:c>
      <x:c r="K500" s="48" t="str">
        <x:v>No</x:v>
      </x:c>
      <x:c r="L500" s="48" t="str">
        <x:v>PDF text</x:v>
      </x:c>
    </x:row>
    <x:row r="501">
      <x:c r="A501" s="48" t="str">
        <x:v>RED-0500</x:v>
      </x:c>
      <x:c r="B501" s="48" t="str">
        <x:v>RED</x:v>
      </x:c>
      <x:c r="C501" s="48" t="str">
        <x:v>English</x:v>
      </x:c>
      <x:c r="D501" s="48" t="n">
        <x:v>36</x:v>
      </x:c>
      <x:c r="E501" s="48" t="str"/>
      <x:c r="F501" s="48" t="str">
        <x:v>Engagement of</x:v>
      </x:c>
      <x:c r="G501" s="48" t="str">
        <x:v>Obligation</x:v>
      </x:c>
      <x:c r="H501" s="48" t="str">
        <x:v>Shared</x:v>
      </x:c>
      <x:c r="I501" s="48" t="n">
        <x:v>0.45</x:v>
      </x:c>
      <x:c r="J501" s="48" t="n">
        <x:v>0.4</x:v>
      </x:c>
      <x:c r="K501" s="48" t="str">
        <x:v>Yes</x:v>
      </x:c>
      <x:c r="L501" s="48" t="str">
        <x:v>PDF text</x:v>
      </x:c>
    </x:row>
    <x:row r="502">
      <x:c r="A502" s="48" t="str">
        <x:v>RED-0501</x:v>
      </x:c>
      <x:c r="B502" s="48" t="str">
        <x:v>RED</x:v>
      </x:c>
      <x:c r="C502" s="48" t="str">
        <x:v>English</x:v>
      </x:c>
      <x:c r="D502" s="48" t="n">
        <x:v>36</x:v>
      </x:c>
      <x:c r="E502" s="48" t="str"/>
      <x:c r="F502" s="48" t="str">
        <x:v>Staff and Labour</x:v>
      </x:c>
      <x:c r="G502" s="48" t="str">
        <x:v>Obligation</x:v>
      </x:c>
      <x:c r="H502" s="48" t="str">
        <x:v>Shared</x:v>
      </x:c>
      <x:c r="I502" s="48" t="n">
        <x:v>0.45</x:v>
      </x:c>
      <x:c r="J502" s="48" t="n">
        <x:v>0.4</x:v>
      </x:c>
      <x:c r="K502" s="48" t="str">
        <x:v>Yes</x:v>
      </x:c>
      <x:c r="L502" s="48" t="str">
        <x:v>PDF text</x:v>
      </x:c>
    </x:row>
    <x:row r="503">
      <x:c r="A503" s="48" t="str">
        <x:v>RED-0502</x:v>
      </x:c>
      <x:c r="B503" s="48" t="str">
        <x:v>RED</x:v>
      </x:c>
      <x:c r="C503" s="48" t="str">
        <x:v>English</x:v>
      </x:c>
      <x:c r="D503" s="48" t="n">
        <x:v>36</x:v>
      </x:c>
      <x:c r="E503" s="48" t="str"/>
      <x:c r="F503" s="48" t="str">
        <x:v>Rates of Wages and</x:v>
      </x:c>
      <x:c r="G503" s="48" t="str">
        <x:v>Obligation</x:v>
      </x:c>
      <x:c r="H503" s="48" t="str">
        <x:v>Shared</x:v>
      </x:c>
      <x:c r="I503" s="48" t="n">
        <x:v>0.45</x:v>
      </x:c>
      <x:c r="J503" s="48" t="n">
        <x:v>0.4</x:v>
      </x:c>
      <x:c r="K503" s="48" t="str">
        <x:v>Yes</x:v>
      </x:c>
      <x:c r="L503" s="48" t="str">
        <x:v>PDF text</x:v>
      </x:c>
    </x:row>
    <x:row r="504">
      <x:c r="A504" s="48" t="str">
        <x:v>RED-0503</x:v>
      </x:c>
      <x:c r="B504" s="48" t="str">
        <x:v>RED</x:v>
      </x:c>
      <x:c r="C504" s="48" t="str">
        <x:v>English</x:v>
      </x:c>
      <x:c r="D504" s="48" t="n">
        <x:v>36</x:v>
      </x:c>
      <x:c r="E504" s="48" t="str"/>
      <x:c r="F504" s="48" t="str">
        <x:v>Conditions of Labour</x:v>
      </x:c>
      <x:c r="G504" s="48" t="str">
        <x:v>Obligation</x:v>
      </x:c>
      <x:c r="H504" s="48" t="str">
        <x:v>Shared</x:v>
      </x:c>
      <x:c r="I504" s="48" t="n">
        <x:v>0.45</x:v>
      </x:c>
      <x:c r="J504" s="48" t="n">
        <x:v>0.4</x:v>
      </x:c>
      <x:c r="K504" s="48" t="str">
        <x:v>Yes</x:v>
      </x:c>
      <x:c r="L504" s="48" t="str">
        <x:v>PDF text</x:v>
      </x:c>
    </x:row>
    <x:row r="505">
      <x:c r="A505" s="48" t="str">
        <x:v>RED-0504</x:v>
      </x:c>
      <x:c r="B505" s="48" t="str">
        <x:v>RED</x:v>
      </x:c>
      <x:c r="C505" s="48" t="str">
        <x:v>English</x:v>
      </x:c>
      <x:c r="D505" s="48" t="n">
        <x:v>36</x:v>
      </x:c>
      <x:c r="E505" s="48" t="str"/>
      <x:c r="F505" s="48" t="str">
        <x:v>Persons in the Service</x:v>
      </x:c>
      <x:c r="G505" s="48" t="str">
        <x:v>Obligation</x:v>
      </x:c>
      <x:c r="H505" s="48" t="str">
        <x:v>Shared</x:v>
      </x:c>
      <x:c r="I505" s="48" t="n">
        <x:v>0.45</x:v>
      </x:c>
      <x:c r="J505" s="48" t="n">
        <x:v>0.4</x:v>
      </x:c>
      <x:c r="K505" s="48" t="str">
        <x:v>Yes</x:v>
      </x:c>
      <x:c r="L505" s="48" t="str">
        <x:v>PDF text</x:v>
      </x:c>
    </x:row>
    <x:row r="506">
      <x:c r="A506" s="48" t="str">
        <x:v>RED-0505</x:v>
      </x:c>
      <x:c r="B506" s="48" t="str">
        <x:v>RED</x:v>
      </x:c>
      <x:c r="C506" s="48" t="str">
        <x:v>English</x:v>
      </x:c>
      <x:c r="D506" s="48" t="n">
        <x:v>36</x:v>
      </x:c>
      <x:c r="E506" s="48" t="str"/>
      <x:c r="F506" s="48" t="str">
        <x:v>of Employer 6.4</x:v>
      </x:c>
      <x:c r="G506" s="48" t="str">
        <x:v>Obligation</x:v>
      </x:c>
      <x:c r="H506" s="48" t="str">
        <x:v>Employer</x:v>
      </x:c>
      <x:c r="I506" s="48" t="n">
        <x:v>0.45</x:v>
      </x:c>
      <x:c r="J506" s="48" t="n">
        <x:v>0.68</x:v>
      </x:c>
      <x:c r="K506" s="48" t="str">
        <x:v>Yes</x:v>
      </x:c>
      <x:c r="L506" s="48" t="str">
        <x:v>PDF text</x:v>
      </x:c>
    </x:row>
    <x:row r="507">
      <x:c r="A507" s="48" t="str">
        <x:v>RED-0506</x:v>
      </x:c>
      <x:c r="B507" s="48" t="str">
        <x:v>RED</x:v>
      </x:c>
      <x:c r="C507" s="48" t="str">
        <x:v>English</x:v>
      </x:c>
      <x:c r="D507" s="48" t="n">
        <x:v>36</x:v>
      </x:c>
      <x:c r="E507" s="48" t="str"/>
      <x:c r="F507" s="48" t="str">
        <x:v>Labour Laws</x:v>
      </x:c>
      <x:c r="G507" s="48" t="str">
        <x:v>Obligation</x:v>
      </x:c>
      <x:c r="H507" s="48" t="str">
        <x:v>Shared</x:v>
      </x:c>
      <x:c r="I507" s="48" t="n">
        <x:v>0.45</x:v>
      </x:c>
      <x:c r="J507" s="48" t="n">
        <x:v>0.4</x:v>
      </x:c>
      <x:c r="K507" s="48" t="str">
        <x:v>Yes</x:v>
      </x:c>
      <x:c r="L507" s="48" t="str">
        <x:v>PDF text</x:v>
      </x:c>
    </x:row>
    <x:row r="508">
      <x:c r="A508" s="48" t="str">
        <x:v>RED-0507</x:v>
      </x:c>
      <x:c r="B508" s="48" t="str">
        <x:v>RED</x:v>
      </x:c>
      <x:c r="C508" s="48" t="str">
        <x:v>English</x:v>
      </x:c>
      <x:c r="D508" s="48" t="n">
        <x:v>36</x:v>
      </x:c>
      <x:c r="E508" s="48" t="str"/>
      <x:c r="F508" s="48" t="str">
        <x:v>Working Hours</x:v>
      </x:c>
      <x:c r="G508" s="48" t="str">
        <x:v>Obligation</x:v>
      </x:c>
      <x:c r="H508" s="48" t="str">
        <x:v>Shared</x:v>
      </x:c>
      <x:c r="I508" s="48" t="n">
        <x:v>0.45</x:v>
      </x:c>
      <x:c r="J508" s="48" t="n">
        <x:v>0.4</x:v>
      </x:c>
      <x:c r="K508" s="48" t="str">
        <x:v>Yes</x:v>
      </x:c>
      <x:c r="L508" s="48" t="str">
        <x:v>PDF text</x:v>
      </x:c>
    </x:row>
    <x:row r="509">
      <x:c r="A509" s="48" t="str">
        <x:v>RED-0508</x:v>
      </x:c>
      <x:c r="B509" s="48" t="str">
        <x:v>RED</x:v>
      </x:c>
      <x:c r="C509" s="48" t="str">
        <x:v>English</x:v>
      </x:c>
      <x:c r="D509" s="48" t="n">
        <x:v>37</x:v>
      </x:c>
      <x:c r="E509" s="48" t="str"/>
      <x:c r="F509" s="48" t="str">
        <x:v>Except as otherwise stated in the Specification, the Contractor shall provide and</x:v>
      </x:c>
      <x:c r="G509" s="48" t="str">
        <x:v>Obligation</x:v>
      </x:c>
      <x:c r="H509" s="48" t="str">
        <x:v>Contractor</x:v>
      </x:c>
      <x:c r="I509" s="48" t="n">
        <x:v>0.88</x:v>
      </x:c>
      <x:c r="J509" s="48" t="n">
        <x:v>0.92</x:v>
      </x:c>
      <x:c r="K509" s="48" t="str">
        <x:v>No</x:v>
      </x:c>
      <x:c r="L509" s="48" t="str">
        <x:v>PDF text</x:v>
      </x:c>
    </x:row>
    <x:row r="510">
      <x:c r="A510" s="48" t="str">
        <x:v>RED-0509</x:v>
      </x:c>
      <x:c r="B510" s="48" t="str">
        <x:v>RED</x:v>
      </x:c>
      <x:c r="C510" s="48" t="str">
        <x:v>English</x:v>
      </x:c>
      <x:c r="D510" s="48" t="n">
        <x:v>37</x:v>
      </x:c>
      <x:c r="E510" s="48" t="str"/>
      <x:c r="F510" s="48" t="str">
        <x:v>maintain all necessary accommodation and welfare facilities for the Contractor’s Personnel.</x:v>
      </x:c>
      <x:c r="G510" s="48" t="str">
        <x:v>Obligation</x:v>
      </x:c>
      <x:c r="H510" s="48" t="str">
        <x:v>Contractor</x:v>
      </x:c>
      <x:c r="I510" s="48" t="n">
        <x:v>0.45</x:v>
      </x:c>
      <x:c r="J510" s="48" t="n">
        <x:v>0.68</x:v>
      </x:c>
      <x:c r="K510" s="48" t="str">
        <x:v>Yes</x:v>
      </x:c>
      <x:c r="L510" s="48" t="str">
        <x:v>PDF text</x:v>
      </x:c>
    </x:row>
    <x:row r="511">
      <x:c r="A511" s="48" t="str">
        <x:v>RED-0510</x:v>
      </x:c>
      <x:c r="B511" s="48" t="str">
        <x:v>RED</x:v>
      </x:c>
      <x:c r="C511" s="48" t="str">
        <x:v>English</x:v>
      </x:c>
      <x:c r="D511" s="48" t="n">
        <x:v>37</x:v>
      </x:c>
      <x:c r="E511" s="48" t="str"/>
      <x:c r="F511" s="48" t="str">
        <x:v>The Contractor shall also provide facilities for the Employer’s Personnel as stated in the Specification.</x:v>
      </x:c>
      <x:c r="G511" s="48" t="str">
        <x:v>Obligation</x:v>
      </x:c>
      <x:c r="H511" s="48" t="str">
        <x:v>Contractor</x:v>
      </x:c>
      <x:c r="I511" s="48" t="n">
        <x:v>0.88</x:v>
      </x:c>
      <x:c r="J511" s="48" t="n">
        <x:v>0.92</x:v>
      </x:c>
      <x:c r="K511" s="48" t="str">
        <x:v>No</x:v>
      </x:c>
      <x:c r="L511" s="48" t="str">
        <x:v>PDF text</x:v>
      </x:c>
    </x:row>
    <x:row r="512">
      <x:c r="A512" s="48" t="str">
        <x:v>RED-0511</x:v>
      </x:c>
      <x:c r="B512" s="48" t="str">
        <x:v>RED</x:v>
      </x:c>
      <x:c r="C512" s="48" t="str">
        <x:v>English</x:v>
      </x:c>
      <x:c r="D512" s="48" t="n">
        <x:v>37</x:v>
      </x:c>
      <x:c r="E512" s="48" t="str"/>
      <x:c r="F512" s="48" t="str">
        <x:v>The Contractor shall not permit any of the Contractor’s Personnel to maintain any</x:v>
      </x:c>
      <x:c r="G512" s="48" t="str">
        <x:v>Obligation</x:v>
      </x:c>
      <x:c r="H512" s="48" t="str">
        <x:v>Contractor</x:v>
      </x:c>
      <x:c r="I512" s="48" t="n">
        <x:v>0.88</x:v>
      </x:c>
      <x:c r="J512" s="48" t="n">
        <x:v>0.92</x:v>
      </x:c>
      <x:c r="K512" s="48" t="str">
        <x:v>No</x:v>
      </x:c>
      <x:c r="L512" s="48" t="str">
        <x:v>PDF text</x:v>
      </x:c>
    </x:row>
    <x:row r="513">
      <x:c r="A513" s="48" t="str">
        <x:v>RED-0512</x:v>
      </x:c>
      <x:c r="B513" s="48" t="str">
        <x:v>RED</x:v>
      </x:c>
      <x:c r="C513" s="48" t="str">
        <x:v>English</x:v>
      </x:c>
      <x:c r="D513" s="48" t="n">
        <x:v>37</x:v>
      </x:c>
      <x:c r="E513" s="48" t="str"/>
      <x:c r="F513" s="48" t="str">
        <x:v>temporary or permanent living quarters within the structures forming part of the Permanent Works.</x:v>
      </x:c>
      <x:c r="G513" s="48" t="str">
        <x:v>Obligation</x:v>
      </x:c>
      <x:c r="H513" s="48" t="str">
        <x:v>Shared</x:v>
      </x:c>
      <x:c r="I513" s="48" t="n">
        <x:v>0.45</x:v>
      </x:c>
      <x:c r="J513" s="48" t="n">
        <x:v>0.4</x:v>
      </x:c>
      <x:c r="K513" s="48" t="str">
        <x:v>Yes</x:v>
      </x:c>
      <x:c r="L513" s="48" t="str">
        <x:v>PDF text</x:v>
      </x:c>
    </x:row>
    <x:row r="514">
      <x:c r="A514" s="48" t="str">
        <x:v>RED-0513</x:v>
      </x:c>
      <x:c r="B514" s="48" t="str">
        <x:v>RED</x:v>
      </x:c>
      <x:c r="C514" s="48" t="str">
        <x:v>English</x:v>
      </x:c>
      <x:c r="D514" s="48" t="n">
        <x:v>37</x:v>
      </x:c>
      <x:c r="E514" s="48" t="str"/>
      <x:c r="F514" s="48" t="str">
        <x:v>The Contractor shall at all times take all reasonable precautions to maintain the health and safety of the Contractor’s Personnel.</x:v>
      </x:c>
      <x:c r="G514" s="48" t="str">
        <x:v>Obligation</x:v>
      </x:c>
      <x:c r="H514" s="48" t="str">
        <x:v>Contractor</x:v>
      </x:c>
      <x:c r="I514" s="48" t="n">
        <x:v>0.88</x:v>
      </x:c>
      <x:c r="J514" s="48" t="n">
        <x:v>0.92</x:v>
      </x:c>
      <x:c r="K514" s="48" t="str">
        <x:v>No</x:v>
      </x:c>
      <x:c r="L514" s="48" t="str">
        <x:v>PDF text</x:v>
      </x:c>
    </x:row>
    <x:row r="515">
      <x:c r="A515" s="48" t="str">
        <x:v>RED-0514</x:v>
      </x:c>
      <x:c r="B515" s="48" t="str">
        <x:v>RED</x:v>
      </x:c>
      <x:c r="C515" s="48" t="str">
        <x:v>English</x:v>
      </x:c>
      <x:c r="D515" s="48" t="n">
        <x:v>37</x:v>
      </x:c>
      <x:c r="E515" s="48" t="str"/>
      <x:c r="F515" s="48" t="str">
        <x:v>In collaboration with local health authorities, the Contractor shall ensure that medical staff, first aid facilities, sick bay and ambulance service are available at all times at the Site and at any accommodation for Contractor’s and Employer’s Personnel, and that suitable arrangements are made for all necessary welfare and hygiene requirements and for the prevention of epidemics.</x:v>
      </x:c>
      <x:c r="G515" s="48" t="str">
        <x:v>Obligation</x:v>
      </x:c>
      <x:c r="H515" s="48" t="str">
        <x:v>Contractor</x:v>
      </x:c>
      <x:c r="I515" s="48" t="n">
        <x:v>0.88</x:v>
      </x:c>
      <x:c r="J515" s="48" t="n">
        <x:v>0.92</x:v>
      </x:c>
      <x:c r="K515" s="48" t="str">
        <x:v>No</x:v>
      </x:c>
      <x:c r="L515" s="48" t="str">
        <x:v>PDF text</x:v>
      </x:c>
    </x:row>
    <x:row r="516">
      <x:c r="A516" s="48" t="str">
        <x:v>RED-0515</x:v>
      </x:c>
      <x:c r="B516" s="48" t="str">
        <x:v>RED</x:v>
      </x:c>
      <x:c r="C516" s="48" t="str">
        <x:v>English</x:v>
      </x:c>
      <x:c r="D516" s="48" t="n">
        <x:v>37</x:v>
      </x:c>
      <x:c r="E516" s="48" t="str"/>
      <x:c r="F516" s="48" t="str">
        <x:v>The Contractor shall appoint an accident prevention officer at the Site, responsible for maintaining safety and protection against accidents.</x:v>
      </x:c>
      <x:c r="G516" s="48" t="str">
        <x:v>Obligation</x:v>
      </x:c>
      <x:c r="H516" s="48" t="str">
        <x:v>Contractor</x:v>
      </x:c>
      <x:c r="I516" s="48" t="n">
        <x:v>0.88</x:v>
      </x:c>
      <x:c r="J516" s="48" t="n">
        <x:v>0.92</x:v>
      </x:c>
      <x:c r="K516" s="48" t="str">
        <x:v>No</x:v>
      </x:c>
      <x:c r="L516" s="48" t="str">
        <x:v>PDF text</x:v>
      </x:c>
    </x:row>
    <x:row r="517">
      <x:c r="A517" s="48" t="str">
        <x:v>RED-0516</x:v>
      </x:c>
      <x:c r="B517" s="48" t="str">
        <x:v>RED</x:v>
      </x:c>
      <x:c r="C517" s="48" t="str">
        <x:v>English</x:v>
      </x:c>
      <x:c r="D517" s="48" t="n">
        <x:v>37</x:v>
      </x:c>
      <x:c r="E517" s="48" t="str"/>
      <x:c r="F517" s="48" t="str">
        <x:v>This person shall be qualified for this responsibility, and shall have the authority to issue instructions and take protective measures to prevent accidents.</x:v>
      </x:c>
      <x:c r="G517" s="48" t="str">
        <x:v>Obligation</x:v>
      </x:c>
      <x:c r="H517" s="48" t="str">
        <x:v>Shared</x:v>
      </x:c>
      <x:c r="I517" s="48" t="n">
        <x:v>0.88</x:v>
      </x:c>
      <x:c r="J517" s="48" t="n">
        <x:v>0.4</x:v>
      </x:c>
      <x:c r="K517" s="48" t="str">
        <x:v>Yes</x:v>
      </x:c>
      <x:c r="L517" s="48" t="str">
        <x:v>PDF text</x:v>
      </x:c>
    </x:row>
    <x:row r="518">
      <x:c r="A518" s="48" t="str">
        <x:v>RED-0517</x:v>
      </x:c>
      <x:c r="B518" s="48" t="str">
        <x:v>RED</x:v>
      </x:c>
      <x:c r="C518" s="48" t="str">
        <x:v>English</x:v>
      </x:c>
      <x:c r="D518" s="48" t="n">
        <x:v>37</x:v>
      </x:c>
      <x:c r="E518" s="48" t="str"/>
      <x:c r="F518" s="48" t="str">
        <x:v>Throughout the execution of the Works, the</x:v>
      </x:c>
      <x:c r="G518" s="48" t="str">
        <x:v>Obligation</x:v>
      </x:c>
      <x:c r="H518" s="48" t="str">
        <x:v>Shared</x:v>
      </x:c>
      <x:c r="I518" s="48" t="n">
        <x:v>0.45</x:v>
      </x:c>
      <x:c r="J518" s="48" t="n">
        <x:v>0.4</x:v>
      </x:c>
      <x:c r="K518" s="48" t="str">
        <x:v>Yes</x:v>
      </x:c>
      <x:c r="L518" s="48" t="str">
        <x:v>PDF text</x:v>
      </x:c>
    </x:row>
    <x:row r="519">
      <x:c r="A519" s="48" t="str">
        <x:v>RED-0518</x:v>
      </x:c>
      <x:c r="B519" s="48" t="str">
        <x:v>RED</x:v>
      </x:c>
      <x:c r="C519" s="48" t="str">
        <x:v>English</x:v>
      </x:c>
      <x:c r="D519" s="48" t="n">
        <x:v>37</x:v>
      </x:c>
      <x:c r="E519" s="48" t="str"/>
      <x:c r="F519" s="48" t="str">
        <x:v>Contractor shall provide whatever is required by this person to exercise this</x:v>
      </x:c>
      <x:c r="G519" s="48" t="str">
        <x:v>Obligation</x:v>
      </x:c>
      <x:c r="H519" s="48" t="str">
        <x:v>Contractor</x:v>
      </x:c>
      <x:c r="I519" s="48" t="n">
        <x:v>0.88</x:v>
      </x:c>
      <x:c r="J519" s="48" t="n">
        <x:v>0.68</x:v>
      </x:c>
      <x:c r="K519" s="48" t="str">
        <x:v>Yes</x:v>
      </x:c>
      <x:c r="L519" s="48" t="str">
        <x:v>PDF text</x:v>
      </x:c>
    </x:row>
    <x:row r="520">
      <x:c r="A520" s="48" t="str">
        <x:v>RED-0519</x:v>
      </x:c>
      <x:c r="B520" s="48" t="str">
        <x:v>RED</x:v>
      </x:c>
      <x:c r="C520" s="48" t="str">
        <x:v>English</x:v>
      </x:c>
      <x:c r="D520" s="48" t="n">
        <x:v>37</x:v>
      </x:c>
      <x:c r="E520" s="48" t="str"/>
      <x:c r="F520" s="48" t="str">
        <x:v>responsibility and authority.</x:v>
      </x:c>
      <x:c r="G520" s="48" t="str">
        <x:v>Obligation</x:v>
      </x:c>
      <x:c r="H520" s="48" t="str">
        <x:v>Shared</x:v>
      </x:c>
      <x:c r="I520" s="48" t="n">
        <x:v>0.45</x:v>
      </x:c>
      <x:c r="J520" s="48" t="n">
        <x:v>0.4</x:v>
      </x:c>
      <x:c r="K520" s="48" t="str">
        <x:v>Yes</x:v>
      </x:c>
      <x:c r="L520" s="48" t="str">
        <x:v>PDF text</x:v>
      </x:c>
    </x:row>
    <x:row r="521">
      <x:c r="A521" s="48" t="str">
        <x:v>RED-0520</x:v>
      </x:c>
      <x:c r="B521" s="48" t="str">
        <x:v>RED</x:v>
      </x:c>
      <x:c r="C521" s="48" t="str">
        <x:v>English</x:v>
      </x:c>
      <x:c r="D521" s="48" t="n">
        <x:v>37</x:v>
      </x:c>
      <x:c r="E521" s="48" t="str"/>
      <x:c r="F521" s="48" t="str">
        <x:v>The Contractor shall send, to the Engineer, details of any accident as soon as</x:v>
      </x:c>
      <x:c r="G521" s="48" t="str">
        <x:v>Obligation</x:v>
      </x:c>
      <x:c r="H521" s="48" t="str">
        <x:v>Contractor</x:v>
      </x:c>
      <x:c r="I521" s="48" t="n">
        <x:v>0.88</x:v>
      </x:c>
      <x:c r="J521" s="48" t="n">
        <x:v>0.92</x:v>
      </x:c>
      <x:c r="K521" s="48" t="str">
        <x:v>No</x:v>
      </x:c>
      <x:c r="L521" s="48" t="str">
        <x:v>PDF text</x:v>
      </x:c>
    </x:row>
    <x:row r="522">
      <x:c r="A522" s="48" t="str">
        <x:v>RED-0521</x:v>
      </x:c>
      <x:c r="B522" s="48" t="str">
        <x:v>RED</x:v>
      </x:c>
      <x:c r="C522" s="48" t="str">
        <x:v>English</x:v>
      </x:c>
      <x:c r="D522" s="48" t="n">
        <x:v>37</x:v>
      </x:c>
      <x:c r="E522" s="48" t="str"/>
      <x:c r="F522" s="48" t="str">
        <x:v>practicable after its occurrence.</x:v>
      </x:c>
      <x:c r="G522" s="48" t="str">
        <x:v>Obligation</x:v>
      </x:c>
      <x:c r="H522" s="48" t="str">
        <x:v>Shared</x:v>
      </x:c>
      <x:c r="I522" s="48" t="n">
        <x:v>0.45</x:v>
      </x:c>
      <x:c r="J522" s="48" t="n">
        <x:v>0.4</x:v>
      </x:c>
      <x:c r="K522" s="48" t="str">
        <x:v>Yes</x:v>
      </x:c>
      <x:c r="L522" s="48" t="str">
        <x:v>PDF text</x:v>
      </x:c>
    </x:row>
    <x:row r="523">
      <x:c r="A523" s="48" t="str">
        <x:v>RED-0522</x:v>
      </x:c>
      <x:c r="B523" s="48" t="str">
        <x:v>RED</x:v>
      </x:c>
      <x:c r="C523" s="48" t="str">
        <x:v>English</x:v>
      </x:c>
      <x:c r="D523" s="48" t="n">
        <x:v>37</x:v>
      </x:c>
      <x:c r="E523" s="48" t="str"/>
      <x:c r="F523" s="48" t="str">
        <x:v>The Contractor shall maintain records and make reports concerning health, safety and welfare of persons, and damage to property, as the Engineer may reasonably require.</x:v>
      </x:c>
      <x:c r="G523" s="48" t="str">
        <x:v>Obligation</x:v>
      </x:c>
      <x:c r="H523" s="48" t="str">
        <x:v>Contractor</x:v>
      </x:c>
      <x:c r="I523" s="48" t="n">
        <x:v>0.88</x:v>
      </x:c>
      <x:c r="J523" s="48" t="n">
        <x:v>0.92</x:v>
      </x:c>
      <x:c r="K523" s="48" t="str">
        <x:v>No</x:v>
      </x:c>
      <x:c r="L523" s="48" t="str">
        <x:v>PDF text</x:v>
      </x:c>
    </x:row>
    <x:row r="524">
      <x:c r="A524" s="48" t="str">
        <x:v>RED-0523</x:v>
      </x:c>
      <x:c r="B524" s="48" t="str">
        <x:v>RED</x:v>
      </x:c>
      <x:c r="C524" s="48" t="str">
        <x:v>English</x:v>
      </x:c>
      <x:c r="D524" s="48" t="n">
        <x:v>37</x:v>
      </x:c>
      <x:c r="E524" s="48" t="str"/>
      <x:c r="F524" s="48" t="str">
        <x:v>HIV-AIDS Prevention.</x:v>
      </x:c>
      <x:c r="G524" s="48" t="str">
        <x:v>Obligation</x:v>
      </x:c>
      <x:c r="H524" s="48" t="str">
        <x:v>Shared</x:v>
      </x:c>
      <x:c r="I524" s="48" t="n">
        <x:v>0.45</x:v>
      </x:c>
      <x:c r="J524" s="48" t="n">
        <x:v>0.4</x:v>
      </x:c>
      <x:c r="K524" s="48" t="str">
        <x:v>Yes</x:v>
      </x:c>
      <x:c r="L524" s="48" t="str">
        <x:v>PDF text</x:v>
      </x:c>
    </x:row>
    <x:row r="525">
      <x:c r="A525" s="48" t="str">
        <x:v>RED-0524</x:v>
      </x:c>
      <x:c r="B525" s="48" t="str">
        <x:v>RED</x:v>
      </x:c>
      <x:c r="C525" s="48" t="str">
        <x:v>English</x:v>
      </x:c>
      <x:c r="D525" s="48" t="n">
        <x:v>37</x:v>
      </x:c>
      <x:c r="E525" s="48" t="str"/>
      <x:c r="F525" s="48" t="str">
        <x:v>The Contractor shall conduct an HIV-AIDS awareness programme via an approved service provider, and shall undertake such other measures as are specified in this Contract to reduce the risk of the transfer of the HIV virus between and among the Contractor’s Personnel and the local community, to promote early diagnosis and to assist affected individuals.</x:v>
      </x:c>
      <x:c r="G525" s="48" t="str">
        <x:v>Obligation</x:v>
      </x:c>
      <x:c r="H525" s="48" t="str">
        <x:v>Contractor</x:v>
      </x:c>
      <x:c r="I525" s="48" t="n">
        <x:v>0.88</x:v>
      </x:c>
      <x:c r="J525" s="48" t="n">
        <x:v>0.92</x:v>
      </x:c>
      <x:c r="K525" s="48" t="str">
        <x:v>No</x:v>
      </x:c>
      <x:c r="L525" s="48" t="str">
        <x:v>PDF text</x:v>
      </x:c>
    </x:row>
    <x:row r="526">
      <x:c r="A526" s="48" t="str">
        <x:v>RED-0525</x:v>
      </x:c>
      <x:c r="B526" s="48" t="str">
        <x:v>RED</x:v>
      </x:c>
      <x:c r="C526" s="48" t="str">
        <x:v>English</x:v>
      </x:c>
      <x:c r="D526" s="48" t="n">
        <x:v>37</x:v>
      </x:c>
      <x:c r="E526" s="48" t="str"/>
      <x:c r="F526" s="48" t="str">
        <x:v>The Contractor shall throughout the contract (including the Defects Notification</x:v>
      </x:c>
      <x:c r="G526" s="48" t="str">
        <x:v>Obligation</x:v>
      </x:c>
      <x:c r="H526" s="48" t="str">
        <x:v>Contractor</x:v>
      </x:c>
      <x:c r="I526" s="48" t="n">
        <x:v>0.88</x:v>
      </x:c>
      <x:c r="J526" s="48" t="n">
        <x:v>0.92</x:v>
      </x:c>
      <x:c r="K526" s="48" t="str">
        <x:v>No</x:v>
      </x:c>
      <x:c r="L526" s="48" t="str">
        <x:v>PDF text</x:v>
      </x:c>
    </x:row>
    <x:row r="527">
      <x:c r="A527" s="48" t="str">
        <x:v>RED-0526</x:v>
      </x:c>
      <x:c r="B527" s="48" t="str">
        <x:v>RED</x:v>
      </x:c>
      <x:c r="C527" s="48" t="str">
        <x:v>English</x:v>
      </x:c>
      <x:c r="D527" s="48" t="n">
        <x:v>37</x:v>
      </x:c>
      <x:c r="E527" s="48" t="str"/>
      <x:c r="F527" s="48" t="str">
        <x:v>Period): (i) conduct Information, Education and Consultation Communication (IEC) campaigns, at least every other month, addressed to all the Site staff and labour (including all the Contractor’s employees, all Subcontractors and Consultants’ employees, and all truck drivers and crew making deliveries to Site for construction activities) and to the immediate local communities, concerning the risks, dangers and impact of, and appropriate avoidance behaviour with respect to, Sexually Transmitted Diseases (STD)-or Sexually Transmitted Infections (STI) in general and HIV/AIDS in particular; (ii) provide male or female condoms for all Site staff and labour as appropriate; and (iii) provide for STI and HIV/AIDS screening, diagnosis, counselling and referral to a dedicated national STI and HIV/AIDS programme, (unless otherwise agreed) of all Site staff and labour.</x:v>
      </x:c>
      <x:c r="G527" s="48" t="str">
        <x:v>Obligation</x:v>
      </x:c>
      <x:c r="H527" s="48" t="str">
        <x:v>Contractor</x:v>
      </x:c>
      <x:c r="I527" s="48" t="n">
        <x:v>0.45</x:v>
      </x:c>
      <x:c r="J527" s="48" t="n">
        <x:v>0.68</x:v>
      </x:c>
      <x:c r="K527" s="48" t="str">
        <x:v>Yes</x:v>
      </x:c>
      <x:c r="L527" s="48" t="str">
        <x:v>PDF text</x:v>
      </x:c>
    </x:row>
    <x:row r="528">
      <x:c r="A528" s="48" t="str">
        <x:v>RED-0527</x:v>
      </x:c>
      <x:c r="B528" s="48" t="str">
        <x:v>RED</x:v>
      </x:c>
      <x:c r="C528" s="48" t="str">
        <x:v>English</x:v>
      </x:c>
      <x:c r="D528" s="48" t="n">
        <x:v>37</x:v>
      </x:c>
      <x:c r="E528" s="48" t="str"/>
      <x:c r="F528" s="48" t="str">
        <x:v>The Contractor shall include in the programme to be submitted for the execution of the Works under Sub-Clause 8.3 an alleviation programme for Site staff and labour and their families in respect of Sexually Transmitted Infections (STI) and Sexually Transmitted Diseases (STD) including HIV/AIDS.</x:v>
      </x:c>
      <x:c r="G528" s="48" t="str">
        <x:v>Obligation</x:v>
      </x:c>
      <x:c r="H528" s="48" t="str">
        <x:v>Contractor</x:v>
      </x:c>
      <x:c r="I528" s="48" t="n">
        <x:v>0.88</x:v>
      </x:c>
      <x:c r="J528" s="48" t="n">
        <x:v>0.92</x:v>
      </x:c>
      <x:c r="K528" s="48" t="str">
        <x:v>No</x:v>
      </x:c>
      <x:c r="L528" s="48" t="str">
        <x:v>PDF text</x:v>
      </x:c>
    </x:row>
    <x:row r="529">
      <x:c r="A529" s="48" t="str">
        <x:v>RED-0528</x:v>
      </x:c>
      <x:c r="B529" s="48" t="str">
        <x:v>RED</x:v>
      </x:c>
      <x:c r="C529" s="48" t="str">
        <x:v>English</x:v>
      </x:c>
      <x:c r="D529" s="48" t="n">
        <x:v>37</x:v>
      </x:c>
      <x:c r="E529" s="48" t="str"/>
      <x:c r="F529" s="48" t="str">
        <x:v>The STI, STD and HIV/AIDS alleviation programme shall indicate when, how and at what cost the Contractor plans to satisfy the requirements of this Sub-Clause and the related specification.</x:v>
      </x:c>
      <x:c r="G529" s="48" t="str">
        <x:v>Obligation</x:v>
      </x:c>
      <x:c r="H529" s="48" t="str">
        <x:v>Contractor</x:v>
      </x:c>
      <x:c r="I529" s="48" t="n">
        <x:v>0.88</x:v>
      </x:c>
      <x:c r="J529" s="48" t="n">
        <x:v>0.68</x:v>
      </x:c>
      <x:c r="K529" s="48" t="str">
        <x:v>Yes</x:v>
      </x:c>
      <x:c r="L529" s="48" t="str">
        <x:v>PDF text</x:v>
      </x:c>
    </x:row>
    <x:row r="530">
      <x:c r="A530" s="48" t="str">
        <x:v>RED-0529</x:v>
      </x:c>
      <x:c r="B530" s="48" t="str">
        <x:v>RED</x:v>
      </x:c>
      <x:c r="C530" s="48" t="str">
        <x:v>English</x:v>
      </x:c>
      <x:c r="D530" s="48" t="n">
        <x:v>37</x:v>
      </x:c>
      <x:c r="E530" s="48" t="str"/>
      <x:c r="F530" s="48" t="str">
        <x:v>For each component, the programme shall detail the resources to be provided or utilized and any related sub-contracting proposed.</x:v>
      </x:c>
      <x:c r="G530" s="48" t="str">
        <x:v>Obligation</x:v>
      </x:c>
      <x:c r="H530" s="48" t="str">
        <x:v>Shared</x:v>
      </x:c>
      <x:c r="I530" s="48" t="n">
        <x:v>0.88</x:v>
      </x:c>
      <x:c r="J530" s="48" t="n">
        <x:v>0.4</x:v>
      </x:c>
      <x:c r="K530" s="48" t="str">
        <x:v>Yes</x:v>
      </x:c>
      <x:c r="L530" s="48" t="str">
        <x:v>PDF text</x:v>
      </x:c>
    </x:row>
    <x:row r="531">
      <x:c r="A531" s="48" t="str">
        <x:v>RED-0530</x:v>
      </x:c>
      <x:c r="B531" s="48" t="str">
        <x:v>RED</x:v>
      </x:c>
      <x:c r="C531" s="48" t="str">
        <x:v>English</x:v>
      </x:c>
      <x:c r="D531" s="48" t="n">
        <x:v>37</x:v>
      </x:c>
      <x:c r="E531" s="48" t="str"/>
      <x:c r="F531" s="48" t="str">
        <x:v>The programme shall also include provision of 6.6</x:v>
      </x:c>
      <x:c r="G531" s="48" t="str">
        <x:v>Obligation</x:v>
      </x:c>
      <x:c r="H531" s="48" t="str">
        <x:v>Shared</x:v>
      </x:c>
      <x:c r="I531" s="48" t="n">
        <x:v>0.88</x:v>
      </x:c>
      <x:c r="J531" s="48" t="n">
        <x:v>0.4</x:v>
      </x:c>
      <x:c r="K531" s="48" t="str">
        <x:v>Yes</x:v>
      </x:c>
      <x:c r="L531" s="48" t="str">
        <x:v>PDF text</x:v>
      </x:c>
    </x:row>
    <x:row r="532">
      <x:c r="A532" s="48" t="str">
        <x:v>RED-0531</x:v>
      </x:c>
      <x:c r="B532" s="48" t="str">
        <x:v>RED</x:v>
      </x:c>
      <x:c r="C532" s="48" t="str">
        <x:v>English</x:v>
      </x:c>
      <x:c r="D532" s="48" t="n">
        <x:v>37</x:v>
      </x:c>
      <x:c r="E532" s="48" t="str"/>
      <x:c r="F532" s="48" t="str">
        <x:v>Facilities for Staff</x:v>
      </x:c>
      <x:c r="G532" s="48" t="str">
        <x:v>Obligation</x:v>
      </x:c>
      <x:c r="H532" s="48" t="str">
        <x:v>Shared</x:v>
      </x:c>
      <x:c r="I532" s="48" t="n">
        <x:v>0.45</x:v>
      </x:c>
      <x:c r="J532" s="48" t="n">
        <x:v>0.4</x:v>
      </x:c>
      <x:c r="K532" s="48" t="str">
        <x:v>Yes</x:v>
      </x:c>
      <x:c r="L532" s="48" t="str">
        <x:v>PDF text</x:v>
      </x:c>
    </x:row>
    <x:row r="533">
      <x:c r="A533" s="48" t="str">
        <x:v>RED-0532</x:v>
      </x:c>
      <x:c r="B533" s="48" t="str">
        <x:v>RED</x:v>
      </x:c>
      <x:c r="C533" s="48" t="str">
        <x:v>English</x:v>
      </x:c>
      <x:c r="D533" s="48" t="n">
        <x:v>37</x:v>
      </x:c>
      <x:c r="E533" s="48" t="str"/>
      <x:c r="F533" s="48" t="str">
        <x:v>and Labour 6.7</x:v>
      </x:c>
      <x:c r="G533" s="48" t="str">
        <x:v>Obligation</x:v>
      </x:c>
      <x:c r="H533" s="48" t="str">
        <x:v>Shared</x:v>
      </x:c>
      <x:c r="I533" s="48" t="n">
        <x:v>0.45</x:v>
      </x:c>
      <x:c r="J533" s="48" t="n">
        <x:v>0.4</x:v>
      </x:c>
      <x:c r="K533" s="48" t="str">
        <x:v>Yes</x:v>
      </x:c>
      <x:c r="L533" s="48" t="str">
        <x:v>PDF text</x:v>
      </x:c>
    </x:row>
    <x:row r="534">
      <x:c r="A534" s="48" t="str">
        <x:v>RED-0533</x:v>
      </x:c>
      <x:c r="B534" s="48" t="str">
        <x:v>RED</x:v>
      </x:c>
      <x:c r="C534" s="48" t="str">
        <x:v>English</x:v>
      </x:c>
      <x:c r="D534" s="48" t="n">
        <x:v>37</x:v>
      </x:c>
      <x:c r="E534" s="48" t="str"/>
      <x:c r="F534" s="48" t="str">
        <x:v>Health and Safety</x:v>
      </x:c>
      <x:c r="G534" s="48" t="str">
        <x:v>Obligation</x:v>
      </x:c>
      <x:c r="H534" s="48" t="str">
        <x:v>Shared</x:v>
      </x:c>
      <x:c r="I534" s="48" t="n">
        <x:v>0.45</x:v>
      </x:c>
      <x:c r="J534" s="48" t="n">
        <x:v>0.4</x:v>
      </x:c>
      <x:c r="K534" s="48" t="str">
        <x:v>Yes</x:v>
      </x:c>
      <x:c r="L534" s="48" t="str">
        <x:v>PDF text</x:v>
      </x:c>
    </x:row>
    <x:row r="535">
      <x:c r="A535" s="48" t="str">
        <x:v>RED-0534</x:v>
      </x:c>
      <x:c r="B535" s="48" t="str">
        <x:v>RED</x:v>
      </x:c>
      <x:c r="C535" s="48" t="str">
        <x:v>English</x:v>
      </x:c>
      <x:c r="D535" s="48" t="n">
        <x:v>38</x:v>
      </x:c>
      <x:c r="E535" s="48" t="str"/>
      <x:c r="F535" s="48" t="str">
        <x:v>a detailed cost estimate with supporting documentation.</x:v>
      </x:c>
      <x:c r="G535" s="48" t="str">
        <x:v>Obligation</x:v>
      </x:c>
      <x:c r="H535" s="48" t="str">
        <x:v>Shared</x:v>
      </x:c>
      <x:c r="I535" s="48" t="n">
        <x:v>0.45</x:v>
      </x:c>
      <x:c r="J535" s="48" t="n">
        <x:v>0.4</x:v>
      </x:c>
      <x:c r="K535" s="48" t="str">
        <x:v>Yes</x:v>
      </x:c>
      <x:c r="L535" s="48" t="str">
        <x:v>PDF text</x:v>
      </x:c>
    </x:row>
    <x:row r="536">
      <x:c r="A536" s="48" t="str">
        <x:v>RED-0535</x:v>
      </x:c>
      <x:c r="B536" s="48" t="str">
        <x:v>RED</x:v>
      </x:c>
      <x:c r="C536" s="48" t="str">
        <x:v>English</x:v>
      </x:c>
      <x:c r="D536" s="48" t="n">
        <x:v>38</x:v>
      </x:c>
      <x:c r="E536" s="48" t="str"/>
      <x:c r="F536" s="48" t="str">
        <x:v>Payment to the Contractor for preparation and implementation this programme shall not exceed the Provisional Sum dedicated for this purpose.</x:v>
      </x:c>
      <x:c r="G536" s="48" t="str">
        <x:v>Obligation</x:v>
      </x:c>
      <x:c r="H536" s="48" t="str">
        <x:v>Contractor</x:v>
      </x:c>
      <x:c r="I536" s="48" t="n">
        <x:v>0.88</x:v>
      </x:c>
      <x:c r="J536" s="48" t="n">
        <x:v>0.68</x:v>
      </x:c>
      <x:c r="K536" s="48" t="str">
        <x:v>Yes</x:v>
      </x:c>
      <x:c r="L536" s="48" t="str">
        <x:v>PDF text</x:v>
      </x:c>
    </x:row>
    <x:row r="537">
      <x:c r="A537" s="48" t="str">
        <x:v>RED-0536</x:v>
      </x:c>
      <x:c r="B537" s="48" t="str">
        <x:v>RED</x:v>
      </x:c>
      <x:c r="C537" s="48" t="str">
        <x:v>English</x:v>
      </x:c>
      <x:c r="D537" s="48" t="n">
        <x:v>38</x:v>
      </x:c>
      <x:c r="E537" s="48" t="str"/>
      <x:c r="F537" s="48" t="str">
        <x:v>Throughout the execution of the Works, and as long thereafter as is necessary to fulfil the Contractor’s obligations, the Contractor shall provide all necessary superintendence to plan, arrange, direct, manage, inspect and test the work.</x:v>
      </x:c>
      <x:c r="G537" s="48" t="str">
        <x:v>Obligation</x:v>
      </x:c>
      <x:c r="H537" s="48" t="str">
        <x:v>Contractor</x:v>
      </x:c>
      <x:c r="I537" s="48" t="n">
        <x:v>0.88</x:v>
      </x:c>
      <x:c r="J537" s="48" t="n">
        <x:v>0.92</x:v>
      </x:c>
      <x:c r="K537" s="48" t="str">
        <x:v>No</x:v>
      </x:c>
      <x:c r="L537" s="48" t="str">
        <x:v>PDF text</x:v>
      </x:c>
    </x:row>
    <x:row r="538">
      <x:c r="A538" s="48" t="str">
        <x:v>RED-0537</x:v>
      </x:c>
      <x:c r="B538" s="48" t="str">
        <x:v>RED</x:v>
      </x:c>
      <x:c r="C538" s="48" t="str">
        <x:v>English</x:v>
      </x:c>
      <x:c r="D538" s="48" t="n">
        <x:v>38</x:v>
      </x:c>
      <x:c r="E538" s="48" t="str"/>
      <x:c r="F538" s="48" t="str">
        <x:v>Superintendence shall be given by a sufficient number of persons having adequate</x:v>
      </x:c>
      <x:c r="G538" s="48" t="str">
        <x:v>Obligation</x:v>
      </x:c>
      <x:c r="H538" s="48" t="str">
        <x:v>Shared</x:v>
      </x:c>
      <x:c r="I538" s="48" t="n">
        <x:v>0.88</x:v>
      </x:c>
      <x:c r="J538" s="48" t="n">
        <x:v>0.4</x:v>
      </x:c>
      <x:c r="K538" s="48" t="str">
        <x:v>Yes</x:v>
      </x:c>
      <x:c r="L538" s="48" t="str">
        <x:v>PDF text</x:v>
      </x:c>
    </x:row>
    <x:row r="539">
      <x:c r="A539" s="48" t="str">
        <x:v>RED-0538</x:v>
      </x:c>
      <x:c r="B539" s="48" t="str">
        <x:v>RED</x:v>
      </x:c>
      <x:c r="C539" s="48" t="str">
        <x:v>English</x:v>
      </x:c>
      <x:c r="D539" s="48" t="n">
        <x:v>38</x:v>
      </x:c>
      <x:c r="E539" s="48" t="str"/>
      <x:c r="F539" s="48" t="str">
        <x:v>knowledge of the language for communications (defined in Sub-Clause 1.4 [Law and Language]) and of the operations to be carried out (including the methods and techniques required, the hazards likely to be encountered and methods of preventing accidents), for the satisfactory and safe execution of the Works.</x:v>
      </x:c>
      <x:c r="G539" s="48" t="str">
        <x:v>Obligation</x:v>
      </x:c>
      <x:c r="H539" s="48" t="str">
        <x:v>Shared</x:v>
      </x:c>
      <x:c r="I539" s="48" t="n">
        <x:v>0.45</x:v>
      </x:c>
      <x:c r="J539" s="48" t="n">
        <x:v>0.4</x:v>
      </x:c>
      <x:c r="K539" s="48" t="str">
        <x:v>Yes</x:v>
      </x:c>
      <x:c r="L539" s="48" t="str">
        <x:v>PDF text</x:v>
      </x:c>
    </x:row>
    <x:row r="540">
      <x:c r="A540" s="48" t="str">
        <x:v>RED-0539</x:v>
      </x:c>
      <x:c r="B540" s="48" t="str">
        <x:v>RED</x:v>
      </x:c>
      <x:c r="C540" s="48" t="str">
        <x:v>English</x:v>
      </x:c>
      <x:c r="D540" s="48" t="n">
        <x:v>38</x:v>
      </x:c>
      <x:c r="E540" s="48" t="str"/>
      <x:c r="F540" s="48" t="str">
        <x:v>The Contractor’s Personnel shall be appropriately qualified, skilled and experienced in their respective trades or occupations.</x:v>
      </x:c>
      <x:c r="G540" s="48" t="str">
        <x:v>Obligation</x:v>
      </x:c>
      <x:c r="H540" s="48" t="str">
        <x:v>Contractor</x:v>
      </x:c>
      <x:c r="I540" s="48" t="n">
        <x:v>0.88</x:v>
      </x:c>
      <x:c r="J540" s="48" t="n">
        <x:v>0.68</x:v>
      </x:c>
      <x:c r="K540" s="48" t="str">
        <x:v>Yes</x:v>
      </x:c>
      <x:c r="L540" s="48" t="str">
        <x:v>PDF text</x:v>
      </x:c>
    </x:row>
    <x:row r="541">
      <x:c r="A541" s="48" t="str">
        <x:v>RED-0540</x:v>
      </x:c>
      <x:c r="B541" s="48" t="str">
        <x:v>RED</x:v>
      </x:c>
      <x:c r="C541" s="48" t="str">
        <x:v>English</x:v>
      </x:c>
      <x:c r="D541" s="48" t="n">
        <x:v>38</x:v>
      </x:c>
      <x:c r="E541" s="48" t="str"/>
      <x:c r="F541" s="48" t="str">
        <x:v>The Engineer may require the Contractor to remove (or cause to be removed) any person employed on the Site or Works, including the Contractor’s Representative if applicable, who: (a) persists in any misconduct or lack of care, (b) carries out duties incompetently or negligently, (c) fails to conform with any provisions of the Contract, or (d) persists in any conduct which is prejudicial to safety, health, or the protection of the environment.</x:v>
      </x:c>
      <x:c r="G541" s="48" t="str">
        <x:v>Right</x:v>
      </x:c>
      <x:c r="H541" s="48" t="str">
        <x:v>Contractor</x:v>
      </x:c>
      <x:c r="I541" s="48" t="n">
        <x:v>0.78</x:v>
      </x:c>
      <x:c r="J541" s="48" t="n">
        <x:v>0.68</x:v>
      </x:c>
      <x:c r="K541" s="48" t="str">
        <x:v>Yes</x:v>
      </x:c>
      <x:c r="L541" s="48" t="str">
        <x:v>PDF text</x:v>
      </x:c>
    </x:row>
    <x:row r="542">
      <x:c r="A542" s="48" t="str">
        <x:v>RED-0541</x:v>
      </x:c>
      <x:c r="B542" s="48" t="str">
        <x:v>RED</x:v>
      </x:c>
      <x:c r="C542" s="48" t="str">
        <x:v>English</x:v>
      </x:c>
      <x:c r="D542" s="48" t="n">
        <x:v>38</x:v>
      </x:c>
      <x:c r="E542" s="48" t="str"/>
      <x:c r="F542" s="48" t="str">
        <x:v>If appropriate, the Contractor shall then appoint (or cause to be appointed) a suitable replacement person.</x:v>
      </x:c>
      <x:c r="G542" s="48" t="str">
        <x:v>Obligation</x:v>
      </x:c>
      <x:c r="H542" s="48" t="str">
        <x:v>Contractor</x:v>
      </x:c>
      <x:c r="I542" s="48" t="n">
        <x:v>0.88</x:v>
      </x:c>
      <x:c r="J542" s="48" t="n">
        <x:v>0.92</x:v>
      </x:c>
      <x:c r="K542" s="48" t="str">
        <x:v>No</x:v>
      </x:c>
      <x:c r="L542" s="48" t="str">
        <x:v>PDF text</x:v>
      </x:c>
    </x:row>
    <x:row r="543">
      <x:c r="A543" s="48" t="str">
        <x:v>RED-0542</x:v>
      </x:c>
      <x:c r="B543" s="48" t="str">
        <x:v>RED</x:v>
      </x:c>
      <x:c r="C543" s="48" t="str">
        <x:v>English</x:v>
      </x:c>
      <x:c r="D543" s="48" t="n">
        <x:v>38</x:v>
      </x:c>
      <x:c r="E543" s="48" t="str"/>
      <x:c r="F543" s="48" t="str">
        <x:v>The Contractor shall submit, to the Engineer, details showing the number of each</x:v>
      </x:c>
      <x:c r="G543" s="48" t="str">
        <x:v>Obligation</x:v>
      </x:c>
      <x:c r="H543" s="48" t="str">
        <x:v>Contractor</x:v>
      </x:c>
      <x:c r="I543" s="48" t="n">
        <x:v>0.88</x:v>
      </x:c>
      <x:c r="J543" s="48" t="n">
        <x:v>0.92</x:v>
      </x:c>
      <x:c r="K543" s="48" t="str">
        <x:v>No</x:v>
      </x:c>
      <x:c r="L543" s="48" t="str">
        <x:v>PDF text</x:v>
      </x:c>
    </x:row>
    <x:row r="544">
      <x:c r="A544" s="48" t="str">
        <x:v>RED-0543</x:v>
      </x:c>
      <x:c r="B544" s="48" t="str">
        <x:v>RED</x:v>
      </x:c>
      <x:c r="C544" s="48" t="str">
        <x:v>English</x:v>
      </x:c>
      <x:c r="D544" s="48" t="n">
        <x:v>38</x:v>
      </x:c>
      <x:c r="E544" s="48" t="str"/>
      <x:c r="F544" s="48" t="str">
        <x:v>class of Contractor’s Personnel and of each type of Contractor’s Equipment on the Site.</x:v>
      </x:c>
      <x:c r="G544" s="48" t="str">
        <x:v>Obligation</x:v>
      </x:c>
      <x:c r="H544" s="48" t="str">
        <x:v>Contractor</x:v>
      </x:c>
      <x:c r="I544" s="48" t="n">
        <x:v>0.45</x:v>
      </x:c>
      <x:c r="J544" s="48" t="n">
        <x:v>0.68</x:v>
      </x:c>
      <x:c r="K544" s="48" t="str">
        <x:v>Yes</x:v>
      </x:c>
      <x:c r="L544" s="48" t="str">
        <x:v>PDF text</x:v>
      </x:c>
    </x:row>
    <x:row r="545">
      <x:c r="A545" s="48" t="str">
        <x:v>RED-0544</x:v>
      </x:c>
      <x:c r="B545" s="48" t="str">
        <x:v>RED</x:v>
      </x:c>
      <x:c r="C545" s="48" t="str">
        <x:v>English</x:v>
      </x:c>
      <x:c r="D545" s="48" t="n">
        <x:v>38</x:v>
      </x:c>
      <x:c r="E545" s="48" t="str"/>
      <x:c r="F545" s="48" t="str">
        <x:v>Details shall be submitted each calendar month, in a form approved by the</x:v>
      </x:c>
      <x:c r="G545" s="48" t="str">
        <x:v>Obligation</x:v>
      </x:c>
      <x:c r="H545" s="48" t="str">
        <x:v>Shared</x:v>
      </x:c>
      <x:c r="I545" s="48" t="n">
        <x:v>0.88</x:v>
      </x:c>
      <x:c r="J545" s="48" t="n">
        <x:v>0.4</x:v>
      </x:c>
      <x:c r="K545" s="48" t="str">
        <x:v>Yes</x:v>
      </x:c>
      <x:c r="L545" s="48" t="str">
        <x:v>PDF text</x:v>
      </x:c>
    </x:row>
    <x:row r="546">
      <x:c r="A546" s="48" t="str">
        <x:v>RED-0545</x:v>
      </x:c>
      <x:c r="B546" s="48" t="str">
        <x:v>RED</x:v>
      </x:c>
      <x:c r="C546" s="48" t="str">
        <x:v>English</x:v>
      </x:c>
      <x:c r="D546" s="48" t="n">
        <x:v>38</x:v>
      </x:c>
      <x:c r="E546" s="48" t="str"/>
      <x:c r="F546" s="48" t="str">
        <x:v>Engineer, until the Contractor has completed all work which is known to be</x:v>
      </x:c>
      <x:c r="G546" s="48" t="str">
        <x:v>Obligation</x:v>
      </x:c>
      <x:c r="H546" s="48" t="str">
        <x:v>Contractor</x:v>
      </x:c>
      <x:c r="I546" s="48" t="n">
        <x:v>0.45</x:v>
      </x:c>
      <x:c r="J546" s="48" t="n">
        <x:v>0.68</x:v>
      </x:c>
      <x:c r="K546" s="48" t="str">
        <x:v>Yes</x:v>
      </x:c>
      <x:c r="L546" s="48" t="str">
        <x:v>PDF text</x:v>
      </x:c>
    </x:row>
    <x:row r="547">
      <x:c r="A547" s="48" t="str">
        <x:v>RED-0546</x:v>
      </x:c>
      <x:c r="B547" s="48" t="str">
        <x:v>RED</x:v>
      </x:c>
      <x:c r="C547" s="48" t="str">
        <x:v>English</x:v>
      </x:c>
      <x:c r="D547" s="48" t="n">
        <x:v>38</x:v>
      </x:c>
      <x:c r="E547" s="48" t="str"/>
      <x:c r="F547" s="48" t="str">
        <x:v>outstanding at the completion date stated in the Taking-Over Certificate for the Works.</x:v>
      </x:c>
      <x:c r="G547" s="48" t="str">
        <x:v>Obligation</x:v>
      </x:c>
      <x:c r="H547" s="48" t="str">
        <x:v>Shared</x:v>
      </x:c>
      <x:c r="I547" s="48" t="n">
        <x:v>0.55</x:v>
      </x:c>
      <x:c r="J547" s="48" t="n">
        <x:v>0.4</x:v>
      </x:c>
      <x:c r="K547" s="48" t="str">
        <x:v>Yes</x:v>
      </x:c>
      <x:c r="L547" s="48" t="str">
        <x:v>PDF text</x:v>
      </x:c>
    </x:row>
    <x:row r="548">
      <x:c r="A548" s="48" t="str">
        <x:v>RED-0547</x:v>
      </x:c>
      <x:c r="B548" s="48" t="str">
        <x:v>RED</x:v>
      </x:c>
      <x:c r="C548" s="48" t="str">
        <x:v>English</x:v>
      </x:c>
      <x:c r="D548" s="48" t="n">
        <x:v>38</x:v>
      </x:c>
      <x:c r="E548" s="48" t="str"/>
      <x:c r="F548" s="48" t="str">
        <x:v>The Contractor shall at all times take all reasonable precautions to prevent any</x:v>
      </x:c>
      <x:c r="G548" s="48" t="str">
        <x:v>Obligation</x:v>
      </x:c>
      <x:c r="H548" s="48" t="str">
        <x:v>Contractor</x:v>
      </x:c>
      <x:c r="I548" s="48" t="n">
        <x:v>0.88</x:v>
      </x:c>
      <x:c r="J548" s="48" t="n">
        <x:v>0.92</x:v>
      </x:c>
      <x:c r="K548" s="48" t="str">
        <x:v>No</x:v>
      </x:c>
      <x:c r="L548" s="48" t="str">
        <x:v>PDF text</x:v>
      </x:c>
    </x:row>
    <x:row r="549">
      <x:c r="A549" s="48" t="str">
        <x:v>RED-0548</x:v>
      </x:c>
      <x:c r="B549" s="48" t="str">
        <x:v>RED</x:v>
      </x:c>
      <x:c r="C549" s="48" t="str">
        <x:v>English</x:v>
      </x:c>
      <x:c r="D549" s="48" t="n">
        <x:v>38</x:v>
      </x:c>
      <x:c r="E549" s="48" t="str"/>
      <x:c r="F549" s="48" t="str">
        <x:v>unlawful, riotous or disorderly conduct by or amongst the Contractor’s Personnel, and to preserve peace and protection of persons and property on and near the Site.</x:v>
      </x:c>
      <x:c r="G549" s="48" t="str">
        <x:v>Obligation</x:v>
      </x:c>
      <x:c r="H549" s="48" t="str">
        <x:v>Contractor</x:v>
      </x:c>
      <x:c r="I549" s="48" t="n">
        <x:v>0.45</x:v>
      </x:c>
      <x:c r="J549" s="48" t="n">
        <x:v>0.68</x:v>
      </x:c>
      <x:c r="K549" s="48" t="str">
        <x:v>Yes</x:v>
      </x:c>
      <x:c r="L549" s="48" t="str">
        <x:v>PDF text</x:v>
      </x:c>
    </x:row>
    <x:row r="550">
      <x:c r="A550" s="48" t="str">
        <x:v>RED-0549</x:v>
      </x:c>
      <x:c r="B550" s="48" t="str">
        <x:v>RED</x:v>
      </x:c>
      <x:c r="C550" s="48" t="str">
        <x:v>English</x:v>
      </x:c>
      <x:c r="D550" s="48" t="n">
        <x:v>38</x:v>
      </x:c>
      <x:c r="E550" s="48" t="str"/>
      <x:c r="F550" s="48" t="str">
        <x:v>The Contractor may bring in to the country any foreign personnel who are necessary for the execution of the Works to the extent allowed by the applicable Laws.</x:v>
      </x:c>
      <x:c r="G550" s="48" t="str">
        <x:v>Right</x:v>
      </x:c>
      <x:c r="H550" s="48" t="str">
        <x:v>Contractor</x:v>
      </x:c>
      <x:c r="I550" s="48" t="n">
        <x:v>0.78</x:v>
      </x:c>
      <x:c r="J550" s="48" t="n">
        <x:v>0.92</x:v>
      </x:c>
      <x:c r="K550" s="48" t="str">
        <x:v>No</x:v>
      </x:c>
      <x:c r="L550" s="48" t="str">
        <x:v>PDF text</x:v>
      </x:c>
    </x:row>
    <x:row r="551">
      <x:c r="A551" s="48" t="str">
        <x:v>RED-0550</x:v>
      </x:c>
      <x:c r="B551" s="48" t="str">
        <x:v>RED</x:v>
      </x:c>
      <x:c r="C551" s="48" t="str">
        <x:v>English</x:v>
      </x:c>
      <x:c r="D551" s="48" t="n">
        <x:v>38</x:v>
      </x:c>
      <x:c r="E551" s="48" t="str"/>
      <x:c r="F551" s="48" t="str">
        <x:v>The Contractor shall ensure that these personnel are provided with the required residence visas and work permits.</x:v>
      </x:c>
      <x:c r="G551" s="48" t="str">
        <x:v>Obligation</x:v>
      </x:c>
      <x:c r="H551" s="48" t="str">
        <x:v>Contractor</x:v>
      </x:c>
      <x:c r="I551" s="48" t="n">
        <x:v>0.88</x:v>
      </x:c>
      <x:c r="J551" s="48" t="n">
        <x:v>0.92</x:v>
      </x:c>
      <x:c r="K551" s="48" t="str">
        <x:v>No</x:v>
      </x:c>
      <x:c r="L551" s="48" t="str">
        <x:v>PDF text</x:v>
      </x:c>
    </x:row>
    <x:row r="552">
      <x:c r="A552" s="48" t="str">
        <x:v>RED-0551</x:v>
      </x:c>
      <x:c r="B552" s="48" t="str">
        <x:v>RED</x:v>
      </x:c>
      <x:c r="C552" s="48" t="str">
        <x:v>English</x:v>
      </x:c>
      <x:c r="D552" s="48" t="n">
        <x:v>38</x:v>
      </x:c>
      <x:c r="E552" s="48" t="str"/>
      <x:c r="F552" s="48" t="str">
        <x:v>The Employer will, if requested by the Contractor, use his best endeavours in a timely and expeditious manner to assist the Contractor in obtaining any local, state, national, or government permission required for bringing in the Contractor’s personnel.</x:v>
      </x:c>
      <x:c r="G552" s="48" t="str">
        <x:v>Obligation</x:v>
      </x:c>
      <x:c r="H552" s="48" t="str">
        <x:v>Shared</x:v>
      </x:c>
      <x:c r="I552" s="48" t="n">
        <x:v>0.45</x:v>
      </x:c>
      <x:c r="J552" s="48" t="n">
        <x:v>0.6</x:v>
      </x:c>
      <x:c r="K552" s="48" t="str">
        <x:v>Yes</x:v>
      </x:c>
      <x:c r="L552" s="48" t="str">
        <x:v>PDF text</x:v>
      </x:c>
    </x:row>
    <x:row r="553">
      <x:c r="A553" s="48" t="str">
        <x:v>RED-0552</x:v>
      </x:c>
      <x:c r="B553" s="48" t="str">
        <x:v>RED</x:v>
      </x:c>
      <x:c r="C553" s="48" t="str">
        <x:v>English</x:v>
      </x:c>
      <x:c r="D553" s="48" t="n">
        <x:v>38</x:v>
      </x:c>
      <x:c r="E553" s="48" t="str"/>
      <x:c r="F553" s="48" t="str">
        <x:v>The Contractor shall be responsible for the return of these personnel to the place where they were recruited or to their domicile.</x:v>
      </x:c>
      <x:c r="G553" s="48" t="str">
        <x:v>Obligation</x:v>
      </x:c>
      <x:c r="H553" s="48" t="str">
        <x:v>Contractor</x:v>
      </x:c>
      <x:c r="I553" s="48" t="n">
        <x:v>0.88</x:v>
      </x:c>
      <x:c r="J553" s="48" t="n">
        <x:v>0.92</x:v>
      </x:c>
      <x:c r="K553" s="48" t="str">
        <x:v>No</x:v>
      </x:c>
      <x:c r="L553" s="48" t="str">
        <x:v>PDF text</x:v>
      </x:c>
    </x:row>
    <x:row r="554">
      <x:c r="A554" s="48" t="str">
        <x:v>RED-0553</x:v>
      </x:c>
      <x:c r="B554" s="48" t="str">
        <x:v>RED</x:v>
      </x:c>
      <x:c r="C554" s="48" t="str">
        <x:v>English</x:v>
      </x:c>
      <x:c r="D554" s="48" t="n">
        <x:v>38</x:v>
      </x:c>
      <x:c r="E554" s="48" t="str"/>
      <x:c r="F554" s="48" t="str">
        <x:v>In the event of the death in the Country of any of these personnel or members of their families, the Contractor shall similarly be responsible for making the appropriate arrangements for their return or burial.</x:v>
      </x:c>
      <x:c r="G554" s="48" t="str">
        <x:v>Obligation</x:v>
      </x:c>
      <x:c r="H554" s="48" t="str">
        <x:v>Contractor</x:v>
      </x:c>
      <x:c r="I554" s="48" t="n">
        <x:v>0.88</x:v>
      </x:c>
      <x:c r="J554" s="48" t="n">
        <x:v>0.92</x:v>
      </x:c>
      <x:c r="K554" s="48" t="str">
        <x:v>No</x:v>
      </x:c>
      <x:c r="L554" s="48" t="str">
        <x:v>PDF text</x:v>
      </x:c>
    </x:row>
    <x:row r="555">
      <x:c r="A555" s="48" t="str">
        <x:v>RED-0554</x:v>
      </x:c>
      <x:c r="B555" s="48" t="str">
        <x:v>RED</x:v>
      </x:c>
      <x:c r="C555" s="48" t="str">
        <x:v>English</x:v>
      </x:c>
      <x:c r="D555" s="48" t="n">
        <x:v>38</x:v>
      </x:c>
      <x:c r="E555" s="48" t="str"/>
      <x:c r="F555" s="48" t="str">
        <x:v>Superintendence</x:v>
      </x:c>
      <x:c r="G555" s="48" t="str">
        <x:v>Obligation</x:v>
      </x:c>
      <x:c r="H555" s="48" t="str">
        <x:v>Shared</x:v>
      </x:c>
      <x:c r="I555" s="48" t="n">
        <x:v>0.45</x:v>
      </x:c>
      <x:c r="J555" s="48" t="n">
        <x:v>0.4</x:v>
      </x:c>
      <x:c r="K555" s="48" t="str">
        <x:v>Yes</x:v>
      </x:c>
      <x:c r="L555" s="48" t="str">
        <x:v>PDF text</x:v>
      </x:c>
    </x:row>
    <x:row r="556">
      <x:c r="A556" s="48" t="str">
        <x:v>RED-0555</x:v>
      </x:c>
      <x:c r="B556" s="48" t="str">
        <x:v>RED</x:v>
      </x:c>
      <x:c r="C556" s="48" t="str">
        <x:v>English</x:v>
      </x:c>
      <x:c r="D556" s="48" t="n">
        <x:v>38</x:v>
      </x:c>
      <x:c r="E556" s="48" t="str"/>
      <x:c r="F556" s="48" t="str">
        <x:v>Personnel</x:v>
      </x:c>
      <x:c r="G556" s="48" t="str">
        <x:v>Obligation</x:v>
      </x:c>
      <x:c r="H556" s="48" t="str">
        <x:v>Shared</x:v>
      </x:c>
      <x:c r="I556" s="48" t="n">
        <x:v>0.45</x:v>
      </x:c>
      <x:c r="J556" s="48" t="n">
        <x:v>0.4</x:v>
      </x:c>
      <x:c r="K556" s="48" t="str">
        <x:v>Yes</x:v>
      </x:c>
      <x:c r="L556" s="48" t="str">
        <x:v>PDF text</x:v>
      </x:c>
    </x:row>
    <x:row r="557">
      <x:c r="A557" s="48" t="str">
        <x:v>RED-0556</x:v>
      </x:c>
      <x:c r="B557" s="48" t="str">
        <x:v>RED</x:v>
      </x:c>
      <x:c r="C557" s="48" t="str">
        <x:v>English</x:v>
      </x:c>
      <x:c r="D557" s="48" t="n">
        <x:v>38</x:v>
      </x:c>
      <x:c r="E557" s="48" t="str"/>
      <x:c r="F557" s="48" t="str">
        <x:v>Records of Contractor’s</x:v>
      </x:c>
      <x:c r="G557" s="48" t="str">
        <x:v>Obligation</x:v>
      </x:c>
      <x:c r="H557" s="48" t="str">
        <x:v>Contractor</x:v>
      </x:c>
      <x:c r="I557" s="48" t="n">
        <x:v>0.45</x:v>
      </x:c>
      <x:c r="J557" s="48" t="n">
        <x:v>0.68</x:v>
      </x:c>
      <x:c r="K557" s="48" t="str">
        <x:v>Yes</x:v>
      </x:c>
      <x:c r="L557" s="48" t="str">
        <x:v>PDF text</x:v>
      </x:c>
    </x:row>
    <x:row r="558">
      <x:c r="A558" s="48" t="str">
        <x:v>RED-0557</x:v>
      </x:c>
      <x:c r="B558" s="48" t="str">
        <x:v>RED</x:v>
      </x:c>
      <x:c r="C558" s="48" t="str">
        <x:v>English</x:v>
      </x:c>
      <x:c r="D558" s="48" t="n">
        <x:v>38</x:v>
      </x:c>
      <x:c r="E558" s="48" t="str"/>
      <x:c r="F558" s="48" t="str">
        <x:v>Personnel and</x:v>
      </x:c>
      <x:c r="G558" s="48" t="str">
        <x:v>Obligation</x:v>
      </x:c>
      <x:c r="H558" s="48" t="str">
        <x:v>Shared</x:v>
      </x:c>
      <x:c r="I558" s="48" t="n">
        <x:v>0.45</x:v>
      </x:c>
      <x:c r="J558" s="48" t="n">
        <x:v>0.4</x:v>
      </x:c>
      <x:c r="K558" s="48" t="str">
        <x:v>Yes</x:v>
      </x:c>
      <x:c r="L558" s="48" t="str">
        <x:v>PDF text</x:v>
      </x:c>
    </x:row>
    <x:row r="559">
      <x:c r="A559" s="48" t="str">
        <x:v>RED-0558</x:v>
      </x:c>
      <x:c r="B559" s="48" t="str">
        <x:v>RED</x:v>
      </x:c>
      <x:c r="C559" s="48" t="str">
        <x:v>English</x:v>
      </x:c>
      <x:c r="D559" s="48" t="n">
        <x:v>38</x:v>
      </x:c>
      <x:c r="E559" s="48" t="str"/>
      <x:c r="F559" s="48" t="str">
        <x:v>Disorderly Conduct</x:v>
      </x:c>
      <x:c r="G559" s="48" t="str">
        <x:v>Obligation</x:v>
      </x:c>
      <x:c r="H559" s="48" t="str">
        <x:v>Shared</x:v>
      </x:c>
      <x:c r="I559" s="48" t="n">
        <x:v>0.45</x:v>
      </x:c>
      <x:c r="J559" s="48" t="n">
        <x:v>0.4</x:v>
      </x:c>
      <x:c r="K559" s="48" t="str">
        <x:v>Yes</x:v>
      </x:c>
      <x:c r="L559" s="48" t="str">
        <x:v>PDF text</x:v>
      </x:c>
    </x:row>
    <x:row r="560">
      <x:c r="A560" s="48" t="str">
        <x:v>RED-0559</x:v>
      </x:c>
      <x:c r="B560" s="48" t="str">
        <x:v>RED</x:v>
      </x:c>
      <x:c r="C560" s="48" t="str">
        <x:v>English</x:v>
      </x:c>
      <x:c r="D560" s="48" t="n">
        <x:v>38</x:v>
      </x:c>
      <x:c r="E560" s="48" t="str"/>
      <x:c r="F560" s="48" t="str">
        <x:v>Foreign Personnel</x:v>
      </x:c>
      <x:c r="G560" s="48" t="str">
        <x:v>Obligation</x:v>
      </x:c>
      <x:c r="H560" s="48" t="str">
        <x:v>Shared</x:v>
      </x:c>
      <x:c r="I560" s="48" t="n">
        <x:v>0.45</x:v>
      </x:c>
      <x:c r="J560" s="48" t="n">
        <x:v>0.4</x:v>
      </x:c>
      <x:c r="K560" s="48" t="str">
        <x:v>Yes</x:v>
      </x:c>
      <x:c r="L560" s="48" t="str">
        <x:v>PDF text</x:v>
      </x:c>
    </x:row>
    <x:row r="561">
      <x:c r="A561" s="48" t="str">
        <x:v>RED-0560</x:v>
      </x:c>
      <x:c r="B561" s="48" t="str">
        <x:v>RED</x:v>
      </x:c>
      <x:c r="C561" s="48" t="str">
        <x:v>English</x:v>
      </x:c>
      <x:c r="D561" s="48" t="n">
        <x:v>39</x:v>
      </x:c>
      <x:c r="E561" s="48" t="str"/>
      <x:c r="F561" s="48" t="str">
        <x:v>The Contractor shall arrange for the provision of a sufficient supply of suitable food as may be stated in the Specification at reasonable prices for the Contractor’s Personnel for the purposes of or in connection with the Contract.</x:v>
      </x:c>
      <x:c r="G561" s="48" t="str">
        <x:v>Obligation</x:v>
      </x:c>
      <x:c r="H561" s="48" t="str">
        <x:v>Contractor</x:v>
      </x:c>
      <x:c r="I561" s="48" t="n">
        <x:v>0.88</x:v>
      </x:c>
      <x:c r="J561" s="48" t="n">
        <x:v>0.92</x:v>
      </x:c>
      <x:c r="K561" s="48" t="str">
        <x:v>No</x:v>
      </x:c>
      <x:c r="L561" s="48" t="str">
        <x:v>PDF text</x:v>
      </x:c>
    </x:row>
    <x:row r="562">
      <x:c r="A562" s="48" t="str">
        <x:v>RED-0561</x:v>
      </x:c>
      <x:c r="B562" s="48" t="str">
        <x:v>RED</x:v>
      </x:c>
      <x:c r="C562" s="48" t="str">
        <x:v>English</x:v>
      </x:c>
      <x:c r="D562" s="48" t="n">
        <x:v>39</x:v>
      </x:c>
      <x:c r="E562" s="48" t="str"/>
      <x:c r="F562" s="48" t="str">
        <x:v>The Contractor shall, having regard to local conditions, provide on the Site an</x:v>
      </x:c>
      <x:c r="G562" s="48" t="str">
        <x:v>Obligation</x:v>
      </x:c>
      <x:c r="H562" s="48" t="str">
        <x:v>Contractor</x:v>
      </x:c>
      <x:c r="I562" s="48" t="n">
        <x:v>0.88</x:v>
      </x:c>
      <x:c r="J562" s="48" t="n">
        <x:v>0.92</x:v>
      </x:c>
      <x:c r="K562" s="48" t="str">
        <x:v>No</x:v>
      </x:c>
      <x:c r="L562" s="48" t="str">
        <x:v>PDF text</x:v>
      </x:c>
    </x:row>
    <x:row r="563">
      <x:c r="A563" s="48" t="str">
        <x:v>RED-0562</x:v>
      </x:c>
      <x:c r="B563" s="48" t="str">
        <x:v>RED</x:v>
      </x:c>
      <x:c r="C563" s="48" t="str">
        <x:v>English</x:v>
      </x:c>
      <x:c r="D563" s="48" t="n">
        <x:v>39</x:v>
      </x:c>
      <x:c r="E563" s="48" t="str"/>
      <x:c r="F563" s="48" t="str">
        <x:v>adequate supply of drinking and other water for the use of the Contractor’s Personnel.</x:v>
      </x:c>
      <x:c r="G563" s="48" t="str">
        <x:v>Obligation</x:v>
      </x:c>
      <x:c r="H563" s="48" t="str">
        <x:v>Contractor</x:v>
      </x:c>
      <x:c r="I563" s="48" t="n">
        <x:v>0.45</x:v>
      </x:c>
      <x:c r="J563" s="48" t="n">
        <x:v>0.68</x:v>
      </x:c>
      <x:c r="K563" s="48" t="str">
        <x:v>Yes</x:v>
      </x:c>
      <x:c r="L563" s="48" t="str">
        <x:v>PDF text</x:v>
      </x:c>
    </x:row>
    <x:row r="564">
      <x:c r="A564" s="48" t="str">
        <x:v>RED-0563</x:v>
      </x:c>
      <x:c r="B564" s="48" t="str">
        <x:v>RED</x:v>
      </x:c>
      <x:c r="C564" s="48" t="str">
        <x:v>English</x:v>
      </x:c>
      <x:c r="D564" s="48" t="n">
        <x:v>39</x:v>
      </x:c>
      <x:c r="E564" s="48" t="str"/>
      <x:c r="F564" s="48" t="str">
        <x:v>The Contractor shall at all times take the necessary precautions to protect the</x:v>
      </x:c>
      <x:c r="G564" s="48" t="str">
        <x:v>Obligation</x:v>
      </x:c>
      <x:c r="H564" s="48" t="str">
        <x:v>Contractor</x:v>
      </x:c>
      <x:c r="I564" s="48" t="n">
        <x:v>0.88</x:v>
      </x:c>
      <x:c r="J564" s="48" t="n">
        <x:v>0.92</x:v>
      </x:c>
      <x:c r="K564" s="48" t="str">
        <x:v>No</x:v>
      </x:c>
      <x:c r="L564" s="48" t="str">
        <x:v>PDF text</x:v>
      </x:c>
    </x:row>
    <x:row r="565">
      <x:c r="A565" s="48" t="str">
        <x:v>RED-0564</x:v>
      </x:c>
      <x:c r="B565" s="48" t="str">
        <x:v>RED</x:v>
      </x:c>
      <x:c r="C565" s="48" t="str">
        <x:v>English</x:v>
      </x:c>
      <x:c r="D565" s="48" t="n">
        <x:v>39</x:v>
      </x:c>
      <x:c r="E565" s="48" t="str"/>
      <x:c r="F565" s="48" t="str">
        <x:v>Contractor’s Personnel employed on the Site from insect and pest nuisance, and to</x:v>
      </x:c>
      <x:c r="G565" s="48" t="str">
        <x:v>Obligation</x:v>
      </x:c>
      <x:c r="H565" s="48" t="str">
        <x:v>Contractor</x:v>
      </x:c>
      <x:c r="I565" s="48" t="n">
        <x:v>0.45</x:v>
      </x:c>
      <x:c r="J565" s="48" t="n">
        <x:v>0.68</x:v>
      </x:c>
      <x:c r="K565" s="48" t="str">
        <x:v>Yes</x:v>
      </x:c>
      <x:c r="L565" s="48" t="str">
        <x:v>PDF text</x:v>
      </x:c>
    </x:row>
    <x:row r="566">
      <x:c r="A566" s="48" t="str">
        <x:v>RED-0565</x:v>
      </x:c>
      <x:c r="B566" s="48" t="str">
        <x:v>RED</x:v>
      </x:c>
      <x:c r="C566" s="48" t="str">
        <x:v>English</x:v>
      </x:c>
      <x:c r="D566" s="48" t="n">
        <x:v>39</x:v>
      </x:c>
      <x:c r="E566" s="48" t="str"/>
      <x:c r="F566" s="48" t="str">
        <x:v>reduce their danger to health.</x:v>
      </x:c>
      <x:c r="G566" s="48" t="str">
        <x:v>Obligation</x:v>
      </x:c>
      <x:c r="H566" s="48" t="str">
        <x:v>Shared</x:v>
      </x:c>
      <x:c r="I566" s="48" t="n">
        <x:v>0.45</x:v>
      </x:c>
      <x:c r="J566" s="48" t="n">
        <x:v>0.4</x:v>
      </x:c>
      <x:c r="K566" s="48" t="str">
        <x:v>Yes</x:v>
      </x:c>
      <x:c r="L566" s="48" t="str">
        <x:v>PDF text</x:v>
      </x:c>
    </x:row>
    <x:row r="567">
      <x:c r="A567" s="48" t="str">
        <x:v>RED-0566</x:v>
      </x:c>
      <x:c r="B567" s="48" t="str">
        <x:v>RED</x:v>
      </x:c>
      <x:c r="C567" s="48" t="str">
        <x:v>English</x:v>
      </x:c>
      <x:c r="D567" s="48" t="n">
        <x:v>39</x:v>
      </x:c>
      <x:c r="E567" s="48" t="str"/>
      <x:c r="F567" s="48" t="str">
        <x:v>The Contractor shall comply with all the regulations of the local health authorities, including use of appropriate insecticide.</x:v>
      </x:c>
      <x:c r="G567" s="48" t="str">
        <x:v>Obligation</x:v>
      </x:c>
      <x:c r="H567" s="48" t="str">
        <x:v>Contractor</x:v>
      </x:c>
      <x:c r="I567" s="48" t="n">
        <x:v>0.88</x:v>
      </x:c>
      <x:c r="J567" s="48" t="n">
        <x:v>0.92</x:v>
      </x:c>
      <x:c r="K567" s="48" t="str">
        <x:v>No</x:v>
      </x:c>
      <x:c r="L567" s="48" t="str">
        <x:v>PDF text</x:v>
      </x:c>
    </x:row>
    <x:row r="568">
      <x:c r="A568" s="48" t="str">
        <x:v>RED-0567</x:v>
      </x:c>
      <x:c r="B568" s="48" t="str">
        <x:v>RED</x:v>
      </x:c>
      <x:c r="C568" s="48" t="str">
        <x:v>English</x:v>
      </x:c>
      <x:c r="D568" s="48" t="n">
        <x:v>39</x:v>
      </x:c>
      <x:c r="E568" s="48" t="str"/>
      <x:c r="F568" s="48" t="str">
        <x:v>The Contractor shall not, otherwise than in accordance with the Laws of the Country, import, sell, give, barter or otherwise dispose of any alcoholic liquor or drugs, or permit or allow importation, sale, gift, barter or disposal thereto by Contractor’s Personnel.</x:v>
      </x:c>
      <x:c r="G568" s="48" t="str">
        <x:v>Obligation</x:v>
      </x:c>
      <x:c r="H568" s="48" t="str">
        <x:v>Contractor</x:v>
      </x:c>
      <x:c r="I568" s="48" t="n">
        <x:v>0.88</x:v>
      </x:c>
      <x:c r="J568" s="48" t="n">
        <x:v>0.92</x:v>
      </x:c>
      <x:c r="K568" s="48" t="str">
        <x:v>No</x:v>
      </x:c>
      <x:c r="L568" s="48" t="str">
        <x:v>PDF text</x:v>
      </x:c>
    </x:row>
    <x:row r="569">
      <x:c r="A569" s="48" t="str">
        <x:v>RED-0568</x:v>
      </x:c>
      <x:c r="B569" s="48" t="str">
        <x:v>RED</x:v>
      </x:c>
      <x:c r="C569" s="48" t="str">
        <x:v>English</x:v>
      </x:c>
      <x:c r="D569" s="48" t="n">
        <x:v>39</x:v>
      </x:c>
      <x:c r="E569" s="48" t="str"/>
      <x:c r="F569" s="48" t="str">
        <x:v>The Contractor shall not give, barter, or otherwise dispose of, to any person, any arms or ammunition of any kind, or allow Contractor’s Personnel to do so.</x:v>
      </x:c>
      <x:c r="G569" s="48" t="str">
        <x:v>Obligation</x:v>
      </x:c>
      <x:c r="H569" s="48" t="str">
        <x:v>Contractor</x:v>
      </x:c>
      <x:c r="I569" s="48" t="n">
        <x:v>0.88</x:v>
      </x:c>
      <x:c r="J569" s="48" t="n">
        <x:v>0.92</x:v>
      </x:c>
      <x:c r="K569" s="48" t="str">
        <x:v>No</x:v>
      </x:c>
      <x:c r="L569" s="48" t="str">
        <x:v>PDF text</x:v>
      </x:c>
    </x:row>
    <x:row r="570">
      <x:c r="A570" s="48" t="str">
        <x:v>RED-0569</x:v>
      </x:c>
      <x:c r="B570" s="48" t="str">
        <x:v>RED</x:v>
      </x:c>
      <x:c r="C570" s="48" t="str">
        <x:v>English</x:v>
      </x:c>
      <x:c r="D570" s="48" t="n">
        <x:v>39</x:v>
      </x:c>
      <x:c r="E570" s="48" t="str"/>
      <x:c r="F570" s="48" t="str">
        <x:v>The Contractor shall respect the Country’s recognized festivals, days of rest and</x:v>
      </x:c>
      <x:c r="G570" s="48" t="str">
        <x:v>Obligation</x:v>
      </x:c>
      <x:c r="H570" s="48" t="str">
        <x:v>Contractor</x:v>
      </x:c>
      <x:c r="I570" s="48" t="n">
        <x:v>0.88</x:v>
      </x:c>
      <x:c r="J570" s="48" t="n">
        <x:v>0.92</x:v>
      </x:c>
      <x:c r="K570" s="48" t="str">
        <x:v>No</x:v>
      </x:c>
      <x:c r="L570" s="48" t="str">
        <x:v>PDF text</x:v>
      </x:c>
    </x:row>
    <x:row r="571">
      <x:c r="A571" s="48" t="str">
        <x:v>RED-0570</x:v>
      </x:c>
      <x:c r="B571" s="48" t="str">
        <x:v>RED</x:v>
      </x:c>
      <x:c r="C571" s="48" t="str">
        <x:v>English</x:v>
      </x:c>
      <x:c r="D571" s="48" t="n">
        <x:v>39</x:v>
      </x:c>
      <x:c r="E571" s="48" t="str"/>
      <x:c r="F571" s="48" t="str">
        <x:v>religious or other customs.</x:v>
      </x:c>
      <x:c r="G571" s="48" t="str">
        <x:v>Obligation</x:v>
      </x:c>
      <x:c r="H571" s="48" t="str">
        <x:v>Shared</x:v>
      </x:c>
      <x:c r="I571" s="48" t="n">
        <x:v>0.45</x:v>
      </x:c>
      <x:c r="J571" s="48" t="n">
        <x:v>0.4</x:v>
      </x:c>
      <x:c r="K571" s="48" t="str">
        <x:v>Yes</x:v>
      </x:c>
      <x:c r="L571" s="48" t="str">
        <x:v>PDF text</x:v>
      </x:c>
    </x:row>
    <x:row r="572">
      <x:c r="A572" s="48" t="str">
        <x:v>RED-0571</x:v>
      </x:c>
      <x:c r="B572" s="48" t="str">
        <x:v>RED</x:v>
      </x:c>
      <x:c r="C572" s="48" t="str">
        <x:v>English</x:v>
      </x:c>
      <x:c r="D572" s="48" t="n">
        <x:v>39</x:v>
      </x:c>
      <x:c r="E572" s="48" t="str"/>
      <x:c r="F572" s="48" t="str">
        <x:v>The Contractor shall be responsible, to the extent required by local regulations, for making any funeral arrangements for any of his local employees who may die while engaged upon the Works.</x:v>
      </x:c>
      <x:c r="G572" s="48" t="str">
        <x:v>Obligation</x:v>
      </x:c>
      <x:c r="H572" s="48" t="str">
        <x:v>Contractor</x:v>
      </x:c>
      <x:c r="I572" s="48" t="n">
        <x:v>0.88</x:v>
      </x:c>
      <x:c r="J572" s="48" t="n">
        <x:v>0.92</x:v>
      </x:c>
      <x:c r="K572" s="48" t="str">
        <x:v>No</x:v>
      </x:c>
      <x:c r="L572" s="48" t="str">
        <x:v>PDF text</x:v>
      </x:c>
    </x:row>
    <x:row r="573">
      <x:c r="A573" s="48" t="str">
        <x:v>RED-0572</x:v>
      </x:c>
      <x:c r="B573" s="48" t="str">
        <x:v>RED</x:v>
      </x:c>
      <x:c r="C573" s="48" t="str">
        <x:v>English</x:v>
      </x:c>
      <x:c r="D573" s="48" t="n">
        <x:v>39</x:v>
      </x:c>
      <x:c r="E573" s="48" t="str"/>
      <x:c r="F573" s="48" t="str">
        <x:v>The contractor shall not employ “forced or compulsory labour” in any form.</x:v>
      </x:c>
      <x:c r="G573" s="48" t="str">
        <x:v>Obligation</x:v>
      </x:c>
      <x:c r="H573" s="48" t="str">
        <x:v>Contractor</x:v>
      </x:c>
      <x:c r="I573" s="48" t="n">
        <x:v>0.88</x:v>
      </x:c>
      <x:c r="J573" s="48" t="n">
        <x:v>0.92</x:v>
      </x:c>
      <x:c r="K573" s="48" t="str">
        <x:v>No</x:v>
      </x:c>
      <x:c r="L573" s="48" t="str">
        <x:v>PDF text</x:v>
      </x:c>
    </x:row>
    <x:row r="574">
      <x:c r="A574" s="48" t="str">
        <x:v>RED-0573</x:v>
      </x:c>
      <x:c r="B574" s="48" t="str">
        <x:v>RED</x:v>
      </x:c>
      <x:c r="C574" s="48" t="str">
        <x:v>English</x:v>
      </x:c>
      <x:c r="D574" s="48" t="n">
        <x:v>39</x:v>
      </x:c>
      <x:c r="E574" s="48" t="str"/>
      <x:c r="F574" s="48" t="str">
        <x:v>“Forced or compulsory labour” consists of all work or service, not voluntarily performed, that is extracted from an individual under threat of force or penalty.</x:v>
      </x:c>
      <x:c r="G574" s="48" t="str">
        <x:v>Obligation</x:v>
      </x:c>
      <x:c r="H574" s="48" t="str">
        <x:v>Shared</x:v>
      </x:c>
      <x:c r="I574" s="48" t="n">
        <x:v>0.45</x:v>
      </x:c>
      <x:c r="J574" s="48" t="n">
        <x:v>0.4</x:v>
      </x:c>
      <x:c r="K574" s="48" t="str">
        <x:v>Yes</x:v>
      </x:c>
      <x:c r="L574" s="48" t="str">
        <x:v>PDF text</x:v>
      </x:c>
    </x:row>
    <x:row r="575">
      <x:c r="A575" s="48" t="str">
        <x:v>RED-0574</x:v>
      </x:c>
      <x:c r="B575" s="48" t="str">
        <x:v>RED</x:v>
      </x:c>
      <x:c r="C575" s="48" t="str">
        <x:v>English</x:v>
      </x:c>
      <x:c r="D575" s="48" t="n">
        <x:v>39</x:v>
      </x:c>
      <x:c r="E575" s="48" t="str"/>
      <x:c r="F575" s="48" t="str">
        <x:v>The Contractor shall not employ any child to perform any work that is economically exploitative, or is likely to be hazardous to, or to interfere with, the child’s education, or to be harmful to the child’s health or physical, mental, spiritual, moral, or social development.</x:v>
      </x:c>
      <x:c r="G575" s="48" t="str">
        <x:v>Obligation</x:v>
      </x:c>
      <x:c r="H575" s="48" t="str">
        <x:v>Contractor</x:v>
      </x:c>
      <x:c r="I575" s="48" t="n">
        <x:v>0.88</x:v>
      </x:c>
      <x:c r="J575" s="48" t="n">
        <x:v>0.92</x:v>
      </x:c>
      <x:c r="K575" s="48" t="str">
        <x:v>No</x:v>
      </x:c>
      <x:c r="L575" s="48" t="str">
        <x:v>PDF text</x:v>
      </x:c>
    </x:row>
    <x:row r="576">
      <x:c r="A576" s="48" t="str">
        <x:v>RED-0575</x:v>
      </x:c>
      <x:c r="B576" s="48" t="str">
        <x:v>RED</x:v>
      </x:c>
      <x:c r="C576" s="48" t="str">
        <x:v>English</x:v>
      </x:c>
      <x:c r="D576" s="48" t="n">
        <x:v>39</x:v>
      </x:c>
      <x:c r="E576" s="48" t="str"/>
      <x:c r="F576" s="48" t="str">
        <x:v>The Contractor shall keep complete and accurate records of the employment of</x:v>
      </x:c>
      <x:c r="G576" s="48" t="str">
        <x:v>Obligation</x:v>
      </x:c>
      <x:c r="H576" s="48" t="str">
        <x:v>Contractor</x:v>
      </x:c>
      <x:c r="I576" s="48" t="n">
        <x:v>0.88</x:v>
      </x:c>
      <x:c r="J576" s="48" t="n">
        <x:v>0.92</x:v>
      </x:c>
      <x:c r="K576" s="48" t="str">
        <x:v>No</x:v>
      </x:c>
      <x:c r="L576" s="48" t="str">
        <x:v>PDF text</x:v>
      </x:c>
    </x:row>
    <x:row r="577">
      <x:c r="A577" s="48" t="str">
        <x:v>RED-0576</x:v>
      </x:c>
      <x:c r="B577" s="48" t="str">
        <x:v>RED</x:v>
      </x:c>
      <x:c r="C577" s="48" t="str">
        <x:v>English</x:v>
      </x:c>
      <x:c r="D577" s="48" t="n">
        <x:v>39</x:v>
      </x:c>
      <x:c r="E577" s="48" t="str"/>
      <x:c r="F577" s="48" t="str">
        <x:v>labour at the Site.</x:v>
      </x:c>
      <x:c r="G577" s="48" t="str">
        <x:v>Obligation</x:v>
      </x:c>
      <x:c r="H577" s="48" t="str">
        <x:v>Shared</x:v>
      </x:c>
      <x:c r="I577" s="48" t="n">
        <x:v>0.45</x:v>
      </x:c>
      <x:c r="J577" s="48" t="n">
        <x:v>0.4</x:v>
      </x:c>
      <x:c r="K577" s="48" t="str">
        <x:v>Yes</x:v>
      </x:c>
      <x:c r="L577" s="48" t="str">
        <x:v>PDF text</x:v>
      </x:c>
    </x:row>
    <x:row r="578">
      <x:c r="A578" s="48" t="str">
        <x:v>RED-0577</x:v>
      </x:c>
      <x:c r="B578" s="48" t="str">
        <x:v>RED</x:v>
      </x:c>
      <x:c r="C578" s="48" t="str">
        <x:v>English</x:v>
      </x:c>
      <x:c r="D578" s="48" t="n">
        <x:v>39</x:v>
      </x:c>
      <x:c r="E578" s="48" t="str"/>
      <x:c r="F578" s="48" t="str">
        <x:v>The records shall include the names, ages, genders, hours worked and wages paid to all workers.</x:v>
      </x:c>
      <x:c r="G578" s="48" t="str">
        <x:v>Obligation</x:v>
      </x:c>
      <x:c r="H578" s="48" t="str">
        <x:v>Shared</x:v>
      </x:c>
      <x:c r="I578" s="48" t="n">
        <x:v>0.88</x:v>
      </x:c>
      <x:c r="J578" s="48" t="n">
        <x:v>0.4</x:v>
      </x:c>
      <x:c r="K578" s="48" t="str">
        <x:v>Yes</x:v>
      </x:c>
      <x:c r="L578" s="48" t="str">
        <x:v>PDF text</x:v>
      </x:c>
    </x:row>
    <x:row r="579">
      <x:c r="A579" s="48" t="str">
        <x:v>RED-0578</x:v>
      </x:c>
      <x:c r="B579" s="48" t="str">
        <x:v>RED</x:v>
      </x:c>
      <x:c r="C579" s="48" t="str">
        <x:v>English</x:v>
      </x:c>
      <x:c r="D579" s="48" t="n">
        <x:v>39</x:v>
      </x:c>
      <x:c r="E579" s="48" t="str"/>
      <x:c r="F579" s="48" t="str">
        <x:v>These records shall be summarized on a monthly basis and shall be available for inspection by the Engineer during normal working hours.</x:v>
      </x:c>
      <x:c r="G579" s="48" t="str">
        <x:v>Obligation</x:v>
      </x:c>
      <x:c r="H579" s="48" t="str">
        <x:v>Shared</x:v>
      </x:c>
      <x:c r="I579" s="48" t="n">
        <x:v>0.88</x:v>
      </x:c>
      <x:c r="J579" s="48" t="n">
        <x:v>0.4</x:v>
      </x:c>
      <x:c r="K579" s="48" t="str">
        <x:v>Yes</x:v>
      </x:c>
      <x:c r="L579" s="48" t="str">
        <x:v>PDF text</x:v>
      </x:c>
    </x:row>
    <x:row r="580">
      <x:c r="A580" s="48" t="str">
        <x:v>RED-0579</x:v>
      </x:c>
      <x:c r="B580" s="48" t="str">
        <x:v>RED</x:v>
      </x:c>
      <x:c r="C580" s="48" t="str">
        <x:v>English</x:v>
      </x:c>
      <x:c r="D580" s="48" t="n">
        <x:v>39</x:v>
      </x:c>
      <x:c r="E580" s="48" t="str"/>
      <x:c r="F580" s="48" t="str">
        <x:v>These records shall be included in the details to be submitted by the Contractor under Sub-Clause 6.10 [Records of Contractor’s Personnel and Equipment].</x:v>
      </x:c>
      <x:c r="G580" s="48" t="str">
        <x:v>Obligation</x:v>
      </x:c>
      <x:c r="H580" s="48" t="str">
        <x:v>Contractor</x:v>
      </x:c>
      <x:c r="I580" s="48" t="n">
        <x:v>0.88</x:v>
      </x:c>
      <x:c r="J580" s="48" t="n">
        <x:v>0.68</x:v>
      </x:c>
      <x:c r="K580" s="48" t="str">
        <x:v>Yes</x:v>
      </x:c>
      <x:c r="L580" s="48" t="str">
        <x:v>PDF text</x:v>
      </x:c>
    </x:row>
    <x:row r="581">
      <x:c r="A581" s="48" t="str">
        <x:v>RED-0580</x:v>
      </x:c>
      <x:c r="B581" s="48" t="str">
        <x:v>RED</x:v>
      </x:c>
      <x:c r="C581" s="48" t="str">
        <x:v>English</x:v>
      </x:c>
      <x:c r="D581" s="48" t="n">
        <x:v>39</x:v>
      </x:c>
      <x:c r="E581" s="48" t="str"/>
      <x:c r="F581" s="48" t="str">
        <x:v>Supply of Foodstuffs</x:v>
      </x:c>
      <x:c r="G581" s="48" t="str">
        <x:v>Obligation</x:v>
      </x:c>
      <x:c r="H581" s="48" t="str">
        <x:v>Shared</x:v>
      </x:c>
      <x:c r="I581" s="48" t="n">
        <x:v>0.45</x:v>
      </x:c>
      <x:c r="J581" s="48" t="n">
        <x:v>0.4</x:v>
      </x:c>
      <x:c r="K581" s="48" t="str">
        <x:v>Yes</x:v>
      </x:c>
      <x:c r="L581" s="48" t="str">
        <x:v>PDF text</x:v>
      </x:c>
    </x:row>
    <x:row r="582">
      <x:c r="A582" s="48" t="str">
        <x:v>RED-0581</x:v>
      </x:c>
      <x:c r="B582" s="48" t="str">
        <x:v>RED</x:v>
      </x:c>
      <x:c r="C582" s="48" t="str">
        <x:v>English</x:v>
      </x:c>
      <x:c r="D582" s="48" t="n">
        <x:v>39</x:v>
      </x:c>
      <x:c r="E582" s="48" t="str"/>
      <x:c r="F582" s="48" t="str">
        <x:v>Supply of Water</x:v>
      </x:c>
      <x:c r="G582" s="48" t="str">
        <x:v>Obligation</x:v>
      </x:c>
      <x:c r="H582" s="48" t="str">
        <x:v>Shared</x:v>
      </x:c>
      <x:c r="I582" s="48" t="n">
        <x:v>0.45</x:v>
      </x:c>
      <x:c r="J582" s="48" t="n">
        <x:v>0.4</x:v>
      </x:c>
      <x:c r="K582" s="48" t="str">
        <x:v>Yes</x:v>
      </x:c>
      <x:c r="L582" s="48" t="str">
        <x:v>PDF text</x:v>
      </x:c>
    </x:row>
    <x:row r="583">
      <x:c r="A583" s="48" t="str">
        <x:v>RED-0582</x:v>
      </x:c>
      <x:c r="B583" s="48" t="str">
        <x:v>RED</x:v>
      </x:c>
      <x:c r="C583" s="48" t="str">
        <x:v>English</x:v>
      </x:c>
      <x:c r="D583" s="48" t="n">
        <x:v>39</x:v>
      </x:c>
      <x:c r="E583" s="48" t="str"/>
      <x:c r="F583" s="48" t="str">
        <x:v>Measures against Insect</x:v>
      </x:c>
      <x:c r="G583" s="48" t="str">
        <x:v>Obligation</x:v>
      </x:c>
      <x:c r="H583" s="48" t="str">
        <x:v>Shared</x:v>
      </x:c>
      <x:c r="I583" s="48" t="n">
        <x:v>0.45</x:v>
      </x:c>
      <x:c r="J583" s="48" t="n">
        <x:v>0.4</x:v>
      </x:c>
      <x:c r="K583" s="48" t="str">
        <x:v>Yes</x:v>
      </x:c>
      <x:c r="L583" s="48" t="str">
        <x:v>PDF text</x:v>
      </x:c>
    </x:row>
    <x:row r="584">
      <x:c r="A584" s="48" t="str">
        <x:v>RED-0583</x:v>
      </x:c>
      <x:c r="B584" s="48" t="str">
        <x:v>RED</x:v>
      </x:c>
      <x:c r="C584" s="48" t="str">
        <x:v>English</x:v>
      </x:c>
      <x:c r="D584" s="48" t="n">
        <x:v>39</x:v>
      </x:c>
      <x:c r="E584" s="48" t="str"/>
      <x:c r="F584" s="48" t="str">
        <x:v>and Pest Nuisance 6.16</x:v>
      </x:c>
      <x:c r="G584" s="48" t="str">
        <x:v>Obligation</x:v>
      </x:c>
      <x:c r="H584" s="48" t="str">
        <x:v>Shared</x:v>
      </x:c>
      <x:c r="I584" s="48" t="n">
        <x:v>0.45</x:v>
      </x:c>
      <x:c r="J584" s="48" t="n">
        <x:v>0.4</x:v>
      </x:c>
      <x:c r="K584" s="48" t="str">
        <x:v>Yes</x:v>
      </x:c>
      <x:c r="L584" s="48" t="str">
        <x:v>PDF text</x:v>
      </x:c>
    </x:row>
    <x:row r="585">
      <x:c r="A585" s="48" t="str">
        <x:v>RED-0584</x:v>
      </x:c>
      <x:c r="B585" s="48" t="str">
        <x:v>RED</x:v>
      </x:c>
      <x:c r="C585" s="48" t="str">
        <x:v>English</x:v>
      </x:c>
      <x:c r="D585" s="48" t="n">
        <x:v>39</x:v>
      </x:c>
      <x:c r="E585" s="48" t="str"/>
      <x:c r="F585" s="48" t="str">
        <x:v>Alcoholic Liquor or Drugs</x:v>
      </x:c>
      <x:c r="G585" s="48" t="str">
        <x:v>Obligation</x:v>
      </x:c>
      <x:c r="H585" s="48" t="str">
        <x:v>Shared</x:v>
      </x:c>
      <x:c r="I585" s="48" t="n">
        <x:v>0.45</x:v>
      </x:c>
      <x:c r="J585" s="48" t="n">
        <x:v>0.4</x:v>
      </x:c>
      <x:c r="K585" s="48" t="str">
        <x:v>Yes</x:v>
      </x:c>
      <x:c r="L585" s="48" t="str">
        <x:v>PDF text</x:v>
      </x:c>
    </x:row>
    <x:row r="586">
      <x:c r="A586" s="48" t="str">
        <x:v>RED-0585</x:v>
      </x:c>
      <x:c r="B586" s="48" t="str">
        <x:v>RED</x:v>
      </x:c>
      <x:c r="C586" s="48" t="str">
        <x:v>English</x:v>
      </x:c>
      <x:c r="D586" s="48" t="n">
        <x:v>39</x:v>
      </x:c>
      <x:c r="E586" s="48" t="str"/>
      <x:c r="F586" s="48" t="str">
        <x:v>Arms and Ammunition</x:v>
      </x:c>
      <x:c r="G586" s="48" t="str">
        <x:v>Obligation</x:v>
      </x:c>
      <x:c r="H586" s="48" t="str">
        <x:v>Shared</x:v>
      </x:c>
      <x:c r="I586" s="48" t="n">
        <x:v>0.45</x:v>
      </x:c>
      <x:c r="J586" s="48" t="n">
        <x:v>0.4</x:v>
      </x:c>
      <x:c r="K586" s="48" t="str">
        <x:v>Yes</x:v>
      </x:c>
      <x:c r="L586" s="48" t="str">
        <x:v>PDF text</x:v>
      </x:c>
    </x:row>
    <x:row r="587">
      <x:c r="A587" s="48" t="str">
        <x:v>RED-0586</x:v>
      </x:c>
      <x:c r="B587" s="48" t="str">
        <x:v>RED</x:v>
      </x:c>
      <x:c r="C587" s="48" t="str">
        <x:v>English</x:v>
      </x:c>
      <x:c r="D587" s="48" t="n">
        <x:v>39</x:v>
      </x:c>
      <x:c r="E587" s="48" t="str"/>
      <x:c r="F587" s="48" t="str">
        <x:v>Festivals and Religious</x:v>
      </x:c>
      <x:c r="G587" s="48" t="str">
        <x:v>Obligation</x:v>
      </x:c>
      <x:c r="H587" s="48" t="str">
        <x:v>Shared</x:v>
      </x:c>
      <x:c r="I587" s="48" t="n">
        <x:v>0.45</x:v>
      </x:c>
      <x:c r="J587" s="48" t="n">
        <x:v>0.4</x:v>
      </x:c>
      <x:c r="K587" s="48" t="str">
        <x:v>Yes</x:v>
      </x:c>
      <x:c r="L587" s="48" t="str">
        <x:v>PDF text</x:v>
      </x:c>
    </x:row>
    <x:row r="588">
      <x:c r="A588" s="48" t="str">
        <x:v>RED-0587</x:v>
      </x:c>
      <x:c r="B588" s="48" t="str">
        <x:v>RED</x:v>
      </x:c>
      <x:c r="C588" s="48" t="str">
        <x:v>English</x:v>
      </x:c>
      <x:c r="D588" s="48" t="n">
        <x:v>39</x:v>
      </x:c>
      <x:c r="E588" s="48" t="str"/>
      <x:c r="F588" s="48" t="str">
        <x:v>Funeral Arrangements</x:v>
      </x:c>
      <x:c r="G588" s="48" t="str">
        <x:v>Obligation</x:v>
      </x:c>
      <x:c r="H588" s="48" t="str">
        <x:v>Shared</x:v>
      </x:c>
      <x:c r="I588" s="48" t="n">
        <x:v>0.45</x:v>
      </x:c>
      <x:c r="J588" s="48" t="n">
        <x:v>0.4</x:v>
      </x:c>
      <x:c r="K588" s="48" t="str">
        <x:v>Yes</x:v>
      </x:c>
      <x:c r="L588" s="48" t="str">
        <x:v>PDF text</x:v>
      </x:c>
    </x:row>
    <x:row r="589">
      <x:c r="A589" s="48" t="str">
        <x:v>RED-0588</x:v>
      </x:c>
      <x:c r="B589" s="48" t="str">
        <x:v>RED</x:v>
      </x:c>
      <x:c r="C589" s="48" t="str">
        <x:v>English</x:v>
      </x:c>
      <x:c r="D589" s="48" t="n">
        <x:v>39</x:v>
      </x:c>
      <x:c r="E589" s="48" t="str"/>
      <x:c r="F589" s="48" t="str">
        <x:v>Prohibition of Forced</x:v>
      </x:c>
      <x:c r="G589" s="48" t="str">
        <x:v>Obligation</x:v>
      </x:c>
      <x:c r="H589" s="48" t="str">
        <x:v>Shared</x:v>
      </x:c>
      <x:c r="I589" s="48" t="n">
        <x:v>0.45</x:v>
      </x:c>
      <x:c r="J589" s="48" t="n">
        <x:v>0.4</x:v>
      </x:c>
      <x:c r="K589" s="48" t="str">
        <x:v>Yes</x:v>
      </x:c>
      <x:c r="L589" s="48" t="str">
        <x:v>PDF text</x:v>
      </x:c>
    </x:row>
    <x:row r="590">
      <x:c r="A590" s="48" t="str">
        <x:v>RED-0589</x:v>
      </x:c>
      <x:c r="B590" s="48" t="str">
        <x:v>RED</x:v>
      </x:c>
      <x:c r="C590" s="48" t="str">
        <x:v>English</x:v>
      </x:c>
      <x:c r="D590" s="48" t="n">
        <x:v>39</x:v>
      </x:c>
      <x:c r="E590" s="48" t="str"/>
      <x:c r="F590" s="48" t="str">
        <x:v>or Compulsory Labour 6.21</x:v>
      </x:c>
      <x:c r="G590" s="48" t="str">
        <x:v>Obligation</x:v>
      </x:c>
      <x:c r="H590" s="48" t="str">
        <x:v>Shared</x:v>
      </x:c>
      <x:c r="I590" s="48" t="n">
        <x:v>0.45</x:v>
      </x:c>
      <x:c r="J590" s="48" t="n">
        <x:v>0.4</x:v>
      </x:c>
      <x:c r="K590" s="48" t="str">
        <x:v>Yes</x:v>
      </x:c>
      <x:c r="L590" s="48" t="str">
        <x:v>PDF text</x:v>
      </x:c>
    </x:row>
    <x:row r="591">
      <x:c r="A591" s="48" t="str">
        <x:v>RED-0590</x:v>
      </x:c>
      <x:c r="B591" s="48" t="str">
        <x:v>RED</x:v>
      </x:c>
      <x:c r="C591" s="48" t="str">
        <x:v>English</x:v>
      </x:c>
      <x:c r="D591" s="48" t="n">
        <x:v>39</x:v>
      </x:c>
      <x:c r="E591" s="48" t="str"/>
      <x:c r="F591" s="48" t="str">
        <x:v>Prohibition of Harmful</x:v>
      </x:c>
      <x:c r="G591" s="48" t="str">
        <x:v>Obligation</x:v>
      </x:c>
      <x:c r="H591" s="48" t="str">
        <x:v>Shared</x:v>
      </x:c>
      <x:c r="I591" s="48" t="n">
        <x:v>0.45</x:v>
      </x:c>
      <x:c r="J591" s="48" t="n">
        <x:v>0.4</x:v>
      </x:c>
      <x:c r="K591" s="48" t="str">
        <x:v>Yes</x:v>
      </x:c>
      <x:c r="L591" s="48" t="str">
        <x:v>PDF text</x:v>
      </x:c>
    </x:row>
    <x:row r="592">
      <x:c r="A592" s="48" t="str">
        <x:v>RED-0591</x:v>
      </x:c>
      <x:c r="B592" s="48" t="str">
        <x:v>RED</x:v>
      </x:c>
      <x:c r="C592" s="48" t="str">
        <x:v>English</x:v>
      </x:c>
      <x:c r="D592" s="48" t="n">
        <x:v>39</x:v>
      </x:c>
      <x:c r="E592" s="48" t="str"/>
      <x:c r="F592" s="48" t="str">
        <x:v>Child Labour</x:v>
      </x:c>
      <x:c r="G592" s="48" t="str">
        <x:v>Obligation</x:v>
      </x:c>
      <x:c r="H592" s="48" t="str">
        <x:v>Shared</x:v>
      </x:c>
      <x:c r="I592" s="48" t="n">
        <x:v>0.45</x:v>
      </x:c>
      <x:c r="J592" s="48" t="n">
        <x:v>0.4</x:v>
      </x:c>
      <x:c r="K592" s="48" t="str">
        <x:v>Yes</x:v>
      </x:c>
      <x:c r="L592" s="48" t="str">
        <x:v>PDF text</x:v>
      </x:c>
    </x:row>
    <x:row r="593">
      <x:c r="A593" s="48" t="str">
        <x:v>RED-0592</x:v>
      </x:c>
      <x:c r="B593" s="48" t="str">
        <x:v>RED</x:v>
      </x:c>
      <x:c r="C593" s="48" t="str">
        <x:v>English</x:v>
      </x:c>
      <x:c r="D593" s="48" t="n">
        <x:v>39</x:v>
      </x:c>
      <x:c r="E593" s="48" t="str"/>
      <x:c r="F593" s="48" t="str">
        <x:v>Employment Records of</x:v>
      </x:c>
      <x:c r="G593" s="48" t="str">
        <x:v>Obligation</x:v>
      </x:c>
      <x:c r="H593" s="48" t="str">
        <x:v>Shared</x:v>
      </x:c>
      <x:c r="I593" s="48" t="n">
        <x:v>0.45</x:v>
      </x:c>
      <x:c r="J593" s="48" t="n">
        <x:v>0.4</x:v>
      </x:c>
      <x:c r="K593" s="48" t="str">
        <x:v>Yes</x:v>
      </x:c>
      <x:c r="L593" s="48" t="str">
        <x:v>PDF text</x:v>
      </x:c>
    </x:row>
    <x:row r="594">
      <x:c r="A594" s="48" t="str">
        <x:v>RED-0593</x:v>
      </x:c>
      <x:c r="B594" s="48" t="str">
        <x:v>RED</x:v>
      </x:c>
      <x:c r="C594" s="48" t="str">
        <x:v>English</x:v>
      </x:c>
      <x:c r="D594" s="48" t="n">
        <x:v>40</x:v>
      </x:c>
      <x:c r="E594" s="48" t="str"/>
      <x:c r="F594" s="48" t="str">
        <x:v>The Contractor shall carry out the manufacture of Plant, the production and</x:v>
      </x:c>
      <x:c r="G594" s="48" t="str">
        <x:v>Obligation</x:v>
      </x:c>
      <x:c r="H594" s="48" t="str">
        <x:v>Contractor</x:v>
      </x:c>
      <x:c r="I594" s="48" t="n">
        <x:v>0.88</x:v>
      </x:c>
      <x:c r="J594" s="48" t="n">
        <x:v>0.92</x:v>
      </x:c>
      <x:c r="K594" s="48" t="str">
        <x:v>No</x:v>
      </x:c>
      <x:c r="L594" s="48" t="str">
        <x:v>PDF text</x:v>
      </x:c>
    </x:row>
    <x:row r="595">
      <x:c r="A595" s="48" t="str">
        <x:v>RED-0594</x:v>
      </x:c>
      <x:c r="B595" s="48" t="str">
        <x:v>RED</x:v>
      </x:c>
      <x:c r="C595" s="48" t="str">
        <x:v>English</x:v>
      </x:c>
      <x:c r="D595" s="48" t="n">
        <x:v>40</x:v>
      </x:c>
      <x:c r="E595" s="48" t="str"/>
      <x:c r="F595" s="48" t="str">
        <x:v>manufacture of Materials, and all other execution of the Works: (a) in the manner (if any) specified in the Contract, (b) in a proper workmanlike and careful manner, in accordance with recognised good practice, and (c) with properly equipped facilities and non-hazardous Materials, except as otherwise specified in the Contract.</x:v>
      </x:c>
      <x:c r="G595" s="48" t="str">
        <x:v>Obligation</x:v>
      </x:c>
      <x:c r="H595" s="48" t="str">
        <x:v>Shared</x:v>
      </x:c>
      <x:c r="I595" s="48" t="n">
        <x:v>0.45</x:v>
      </x:c>
      <x:c r="J595" s="48" t="n">
        <x:v>0.4</x:v>
      </x:c>
      <x:c r="K595" s="48" t="str">
        <x:v>Yes</x:v>
      </x:c>
      <x:c r="L595" s="48" t="str">
        <x:v>PDF text</x:v>
      </x:c>
    </x:row>
    <x:row r="596">
      <x:c r="A596" s="48" t="str">
        <x:v>RED-0595</x:v>
      </x:c>
      <x:c r="B596" s="48" t="str">
        <x:v>RED</x:v>
      </x:c>
      <x:c r="C596" s="48" t="str">
        <x:v>English</x:v>
      </x:c>
      <x:c r="D596" s="48" t="n">
        <x:v>40</x:v>
      </x:c>
      <x:c r="E596" s="48" t="str"/>
      <x:c r="F596" s="48" t="str">
        <x:v>The Contractor shall submit the following samples of Materials, and relevant</x:v>
      </x:c>
      <x:c r="G596" s="48" t="str">
        <x:v>Obligation</x:v>
      </x:c>
      <x:c r="H596" s="48" t="str">
        <x:v>Contractor</x:v>
      </x:c>
      <x:c r="I596" s="48" t="n">
        <x:v>0.88</x:v>
      </x:c>
      <x:c r="J596" s="48" t="n">
        <x:v>0.92</x:v>
      </x:c>
      <x:c r="K596" s="48" t="str">
        <x:v>No</x:v>
      </x:c>
      <x:c r="L596" s="48" t="str">
        <x:v>PDF text</x:v>
      </x:c>
    </x:row>
    <x:row r="597">
      <x:c r="A597" s="48" t="str">
        <x:v>RED-0596</x:v>
      </x:c>
      <x:c r="B597" s="48" t="str">
        <x:v>RED</x:v>
      </x:c>
      <x:c r="C597" s="48" t="str">
        <x:v>English</x:v>
      </x:c>
      <x:c r="D597" s="48" t="n">
        <x:v>40</x:v>
      </x:c>
      <x:c r="E597" s="48" t="str"/>
      <x:c r="F597" s="48" t="str">
        <x:v>information, to the Engineer for consent prior to using the Materials in or for the Works: (a) manufacturer’s standard samples of Materials and samples specified in the</x:v>
      </x:c>
      <x:c r="G597" s="48" t="str">
        <x:v>Obligation</x:v>
      </x:c>
      <x:c r="H597" s="48" t="str">
        <x:v>Shared</x:v>
      </x:c>
      <x:c r="I597" s="48" t="n">
        <x:v>0.45</x:v>
      </x:c>
      <x:c r="J597" s="48" t="n">
        <x:v>0.4</x:v>
      </x:c>
      <x:c r="K597" s="48" t="str">
        <x:v>Yes</x:v>
      </x:c>
      <x:c r="L597" s="48" t="str">
        <x:v>PDF text</x:v>
      </x:c>
    </x:row>
    <x:row r="598">
      <x:c r="A598" s="48" t="str">
        <x:v>RED-0597</x:v>
      </x:c>
      <x:c r="B598" s="48" t="str">
        <x:v>RED</x:v>
      </x:c>
      <x:c r="C598" s="48" t="str">
        <x:v>English</x:v>
      </x:c>
      <x:c r="D598" s="48" t="n">
        <x:v>40</x:v>
      </x:c>
      <x:c r="E598" s="48" t="str"/>
      <x:c r="F598" s="48" t="str">
        <x:v>Contract, all at the Contractor’s cost, and</x:v>
      </x:c>
      <x:c r="G598" s="48" t="str">
        <x:v>Obligation</x:v>
      </x:c>
      <x:c r="H598" s="48" t="str">
        <x:v>Contractor</x:v>
      </x:c>
      <x:c r="I598" s="48" t="n">
        <x:v>0.45</x:v>
      </x:c>
      <x:c r="J598" s="48" t="n">
        <x:v>0.68</x:v>
      </x:c>
      <x:c r="K598" s="48" t="str">
        <x:v>Yes</x:v>
      </x:c>
      <x:c r="L598" s="48" t="str">
        <x:v>PDF text</x:v>
      </x:c>
    </x:row>
    <x:row r="599">
      <x:c r="A599" s="48" t="str">
        <x:v>RED-0598</x:v>
      </x:c>
      <x:c r="B599" s="48" t="str">
        <x:v>RED</x:v>
      </x:c>
      <x:c r="C599" s="48" t="str">
        <x:v>English</x:v>
      </x:c>
      <x:c r="D599" s="48" t="n">
        <x:v>40</x:v>
      </x:c>
      <x:c r="E599" s="48" t="str"/>
      <x:c r="F599" s="48" t="str">
        <x:v>(b) additional samples instructed by the Engineer as a Variation.</x:v>
      </x:c>
      <x:c r="G599" s="48" t="str">
        <x:v>Obligation</x:v>
      </x:c>
      <x:c r="H599" s="48" t="str">
        <x:v>Shared</x:v>
      </x:c>
      <x:c r="I599" s="48" t="n">
        <x:v>0.55</x:v>
      </x:c>
      <x:c r="J599" s="48" t="n">
        <x:v>0.4</x:v>
      </x:c>
      <x:c r="K599" s="48" t="str">
        <x:v>Yes</x:v>
      </x:c>
      <x:c r="L599" s="48" t="str">
        <x:v>PDF text</x:v>
      </x:c>
    </x:row>
    <x:row r="600">
      <x:c r="A600" s="48" t="str">
        <x:v>RED-0599</x:v>
      </x:c>
      <x:c r="B600" s="48" t="str">
        <x:v>RED</x:v>
      </x:c>
      <x:c r="C600" s="48" t="str">
        <x:v>English</x:v>
      </x:c>
      <x:c r="D600" s="48" t="n">
        <x:v>40</x:v>
      </x:c>
      <x:c r="E600" s="48" t="str"/>
      <x:c r="F600" s="48" t="str">
        <x:v>Each sample shall be labelled as to origin and intended use in the Works.</x:v>
      </x:c>
      <x:c r="G600" s="48" t="str">
        <x:v>Obligation</x:v>
      </x:c>
      <x:c r="H600" s="48" t="str">
        <x:v>Shared</x:v>
      </x:c>
      <x:c r="I600" s="48" t="n">
        <x:v>0.88</x:v>
      </x:c>
      <x:c r="J600" s="48" t="n">
        <x:v>0.4</x:v>
      </x:c>
      <x:c r="K600" s="48" t="str">
        <x:v>Yes</x:v>
      </x:c>
      <x:c r="L600" s="48" t="str">
        <x:v>PDF text</x:v>
      </x:c>
    </x:row>
    <x:row r="601">
      <x:c r="A601" s="48" t="str">
        <x:v>RED-0600</x:v>
      </x:c>
      <x:c r="B601" s="48" t="str">
        <x:v>RED</x:v>
      </x:c>
      <x:c r="C601" s="48" t="str">
        <x:v>English</x:v>
      </x:c>
      <x:c r="D601" s="48" t="n">
        <x:v>40</x:v>
      </x:c>
      <x:c r="E601" s="48" t="str"/>
      <x:c r="F601" s="48" t="str">
        <x:v>The Employer’s Personnel shall at all reasonable times: (a) have full access to all parts of the Site and to all places from which natural</x:v>
      </x:c>
      <x:c r="G601" s="48" t="str">
        <x:v>Obligation</x:v>
      </x:c>
      <x:c r="H601" s="48" t="str">
        <x:v>Employer</x:v>
      </x:c>
      <x:c r="I601" s="48" t="n">
        <x:v>0.88</x:v>
      </x:c>
      <x:c r="J601" s="48" t="n">
        <x:v>0.68</x:v>
      </x:c>
      <x:c r="K601" s="48" t="str">
        <x:v>Yes</x:v>
      </x:c>
      <x:c r="L601" s="48" t="str">
        <x:v>PDF text</x:v>
      </x:c>
    </x:row>
    <x:row r="602">
      <x:c r="A602" s="48" t="str">
        <x:v>RED-0601</x:v>
      </x:c>
      <x:c r="B602" s="48" t="str">
        <x:v>RED</x:v>
      </x:c>
      <x:c r="C602" s="48" t="str">
        <x:v>English</x:v>
      </x:c>
      <x:c r="D602" s="48" t="n">
        <x:v>40</x:v>
      </x:c>
      <x:c r="E602" s="48" t="str"/>
      <x:c r="F602" s="48" t="str">
        <x:v>Materials are being obtained, and</x:v>
      </x:c>
      <x:c r="G602" s="48" t="str">
        <x:v>Obligation</x:v>
      </x:c>
      <x:c r="H602" s="48" t="str">
        <x:v>Shared</x:v>
      </x:c>
      <x:c r="I602" s="48" t="n">
        <x:v>0.45</x:v>
      </x:c>
      <x:c r="J602" s="48" t="n">
        <x:v>0.4</x:v>
      </x:c>
      <x:c r="K602" s="48" t="str">
        <x:v>Yes</x:v>
      </x:c>
      <x:c r="L602" s="48" t="str">
        <x:v>PDF text</x:v>
      </x:c>
    </x:row>
    <x:row r="603">
      <x:c r="A603" s="48" t="str">
        <x:v>RED-0602</x:v>
      </x:c>
      <x:c r="B603" s="48" t="str">
        <x:v>RED</x:v>
      </x:c>
      <x:c r="C603" s="48" t="str">
        <x:v>English</x:v>
      </x:c>
      <x:c r="D603" s="48" t="n">
        <x:v>40</x:v>
      </x:c>
      <x:c r="E603" s="48" t="str"/>
      <x:c r="F603" s="48" t="str">
        <x:v>(b) during production, manufacture and construction (at the Site and elsewhere), be entitled to examine, inspect, measure and test the materials and workmanship, and to check the progress of manufacture of Plant and production and manufacture of Materials.</x:v>
      </x:c>
      <x:c r="G603" s="48" t="str">
        <x:v>Right</x:v>
      </x:c>
      <x:c r="H603" s="48" t="str">
        <x:v>Shared</x:v>
      </x:c>
      <x:c r="I603" s="48" t="n">
        <x:v>0.78</x:v>
      </x:c>
      <x:c r="J603" s="48" t="n">
        <x:v>0.4</x:v>
      </x:c>
      <x:c r="K603" s="48" t="str">
        <x:v>Yes</x:v>
      </x:c>
      <x:c r="L603" s="48" t="str">
        <x:v>PDF text</x:v>
      </x:c>
    </x:row>
    <x:row r="604">
      <x:c r="A604" s="48" t="str">
        <x:v>RED-0603</x:v>
      </x:c>
      <x:c r="B604" s="48" t="str">
        <x:v>RED</x:v>
      </x:c>
      <x:c r="C604" s="48" t="str">
        <x:v>English</x:v>
      </x:c>
      <x:c r="D604" s="48" t="n">
        <x:v>40</x:v>
      </x:c>
      <x:c r="E604" s="48" t="str"/>
      <x:c r="F604" s="48" t="str">
        <x:v>The Contractor shall give the Employer’s Personnel full opportunity to carry out these activities, including providing access, facilities, permissions and safety equipment.</x:v>
      </x:c>
      <x:c r="G604" s="48" t="str">
        <x:v>Obligation</x:v>
      </x:c>
      <x:c r="H604" s="48" t="str">
        <x:v>Contractor</x:v>
      </x:c>
      <x:c r="I604" s="48" t="n">
        <x:v>0.88</x:v>
      </x:c>
      <x:c r="J604" s="48" t="n">
        <x:v>0.92</x:v>
      </x:c>
      <x:c r="K604" s="48" t="str">
        <x:v>No</x:v>
      </x:c>
      <x:c r="L604" s="48" t="str">
        <x:v>PDF text</x:v>
      </x:c>
    </x:row>
    <x:row r="605">
      <x:c r="A605" s="48" t="str">
        <x:v>RED-0604</x:v>
      </x:c>
      <x:c r="B605" s="48" t="str">
        <x:v>RED</x:v>
      </x:c>
      <x:c r="C605" s="48" t="str">
        <x:v>English</x:v>
      </x:c>
      <x:c r="D605" s="48" t="n">
        <x:v>40</x:v>
      </x:c>
      <x:c r="E605" s="48" t="str"/>
      <x:c r="F605" s="48" t="str">
        <x:v>No such activity shall relieve the Contractor from any obligation or responsibility.</x:v>
      </x:c>
      <x:c r="G605" s="48" t="str">
        <x:v>Obligation</x:v>
      </x:c>
      <x:c r="H605" s="48" t="str">
        <x:v>Contractor</x:v>
      </x:c>
      <x:c r="I605" s="48" t="n">
        <x:v>0.88</x:v>
      </x:c>
      <x:c r="J605" s="48" t="n">
        <x:v>0.68</x:v>
      </x:c>
      <x:c r="K605" s="48" t="str">
        <x:v>Yes</x:v>
      </x:c>
      <x:c r="L605" s="48" t="str">
        <x:v>PDF text</x:v>
      </x:c>
    </x:row>
    <x:row r="606">
      <x:c r="A606" s="48" t="str">
        <x:v>RED-0605</x:v>
      </x:c>
      <x:c r="B606" s="48" t="str">
        <x:v>RED</x:v>
      </x:c>
      <x:c r="C606" s="48" t="str">
        <x:v>English</x:v>
      </x:c>
      <x:c r="D606" s="48" t="n">
        <x:v>40</x:v>
      </x:c>
      <x:c r="E606" s="48" t="str"/>
      <x:c r="F606" s="48" t="str">
        <x:v>The Contractor shall give notice to the Engineer whenever any work is ready and</x:v>
      </x:c>
      <x:c r="G606" s="48" t="str">
        <x:v>Obligation</x:v>
      </x:c>
      <x:c r="H606" s="48" t="str">
        <x:v>Contractor</x:v>
      </x:c>
      <x:c r="I606" s="48" t="n">
        <x:v>0.88</x:v>
      </x:c>
      <x:c r="J606" s="48" t="n">
        <x:v>0.92</x:v>
      </x:c>
      <x:c r="K606" s="48" t="str">
        <x:v>No</x:v>
      </x:c>
      <x:c r="L606" s="48" t="str">
        <x:v>PDF text</x:v>
      </x:c>
    </x:row>
    <x:row r="607">
      <x:c r="A607" s="48" t="str">
        <x:v>RED-0606</x:v>
      </x:c>
      <x:c r="B607" s="48" t="str">
        <x:v>RED</x:v>
      </x:c>
      <x:c r="C607" s="48" t="str">
        <x:v>English</x:v>
      </x:c>
      <x:c r="D607" s="48" t="n">
        <x:v>40</x:v>
      </x:c>
      <x:c r="E607" s="48" t="str"/>
      <x:c r="F607" s="48" t="str">
        <x:v>before it is covered up, put out of sight, or packaged for storage or transport.</x:v>
      </x:c>
      <x:c r="G607" s="48" t="str">
        <x:v>Obligation</x:v>
      </x:c>
      <x:c r="H607" s="48" t="str">
        <x:v>Shared</x:v>
      </x:c>
      <x:c r="I607" s="48" t="n">
        <x:v>0.45</x:v>
      </x:c>
      <x:c r="J607" s="48" t="n">
        <x:v>0.4</x:v>
      </x:c>
      <x:c r="K607" s="48" t="str">
        <x:v>Yes</x:v>
      </x:c>
      <x:c r="L607" s="48" t="str">
        <x:v>PDF text</x:v>
      </x:c>
    </x:row>
    <x:row r="608">
      <x:c r="A608" s="48" t="str">
        <x:v>RED-0607</x:v>
      </x:c>
      <x:c r="B608" s="48" t="str">
        <x:v>RED</x:v>
      </x:c>
      <x:c r="C608" s="48" t="str">
        <x:v>English</x:v>
      </x:c>
      <x:c r="D608" s="48" t="n">
        <x:v>40</x:v>
      </x:c>
      <x:c r="E608" s="48" t="str"/>
      <x:c r="F608" s="48" t="str">
        <x:v>Engineer shall then either carry out the examination, inspection, measurement or</x:v>
      </x:c>
      <x:c r="G608" s="48" t="str">
        <x:v>Obligation</x:v>
      </x:c>
      <x:c r="H608" s="48" t="str">
        <x:v>Shared</x:v>
      </x:c>
      <x:c r="I608" s="48" t="n">
        <x:v>0.88</x:v>
      </x:c>
      <x:c r="J608" s="48" t="n">
        <x:v>0.4</x:v>
      </x:c>
      <x:c r="K608" s="48" t="str">
        <x:v>Yes</x:v>
      </x:c>
      <x:c r="L608" s="48" t="str">
        <x:v>PDF text</x:v>
      </x:c>
    </x:row>
    <x:row r="609">
      <x:c r="A609" s="48" t="str">
        <x:v>RED-0608</x:v>
      </x:c>
      <x:c r="B609" s="48" t="str">
        <x:v>RED</x:v>
      </x:c>
      <x:c r="C609" s="48" t="str">
        <x:v>English</x:v>
      </x:c>
      <x:c r="D609" s="48" t="n">
        <x:v>40</x:v>
      </x:c>
      <x:c r="E609" s="48" t="str"/>
      <x:c r="F609" s="48" t="str">
        <x:v>testing without unreasonable delay, or promptly give notice to the Contractor that the Engineer does not require to do so.</x:v>
      </x:c>
      <x:c r="G609" s="48" t="str">
        <x:v>Obligation</x:v>
      </x:c>
      <x:c r="H609" s="48" t="str">
        <x:v>Contractor</x:v>
      </x:c>
      <x:c r="I609" s="48" t="n">
        <x:v>0.55</x:v>
      </x:c>
      <x:c r="J609" s="48" t="n">
        <x:v>0.68</x:v>
      </x:c>
      <x:c r="K609" s="48" t="str">
        <x:v>Yes</x:v>
      </x:c>
      <x:c r="L609" s="48" t="str">
        <x:v>PDF text</x:v>
      </x:c>
    </x:row>
    <x:row r="610">
      <x:c r="A610" s="48" t="str">
        <x:v>RED-0609</x:v>
      </x:c>
      <x:c r="B610" s="48" t="str">
        <x:v>RED</x:v>
      </x:c>
      <x:c r="C610" s="48" t="str">
        <x:v>English</x:v>
      </x:c>
      <x:c r="D610" s="48" t="n">
        <x:v>40</x:v>
      </x:c>
      <x:c r="E610" s="48" t="str"/>
      <x:c r="F610" s="48" t="str">
        <x:v>If the Contractor fails to give the notice, he shall, if and when required by the Engineer, uncover the work and thereafter reinstate and make good, all at the Contractor’s cost.</x:v>
      </x:c>
      <x:c r="G610" s="48" t="str">
        <x:v>Obligation</x:v>
      </x:c>
      <x:c r="H610" s="48" t="str">
        <x:v>Contractor</x:v>
      </x:c>
      <x:c r="I610" s="48" t="n">
        <x:v>0.88</x:v>
      </x:c>
      <x:c r="J610" s="48" t="n">
        <x:v>0.68</x:v>
      </x:c>
      <x:c r="K610" s="48" t="str">
        <x:v>Yes</x:v>
      </x:c>
      <x:c r="L610" s="48" t="str">
        <x:v>PDF text</x:v>
      </x:c>
    </x:row>
    <x:row r="611">
      <x:c r="A611" s="48" t="str">
        <x:v>RED-0610</x:v>
      </x:c>
      <x:c r="B611" s="48" t="str">
        <x:v>RED</x:v>
      </x:c>
      <x:c r="C611" s="48" t="str">
        <x:v>English</x:v>
      </x:c>
      <x:c r="D611" s="48" t="n">
        <x:v>40</x:v>
      </x:c>
      <x:c r="E611" s="48" t="str"/>
      <x:c r="F611" s="48" t="str">
        <x:v>This Sub-Clause shall apply to all tests specified in the Contract, other than the Tests after Completion (if any).</x:v>
      </x:c>
      <x:c r="G611" s="48" t="str">
        <x:v>Obligation</x:v>
      </x:c>
      <x:c r="H611" s="48" t="str">
        <x:v>Shared</x:v>
      </x:c>
      <x:c r="I611" s="48" t="n">
        <x:v>0.88</x:v>
      </x:c>
      <x:c r="J611" s="48" t="n">
        <x:v>0.4</x:v>
      </x:c>
      <x:c r="K611" s="48" t="str">
        <x:v>Yes</x:v>
      </x:c>
      <x:c r="L611" s="48" t="str">
        <x:v>PDF text</x:v>
      </x:c>
    </x:row>
    <x:row r="612">
      <x:c r="A612" s="48" t="str">
        <x:v>RED-0611</x:v>
      </x:c>
      <x:c r="B612" s="48" t="str">
        <x:v>RED</x:v>
      </x:c>
      <x:c r="C612" s="48" t="str">
        <x:v>English</x:v>
      </x:c>
      <x:c r="D612" s="48" t="n">
        <x:v>40</x:v>
      </x:c>
      <x:c r="E612" s="48" t="str"/>
      <x:c r="F612" s="48" t="str">
        <x:v>The Contractor shall provide all apparatus, assistance, documents and other</x:v>
      </x:c>
      <x:c r="G612" s="48" t="str">
        <x:v>Obligation</x:v>
      </x:c>
      <x:c r="H612" s="48" t="str">
        <x:v>Contractor</x:v>
      </x:c>
      <x:c r="I612" s="48" t="n">
        <x:v>0.88</x:v>
      </x:c>
      <x:c r="J612" s="48" t="n">
        <x:v>0.92</x:v>
      </x:c>
      <x:c r="K612" s="48" t="str">
        <x:v>No</x:v>
      </x:c>
      <x:c r="L612" s="48" t="str">
        <x:v>PDF text</x:v>
      </x:c>
    </x:row>
    <x:row r="613">
      <x:c r="A613" s="48" t="str">
        <x:v>RED-0612</x:v>
      </x:c>
      <x:c r="B613" s="48" t="str">
        <x:v>RED</x:v>
      </x:c>
      <x:c r="C613" s="48" t="str">
        <x:v>English</x:v>
      </x:c>
      <x:c r="D613" s="48" t="n">
        <x:v>40</x:v>
      </x:c>
      <x:c r="E613" s="48" t="str"/>
      <x:c r="F613" s="48" t="str">
        <x:v>information, electricity, equipment, fuel, consumables, instruments, labour, materials, and suitably qualified and experienced staff, as are necessary to carry out the specified tests efficiently.</x:v>
      </x:c>
      <x:c r="G613" s="48" t="str">
        <x:v>Obligation</x:v>
      </x:c>
      <x:c r="H613" s="48" t="str">
        <x:v>Shared</x:v>
      </x:c>
      <x:c r="I613" s="48" t="n">
        <x:v>0.45</x:v>
      </x:c>
      <x:c r="J613" s="48" t="n">
        <x:v>0.4</x:v>
      </x:c>
      <x:c r="K613" s="48" t="str">
        <x:v>Yes</x:v>
      </x:c>
      <x:c r="L613" s="48" t="str">
        <x:v>PDF text</x:v>
      </x:c>
    </x:row>
    <x:row r="614">
      <x:c r="A614" s="48" t="str">
        <x:v>RED-0613</x:v>
      </x:c>
      <x:c r="B614" s="48" t="str">
        <x:v>RED</x:v>
      </x:c>
      <x:c r="C614" s="48" t="str">
        <x:v>English</x:v>
      </x:c>
      <x:c r="D614" s="48" t="n">
        <x:v>40</x:v>
      </x:c>
      <x:c r="E614" s="48" t="str"/>
      <x:c r="F614" s="48" t="str">
        <x:v>The Contractor shall agree, with the Engineer, the time and place for the specified testing of any Plant, Materials and other parts of the Works.</x:v>
      </x:c>
      <x:c r="G614" s="48" t="str">
        <x:v>Obligation</x:v>
      </x:c>
      <x:c r="H614" s="48" t="str">
        <x:v>Contractor</x:v>
      </x:c>
      <x:c r="I614" s="48" t="n">
        <x:v>0.88</x:v>
      </x:c>
      <x:c r="J614" s="48" t="n">
        <x:v>0.92</x:v>
      </x:c>
      <x:c r="K614" s="48" t="str">
        <x:v>No</x:v>
      </x:c>
      <x:c r="L614" s="48" t="str">
        <x:v>PDF text</x:v>
      </x:c>
    </x:row>
    <x:row r="615">
      <x:c r="A615" s="48" t="str">
        <x:v>RED-0614</x:v>
      </x:c>
      <x:c r="B615" s="48" t="str">
        <x:v>RED</x:v>
      </x:c>
      <x:c r="C615" s="48" t="str">
        <x:v>English</x:v>
      </x:c>
      <x:c r="D615" s="48" t="n">
        <x:v>40</x:v>
      </x:c>
      <x:c r="E615" s="48" t="str"/>
      <x:c r="F615" s="48" t="str">
        <x:v>Manner of Execution</x:v>
      </x:c>
      <x:c r="G615" s="48" t="str">
        <x:v>Obligation</x:v>
      </x:c>
      <x:c r="H615" s="48" t="str">
        <x:v>Shared</x:v>
      </x:c>
      <x:c r="I615" s="48" t="n">
        <x:v>0.45</x:v>
      </x:c>
      <x:c r="J615" s="48" t="n">
        <x:v>0.4</x:v>
      </x:c>
      <x:c r="K615" s="48" t="str">
        <x:v>Yes</x:v>
      </x:c>
      <x:c r="L615" s="48" t="str">
        <x:v>PDF text</x:v>
      </x:c>
    </x:row>
    <x:row r="616">
      <x:c r="A616" s="48" t="str">
        <x:v>RED-0615</x:v>
      </x:c>
      <x:c r="B616" s="48" t="str">
        <x:v>RED</x:v>
      </x:c>
      <x:c r="C616" s="48" t="str">
        <x:v>English</x:v>
      </x:c>
      <x:c r="D616" s="48" t="n">
        <x:v>40</x:v>
      </x:c>
      <x:c r="E616" s="48" t="str"/>
      <x:c r="F616" s="48" t="str">
        <x:v>Inspection</x:v>
      </x:c>
      <x:c r="G616" s="48" t="str">
        <x:v>Obligation</x:v>
      </x:c>
      <x:c r="H616" s="48" t="str">
        <x:v>Shared</x:v>
      </x:c>
      <x:c r="I616" s="48" t="n">
        <x:v>0.45</x:v>
      </x:c>
      <x:c r="J616" s="48" t="n">
        <x:v>0.4</x:v>
      </x:c>
      <x:c r="K616" s="48" t="str">
        <x:v>Yes</x:v>
      </x:c>
      <x:c r="L616" s="48" t="str">
        <x:v>PDF text</x:v>
      </x:c>
    </x:row>
    <x:row r="617">
      <x:c r="A617" s="48" t="str">
        <x:v>RED-0616</x:v>
      </x:c>
      <x:c r="B617" s="48" t="str">
        <x:v>RED</x:v>
      </x:c>
      <x:c r="C617" s="48" t="str">
        <x:v>English</x:v>
      </x:c>
      <x:c r="D617" s="48" t="n">
        <x:v>40</x:v>
      </x:c>
      <x:c r="E617" s="48" t="str"/>
      <x:c r="F617" s="48" t="str">
        <x:v>Plant, Materials and Workmanship</x:v>
      </x:c>
      <x:c r="G617" s="48" t="str">
        <x:v>Obligation</x:v>
      </x:c>
      <x:c r="H617" s="48" t="str">
        <x:v>Shared</x:v>
      </x:c>
      <x:c r="I617" s="48" t="n">
        <x:v>0.45</x:v>
      </x:c>
      <x:c r="J617" s="48" t="n">
        <x:v>0.4</x:v>
      </x:c>
      <x:c r="K617" s="48" t="str">
        <x:v>Yes</x:v>
      </x:c>
      <x:c r="L617" s="48" t="str">
        <x:v>PDF text</x:v>
      </x:c>
    </x:row>
    <x:row r="618">
      <x:c r="A618" s="48" t="str">
        <x:v>RED-0617</x:v>
      </x:c>
      <x:c r="B618" s="48" t="str">
        <x:v>RED</x:v>
      </x:c>
      <x:c r="C618" s="48" t="str">
        <x:v>English</x:v>
      </x:c>
      <x:c r="D618" s="48" t="n">
        <x:v>41</x:v>
      </x:c>
      <x:c r="E618" s="48" t="str"/>
      <x:c r="F618" s="48" t="str">
        <x:v>The Engineer may, under Clause 13 [Variations and Adjustments], vary the location or details of specified tests, or instruct the Contractor to carry out additional tests.</x:v>
      </x:c>
      <x:c r="G618" s="48" t="str">
        <x:v>Obligation</x:v>
      </x:c>
      <x:c r="H618" s="48" t="str">
        <x:v>Contractor</x:v>
      </x:c>
      <x:c r="I618" s="48" t="n">
        <x:v>0.45</x:v>
      </x:c>
      <x:c r="J618" s="48" t="n">
        <x:v>0.68</x:v>
      </x:c>
      <x:c r="K618" s="48" t="str">
        <x:v>Yes</x:v>
      </x:c>
      <x:c r="L618" s="48" t="str">
        <x:v>PDF text</x:v>
      </x:c>
    </x:row>
    <x:row r="619">
      <x:c r="A619" s="48" t="str">
        <x:v>RED-0618</x:v>
      </x:c>
      <x:c r="B619" s="48" t="str">
        <x:v>RED</x:v>
      </x:c>
      <x:c r="C619" s="48" t="str">
        <x:v>English</x:v>
      </x:c>
      <x:c r="D619" s="48" t="n">
        <x:v>41</x:v>
      </x:c>
      <x:c r="E619" s="48" t="str"/>
      <x:c r="F619" s="48" t="str">
        <x:v>If these varied or additional tests show that the tested Plant, Materials or workmanship is not in accordance with the Contract, the cost of carrying out this Variation shall be borne by the Contractor, notwithstanding other provisions of the Contract.</x:v>
      </x:c>
      <x:c r="G619" s="48" t="str">
        <x:v>Obligation</x:v>
      </x:c>
      <x:c r="H619" s="48" t="str">
        <x:v>Contractor</x:v>
      </x:c>
      <x:c r="I619" s="48" t="n">
        <x:v>0.88</x:v>
      </x:c>
      <x:c r="J619" s="48" t="n">
        <x:v>0.68</x:v>
      </x:c>
      <x:c r="K619" s="48" t="str">
        <x:v>Yes</x:v>
      </x:c>
      <x:c r="L619" s="48" t="str">
        <x:v>PDF text</x:v>
      </x:c>
    </x:row>
    <x:row r="620">
      <x:c r="A620" s="48" t="str">
        <x:v>RED-0619</x:v>
      </x:c>
      <x:c r="B620" s="48" t="str">
        <x:v>RED</x:v>
      </x:c>
      <x:c r="C620" s="48" t="str">
        <x:v>English</x:v>
      </x:c>
      <x:c r="D620" s="48" t="n">
        <x:v>41</x:v>
      </x:c>
      <x:c r="E620" s="48" t="str"/>
      <x:c r="F620" s="48" t="str">
        <x:v>The Engineer shall give the Contractor not less than 24 hours’ notice of the Engineer’s intention to attend the tests.</x:v>
      </x:c>
      <x:c r="G620" s="48" t="str">
        <x:v>Obligation</x:v>
      </x:c>
      <x:c r="H620" s="48" t="str">
        <x:v>Contractor</x:v>
      </x:c>
      <x:c r="I620" s="48" t="n">
        <x:v>0.88</x:v>
      </x:c>
      <x:c r="J620" s="48" t="n">
        <x:v>0.68</x:v>
      </x:c>
      <x:c r="K620" s="48" t="str">
        <x:v>Yes</x:v>
      </x:c>
      <x:c r="L620" s="48" t="str">
        <x:v>PDF text</x:v>
      </x:c>
    </x:row>
    <x:row r="621">
      <x:c r="A621" s="48" t="str">
        <x:v>RED-0620</x:v>
      </x:c>
      <x:c r="B621" s="48" t="str">
        <x:v>RED</x:v>
      </x:c>
      <x:c r="C621" s="48" t="str">
        <x:v>English</x:v>
      </x:c>
      <x:c r="D621" s="48" t="n">
        <x:v>41</x:v>
      </x:c>
      <x:c r="E621" s="48" t="str"/>
      <x:c r="F621" s="48" t="str">
        <x:v>If the Engineer does not attend at the time and place agreed, the Contractor may proceed with the tests, unless otherwise instructed by the</x:v>
      </x:c>
      <x:c r="G621" s="48" t="str">
        <x:v>Right</x:v>
      </x:c>
      <x:c r="H621" s="48" t="str">
        <x:v>Contractor</x:v>
      </x:c>
      <x:c r="I621" s="48" t="n">
        <x:v>0.78</x:v>
      </x:c>
      <x:c r="J621" s="48" t="n">
        <x:v>0.92</x:v>
      </x:c>
      <x:c r="K621" s="48" t="str">
        <x:v>No</x:v>
      </x:c>
      <x:c r="L621" s="48" t="str">
        <x:v>PDF text</x:v>
      </x:c>
    </x:row>
    <x:row r="622">
      <x:c r="A622" s="48" t="str">
        <x:v>RED-0621</x:v>
      </x:c>
      <x:c r="B622" s="48" t="str">
        <x:v>RED</x:v>
      </x:c>
      <x:c r="C622" s="48" t="str">
        <x:v>English</x:v>
      </x:c>
      <x:c r="D622" s="48" t="n">
        <x:v>41</x:v>
      </x:c>
      <x:c r="E622" s="48" t="str"/>
      <x:c r="F622" s="48" t="str">
        <x:v>Engineer, and the tests shall then be deemed to have been made in the Engineer’s</x:v>
      </x:c>
      <x:c r="G622" s="48" t="str">
        <x:v>Obligation</x:v>
      </x:c>
      <x:c r="H622" s="48" t="str">
        <x:v>Shared</x:v>
      </x:c>
      <x:c r="I622" s="48" t="n">
        <x:v>0.88</x:v>
      </x:c>
      <x:c r="J622" s="48" t="n">
        <x:v>0.4</x:v>
      </x:c>
      <x:c r="K622" s="48" t="str">
        <x:v>Yes</x:v>
      </x:c>
      <x:c r="L622" s="48" t="str">
        <x:v>PDF text</x:v>
      </x:c>
    </x:row>
    <x:row r="623">
      <x:c r="A623" s="48" t="str">
        <x:v>RED-0622</x:v>
      </x:c>
      <x:c r="B623" s="48" t="str">
        <x:v>RED</x:v>
      </x:c>
      <x:c r="C623" s="48" t="str">
        <x:v>English</x:v>
      </x:c>
      <x:c r="D623" s="48" t="n">
        <x:v>41</x:v>
      </x:c>
      <x:c r="E623" s="48" t="str"/>
      <x:c r="F623" s="48" t="str">
        <x:v>presence.</x:v>
      </x:c>
      <x:c r="G623" s="48" t="str">
        <x:v>Obligation</x:v>
      </x:c>
      <x:c r="H623" s="48" t="str">
        <x:v>Shared</x:v>
      </x:c>
      <x:c r="I623" s="48" t="n">
        <x:v>0.45</x:v>
      </x:c>
      <x:c r="J623" s="48" t="n">
        <x:v>0.4</x:v>
      </x:c>
      <x:c r="K623" s="48" t="str">
        <x:v>Yes</x:v>
      </x:c>
      <x:c r="L623" s="48" t="str">
        <x:v>PDF text</x:v>
      </x:c>
    </x:row>
    <x:row r="624">
      <x:c r="A624" s="48" t="str">
        <x:v>RED-0623</x:v>
      </x:c>
      <x:c r="B624" s="48" t="str">
        <x:v>RED</x:v>
      </x:c>
      <x:c r="C624" s="48" t="str">
        <x:v>English</x:v>
      </x:c>
      <x:c r="D624" s="48" t="n">
        <x:v>41</x:v>
      </x:c>
      <x:c r="E624" s="48" t="str"/>
      <x:c r="F624" s="48" t="str">
        <x:v>If the Contractor suffers delay and/or incurs Cost from complying with these</x:v>
      </x:c>
      <x:c r="G624" s="48" t="str">
        <x:v>Risk</x:v>
      </x:c>
      <x:c r="H624" s="48" t="str">
        <x:v>Contractor</x:v>
      </x:c>
      <x:c r="I624" s="48" t="n">
        <x:v>0.78</x:v>
      </x:c>
      <x:c r="J624" s="48" t="n">
        <x:v>0.68</x:v>
      </x:c>
      <x:c r="K624" s="48" t="str">
        <x:v>Yes</x:v>
      </x:c>
      <x:c r="L624" s="48" t="str">
        <x:v>PDF text</x:v>
      </x:c>
    </x:row>
    <x:row r="625">
      <x:c r="A625" s="48" t="str">
        <x:v>RED-0624</x:v>
      </x:c>
      <x:c r="B625" s="48" t="str">
        <x:v>RED</x:v>
      </x:c>
      <x:c r="C625" s="48" t="str">
        <x:v>English</x:v>
      </x:c>
      <x:c r="D625" s="48" t="n">
        <x:v>41</x:v>
      </x:c>
      <x:c r="E625" s="48" t="str"/>
      <x:c r="F625" s="48" t="str">
        <x:v>instructions or as a result of a delay for which the Employer is responsible, the Contractor shall give notice to the Engineer and shall be entitled subject to SubClause 20.1 [Contractor’s Claims] to: (a) an extension of time for any such delay, if completion is or will be delayed, under Sub-Clause 8.4 [Extension of Time for Completion], and (a) payment of any such Cost plus profit, which shall be included in the Contract Price.</x:v>
      </x:c>
      <x:c r="G625" s="48" t="str">
        <x:v>Risk</x:v>
      </x:c>
      <x:c r="H625" s="48" t="str">
        <x:v>Contractor</x:v>
      </x:c>
      <x:c r="I625" s="48" t="n">
        <x:v>0.78</x:v>
      </x:c>
      <x:c r="J625" s="48" t="n">
        <x:v>0.92</x:v>
      </x:c>
      <x:c r="K625" s="48" t="str">
        <x:v>No</x:v>
      </x:c>
      <x:c r="L625" s="48" t="str">
        <x:v>PDF text</x:v>
      </x:c>
    </x:row>
    <x:row r="626">
      <x:c r="A626" s="48" t="str">
        <x:v>RED-0625</x:v>
      </x:c>
      <x:c r="B626" s="48" t="str">
        <x:v>RED</x:v>
      </x:c>
      <x:c r="C626" s="48" t="str">
        <x:v>English</x:v>
      </x:c>
      <x:c r="D626" s="48" t="n">
        <x:v>41</x:v>
      </x:c>
      <x:c r="E626" s="48" t="str"/>
      <x:c r="F626" s="48" t="str">
        <x:v>The Contractor shall promptly forward to the Engineer duly certified reports of the tests.</x:v>
      </x:c>
      <x:c r="G626" s="48" t="str">
        <x:v>Obligation</x:v>
      </x:c>
      <x:c r="H626" s="48" t="str">
        <x:v>Contractor</x:v>
      </x:c>
      <x:c r="I626" s="48" t="n">
        <x:v>0.88</x:v>
      </x:c>
      <x:c r="J626" s="48" t="n">
        <x:v>0.92</x:v>
      </x:c>
      <x:c r="K626" s="48" t="str">
        <x:v>No</x:v>
      </x:c>
      <x:c r="L626" s="48" t="str">
        <x:v>PDF text</x:v>
      </x:c>
    </x:row>
    <x:row r="627">
      <x:c r="A627" s="48" t="str">
        <x:v>RED-0626</x:v>
      </x:c>
      <x:c r="B627" s="48" t="str">
        <x:v>RED</x:v>
      </x:c>
      <x:c r="C627" s="48" t="str">
        <x:v>English</x:v>
      </x:c>
      <x:c r="D627" s="48" t="n">
        <x:v>41</x:v>
      </x:c>
      <x:c r="E627" s="48" t="str"/>
      <x:c r="F627" s="48" t="str">
        <x:v>When the specified tests have been passed, the Engineer shall endorse the Contractor’s test certificate, or issue a certificate to him, to that effect.</x:v>
      </x:c>
      <x:c r="G627" s="48" t="str">
        <x:v>Obligation</x:v>
      </x:c>
      <x:c r="H627" s="48" t="str">
        <x:v>Contractor</x:v>
      </x:c>
      <x:c r="I627" s="48" t="n">
        <x:v>0.88</x:v>
      </x:c>
      <x:c r="J627" s="48" t="n">
        <x:v>0.68</x:v>
      </x:c>
      <x:c r="K627" s="48" t="str">
        <x:v>Yes</x:v>
      </x:c>
      <x:c r="L627" s="48" t="str">
        <x:v>PDF text</x:v>
      </x:c>
    </x:row>
    <x:row r="628">
      <x:c r="A628" s="48" t="str">
        <x:v>RED-0627</x:v>
      </x:c>
      <x:c r="B628" s="48" t="str">
        <x:v>RED</x:v>
      </x:c>
      <x:c r="C628" s="48" t="str">
        <x:v>English</x:v>
      </x:c>
      <x:c r="D628" s="48" t="n">
        <x:v>41</x:v>
      </x:c>
      <x:c r="E628" s="48" t="str"/>
      <x:c r="F628" s="48" t="str">
        <x:v>If the Engineer has not attended the tests, he shall be deemed to have accepted the readings as accurate.</x:v>
      </x:c>
      <x:c r="G628" s="48" t="str">
        <x:v>Obligation</x:v>
      </x:c>
      <x:c r="H628" s="48" t="str">
        <x:v>Shared</x:v>
      </x:c>
      <x:c r="I628" s="48" t="n">
        <x:v>0.88</x:v>
      </x:c>
      <x:c r="J628" s="48" t="n">
        <x:v>0.4</x:v>
      </x:c>
      <x:c r="K628" s="48" t="str">
        <x:v>Yes</x:v>
      </x:c>
      <x:c r="L628" s="48" t="str">
        <x:v>PDF text</x:v>
      </x:c>
    </x:row>
    <x:row r="629">
      <x:c r="A629" s="48" t="str">
        <x:v>RED-0628</x:v>
      </x:c>
      <x:c r="B629" s="48" t="str">
        <x:v>RED</x:v>
      </x:c>
      <x:c r="C629" s="48" t="str">
        <x:v>English</x:v>
      </x:c>
      <x:c r="D629" s="48" t="n">
        <x:v>41</x:v>
      </x:c>
      <x:c r="E629" s="48" t="str"/>
      <x:c r="F629" s="48" t="str">
        <x:v>If, as a result of an examination, inspection, measurement or testing, any Plant,</x:v>
      </x:c>
      <x:c r="G629" s="48" t="str">
        <x:v>Obligation</x:v>
      </x:c>
      <x:c r="H629" s="48" t="str">
        <x:v>Shared</x:v>
      </x:c>
      <x:c r="I629" s="48" t="n">
        <x:v>0.45</x:v>
      </x:c>
      <x:c r="J629" s="48" t="n">
        <x:v>0.4</x:v>
      </x:c>
      <x:c r="K629" s="48" t="str">
        <x:v>Yes</x:v>
      </x:c>
      <x:c r="L629" s="48" t="str">
        <x:v>PDF text</x:v>
      </x:c>
    </x:row>
    <x:row r="630">
      <x:c r="A630" s="48" t="str">
        <x:v>RED-0629</x:v>
      </x:c>
      <x:c r="B630" s="48" t="str">
        <x:v>RED</x:v>
      </x:c>
      <x:c r="C630" s="48" t="str">
        <x:v>English</x:v>
      </x:c>
      <x:c r="D630" s="48" t="n">
        <x:v>41</x:v>
      </x:c>
      <x:c r="E630" s="48" t="str"/>
      <x:c r="F630" s="48" t="str">
        <x:v>Materials or workmanship is found to be defective or otherwise not in accordance with the Contract, the Engineer may reject the Plant, Materials or workmanship by giving notice to the Contractor, with reasons.</x:v>
      </x:c>
      <x:c r="G630" s="48" t="str">
        <x:v>Right</x:v>
      </x:c>
      <x:c r="H630" s="48" t="str">
        <x:v>Contractor</x:v>
      </x:c>
      <x:c r="I630" s="48" t="n">
        <x:v>0.78</x:v>
      </x:c>
      <x:c r="J630" s="48" t="n">
        <x:v>0.68</x:v>
      </x:c>
      <x:c r="K630" s="48" t="str">
        <x:v>Yes</x:v>
      </x:c>
      <x:c r="L630" s="48" t="str">
        <x:v>PDF text</x:v>
      </x:c>
    </x:row>
    <x:row r="631">
      <x:c r="A631" s="48" t="str">
        <x:v>RED-0630</x:v>
      </x:c>
      <x:c r="B631" s="48" t="str">
        <x:v>RED</x:v>
      </x:c>
      <x:c r="C631" s="48" t="str">
        <x:v>English</x:v>
      </x:c>
      <x:c r="D631" s="48" t="n">
        <x:v>41</x:v>
      </x:c>
      <x:c r="E631" s="48" t="str"/>
      <x:c r="F631" s="48" t="str">
        <x:v>The Contractor shall then promptly make good the defect and ensure that the rejected item complies with the Contract.</x:v>
      </x:c>
      <x:c r="G631" s="48" t="str">
        <x:v>Obligation</x:v>
      </x:c>
      <x:c r="H631" s="48" t="str">
        <x:v>Contractor</x:v>
      </x:c>
      <x:c r="I631" s="48" t="n">
        <x:v>0.88</x:v>
      </x:c>
      <x:c r="J631" s="48" t="n">
        <x:v>0.92</x:v>
      </x:c>
      <x:c r="K631" s="48" t="str">
        <x:v>No</x:v>
      </x:c>
      <x:c r="L631" s="48" t="str">
        <x:v>PDF text</x:v>
      </x:c>
    </x:row>
    <x:row r="632">
      <x:c r="A632" s="48" t="str">
        <x:v>RED-0631</x:v>
      </x:c>
      <x:c r="B632" s="48" t="str">
        <x:v>RED</x:v>
      </x:c>
      <x:c r="C632" s="48" t="str">
        <x:v>English</x:v>
      </x:c>
      <x:c r="D632" s="48" t="n">
        <x:v>41</x:v>
      </x:c>
      <x:c r="E632" s="48" t="str"/>
      <x:c r="F632" s="48" t="str">
        <x:v>If the Engineer requires this Plant, Materials or workmanship to be retested, the tests shall be repeated under the same terms and conditions.</x:v>
      </x:c>
      <x:c r="G632" s="48" t="str">
        <x:v>Obligation</x:v>
      </x:c>
      <x:c r="H632" s="48" t="str">
        <x:v>Shared</x:v>
      </x:c>
      <x:c r="I632" s="48" t="n">
        <x:v>0.88</x:v>
      </x:c>
      <x:c r="J632" s="48" t="n">
        <x:v>0.4</x:v>
      </x:c>
      <x:c r="K632" s="48" t="str">
        <x:v>Yes</x:v>
      </x:c>
      <x:c r="L632" s="48" t="str">
        <x:v>PDF text</x:v>
      </x:c>
    </x:row>
    <x:row r="633">
      <x:c r="A633" s="48" t="str">
        <x:v>RED-0632</x:v>
      </x:c>
      <x:c r="B633" s="48" t="str">
        <x:v>RED</x:v>
      </x:c>
      <x:c r="C633" s="48" t="str">
        <x:v>English</x:v>
      </x:c>
      <x:c r="D633" s="48" t="n">
        <x:v>41</x:v>
      </x:c>
      <x:c r="E633" s="48" t="str"/>
      <x:c r="F633" s="48" t="str">
        <x:v>If the rejection and retesting cause the Employer to incur additional costs, the Contractor shall subject to SubClause 2.5 [Employer’s Claims] pay these costs to the Employer.</x:v>
      </x:c>
      <x:c r="G633" s="48" t="str">
        <x:v>Obligation</x:v>
      </x:c>
      <x:c r="H633" s="48" t="str">
        <x:v>Contractor</x:v>
      </x:c>
      <x:c r="I633" s="48" t="n">
        <x:v>0.88</x:v>
      </x:c>
      <x:c r="J633" s="48" t="n">
        <x:v>0.92</x:v>
      </x:c>
      <x:c r="K633" s="48" t="str">
        <x:v>No</x:v>
      </x:c>
      <x:c r="L633" s="48" t="str">
        <x:v>PDF text</x:v>
      </x:c>
    </x:row>
    <x:row r="634">
      <x:c r="A634" s="48" t="str">
        <x:v>RED-0633</x:v>
      </x:c>
      <x:c r="B634" s="48" t="str">
        <x:v>RED</x:v>
      </x:c>
      <x:c r="C634" s="48" t="str">
        <x:v>English</x:v>
      </x:c>
      <x:c r="D634" s="48" t="n">
        <x:v>41</x:v>
      </x:c>
      <x:c r="E634" s="48" t="str"/>
      <x:c r="F634" s="48" t="str">
        <x:v>Notwithstanding any previous test or certification, the Engineer may instruct the</x:v>
      </x:c>
      <x:c r="G634" s="48" t="str">
        <x:v>Right</x:v>
      </x:c>
      <x:c r="H634" s="48" t="str">
        <x:v>Shared</x:v>
      </x:c>
      <x:c r="I634" s="48" t="n">
        <x:v>0.78</x:v>
      </x:c>
      <x:c r="J634" s="48" t="n">
        <x:v>0.4</x:v>
      </x:c>
      <x:c r="K634" s="48" t="str">
        <x:v>Yes</x:v>
      </x:c>
      <x:c r="L634" s="48" t="str">
        <x:v>PDF text</x:v>
      </x:c>
    </x:row>
    <x:row r="635">
      <x:c r="A635" s="48" t="str">
        <x:v>RED-0634</x:v>
      </x:c>
      <x:c r="B635" s="48" t="str">
        <x:v>RED</x:v>
      </x:c>
      <x:c r="C635" s="48" t="str">
        <x:v>English</x:v>
      </x:c>
      <x:c r="D635" s="48" t="n">
        <x:v>41</x:v>
      </x:c>
      <x:c r="E635" s="48" t="str"/>
      <x:c r="F635" s="48" t="str">
        <x:v>Contractor to: (a) remove from the Site and replace any Plant or Materials which is not in accordance with the Contract, (b) remove and re-execute any other work which is not in accordance with the</x:v>
      </x:c>
      <x:c r="G635" s="48" t="str">
        <x:v>Obligation</x:v>
      </x:c>
      <x:c r="H635" s="48" t="str">
        <x:v>Contractor</x:v>
      </x:c>
      <x:c r="I635" s="48" t="n">
        <x:v>0.45</x:v>
      </x:c>
      <x:c r="J635" s="48" t="n">
        <x:v>0.68</x:v>
      </x:c>
      <x:c r="K635" s="48" t="str">
        <x:v>Yes</x:v>
      </x:c>
      <x:c r="L635" s="48" t="str">
        <x:v>PDF text</x:v>
      </x:c>
    </x:row>
    <x:row r="636">
      <x:c r="A636" s="48" t="str">
        <x:v>RED-0635</x:v>
      </x:c>
      <x:c r="B636" s="48" t="str">
        <x:v>RED</x:v>
      </x:c>
      <x:c r="C636" s="48" t="str">
        <x:v>English</x:v>
      </x:c>
      <x:c r="D636" s="48" t="n">
        <x:v>41</x:v>
      </x:c>
      <x:c r="E636" s="48" t="str"/>
      <x:c r="F636" s="48" t="str">
        <x:v>Contract, and</x:v>
      </x:c>
      <x:c r="G636" s="48" t="str">
        <x:v>Obligation</x:v>
      </x:c>
      <x:c r="H636" s="48" t="str">
        <x:v>Shared</x:v>
      </x:c>
      <x:c r="I636" s="48" t="n">
        <x:v>0.45</x:v>
      </x:c>
      <x:c r="J636" s="48" t="n">
        <x:v>0.4</x:v>
      </x:c>
      <x:c r="K636" s="48" t="str">
        <x:v>Yes</x:v>
      </x:c>
      <x:c r="L636" s="48" t="str">
        <x:v>PDF text</x:v>
      </x:c>
    </x:row>
    <x:row r="637">
      <x:c r="A637" s="48" t="str">
        <x:v>RED-0636</x:v>
      </x:c>
      <x:c r="B637" s="48" t="str">
        <x:v>RED</x:v>
      </x:c>
      <x:c r="C637" s="48" t="str">
        <x:v>English</x:v>
      </x:c>
      <x:c r="D637" s="48" t="n">
        <x:v>41</x:v>
      </x:c>
      <x:c r="E637" s="48" t="str"/>
      <x:c r="F637" s="48" t="str">
        <x:v>(c) execute any work which is urgently required for the safety of the Works, whether because of an accident, unforeseeable event or otherwise.</x:v>
      </x:c>
      <x:c r="G637" s="48" t="str">
        <x:v>Obligation</x:v>
      </x:c>
      <x:c r="H637" s="48" t="str">
        <x:v>Shared</x:v>
      </x:c>
      <x:c r="I637" s="48" t="n">
        <x:v>0.45</x:v>
      </x:c>
      <x:c r="J637" s="48" t="n">
        <x:v>0.4</x:v>
      </x:c>
      <x:c r="K637" s="48" t="str">
        <x:v>Yes</x:v>
      </x:c>
      <x:c r="L637" s="48" t="str">
        <x:v>PDF text</x:v>
      </x:c>
    </x:row>
    <x:row r="638">
      <x:c r="A638" s="48" t="str">
        <x:v>RED-0637</x:v>
      </x:c>
      <x:c r="B638" s="48" t="str">
        <x:v>RED</x:v>
      </x:c>
      <x:c r="C638" s="48" t="str">
        <x:v>English</x:v>
      </x:c>
      <x:c r="D638" s="48" t="n">
        <x:v>41</x:v>
      </x:c>
      <x:c r="E638" s="48" t="str"/>
      <x:c r="F638" s="48" t="str">
        <x:v>The Contractor shall comply with the instruction within a reasonable time, which shall be the time (if any) specified in the instruction, or immediately if urgency is specified under sub-paragraph (c).</x:v>
      </x:c>
      <x:c r="G638" s="48" t="str">
        <x:v>Obligation</x:v>
      </x:c>
      <x:c r="H638" s="48" t="str">
        <x:v>Contractor</x:v>
      </x:c>
      <x:c r="I638" s="48" t="n">
        <x:v>0.88</x:v>
      </x:c>
      <x:c r="J638" s="48" t="n">
        <x:v>0.92</x:v>
      </x:c>
      <x:c r="K638" s="48" t="str">
        <x:v>No</x:v>
      </x:c>
      <x:c r="L638" s="48" t="str">
        <x:v>PDF text</x:v>
      </x:c>
    </x:row>
    <x:row r="639">
      <x:c r="A639" s="48" t="str">
        <x:v>RED-0638</x:v>
      </x:c>
      <x:c r="B639" s="48" t="str">
        <x:v>RED</x:v>
      </x:c>
      <x:c r="C639" s="48" t="str">
        <x:v>English</x:v>
      </x:c>
      <x:c r="D639" s="48" t="n">
        <x:v>41</x:v>
      </x:c>
      <x:c r="E639" s="48" t="str"/>
      <x:c r="F639" s="48" t="str">
        <x:v>Rejection</x:v>
      </x:c>
      <x:c r="G639" s="48" t="str">
        <x:v>Obligation</x:v>
      </x:c>
      <x:c r="H639" s="48" t="str">
        <x:v>Shared</x:v>
      </x:c>
      <x:c r="I639" s="48" t="n">
        <x:v>0.45</x:v>
      </x:c>
      <x:c r="J639" s="48" t="n">
        <x:v>0.4</x:v>
      </x:c>
      <x:c r="K639" s="48" t="str">
        <x:v>Yes</x:v>
      </x:c>
      <x:c r="L639" s="48" t="str">
        <x:v>PDF text</x:v>
      </x:c>
    </x:row>
    <x:row r="640">
      <x:c r="A640" s="48" t="str">
        <x:v>RED-0639</x:v>
      </x:c>
      <x:c r="B640" s="48" t="str">
        <x:v>RED</x:v>
      </x:c>
      <x:c r="C640" s="48" t="str">
        <x:v>English</x:v>
      </x:c>
      <x:c r="D640" s="48" t="n">
        <x:v>41</x:v>
      </x:c>
      <x:c r="E640" s="48" t="str"/>
      <x:c r="F640" s="48" t="str">
        <x:v>Remedial Work</x:v>
      </x:c>
      <x:c r="G640" s="48" t="str">
        <x:v>Obligation</x:v>
      </x:c>
      <x:c r="H640" s="48" t="str">
        <x:v>Shared</x:v>
      </x:c>
      <x:c r="I640" s="48" t="n">
        <x:v>0.45</x:v>
      </x:c>
      <x:c r="J640" s="48" t="n">
        <x:v>0.4</x:v>
      </x:c>
      <x:c r="K640" s="48" t="str">
        <x:v>Yes</x:v>
      </x:c>
      <x:c r="L640" s="48" t="str">
        <x:v>PDF text</x:v>
      </x:c>
    </x:row>
    <x:row r="641">
      <x:c r="A641" s="48" t="str">
        <x:v>RED-0640</x:v>
      </x:c>
      <x:c r="B641" s="48" t="str">
        <x:v>RED</x:v>
      </x:c>
      <x:c r="C641" s="48" t="str">
        <x:v>English</x:v>
      </x:c>
      <x:c r="D641" s="48" t="n">
        <x:v>42</x:v>
      </x:c>
      <x:c r="E641" s="48" t="str"/>
      <x:c r="F641" s="48" t="str">
        <x:v>If the Contractor fails to comply with the instruction, the Employer shall be entitled to employ and pay other persons to carry out the work.</x:v>
      </x:c>
      <x:c r="G641" s="48" t="str">
        <x:v>Obligation</x:v>
      </x:c>
      <x:c r="H641" s="48" t="str">
        <x:v>Employer</x:v>
      </x:c>
      <x:c r="I641" s="48" t="n">
        <x:v>0.88</x:v>
      </x:c>
      <x:c r="J641" s="48" t="n">
        <x:v>0.92</x:v>
      </x:c>
      <x:c r="K641" s="48" t="str">
        <x:v>No</x:v>
      </x:c>
      <x:c r="L641" s="48" t="str">
        <x:v>PDF text</x:v>
      </x:c>
    </x:row>
    <x:row r="642">
      <x:c r="A642" s="48" t="str">
        <x:v>RED-0641</x:v>
      </x:c>
      <x:c r="B642" s="48" t="str">
        <x:v>RED</x:v>
      </x:c>
      <x:c r="C642" s="48" t="str">
        <x:v>English</x:v>
      </x:c>
      <x:c r="D642" s="48" t="n">
        <x:v>42</x:v>
      </x:c>
      <x:c r="E642" s="48" t="str"/>
      <x:c r="F642" s="48" t="str">
        <x:v>Except to the extent that the</x:v>
      </x:c>
      <x:c r="G642" s="48" t="str">
        <x:v>Obligation</x:v>
      </x:c>
      <x:c r="H642" s="48" t="str">
        <x:v>Shared</x:v>
      </x:c>
      <x:c r="I642" s="48" t="n">
        <x:v>0.45</x:v>
      </x:c>
      <x:c r="J642" s="48" t="n">
        <x:v>0.4</x:v>
      </x:c>
      <x:c r="K642" s="48" t="str">
        <x:v>Yes</x:v>
      </x:c>
      <x:c r="L642" s="48" t="str">
        <x:v>PDF text</x:v>
      </x:c>
    </x:row>
    <x:row r="643">
      <x:c r="A643" s="48" t="str">
        <x:v>RED-0642</x:v>
      </x:c>
      <x:c r="B643" s="48" t="str">
        <x:v>RED</x:v>
      </x:c>
      <x:c r="C643" s="48" t="str">
        <x:v>English</x:v>
      </x:c>
      <x:c r="D643" s="48" t="n">
        <x:v>42</x:v>
      </x:c>
      <x:c r="E643" s="48" t="str"/>
      <x:c r="F643" s="48" t="str">
        <x:v>Contractor would have been entitled to payment for the work, the Contractor shall</x:v>
      </x:c>
      <x:c r="G643" s="48" t="str">
        <x:v>Obligation</x:v>
      </x:c>
      <x:c r="H643" s="48" t="str">
        <x:v>Contractor</x:v>
      </x:c>
      <x:c r="I643" s="48" t="n">
        <x:v>0.88</x:v>
      </x:c>
      <x:c r="J643" s="48" t="n">
        <x:v>0.92</x:v>
      </x:c>
      <x:c r="K643" s="48" t="str">
        <x:v>No</x:v>
      </x:c>
      <x:c r="L643" s="48" t="str">
        <x:v>PDF text</x:v>
      </x:c>
    </x:row>
    <x:row r="644">
      <x:c r="A644" s="48" t="str">
        <x:v>RED-0643</x:v>
      </x:c>
      <x:c r="B644" s="48" t="str">
        <x:v>RED</x:v>
      </x:c>
      <x:c r="C644" s="48" t="str">
        <x:v>English</x:v>
      </x:c>
      <x:c r="D644" s="48" t="n">
        <x:v>42</x:v>
      </x:c>
      <x:c r="E644" s="48" t="str"/>
      <x:c r="F644" s="48" t="str">
        <x:v>subject to Sub-Clause 2.5 [Employer’s Claims] pay to the Employer all costs arising from this failure.</x:v>
      </x:c>
      <x:c r="G644" s="48" t="str">
        <x:v>Obligation</x:v>
      </x:c>
      <x:c r="H644" s="48" t="str">
        <x:v>Employer</x:v>
      </x:c>
      <x:c r="I644" s="48" t="n">
        <x:v>0.45</x:v>
      </x:c>
      <x:c r="J644" s="48" t="n">
        <x:v>0.68</x:v>
      </x:c>
      <x:c r="K644" s="48" t="str">
        <x:v>Yes</x:v>
      </x:c>
      <x:c r="L644" s="48" t="str">
        <x:v>PDF text</x:v>
      </x:c>
    </x:row>
    <x:row r="645">
      <x:c r="A645" s="48" t="str">
        <x:v>RED-0644</x:v>
      </x:c>
      <x:c r="B645" s="48" t="str">
        <x:v>RED</x:v>
      </x:c>
      <x:c r="C645" s="48" t="str">
        <x:v>English</x:v>
      </x:c>
      <x:c r="D645" s="48" t="n">
        <x:v>42</x:v>
      </x:c>
      <x:c r="E645" s="48" t="str"/>
      <x:c r="F645" s="48" t="str">
        <x:v>Each item of Plant and Materials shall, to the extent consistent with the Laws of the</x:v>
      </x:c>
      <x:c r="G645" s="48" t="str">
        <x:v>Obligation</x:v>
      </x:c>
      <x:c r="H645" s="48" t="str">
        <x:v>Shared</x:v>
      </x:c>
      <x:c r="I645" s="48" t="n">
        <x:v>0.88</x:v>
      </x:c>
      <x:c r="J645" s="48" t="n">
        <x:v>0.4</x:v>
      </x:c>
      <x:c r="K645" s="48" t="str">
        <x:v>Yes</x:v>
      </x:c>
      <x:c r="L645" s="48" t="str">
        <x:v>PDF text</x:v>
      </x:c>
    </x:row>
    <x:row r="646">
      <x:c r="A646" s="48" t="str">
        <x:v>RED-0645</x:v>
      </x:c>
      <x:c r="B646" s="48" t="str">
        <x:v>RED</x:v>
      </x:c>
      <x:c r="C646" s="48" t="str">
        <x:v>English</x:v>
      </x:c>
      <x:c r="D646" s="48" t="n">
        <x:v>42</x:v>
      </x:c>
      <x:c r="E646" s="48" t="str"/>
      <x:c r="F646" s="48" t="str">
        <x:v>Country, become the property of the Employer at whichever is the earlier of the</x:v>
      </x:c>
      <x:c r="G646" s="48" t="str">
        <x:v>Obligation</x:v>
      </x:c>
      <x:c r="H646" s="48" t="str">
        <x:v>Employer</x:v>
      </x:c>
      <x:c r="I646" s="48" t="n">
        <x:v>0.45</x:v>
      </x:c>
      <x:c r="J646" s="48" t="n">
        <x:v>0.68</x:v>
      </x:c>
      <x:c r="K646" s="48" t="str">
        <x:v>Yes</x:v>
      </x:c>
      <x:c r="L646" s="48" t="str">
        <x:v>PDF text</x:v>
      </x:c>
    </x:row>
    <x:row r="647">
      <x:c r="A647" s="48" t="str">
        <x:v>RED-0646</x:v>
      </x:c>
      <x:c r="B647" s="48" t="str">
        <x:v>RED</x:v>
      </x:c>
      <x:c r="C647" s="48" t="str">
        <x:v>English</x:v>
      </x:c>
      <x:c r="D647" s="48" t="n">
        <x:v>42</x:v>
      </x:c>
      <x:c r="E647" s="48" t="str"/>
      <x:c r="F647" s="48" t="str">
        <x:v>following times, free from liens and other encumbrances: (a) when it is delivered to the Site; (b) when the Contractor is entitled to payment of the value of the Plant and Materials under Sub-Clause 8.10 [Payment for Plant and Materials in Event of Suspension].</x:v>
      </x:c>
      <x:c r="G647" s="48" t="str">
        <x:v>Right</x:v>
      </x:c>
      <x:c r="H647" s="48" t="str">
        <x:v>Contractor</x:v>
      </x:c>
      <x:c r="I647" s="48" t="n">
        <x:v>0.78</x:v>
      </x:c>
      <x:c r="J647" s="48" t="n">
        <x:v>0.92</x:v>
      </x:c>
      <x:c r="K647" s="48" t="str">
        <x:v>No</x:v>
      </x:c>
      <x:c r="L647" s="48" t="str">
        <x:v>PDF text</x:v>
      </x:c>
    </x:row>
    <x:row r="648">
      <x:c r="A648" s="48" t="str">
        <x:v>RED-0647</x:v>
      </x:c>
      <x:c r="B648" s="48" t="str">
        <x:v>RED</x:v>
      </x:c>
      <x:c r="C648" s="48" t="str">
        <x:v>English</x:v>
      </x:c>
      <x:c r="D648" s="48" t="n">
        <x:v>42</x:v>
      </x:c>
      <x:c r="E648" s="48" t="str"/>
      <x:c r="F648" s="48" t="str">
        <x:v>Unless otherwise stated in the Specification, the Contractor shall pay all royalties, rents and other payments for: (a) natural Materials obtained from outside the Site, and (b) the disposal of material from demolitions and excavations and of other surplus material (whether natural or man-made), except to the extent that disposal areas within the Site are specified in the Contract.</x:v>
      </x:c>
      <x:c r="G648" s="48" t="str">
        <x:v>Obligation</x:v>
      </x:c>
      <x:c r="H648" s="48" t="str">
        <x:v>Contractor</x:v>
      </x:c>
      <x:c r="I648" s="48" t="n">
        <x:v>0.88</x:v>
      </x:c>
      <x:c r="J648" s="48" t="n">
        <x:v>0.92</x:v>
      </x:c>
      <x:c r="K648" s="48" t="str">
        <x:v>No</x:v>
      </x:c>
      <x:c r="L648" s="48" t="str">
        <x:v>PDF text</x:v>
      </x:c>
    </x:row>
    <x:row r="649">
      <x:c r="A649" s="48" t="str">
        <x:v>RED-0648</x:v>
      </x:c>
      <x:c r="B649" s="48" t="str">
        <x:v>RED</x:v>
      </x:c>
      <x:c r="C649" s="48" t="str">
        <x:v>English</x:v>
      </x:c>
      <x:c r="D649" s="48" t="n">
        <x:v>42</x:v>
      </x:c>
      <x:c r="E649" s="48" t="str"/>
      <x:c r="F649" s="48" t="str">
        <x:v>The Engineer shall give the Contractor not less than 7 days’ notice of the Commencement Date.</x:v>
      </x:c>
      <x:c r="G649" s="48" t="str">
        <x:v>Obligation</x:v>
      </x:c>
      <x:c r="H649" s="48" t="str">
        <x:v>Contractor</x:v>
      </x:c>
      <x:c r="I649" s="48" t="n">
        <x:v>0.88</x:v>
      </x:c>
      <x:c r="J649" s="48" t="n">
        <x:v>0.68</x:v>
      </x:c>
      <x:c r="K649" s="48" t="str">
        <x:v>Yes</x:v>
      </x:c>
      <x:c r="L649" s="48" t="str">
        <x:v>PDF text</x:v>
      </x:c>
    </x:row>
    <x:row r="650">
      <x:c r="A650" s="48" t="str">
        <x:v>RED-0649</x:v>
      </x:c>
      <x:c r="B650" s="48" t="str">
        <x:v>RED</x:v>
      </x:c>
      <x:c r="C650" s="48" t="str">
        <x:v>English</x:v>
      </x:c>
      <x:c r="D650" s="48" t="n">
        <x:v>42</x:v>
      </x:c>
      <x:c r="E650" s="48" t="str"/>
      <x:c r="F650" s="48" t="str">
        <x:v>Unless otherwise stated in the Particular Conditions, the Commencement Date shall be within 42 days after the Contractor receives the Letter of Acceptance.</x:v>
      </x:c>
      <x:c r="G650" s="48" t="str">
        <x:v>Obligation</x:v>
      </x:c>
      <x:c r="H650" s="48" t="str">
        <x:v>Contractor</x:v>
      </x:c>
      <x:c r="I650" s="48" t="n">
        <x:v>0.88</x:v>
      </x:c>
      <x:c r="J650" s="48" t="n">
        <x:v>0.68</x:v>
      </x:c>
      <x:c r="K650" s="48" t="str">
        <x:v>Yes</x:v>
      </x:c>
      <x:c r="L650" s="48" t="str">
        <x:v>PDF text</x:v>
      </x:c>
    </x:row>
    <x:row r="651">
      <x:c r="A651" s="48" t="str">
        <x:v>RED-0650</x:v>
      </x:c>
      <x:c r="B651" s="48" t="str">
        <x:v>RED</x:v>
      </x:c>
      <x:c r="C651" s="48" t="str">
        <x:v>English</x:v>
      </x:c>
      <x:c r="D651" s="48" t="n">
        <x:v>42</x:v>
      </x:c>
      <x:c r="E651" s="48" t="str"/>
      <x:c r="F651" s="48" t="str">
        <x:v>The Contractor shall commence the execution of the Works as soon as is reasonably</x:v>
      </x:c>
      <x:c r="G651" s="48" t="str">
        <x:v>Obligation</x:v>
      </x:c>
      <x:c r="H651" s="48" t="str">
        <x:v>Contractor</x:v>
      </x:c>
      <x:c r="I651" s="48" t="n">
        <x:v>0.88</x:v>
      </x:c>
      <x:c r="J651" s="48" t="n">
        <x:v>0.92</x:v>
      </x:c>
      <x:c r="K651" s="48" t="str">
        <x:v>No</x:v>
      </x:c>
      <x:c r="L651" s="48" t="str">
        <x:v>PDF text</x:v>
      </x:c>
    </x:row>
    <x:row r="652">
      <x:c r="A652" s="48" t="str">
        <x:v>RED-0651</x:v>
      </x:c>
      <x:c r="B652" s="48" t="str">
        <x:v>RED</x:v>
      </x:c>
      <x:c r="C652" s="48" t="str">
        <x:v>English</x:v>
      </x:c>
      <x:c r="D652" s="48" t="n">
        <x:v>42</x:v>
      </x:c>
      <x:c r="E652" s="48" t="str"/>
      <x:c r="F652" s="48" t="str">
        <x:v>practicable after the Commencement Date, and shall then proceed with the Works with due expedition and without delay.</x:v>
      </x:c>
      <x:c r="G652" s="48" t="str">
        <x:v>Obligation</x:v>
      </x:c>
      <x:c r="H652" s="48" t="str">
        <x:v>Shared</x:v>
      </x:c>
      <x:c r="I652" s="48" t="n">
        <x:v>0.88</x:v>
      </x:c>
      <x:c r="J652" s="48" t="n">
        <x:v>0.4</x:v>
      </x:c>
      <x:c r="K652" s="48" t="str">
        <x:v>Yes</x:v>
      </x:c>
      <x:c r="L652" s="48" t="str">
        <x:v>PDF text</x:v>
      </x:c>
    </x:row>
    <x:row r="653">
      <x:c r="A653" s="48" t="str">
        <x:v>RED-0652</x:v>
      </x:c>
      <x:c r="B653" s="48" t="str">
        <x:v>RED</x:v>
      </x:c>
      <x:c r="C653" s="48" t="str">
        <x:v>English</x:v>
      </x:c>
      <x:c r="D653" s="48" t="n">
        <x:v>42</x:v>
      </x:c>
      <x:c r="E653" s="48" t="str"/>
      <x:c r="F653" s="48" t="str">
        <x:v>The Contractor shall complete the whole of the Works, and each Section (if any), within the Time for Completion for the Works or Section (as the case may be), including: (a) achieving the passing of the Tests on Completion, and (b) completing all work which is stated in the Contract as being required for the Works or Section to be considered to be completed for the purposes of takingover under Sub-Clause 10.1 [Taking Over of the Works and Sections].</x:v>
      </x:c>
      <x:c r="G653" s="48" t="str">
        <x:v>Obligation</x:v>
      </x:c>
      <x:c r="H653" s="48" t="str">
        <x:v>Contractor</x:v>
      </x:c>
      <x:c r="I653" s="48" t="n">
        <x:v>0.88</x:v>
      </x:c>
      <x:c r="J653" s="48" t="n">
        <x:v>0.92</x:v>
      </x:c>
      <x:c r="K653" s="48" t="str">
        <x:v>No</x:v>
      </x:c>
      <x:c r="L653" s="48" t="str">
        <x:v>PDF text</x:v>
      </x:c>
    </x:row>
    <x:row r="654">
      <x:c r="A654" s="48" t="str">
        <x:v>RED-0653</x:v>
      </x:c>
      <x:c r="B654" s="48" t="str">
        <x:v>RED</x:v>
      </x:c>
      <x:c r="C654" s="48" t="str">
        <x:v>English</x:v>
      </x:c>
      <x:c r="D654" s="48" t="n">
        <x:v>42</x:v>
      </x:c>
      <x:c r="E654" s="48" t="str"/>
      <x:c r="F654" s="48" t="str">
        <x:v>The Contractor shall submit a detailed time programme to the Engineer within 28 days after receiving the notice under Sub-Clause 8.1 [Commencement of Works].</x:v>
      </x:c>
      <x:c r="G654" s="48" t="str">
        <x:v>Obligation</x:v>
      </x:c>
      <x:c r="H654" s="48" t="str">
        <x:v>Contractor</x:v>
      </x:c>
      <x:c r="I654" s="48" t="n">
        <x:v>0.88</x:v>
      </x:c>
      <x:c r="J654" s="48" t="n">
        <x:v>0.92</x:v>
      </x:c>
      <x:c r="K654" s="48" t="str">
        <x:v>No</x:v>
      </x:c>
      <x:c r="L654" s="48" t="str">
        <x:v>PDF text</x:v>
      </x:c>
    </x:row>
    <x:row r="655">
      <x:c r="A655" s="48" t="str">
        <x:v>RED-0654</x:v>
      </x:c>
      <x:c r="B655" s="48" t="str">
        <x:v>RED</x:v>
      </x:c>
      <x:c r="C655" s="48" t="str">
        <x:v>English</x:v>
      </x:c>
      <x:c r="D655" s="48" t="n">
        <x:v>42</x:v>
      </x:c>
      <x:c r="E655" s="48" t="str"/>
      <x:c r="F655" s="48" t="str">
        <x:v>Contractor shall also submit a revised programme whenever the previous programme</x:v>
      </x:c>
      <x:c r="G655" s="48" t="str">
        <x:v>Obligation</x:v>
      </x:c>
      <x:c r="H655" s="48" t="str">
        <x:v>Contractor</x:v>
      </x:c>
      <x:c r="I655" s="48" t="n">
        <x:v>0.88</x:v>
      </x:c>
      <x:c r="J655" s="48" t="n">
        <x:v>0.68</x:v>
      </x:c>
      <x:c r="K655" s="48" t="str">
        <x:v>Yes</x:v>
      </x:c>
      <x:c r="L655" s="48" t="str">
        <x:v>PDF text</x:v>
      </x:c>
    </x:row>
    <x:row r="656">
      <x:c r="A656" s="48" t="str">
        <x:v>RED-0655</x:v>
      </x:c>
      <x:c r="B656" s="48" t="str">
        <x:v>RED</x:v>
      </x:c>
      <x:c r="C656" s="48" t="str">
        <x:v>English</x:v>
      </x:c>
      <x:c r="D656" s="48" t="n">
        <x:v>42</x:v>
      </x:c>
      <x:c r="E656" s="48" t="str"/>
      <x:c r="F656" s="48" t="str">
        <x:v>is inconsistent with actual progress or with the Contractor’s obligations.</x:v>
      </x:c>
      <x:c r="G656" s="48" t="str">
        <x:v>Obligation</x:v>
      </x:c>
      <x:c r="H656" s="48" t="str">
        <x:v>Contractor</x:v>
      </x:c>
      <x:c r="I656" s="48" t="n">
        <x:v>0.45</x:v>
      </x:c>
      <x:c r="J656" s="48" t="n">
        <x:v>0.68</x:v>
      </x:c>
      <x:c r="K656" s="48" t="str">
        <x:v>Yes</x:v>
      </x:c>
      <x:c r="L656" s="48" t="str">
        <x:v>PDF text</x:v>
      </x:c>
    </x:row>
    <x:row r="657">
      <x:c r="A657" s="48" t="str">
        <x:v>RED-0656</x:v>
      </x:c>
      <x:c r="B657" s="48" t="str">
        <x:v>RED</x:v>
      </x:c>
      <x:c r="C657" s="48" t="str">
        <x:v>English</x:v>
      </x:c>
      <x:c r="D657" s="48" t="n">
        <x:v>42</x:v>
      </x:c>
      <x:c r="E657" s="48" t="str"/>
      <x:c r="F657" s="48" t="str">
        <x:v>Each programme shall include: (a) the order in which the Contractor intends to carry out the Works, including the anticipated timing of each stage of design (if any), Contractor’s Documents, procurement, manufacture of Plant, delivery to Site, construction, erection and testing, 7.7</x:v>
      </x:c>
      <x:c r="G657" s="48" t="str">
        <x:v>Obligation</x:v>
      </x:c>
      <x:c r="H657" s="48" t="str">
        <x:v>Contractor</x:v>
      </x:c>
      <x:c r="I657" s="48" t="n">
        <x:v>0.88</x:v>
      </x:c>
      <x:c r="J657" s="48" t="n">
        <x:v>0.68</x:v>
      </x:c>
      <x:c r="K657" s="48" t="str">
        <x:v>Yes</x:v>
      </x:c>
      <x:c r="L657" s="48" t="str">
        <x:v>PDF text</x:v>
      </x:c>
    </x:row>
    <x:row r="658">
      <x:c r="A658" s="48" t="str">
        <x:v>RED-0657</x:v>
      </x:c>
      <x:c r="B658" s="48" t="str">
        <x:v>RED</x:v>
      </x:c>
      <x:c r="C658" s="48" t="str">
        <x:v>English</x:v>
      </x:c>
      <x:c r="D658" s="48" t="n">
        <x:v>42</x:v>
      </x:c>
      <x:c r="E658" s="48" t="str"/>
      <x:c r="F658" s="48" t="str">
        <x:v>Ownership of Plant and</x:v>
      </x:c>
      <x:c r="G658" s="48" t="str">
        <x:v>Obligation</x:v>
      </x:c>
      <x:c r="H658" s="48" t="str">
        <x:v>Shared</x:v>
      </x:c>
      <x:c r="I658" s="48" t="n">
        <x:v>0.45</x:v>
      </x:c>
      <x:c r="J658" s="48" t="n">
        <x:v>0.4</x:v>
      </x:c>
      <x:c r="K658" s="48" t="str">
        <x:v>Yes</x:v>
      </x:c>
      <x:c r="L658" s="48" t="str">
        <x:v>PDF text</x:v>
      </x:c>
    </x:row>
    <x:row r="659">
      <x:c r="A659" s="48" t="str">
        <x:v>RED-0658</x:v>
      </x:c>
      <x:c r="B659" s="48" t="str">
        <x:v>RED</x:v>
      </x:c>
      <x:c r="C659" s="48" t="str">
        <x:v>English</x:v>
      </x:c>
      <x:c r="D659" s="48" t="n">
        <x:v>42</x:v>
      </x:c>
      <x:c r="E659" s="48" t="str"/>
      <x:c r="F659" s="48" t="str">
        <x:v>Materials</x:v>
      </x:c>
      <x:c r="G659" s="48" t="str">
        <x:v>Obligation</x:v>
      </x:c>
      <x:c r="H659" s="48" t="str">
        <x:v>Shared</x:v>
      </x:c>
      <x:c r="I659" s="48" t="n">
        <x:v>0.45</x:v>
      </x:c>
      <x:c r="J659" s="48" t="n">
        <x:v>0.4</x:v>
      </x:c>
      <x:c r="K659" s="48" t="str">
        <x:v>Yes</x:v>
      </x:c>
      <x:c r="L659" s="48" t="str">
        <x:v>PDF text</x:v>
      </x:c>
    </x:row>
    <x:row r="660">
      <x:c r="A660" s="48" t="str">
        <x:v>RED-0659</x:v>
      </x:c>
      <x:c r="B660" s="48" t="str">
        <x:v>RED</x:v>
      </x:c>
      <x:c r="C660" s="48" t="str">
        <x:v>English</x:v>
      </x:c>
      <x:c r="D660" s="48" t="n">
        <x:v>42</x:v>
      </x:c>
      <x:c r="E660" s="48" t="str"/>
      <x:c r="F660" s="48" t="str">
        <x:v>Royalties</x:v>
      </x:c>
      <x:c r="G660" s="48" t="str">
        <x:v>Obligation</x:v>
      </x:c>
      <x:c r="H660" s="48" t="str">
        <x:v>Shared</x:v>
      </x:c>
      <x:c r="I660" s="48" t="n">
        <x:v>0.45</x:v>
      </x:c>
      <x:c r="J660" s="48" t="n">
        <x:v>0.4</x:v>
      </x:c>
      <x:c r="K660" s="48" t="str">
        <x:v>Yes</x:v>
      </x:c>
      <x:c r="L660" s="48" t="str">
        <x:v>PDF text</x:v>
      </x:c>
    </x:row>
    <x:row r="661">
      <x:c r="A661" s="48" t="str">
        <x:v>RED-0660</x:v>
      </x:c>
      <x:c r="B661" s="48" t="str">
        <x:v>RED</x:v>
      </x:c>
      <x:c r="C661" s="48" t="str">
        <x:v>English</x:v>
      </x:c>
      <x:c r="D661" s="48" t="n">
        <x:v>42</x:v>
      </x:c>
      <x:c r="E661" s="48" t="str"/>
      <x:c r="F661" s="48" t="str">
        <x:v>Commencement of Works</x:v>
      </x:c>
      <x:c r="G661" s="48" t="str">
        <x:v>Obligation</x:v>
      </x:c>
      <x:c r="H661" s="48" t="str">
        <x:v>Shared</x:v>
      </x:c>
      <x:c r="I661" s="48" t="n">
        <x:v>0.45</x:v>
      </x:c>
      <x:c r="J661" s="48" t="n">
        <x:v>0.4</x:v>
      </x:c>
      <x:c r="K661" s="48" t="str">
        <x:v>Yes</x:v>
      </x:c>
      <x:c r="L661" s="48" t="str">
        <x:v>PDF text</x:v>
      </x:c>
    </x:row>
    <x:row r="662">
      <x:c r="A662" s="48" t="str">
        <x:v>RED-0661</x:v>
      </x:c>
      <x:c r="B662" s="48" t="str">
        <x:v>RED</x:v>
      </x:c>
      <x:c r="C662" s="48" t="str">
        <x:v>English</x:v>
      </x:c>
      <x:c r="D662" s="48" t="n">
        <x:v>42</x:v>
      </x:c>
      <x:c r="E662" s="48" t="str"/>
      <x:c r="F662" s="48" t="str">
        <x:v>Time for Completion</x:v>
      </x:c>
      <x:c r="G662" s="48" t="str">
        <x:v>Obligation</x:v>
      </x:c>
      <x:c r="H662" s="48" t="str">
        <x:v>Shared</x:v>
      </x:c>
      <x:c r="I662" s="48" t="n">
        <x:v>0.45</x:v>
      </x:c>
      <x:c r="J662" s="48" t="n">
        <x:v>0.4</x:v>
      </x:c>
      <x:c r="K662" s="48" t="str">
        <x:v>Yes</x:v>
      </x:c>
      <x:c r="L662" s="48" t="str">
        <x:v>PDF text</x:v>
      </x:c>
    </x:row>
    <x:row r="663">
      <x:c r="A663" s="48" t="str">
        <x:v>RED-0662</x:v>
      </x:c>
      <x:c r="B663" s="48" t="str">
        <x:v>RED</x:v>
      </x:c>
      <x:c r="C663" s="48" t="str">
        <x:v>English</x:v>
      </x:c>
      <x:c r="D663" s="48" t="n">
        <x:v>42</x:v>
      </x:c>
      <x:c r="E663" s="48" t="str"/>
      <x:c r="F663" s="48" t="str">
        <x:v>Programme</x:v>
      </x:c>
      <x:c r="G663" s="48" t="str">
        <x:v>Obligation</x:v>
      </x:c>
      <x:c r="H663" s="48" t="str">
        <x:v>Shared</x:v>
      </x:c>
      <x:c r="I663" s="48" t="n">
        <x:v>0.45</x:v>
      </x:c>
      <x:c r="J663" s="48" t="n">
        <x:v>0.4</x:v>
      </x:c>
      <x:c r="K663" s="48" t="str">
        <x:v>Yes</x:v>
      </x:c>
      <x:c r="L663" s="48" t="str">
        <x:v>PDF text</x:v>
      </x:c>
    </x:row>
    <x:row r="664">
      <x:c r="A664" s="48" t="str">
        <x:v>RED-0663</x:v>
      </x:c>
      <x:c r="B664" s="48" t="str">
        <x:v>RED</x:v>
      </x:c>
      <x:c r="C664" s="48" t="str">
        <x:v>English</x:v>
      </x:c>
      <x:c r="D664" s="48" t="n">
        <x:v>42</x:v>
      </x:c>
      <x:c r="E664" s="48" t="str"/>
      <x:c r="F664" s="48" t="str">
        <x:v>Commencement, Delays and Suspension</x:v>
      </x:c>
      <x:c r="G664" s="48" t="str">
        <x:v>Obligation</x:v>
      </x:c>
      <x:c r="H664" s="48" t="str">
        <x:v>Shared</x:v>
      </x:c>
      <x:c r="I664" s="48" t="n">
        <x:v>0.45</x:v>
      </x:c>
      <x:c r="J664" s="48" t="n">
        <x:v>0.4</x:v>
      </x:c>
      <x:c r="K664" s="48" t="str">
        <x:v>Yes</x:v>
      </x:c>
      <x:c r="L664" s="48" t="str">
        <x:v>PDF text</x:v>
      </x:c>
    </x:row>
    <x:row r="665">
      <x:c r="A665" s="48" t="str">
        <x:v>RED-0664</x:v>
      </x:c>
      <x:c r="B665" s="48" t="str">
        <x:v>RED</x:v>
      </x:c>
      <x:c r="C665" s="48" t="str">
        <x:v>English</x:v>
      </x:c>
      <x:c r="D665" s="48" t="n">
        <x:v>43</x:v>
      </x:c>
      <x:c r="E665" s="48" t="str"/>
      <x:c r="F665" s="48" t="str">
        <x:v>(b) each of these stages for work by each nominated Subcontractor (as defined in Clause 5 [Nominated Subcontractors] (c) the sequence and timing of inspections and tests specified in the Contract, and (d) a supporting report which includes: (i) a general description of the methods which the Contractor intends to adopt, and of the major stages, in the execution of the Works, and (ii) details showing the Contractor’s reasonable estimate of the number of each class of Contractor’s Personnel and of each type of Contractor’s Equipment, required on the Site for each major stage.</x:v>
      </x:c>
      <x:c r="G665" s="48" t="str">
        <x:v>Obligation</x:v>
      </x:c>
      <x:c r="H665" s="48" t="str">
        <x:v>Contractor</x:v>
      </x:c>
      <x:c r="I665" s="48" t="n">
        <x:v>0.45</x:v>
      </x:c>
      <x:c r="J665" s="48" t="n">
        <x:v>0.68</x:v>
      </x:c>
      <x:c r="K665" s="48" t="str">
        <x:v>Yes</x:v>
      </x:c>
      <x:c r="L665" s="48" t="str">
        <x:v>PDF text</x:v>
      </x:c>
    </x:row>
    <x:row r="666">
      <x:c r="A666" s="48" t="str">
        <x:v>RED-0665</x:v>
      </x:c>
      <x:c r="B666" s="48" t="str">
        <x:v>RED</x:v>
      </x:c>
      <x:c r="C666" s="48" t="str">
        <x:v>English</x:v>
      </x:c>
      <x:c r="D666" s="48" t="n">
        <x:v>43</x:v>
      </x:c>
      <x:c r="E666" s="48" t="str"/>
      <x:c r="F666" s="48" t="str">
        <x:v>Unless the Engineer, within 21 days after receiving a programme, gives notice to the</x:v>
      </x:c>
      <x:c r="G666" s="48" t="str">
        <x:v>Obligation</x:v>
      </x:c>
      <x:c r="H666" s="48" t="str">
        <x:v>Shared</x:v>
      </x:c>
      <x:c r="I666" s="48" t="n">
        <x:v>0.55</x:v>
      </x:c>
      <x:c r="J666" s="48" t="n">
        <x:v>0.4</x:v>
      </x:c>
      <x:c r="K666" s="48" t="str">
        <x:v>Yes</x:v>
      </x:c>
      <x:c r="L666" s="48" t="str">
        <x:v>PDF text</x:v>
      </x:c>
    </x:row>
    <x:row r="667">
      <x:c r="A667" s="48" t="str">
        <x:v>RED-0666</x:v>
      </x:c>
      <x:c r="B667" s="48" t="str">
        <x:v>RED</x:v>
      </x:c>
      <x:c r="C667" s="48" t="str">
        <x:v>English</x:v>
      </x:c>
      <x:c r="D667" s="48" t="n">
        <x:v>43</x:v>
      </x:c>
      <x:c r="E667" s="48" t="str"/>
      <x:c r="F667" s="48" t="str">
        <x:v>Contractor stating the extent to which it does not comply with the Contract, the</x:v>
      </x:c>
      <x:c r="G667" s="48" t="str">
        <x:v>Obligation</x:v>
      </x:c>
      <x:c r="H667" s="48" t="str">
        <x:v>Contractor</x:v>
      </x:c>
      <x:c r="I667" s="48" t="n">
        <x:v>0.45</x:v>
      </x:c>
      <x:c r="J667" s="48" t="n">
        <x:v>0.68</x:v>
      </x:c>
      <x:c r="K667" s="48" t="str">
        <x:v>Yes</x:v>
      </x:c>
      <x:c r="L667" s="48" t="str">
        <x:v>PDF text</x:v>
      </x:c>
    </x:row>
    <x:row r="668">
      <x:c r="A668" s="48" t="str">
        <x:v>RED-0667</x:v>
      </x:c>
      <x:c r="B668" s="48" t="str">
        <x:v>RED</x:v>
      </x:c>
      <x:c r="C668" s="48" t="str">
        <x:v>English</x:v>
      </x:c>
      <x:c r="D668" s="48" t="n">
        <x:v>43</x:v>
      </x:c>
      <x:c r="E668" s="48" t="str"/>
      <x:c r="F668" s="48" t="str">
        <x:v>Contractor shall proceed in accordance with the programme, subject to his other</x:v>
      </x:c>
      <x:c r="G668" s="48" t="str">
        <x:v>Obligation</x:v>
      </x:c>
      <x:c r="H668" s="48" t="str">
        <x:v>Contractor</x:v>
      </x:c>
      <x:c r="I668" s="48" t="n">
        <x:v>0.88</x:v>
      </x:c>
      <x:c r="J668" s="48" t="n">
        <x:v>0.68</x:v>
      </x:c>
      <x:c r="K668" s="48" t="str">
        <x:v>Yes</x:v>
      </x:c>
      <x:c r="L668" s="48" t="str">
        <x:v>PDF text</x:v>
      </x:c>
    </x:row>
    <x:row r="669">
      <x:c r="A669" s="48" t="str">
        <x:v>RED-0668</x:v>
      </x:c>
      <x:c r="B669" s="48" t="str">
        <x:v>RED</x:v>
      </x:c>
      <x:c r="C669" s="48" t="str">
        <x:v>English</x:v>
      </x:c>
      <x:c r="D669" s="48" t="n">
        <x:v>43</x:v>
      </x:c>
      <x:c r="E669" s="48" t="str"/>
      <x:c r="F669" s="48" t="str">
        <x:v>obligations under the Contract.</x:v>
      </x:c>
      <x:c r="G669" s="48" t="str">
        <x:v>Obligation</x:v>
      </x:c>
      <x:c r="H669" s="48" t="str">
        <x:v>Shared</x:v>
      </x:c>
      <x:c r="I669" s="48" t="n">
        <x:v>0.45</x:v>
      </x:c>
      <x:c r="J669" s="48" t="n">
        <x:v>0.4</x:v>
      </x:c>
      <x:c r="K669" s="48" t="str">
        <x:v>Yes</x:v>
      </x:c>
      <x:c r="L669" s="48" t="str">
        <x:v>PDF text</x:v>
      </x:c>
    </x:row>
    <x:row r="670">
      <x:c r="A670" s="48" t="str">
        <x:v>RED-0669</x:v>
      </x:c>
      <x:c r="B670" s="48" t="str">
        <x:v>RED</x:v>
      </x:c>
      <x:c r="C670" s="48" t="str">
        <x:v>English</x:v>
      </x:c>
      <x:c r="D670" s="48" t="n">
        <x:v>43</x:v>
      </x:c>
      <x:c r="E670" s="48" t="str"/>
      <x:c r="F670" s="48" t="str">
        <x:v>The Employer’s Personnel shall be entitled to rely upon the programme when planning their activities.</x:v>
      </x:c>
      <x:c r="G670" s="48" t="str">
        <x:v>Obligation</x:v>
      </x:c>
      <x:c r="H670" s="48" t="str">
        <x:v>Employer</x:v>
      </x:c>
      <x:c r="I670" s="48" t="n">
        <x:v>0.88</x:v>
      </x:c>
      <x:c r="J670" s="48" t="n">
        <x:v>0.68</x:v>
      </x:c>
      <x:c r="K670" s="48" t="str">
        <x:v>Yes</x:v>
      </x:c>
      <x:c r="L670" s="48" t="str">
        <x:v>PDF text</x:v>
      </x:c>
    </x:row>
    <x:row r="671">
      <x:c r="A671" s="48" t="str">
        <x:v>RED-0670</x:v>
      </x:c>
      <x:c r="B671" s="48" t="str">
        <x:v>RED</x:v>
      </x:c>
      <x:c r="C671" s="48" t="str">
        <x:v>English</x:v>
      </x:c>
      <x:c r="D671" s="48" t="n">
        <x:v>43</x:v>
      </x:c>
      <x:c r="E671" s="48" t="str"/>
      <x:c r="F671" s="48" t="str">
        <x:v>The Contractor shall promptly give notice to the Engineer of specific probable future events or circumstances which may adversely affect the work, increase the Contract Price or delay the execution of the Works.</x:v>
      </x:c>
      <x:c r="G671" s="48" t="str">
        <x:v>Obligation</x:v>
      </x:c>
      <x:c r="H671" s="48" t="str">
        <x:v>Contractor</x:v>
      </x:c>
      <x:c r="I671" s="48" t="n">
        <x:v>0.88</x:v>
      </x:c>
      <x:c r="J671" s="48" t="n">
        <x:v>0.92</x:v>
      </x:c>
      <x:c r="K671" s="48" t="str">
        <x:v>No</x:v>
      </x:c>
      <x:c r="L671" s="48" t="str">
        <x:v>PDF text</x:v>
      </x:c>
    </x:row>
    <x:row r="672">
      <x:c r="A672" s="48" t="str">
        <x:v>RED-0671</x:v>
      </x:c>
      <x:c r="B672" s="48" t="str">
        <x:v>RED</x:v>
      </x:c>
      <x:c r="C672" s="48" t="str">
        <x:v>English</x:v>
      </x:c>
      <x:c r="D672" s="48" t="n">
        <x:v>43</x:v>
      </x:c>
      <x:c r="E672" s="48" t="str"/>
      <x:c r="F672" s="48" t="str">
        <x:v>The Engineer may require the Contractor to submit an estimate of the anticipated effect of the future event or circumstances, and/or a proposal under Sub-Clause 13.3 [Variation Procedure].</x:v>
      </x:c>
      <x:c r="G672" s="48" t="str">
        <x:v>Right</x:v>
      </x:c>
      <x:c r="H672" s="48" t="str">
        <x:v>Contractor</x:v>
      </x:c>
      <x:c r="I672" s="48" t="n">
        <x:v>0.78</x:v>
      </x:c>
      <x:c r="J672" s="48" t="n">
        <x:v>0.68</x:v>
      </x:c>
      <x:c r="K672" s="48" t="str">
        <x:v>Yes</x:v>
      </x:c>
      <x:c r="L672" s="48" t="str">
        <x:v>PDF text</x:v>
      </x:c>
    </x:row>
    <x:row r="673">
      <x:c r="A673" s="48" t="str">
        <x:v>RED-0672</x:v>
      </x:c>
      <x:c r="B673" s="48" t="str">
        <x:v>RED</x:v>
      </x:c>
      <x:c r="C673" s="48" t="str">
        <x:v>English</x:v>
      </x:c>
      <x:c r="D673" s="48" t="n">
        <x:v>43</x:v>
      </x:c>
      <x:c r="E673" s="48" t="str"/>
      <x:c r="F673" s="48" t="str">
        <x:v>If, at any time, the Engineer gives notice to the Contractor that a programme fails (to the extent stated) to comply with the Contract or to be consistent with actual progress and the Contractor’s stated intentions, the Contractor shall submit a revised programme to the Engineer in accordance with this Sub-Clause.</x:v>
      </x:c>
      <x:c r="G673" s="48" t="str">
        <x:v>Obligation</x:v>
      </x:c>
      <x:c r="H673" s="48" t="str">
        <x:v>Contractor</x:v>
      </x:c>
      <x:c r="I673" s="48" t="n">
        <x:v>0.88</x:v>
      </x:c>
      <x:c r="J673" s="48" t="n">
        <x:v>0.92</x:v>
      </x:c>
      <x:c r="K673" s="48" t="str">
        <x:v>No</x:v>
      </x:c>
      <x:c r="L673" s="48" t="str">
        <x:v>PDF text</x:v>
      </x:c>
    </x:row>
    <x:row r="674">
      <x:c r="A674" s="48" t="str">
        <x:v>RED-0673</x:v>
      </x:c>
      <x:c r="B674" s="48" t="str">
        <x:v>RED</x:v>
      </x:c>
      <x:c r="C674" s="48" t="str">
        <x:v>English</x:v>
      </x:c>
      <x:c r="D674" s="48" t="n">
        <x:v>43</x:v>
      </x:c>
      <x:c r="E674" s="48" t="str"/>
      <x:c r="F674" s="48" t="str">
        <x:v>The Contractor shall be entitled subject to Sub-Clause 20.1 [Contractor’s Claims] to an extension of the Time for Completion if and to the extent that completion for the purposes of Sub-Clause 10.1 [Taking-Over of the Works and Sections] is or will be delayed by any of the following causes: (a) a Variation (unless an adjustment to the Time for Completion has been agreed under Sub-Clause 13.3 [Variation Procedure]) or other substantial change in the quantity of an item of work included in the Contract, (b) a cause of delay giving an entitlement to extension of time under a Sub-Clause of these Conditions, (c) exceptionally adverse climatic conditions, (d)</x:v>
      </x:c>
      <x:c r="G674" s="48" t="str">
        <x:v>Risk</x:v>
      </x:c>
      <x:c r="H674" s="48" t="str">
        <x:v>Contractor</x:v>
      </x:c>
      <x:c r="I674" s="48" t="n">
        <x:v>0.78</x:v>
      </x:c>
      <x:c r="J674" s="48" t="n">
        <x:v>0.92</x:v>
      </x:c>
      <x:c r="K674" s="48" t="str">
        <x:v>No</x:v>
      </x:c>
      <x:c r="L674" s="48" t="str">
        <x:v>PDF text</x:v>
      </x:c>
    </x:row>
    <x:row r="675">
      <x:c r="A675" s="48" t="str">
        <x:v>RED-0674</x:v>
      </x:c>
      <x:c r="B675" s="48" t="str">
        <x:v>RED</x:v>
      </x:c>
      <x:c r="C675" s="48" t="str">
        <x:v>English</x:v>
      </x:c>
      <x:c r="D675" s="48" t="n">
        <x:v>43</x:v>
      </x:c>
      <x:c r="E675" s="48" t="str"/>
      <x:c r="F675" s="48" t="str">
        <x:v>Unforeseeable shortages in the availability of personnel or Goods caused by</x:v>
      </x:c>
      <x:c r="G675" s="48" t="str">
        <x:v>Obligation</x:v>
      </x:c>
      <x:c r="H675" s="48" t="str">
        <x:v>Shared</x:v>
      </x:c>
      <x:c r="I675" s="48" t="n">
        <x:v>0.45</x:v>
      </x:c>
      <x:c r="J675" s="48" t="n">
        <x:v>0.4</x:v>
      </x:c>
      <x:c r="K675" s="48" t="str">
        <x:v>Yes</x:v>
      </x:c>
      <x:c r="L675" s="48" t="str">
        <x:v>PDF text</x:v>
      </x:c>
    </x:row>
    <x:row r="676">
      <x:c r="A676" s="48" t="str">
        <x:v>RED-0675</x:v>
      </x:c>
      <x:c r="B676" s="48" t="str">
        <x:v>RED</x:v>
      </x:c>
      <x:c r="C676" s="48" t="str">
        <x:v>English</x:v>
      </x:c>
      <x:c r="D676" s="48" t="n">
        <x:v>43</x:v>
      </x:c>
      <x:c r="E676" s="48" t="str"/>
      <x:c r="F676" s="48" t="str">
        <x:v>epidemic or governmental actions, or (e) any delay, impediment or prevention caused by or attributable to the Employer, the Employer’s Personnel, or the Employer’s other contractors.</x:v>
      </x:c>
      <x:c r="G676" s="48" t="str">
        <x:v>Obligation</x:v>
      </x:c>
      <x:c r="H676" s="48" t="str">
        <x:v>Employer</x:v>
      </x:c>
      <x:c r="I676" s="48" t="n">
        <x:v>0.45</x:v>
      </x:c>
      <x:c r="J676" s="48" t="n">
        <x:v>0.68</x:v>
      </x:c>
      <x:c r="K676" s="48" t="str">
        <x:v>Yes</x:v>
      </x:c>
      <x:c r="L676" s="48" t="str">
        <x:v>PDF text</x:v>
      </x:c>
    </x:row>
    <x:row r="677">
      <x:c r="A677" s="48" t="str">
        <x:v>RED-0676</x:v>
      </x:c>
      <x:c r="B677" s="48" t="str">
        <x:v>RED</x:v>
      </x:c>
      <x:c r="C677" s="48" t="str">
        <x:v>English</x:v>
      </x:c>
      <x:c r="D677" s="48" t="n">
        <x:v>43</x:v>
      </x:c>
      <x:c r="E677" s="48" t="str"/>
      <x:c r="F677" s="48" t="str">
        <x:v>If the Contractor considers himself to be entitled to an extension of the Time for Completion, the Contractor shall give notice to the Engineer in accordance with SubClause 20.1 [Contractor’s Claims].</x:v>
      </x:c>
      <x:c r="G677" s="48" t="str">
        <x:v>Obligation</x:v>
      </x:c>
      <x:c r="H677" s="48" t="str">
        <x:v>Contractor</x:v>
      </x:c>
      <x:c r="I677" s="48" t="n">
        <x:v>0.88</x:v>
      </x:c>
      <x:c r="J677" s="48" t="n">
        <x:v>0.92</x:v>
      </x:c>
      <x:c r="K677" s="48" t="str">
        <x:v>No</x:v>
      </x:c>
      <x:c r="L677" s="48" t="str">
        <x:v>PDF text</x:v>
      </x:c>
    </x:row>
    <x:row r="678">
      <x:c r="A678" s="48" t="str">
        <x:v>RED-0677</x:v>
      </x:c>
      <x:c r="B678" s="48" t="str">
        <x:v>RED</x:v>
      </x:c>
      <x:c r="C678" s="48" t="str">
        <x:v>English</x:v>
      </x:c>
      <x:c r="D678" s="48" t="n">
        <x:v>43</x:v>
      </x:c>
      <x:c r="E678" s="48" t="str"/>
      <x:c r="F678" s="48" t="str">
        <x:v>When determining each extension of time under Sub-Clause 20.1, the Engineer shall review previous determinations and may increase, but shall not decrease, the total extension of time.</x:v>
      </x:c>
      <x:c r="G678" s="48" t="str">
        <x:v>Obligation</x:v>
      </x:c>
      <x:c r="H678" s="48" t="str">
        <x:v>Shared</x:v>
      </x:c>
      <x:c r="I678" s="48" t="n">
        <x:v>0.88</x:v>
      </x:c>
      <x:c r="J678" s="48" t="n">
        <x:v>0.4</x:v>
      </x:c>
      <x:c r="K678" s="48" t="str">
        <x:v>Yes</x:v>
      </x:c>
      <x:c r="L678" s="48" t="str">
        <x:v>PDF text</x:v>
      </x:c>
    </x:row>
    <x:row r="679">
      <x:c r="A679" s="48" t="str">
        <x:v>RED-0678</x:v>
      </x:c>
      <x:c r="B679" s="48" t="str">
        <x:v>RED</x:v>
      </x:c>
      <x:c r="C679" s="48" t="str">
        <x:v>English</x:v>
      </x:c>
      <x:c r="D679" s="48" t="n">
        <x:v>43</x:v>
      </x:c>
      <x:c r="E679" s="48" t="str"/>
      <x:c r="F679" s="48" t="str">
        <x:v>If the following conditions apply, namely: (a) the Contractor has diligently followed the procedures laid down by the relevant legally constituted public authorities in the Country, 8.4</x:v>
      </x:c>
      <x:c r="G679" s="48" t="str">
        <x:v>Obligation</x:v>
      </x:c>
      <x:c r="H679" s="48" t="str">
        <x:v>Contractor</x:v>
      </x:c>
      <x:c r="I679" s="48" t="n">
        <x:v>0.45</x:v>
      </x:c>
      <x:c r="J679" s="48" t="n">
        <x:v>0.68</x:v>
      </x:c>
      <x:c r="K679" s="48" t="str">
        <x:v>Yes</x:v>
      </x:c>
      <x:c r="L679" s="48" t="str">
        <x:v>PDF text</x:v>
      </x:c>
    </x:row>
    <x:row r="680">
      <x:c r="A680" s="48" t="str">
        <x:v>RED-0679</x:v>
      </x:c>
      <x:c r="B680" s="48" t="str">
        <x:v>RED</x:v>
      </x:c>
      <x:c r="C680" s="48" t="str">
        <x:v>English</x:v>
      </x:c>
      <x:c r="D680" s="48" t="n">
        <x:v>43</x:v>
      </x:c>
      <x:c r="E680" s="48" t="str"/>
      <x:c r="F680" s="48" t="str">
        <x:v>Extension of Time for</x:v>
      </x:c>
      <x:c r="G680" s="48" t="str">
        <x:v>Obligation</x:v>
      </x:c>
      <x:c r="H680" s="48" t="str">
        <x:v>Shared</x:v>
      </x:c>
      <x:c r="I680" s="48" t="n">
        <x:v>0.45</x:v>
      </x:c>
      <x:c r="J680" s="48" t="n">
        <x:v>0.4</x:v>
      </x:c>
      <x:c r="K680" s="48" t="str">
        <x:v>Yes</x:v>
      </x:c>
      <x:c r="L680" s="48" t="str">
        <x:v>PDF text</x:v>
      </x:c>
    </x:row>
    <x:row r="681">
      <x:c r="A681" s="48" t="str">
        <x:v>RED-0680</x:v>
      </x:c>
      <x:c r="B681" s="48" t="str">
        <x:v>RED</x:v>
      </x:c>
      <x:c r="C681" s="48" t="str">
        <x:v>English</x:v>
      </x:c>
      <x:c r="D681" s="48" t="n">
        <x:v>43</x:v>
      </x:c>
      <x:c r="E681" s="48" t="str"/>
      <x:c r="F681" s="48" t="str">
        <x:v>Completion</x:v>
      </x:c>
      <x:c r="G681" s="48" t="str">
        <x:v>Obligation</x:v>
      </x:c>
      <x:c r="H681" s="48" t="str">
        <x:v>Shared</x:v>
      </x:c>
      <x:c r="I681" s="48" t="n">
        <x:v>0.45</x:v>
      </x:c>
      <x:c r="J681" s="48" t="n">
        <x:v>0.4</x:v>
      </x:c>
      <x:c r="K681" s="48" t="str">
        <x:v>Yes</x:v>
      </x:c>
      <x:c r="L681" s="48" t="str">
        <x:v>PDF text</x:v>
      </x:c>
    </x:row>
    <x:row r="682">
      <x:c r="A682" s="48" t="str">
        <x:v>RED-0681</x:v>
      </x:c>
      <x:c r="B682" s="48" t="str">
        <x:v>RED</x:v>
      </x:c>
      <x:c r="C682" s="48" t="str">
        <x:v>English</x:v>
      </x:c>
      <x:c r="D682" s="48" t="n">
        <x:v>43</x:v>
      </x:c>
      <x:c r="E682" s="48" t="str"/>
      <x:c r="F682" s="48" t="str">
        <x:v>Delays Caused by</x:v>
      </x:c>
      <x:c r="G682" s="48" t="str">
        <x:v>Obligation</x:v>
      </x:c>
      <x:c r="H682" s="48" t="str">
        <x:v>Shared</x:v>
      </x:c>
      <x:c r="I682" s="48" t="n">
        <x:v>0.45</x:v>
      </x:c>
      <x:c r="J682" s="48" t="n">
        <x:v>0.4</x:v>
      </x:c>
      <x:c r="K682" s="48" t="str">
        <x:v>Yes</x:v>
      </x:c>
      <x:c r="L682" s="48" t="str">
        <x:v>PDF text</x:v>
      </x:c>
    </x:row>
    <x:row r="683">
      <x:c r="A683" s="48" t="str">
        <x:v>RED-0682</x:v>
      </x:c>
      <x:c r="B683" s="48" t="str">
        <x:v>RED</x:v>
      </x:c>
      <x:c r="C683" s="48" t="str">
        <x:v>English</x:v>
      </x:c>
      <x:c r="D683" s="48" t="n">
        <x:v>43</x:v>
      </x:c>
      <x:c r="E683" s="48" t="str"/>
      <x:c r="F683" s="48" t="str">
        <x:v>Authorities</x:v>
      </x:c>
      <x:c r="G683" s="48" t="str">
        <x:v>Obligation</x:v>
      </x:c>
      <x:c r="H683" s="48" t="str">
        <x:v>Shared</x:v>
      </x:c>
      <x:c r="I683" s="48" t="n">
        <x:v>0.45</x:v>
      </x:c>
      <x:c r="J683" s="48" t="n">
        <x:v>0.4</x:v>
      </x:c>
      <x:c r="K683" s="48" t="str">
        <x:v>Yes</x:v>
      </x:c>
      <x:c r="L683" s="48" t="str">
        <x:v>PDF text</x:v>
      </x:c>
    </x:row>
    <x:row r="684">
      <x:c r="A684" s="48" t="str">
        <x:v>RED-0683</x:v>
      </x:c>
      <x:c r="B684" s="48" t="str">
        <x:v>RED</x:v>
      </x:c>
      <x:c r="C684" s="48" t="str">
        <x:v>English</x:v>
      </x:c>
      <x:c r="D684" s="48" t="n">
        <x:v>44</x:v>
      </x:c>
      <x:c r="E684" s="48" t="str"/>
      <x:c r="F684" s="48" t="str">
        <x:v>(b) these authorities delay or disrupt the Contractor’s work, and (c) the delay or disruption was Unforeseeable, then this delay or disruption will be considered as a cause of delay under subparagraph (b) of Sub-Clause 8.4 [Extension of Time for Completion].</x:v>
      </x:c>
      <x:c r="G684" s="48" t="str">
        <x:v>Obligation</x:v>
      </x:c>
      <x:c r="H684" s="48" t="str">
        <x:v>Contractor</x:v>
      </x:c>
      <x:c r="I684" s="48" t="n">
        <x:v>0.45</x:v>
      </x:c>
      <x:c r="J684" s="48" t="n">
        <x:v>0.68</x:v>
      </x:c>
      <x:c r="K684" s="48" t="str">
        <x:v>Yes</x:v>
      </x:c>
      <x:c r="L684" s="48" t="str">
        <x:v>PDF text</x:v>
      </x:c>
    </x:row>
    <x:row r="685">
      <x:c r="A685" s="48" t="str">
        <x:v>RED-0684</x:v>
      </x:c>
      <x:c r="B685" s="48" t="str">
        <x:v>RED</x:v>
      </x:c>
      <x:c r="C685" s="48" t="str">
        <x:v>English</x:v>
      </x:c>
      <x:c r="D685" s="48" t="n">
        <x:v>44</x:v>
      </x:c>
      <x:c r="E685" s="48" t="str"/>
      <x:c r="F685" s="48" t="str">
        <x:v>If, at any time: (a) actual progress is too slow to complete within the Time for Completion, and/or (b) progress has fallen (or will fall) behind the current programme under Sub-Clause</x:v>
      </x:c>
      <x:c r="G685" s="48" t="str">
        <x:v>Obligation</x:v>
      </x:c>
      <x:c r="H685" s="48" t="str">
        <x:v>Shared</x:v>
      </x:c>
      <x:c r="I685" s="48" t="n">
        <x:v>0.45</x:v>
      </x:c>
      <x:c r="J685" s="48" t="n">
        <x:v>0.4</x:v>
      </x:c>
      <x:c r="K685" s="48" t="str">
        <x:v>Yes</x:v>
      </x:c>
      <x:c r="L685" s="48" t="str">
        <x:v>PDF text</x:v>
      </x:c>
    </x:row>
    <x:row r="686">
      <x:c r="A686" s="48" t="str">
        <x:v>RED-0685</x:v>
      </x:c>
      <x:c r="B686" s="48" t="str">
        <x:v>RED</x:v>
      </x:c>
      <x:c r="C686" s="48" t="str">
        <x:v>English</x:v>
      </x:c>
      <x:c r="D686" s="48" t="n">
        <x:v>44</x:v>
      </x:c>
      <x:c r="E686" s="48" t="str"/>
      <x:c r="F686" s="48" t="str">
        <x:v>other than as a result of a cause listed in Sub-Clause 8.4 [Extension of Time for Completion], then the Engineer may instruct the Contractor to submit, under SubClause 8.3 [Programme], a revised programme and supporting report describing the revised methods which the Contractor proposes to adopt in order to expedite progress and complete within the Time for Completion.</x:v>
      </x:c>
      <x:c r="G686" s="48" t="str">
        <x:v>Right</x:v>
      </x:c>
      <x:c r="H686" s="48" t="str">
        <x:v>Contractor</x:v>
      </x:c>
      <x:c r="I686" s="48" t="n">
        <x:v>0.78</x:v>
      </x:c>
      <x:c r="J686" s="48" t="n">
        <x:v>0.68</x:v>
      </x:c>
      <x:c r="K686" s="48" t="str">
        <x:v>Yes</x:v>
      </x:c>
      <x:c r="L686" s="48" t="str">
        <x:v>PDF text</x:v>
      </x:c>
    </x:row>
    <x:row r="687">
      <x:c r="A687" s="48" t="str">
        <x:v>RED-0686</x:v>
      </x:c>
      <x:c r="B687" s="48" t="str">
        <x:v>RED</x:v>
      </x:c>
      <x:c r="C687" s="48" t="str">
        <x:v>English</x:v>
      </x:c>
      <x:c r="D687" s="48" t="n">
        <x:v>44</x:v>
      </x:c>
      <x:c r="E687" s="48" t="str"/>
      <x:c r="F687" s="48" t="str">
        <x:v>Unless the Engineer notifies otherwise, the Contractor shall adopt these revised</x:v>
      </x:c>
      <x:c r="G687" s="48" t="str">
        <x:v>Obligation</x:v>
      </x:c>
      <x:c r="H687" s="48" t="str">
        <x:v>Contractor</x:v>
      </x:c>
      <x:c r="I687" s="48" t="n">
        <x:v>0.88</x:v>
      </x:c>
      <x:c r="J687" s="48" t="n">
        <x:v>0.92</x:v>
      </x:c>
      <x:c r="K687" s="48" t="str">
        <x:v>No</x:v>
      </x:c>
      <x:c r="L687" s="48" t="str">
        <x:v>PDF text</x:v>
      </x:c>
    </x:row>
    <x:row r="688">
      <x:c r="A688" s="48" t="str">
        <x:v>RED-0687</x:v>
      </x:c>
      <x:c r="B688" s="48" t="str">
        <x:v>RED</x:v>
      </x:c>
      <x:c r="C688" s="48" t="str">
        <x:v>English</x:v>
      </x:c>
      <x:c r="D688" s="48" t="n">
        <x:v>44</x:v>
      </x:c>
      <x:c r="E688" s="48" t="str"/>
      <x:c r="F688" s="48" t="str">
        <x:v>methods, which may require increases in the working hours and/or in the numbers of Contractor’s Personnel and/or Goods, at the risk and cost of the Contractor.</x:v>
      </x:c>
      <x:c r="G688" s="48" t="str">
        <x:v>Risk</x:v>
      </x:c>
      <x:c r="H688" s="48" t="str">
        <x:v>Contractor</x:v>
      </x:c>
      <x:c r="I688" s="48" t="n">
        <x:v>0.78</x:v>
      </x:c>
      <x:c r="J688" s="48" t="n">
        <x:v>0.68</x:v>
      </x:c>
      <x:c r="K688" s="48" t="str">
        <x:v>Yes</x:v>
      </x:c>
      <x:c r="L688" s="48" t="str">
        <x:v>PDF text</x:v>
      </x:c>
    </x:row>
    <x:row r="689">
      <x:c r="A689" s="48" t="str">
        <x:v>RED-0688</x:v>
      </x:c>
      <x:c r="B689" s="48" t="str">
        <x:v>RED</x:v>
      </x:c>
      <x:c r="C689" s="48" t="str">
        <x:v>English</x:v>
      </x:c>
      <x:c r="D689" s="48" t="n">
        <x:v>44</x:v>
      </x:c>
      <x:c r="E689" s="48" t="str"/>
      <x:c r="F689" s="48" t="str">
        <x:v>If these revised methods cause the Employer to incur additional costs, the Contractor shall subject to Sub-Clause 2.5 [Employer’s Claims] pay these costs to the Employer, in addition to delay damages (if any) under Sub-Clause 8.7 below.</x:v>
      </x:c>
      <x:c r="G689" s="48" t="str">
        <x:v>Risk</x:v>
      </x:c>
      <x:c r="H689" s="48" t="str">
        <x:v>Contractor</x:v>
      </x:c>
      <x:c r="I689" s="48" t="n">
        <x:v>0.78</x:v>
      </x:c>
      <x:c r="J689" s="48" t="n">
        <x:v>0.92</x:v>
      </x:c>
      <x:c r="K689" s="48" t="str">
        <x:v>No</x:v>
      </x:c>
      <x:c r="L689" s="48" t="str">
        <x:v>PDF text</x:v>
      </x:c>
    </x:row>
    <x:row r="690">
      <x:c r="A690" s="48" t="str">
        <x:v>RED-0689</x:v>
      </x:c>
      <x:c r="B690" s="48" t="str">
        <x:v>RED</x:v>
      </x:c>
      <x:c r="C690" s="48" t="str">
        <x:v>English</x:v>
      </x:c>
      <x:c r="D690" s="48" t="n">
        <x:v>44</x:v>
      </x:c>
      <x:c r="E690" s="48" t="str"/>
      <x:c r="F690" s="48" t="str">
        <x:v>If the Contractor fails to comply with Sub-Clause 8.2 [Time for Completion], the Contractor shall subject to Sub-Clause 2.5 [Employer’s Claims] pay delay damages to the Employer for this default.</x:v>
      </x:c>
      <x:c r="G690" s="48" t="str">
        <x:v>Risk</x:v>
      </x:c>
      <x:c r="H690" s="48" t="str">
        <x:v>Contractor</x:v>
      </x:c>
      <x:c r="I690" s="48" t="n">
        <x:v>0.78</x:v>
      </x:c>
      <x:c r="J690" s="48" t="n">
        <x:v>0.92</x:v>
      </x:c>
      <x:c r="K690" s="48" t="str">
        <x:v>No</x:v>
      </x:c>
      <x:c r="L690" s="48" t="str">
        <x:v>PDF text</x:v>
      </x:c>
    </x:row>
    <x:row r="691">
      <x:c r="A691" s="48" t="str">
        <x:v>RED-0690</x:v>
      </x:c>
      <x:c r="B691" s="48" t="str">
        <x:v>RED</x:v>
      </x:c>
      <x:c r="C691" s="48" t="str">
        <x:v>English</x:v>
      </x:c>
      <x:c r="D691" s="48" t="n">
        <x:v>44</x:v>
      </x:c>
      <x:c r="E691" s="48" t="str"/>
      <x:c r="F691" s="48" t="str">
        <x:v>These delay damages shall be the sum stated in the</x:v>
      </x:c>
      <x:c r="G691" s="48" t="str">
        <x:v>Obligation</x:v>
      </x:c>
      <x:c r="H691" s="48" t="str">
        <x:v>Shared</x:v>
      </x:c>
      <x:c r="I691" s="48" t="n">
        <x:v>0.88</x:v>
      </x:c>
      <x:c r="J691" s="48" t="n">
        <x:v>0.4</x:v>
      </x:c>
      <x:c r="K691" s="48" t="str">
        <x:v>Yes</x:v>
      </x:c>
      <x:c r="L691" s="48" t="str">
        <x:v>PDF text</x:v>
      </x:c>
    </x:row>
    <x:row r="692">
      <x:c r="A692" s="48" t="str">
        <x:v>RED-0691</x:v>
      </x:c>
      <x:c r="B692" s="48" t="str">
        <x:v>RED</x:v>
      </x:c>
      <x:c r="C692" s="48" t="str">
        <x:v>English</x:v>
      </x:c>
      <x:c r="D692" s="48" t="n">
        <x:v>44</x:v>
      </x:c>
      <x:c r="E692" s="48" t="str"/>
      <x:c r="F692" s="48" t="str">
        <x:v>Contract Data, which shall be paid for every day which shall elapse between the</x:v>
      </x:c>
      <x:c r="G692" s="48" t="str">
        <x:v>Obligation</x:v>
      </x:c>
      <x:c r="H692" s="48" t="str">
        <x:v>Shared</x:v>
      </x:c>
      <x:c r="I692" s="48" t="n">
        <x:v>0.88</x:v>
      </x:c>
      <x:c r="J692" s="48" t="n">
        <x:v>0.4</x:v>
      </x:c>
      <x:c r="K692" s="48" t="str">
        <x:v>Yes</x:v>
      </x:c>
      <x:c r="L692" s="48" t="str">
        <x:v>PDF text</x:v>
      </x:c>
    </x:row>
    <x:row r="693">
      <x:c r="A693" s="48" t="str">
        <x:v>RED-0692</x:v>
      </x:c>
      <x:c r="B693" s="48" t="str">
        <x:v>RED</x:v>
      </x:c>
      <x:c r="C693" s="48" t="str">
        <x:v>English</x:v>
      </x:c>
      <x:c r="D693" s="48" t="n">
        <x:v>44</x:v>
      </x:c>
      <x:c r="E693" s="48" t="str"/>
      <x:c r="F693" s="48" t="str">
        <x:v>relevant Time for Completion and the date stated in the Taking-Over Certificate.</x:v>
      </x:c>
      <x:c r="G693" s="48" t="str">
        <x:v>Obligation</x:v>
      </x:c>
      <x:c r="H693" s="48" t="str">
        <x:v>Shared</x:v>
      </x:c>
      <x:c r="I693" s="48" t="n">
        <x:v>0.55</x:v>
      </x:c>
      <x:c r="J693" s="48" t="n">
        <x:v>0.4</x:v>
      </x:c>
      <x:c r="K693" s="48" t="str">
        <x:v>Yes</x:v>
      </x:c>
      <x:c r="L693" s="48" t="str">
        <x:v>PDF text</x:v>
      </x:c>
    </x:row>
    <x:row r="694">
      <x:c r="A694" s="48" t="str">
        <x:v>RED-0693</x:v>
      </x:c>
      <x:c r="B694" s="48" t="str">
        <x:v>RED</x:v>
      </x:c>
      <x:c r="C694" s="48" t="str">
        <x:v>English</x:v>
      </x:c>
      <x:c r="D694" s="48" t="n">
        <x:v>44</x:v>
      </x:c>
      <x:c r="E694" s="48" t="str"/>
      <x:c r="F694" s="48" t="str">
        <x:v>However, the total amount due under this Sub-Clause shall not exceed the maximum</x:v>
      </x:c>
      <x:c r="G694" s="48" t="str">
        <x:v>Obligation</x:v>
      </x:c>
      <x:c r="H694" s="48" t="str">
        <x:v>Shared</x:v>
      </x:c>
      <x:c r="I694" s="48" t="n">
        <x:v>0.88</x:v>
      </x:c>
      <x:c r="J694" s="48" t="n">
        <x:v>0.4</x:v>
      </x:c>
      <x:c r="K694" s="48" t="str">
        <x:v>Yes</x:v>
      </x:c>
      <x:c r="L694" s="48" t="str">
        <x:v>PDF text</x:v>
      </x:c>
    </x:row>
    <x:row r="695">
      <x:c r="A695" s="48" t="str">
        <x:v>RED-0694</x:v>
      </x:c>
      <x:c r="B695" s="48" t="str">
        <x:v>RED</x:v>
      </x:c>
      <x:c r="C695" s="48" t="str">
        <x:v>English</x:v>
      </x:c>
      <x:c r="D695" s="48" t="n">
        <x:v>44</x:v>
      </x:c>
      <x:c r="E695" s="48" t="str"/>
      <x:c r="F695" s="48" t="str">
        <x:v>amount of delay damages (if any) stated in the Contract Data.</x:v>
      </x:c>
      <x:c r="G695" s="48" t="str">
        <x:v>Risk</x:v>
      </x:c>
      <x:c r="H695" s="48" t="str">
        <x:v>Shared</x:v>
      </x:c>
      <x:c r="I695" s="48" t="n">
        <x:v>0.78</x:v>
      </x:c>
      <x:c r="J695" s="48" t="n">
        <x:v>0.4</x:v>
      </x:c>
      <x:c r="K695" s="48" t="str">
        <x:v>Yes</x:v>
      </x:c>
      <x:c r="L695" s="48" t="str">
        <x:v>PDF text</x:v>
      </x:c>
    </x:row>
    <x:row r="696">
      <x:c r="A696" s="48" t="str">
        <x:v>RED-0695</x:v>
      </x:c>
      <x:c r="B696" s="48" t="str">
        <x:v>RED</x:v>
      </x:c>
      <x:c r="C696" s="48" t="str">
        <x:v>English</x:v>
      </x:c>
      <x:c r="D696" s="48" t="n">
        <x:v>44</x:v>
      </x:c>
      <x:c r="E696" s="48" t="str"/>
      <x:c r="F696" s="48" t="str">
        <x:v>These delay damages shall be the only damages due from the Contractor for such</x:v>
      </x:c>
      <x:c r="G696" s="48" t="str">
        <x:v>Obligation</x:v>
      </x:c>
      <x:c r="H696" s="48" t="str">
        <x:v>Contractor</x:v>
      </x:c>
      <x:c r="I696" s="48" t="n">
        <x:v>0.88</x:v>
      </x:c>
      <x:c r="J696" s="48" t="n">
        <x:v>0.68</x:v>
      </x:c>
      <x:c r="K696" s="48" t="str">
        <x:v>Yes</x:v>
      </x:c>
      <x:c r="L696" s="48" t="str">
        <x:v>PDF text</x:v>
      </x:c>
    </x:row>
    <x:row r="697">
      <x:c r="A697" s="48" t="str">
        <x:v>RED-0696</x:v>
      </x:c>
      <x:c r="B697" s="48" t="str">
        <x:v>RED</x:v>
      </x:c>
      <x:c r="C697" s="48" t="str">
        <x:v>English</x:v>
      </x:c>
      <x:c r="D697" s="48" t="n">
        <x:v>44</x:v>
      </x:c>
      <x:c r="E697" s="48" t="str"/>
      <x:c r="F697" s="48" t="str">
        <x:v>default, other than in the event of termination under Sub-Clause 15.2 [Termination by Employer] prior to completion of the Works.</x:v>
      </x:c>
      <x:c r="G697" s="48" t="str">
        <x:v>Risk</x:v>
      </x:c>
      <x:c r="H697" s="48" t="str">
        <x:v>Employer</x:v>
      </x:c>
      <x:c r="I697" s="48" t="n">
        <x:v>0.78</x:v>
      </x:c>
      <x:c r="J697" s="48" t="n">
        <x:v>0.68</x:v>
      </x:c>
      <x:c r="K697" s="48" t="str">
        <x:v>Yes</x:v>
      </x:c>
      <x:c r="L697" s="48" t="str">
        <x:v>PDF text</x:v>
      </x:c>
    </x:row>
    <x:row r="698">
      <x:c r="A698" s="48" t="str">
        <x:v>RED-0697</x:v>
      </x:c>
      <x:c r="B698" s="48" t="str">
        <x:v>RED</x:v>
      </x:c>
      <x:c r="C698" s="48" t="str">
        <x:v>English</x:v>
      </x:c>
      <x:c r="D698" s="48" t="n">
        <x:v>44</x:v>
      </x:c>
      <x:c r="E698" s="48" t="str"/>
      <x:c r="F698" s="48" t="str">
        <x:v>These damages shall not relieve the</x:v>
      </x:c>
      <x:c r="G698" s="48" t="str">
        <x:v>Obligation</x:v>
      </x:c>
      <x:c r="H698" s="48" t="str">
        <x:v>Shared</x:v>
      </x:c>
      <x:c r="I698" s="48" t="n">
        <x:v>0.88</x:v>
      </x:c>
      <x:c r="J698" s="48" t="n">
        <x:v>0.4</x:v>
      </x:c>
      <x:c r="K698" s="48" t="str">
        <x:v>Yes</x:v>
      </x:c>
      <x:c r="L698" s="48" t="str">
        <x:v>PDF text</x:v>
      </x:c>
    </x:row>
    <x:row r="699">
      <x:c r="A699" s="48" t="str">
        <x:v>RED-0698</x:v>
      </x:c>
      <x:c r="B699" s="48" t="str">
        <x:v>RED</x:v>
      </x:c>
      <x:c r="C699" s="48" t="str">
        <x:v>English</x:v>
      </x:c>
      <x:c r="D699" s="48" t="n">
        <x:v>44</x:v>
      </x:c>
      <x:c r="E699" s="48" t="str"/>
      <x:c r="F699" s="48" t="str">
        <x:v>Contractor from his obligation to complete the Works, or from any other duties,</x:v>
      </x:c>
      <x:c r="G699" s="48" t="str">
        <x:v>Obligation</x:v>
      </x:c>
      <x:c r="H699" s="48" t="str">
        <x:v>Contractor</x:v>
      </x:c>
      <x:c r="I699" s="48" t="n">
        <x:v>0.45</x:v>
      </x:c>
      <x:c r="J699" s="48" t="n">
        <x:v>0.68</x:v>
      </x:c>
      <x:c r="K699" s="48" t="str">
        <x:v>Yes</x:v>
      </x:c>
      <x:c r="L699" s="48" t="str">
        <x:v>PDF text</x:v>
      </x:c>
    </x:row>
    <x:row r="700">
      <x:c r="A700" s="48" t="str">
        <x:v>RED-0699</x:v>
      </x:c>
      <x:c r="B700" s="48" t="str">
        <x:v>RED</x:v>
      </x:c>
      <x:c r="C700" s="48" t="str">
        <x:v>English</x:v>
      </x:c>
      <x:c r="D700" s="48" t="n">
        <x:v>44</x:v>
      </x:c>
      <x:c r="E700" s="48" t="str"/>
      <x:c r="F700" s="48" t="str">
        <x:v>obligations or responsibilities which he may have under the Contract.</x:v>
      </x:c>
      <x:c r="G700" s="48" t="str">
        <x:v>Right</x:v>
      </x:c>
      <x:c r="H700" s="48" t="str">
        <x:v>Shared</x:v>
      </x:c>
      <x:c r="I700" s="48" t="n">
        <x:v>0.78</x:v>
      </x:c>
      <x:c r="J700" s="48" t="n">
        <x:v>0.4</x:v>
      </x:c>
      <x:c r="K700" s="48" t="str">
        <x:v>Yes</x:v>
      </x:c>
      <x:c r="L700" s="48" t="str">
        <x:v>PDF text</x:v>
      </x:c>
    </x:row>
    <x:row r="701">
      <x:c r="A701" s="48" t="str">
        <x:v>RED-0700</x:v>
      </x:c>
      <x:c r="B701" s="48" t="str">
        <x:v>RED</x:v>
      </x:c>
      <x:c r="C701" s="48" t="str">
        <x:v>English</x:v>
      </x:c>
      <x:c r="D701" s="48" t="n">
        <x:v>44</x:v>
      </x:c>
      <x:c r="E701" s="48" t="str"/>
      <x:c r="F701" s="48" t="str">
        <x:v>The Engineer may at any time instruct the Contractor to suspend progress of part or all of the Works.</x:v>
      </x:c>
      <x:c r="G701" s="48" t="str">
        <x:v>Right</x:v>
      </x:c>
      <x:c r="H701" s="48" t="str">
        <x:v>Contractor</x:v>
      </x:c>
      <x:c r="I701" s="48" t="n">
        <x:v>0.78</x:v>
      </x:c>
      <x:c r="J701" s="48" t="n">
        <x:v>0.68</x:v>
      </x:c>
      <x:c r="K701" s="48" t="str">
        <x:v>Yes</x:v>
      </x:c>
      <x:c r="L701" s="48" t="str">
        <x:v>PDF text</x:v>
      </x:c>
    </x:row>
    <x:row r="702">
      <x:c r="A702" s="48" t="str">
        <x:v>RED-0701</x:v>
      </x:c>
      <x:c r="B702" s="48" t="str">
        <x:v>RED</x:v>
      </x:c>
      <x:c r="C702" s="48" t="str">
        <x:v>English</x:v>
      </x:c>
      <x:c r="D702" s="48" t="n">
        <x:v>44</x:v>
      </x:c>
      <x:c r="E702" s="48" t="str"/>
      <x:c r="F702" s="48" t="str">
        <x:v>During such suspension, the Contractor shall protect, store and secure such part or the Works against any deterioration, loss or damage.</x:v>
      </x:c>
      <x:c r="G702" s="48" t="str">
        <x:v>Obligation</x:v>
      </x:c>
      <x:c r="H702" s="48" t="str">
        <x:v>Contractor</x:v>
      </x:c>
      <x:c r="I702" s="48" t="n">
        <x:v>0.88</x:v>
      </x:c>
      <x:c r="J702" s="48" t="n">
        <x:v>0.92</x:v>
      </x:c>
      <x:c r="K702" s="48" t="str">
        <x:v>No</x:v>
      </x:c>
      <x:c r="L702" s="48" t="str">
        <x:v>PDF text</x:v>
      </x:c>
    </x:row>
    <x:row r="703">
      <x:c r="A703" s="48" t="str">
        <x:v>RED-0702</x:v>
      </x:c>
      <x:c r="B703" s="48" t="str">
        <x:v>RED</x:v>
      </x:c>
      <x:c r="C703" s="48" t="str">
        <x:v>English</x:v>
      </x:c>
      <x:c r="D703" s="48" t="n">
        <x:v>44</x:v>
      </x:c>
      <x:c r="E703" s="48" t="str"/>
      <x:c r="F703" s="48" t="str">
        <x:v>The Engineer may also notify the cause for the suspension.</x:v>
      </x:c>
      <x:c r="G703" s="48" t="str">
        <x:v>Right</x:v>
      </x:c>
      <x:c r="H703" s="48" t="str">
        <x:v>Shared</x:v>
      </x:c>
      <x:c r="I703" s="48" t="n">
        <x:v>0.78</x:v>
      </x:c>
      <x:c r="J703" s="48" t="n">
        <x:v>0.4</x:v>
      </x:c>
      <x:c r="K703" s="48" t="str">
        <x:v>Yes</x:v>
      </x:c>
      <x:c r="L703" s="48" t="str">
        <x:v>PDF text</x:v>
      </x:c>
    </x:row>
    <x:row r="704">
      <x:c r="A704" s="48" t="str">
        <x:v>RED-0703</x:v>
      </x:c>
      <x:c r="B704" s="48" t="str">
        <x:v>RED</x:v>
      </x:c>
      <x:c r="C704" s="48" t="str">
        <x:v>English</x:v>
      </x:c>
      <x:c r="D704" s="48" t="n">
        <x:v>44</x:v>
      </x:c>
      <x:c r="E704" s="48" t="str"/>
      <x:c r="F704" s="48" t="str">
        <x:v>If and to the extent that the cause is notified and is the responsibility of the Contractor, the following SubClauses 8.9, 8.10 and 8.11 shall not apply.</x:v>
      </x:c>
      <x:c r="G704" s="48" t="str">
        <x:v>Obligation</x:v>
      </x:c>
      <x:c r="H704" s="48" t="str">
        <x:v>Contractor</x:v>
      </x:c>
      <x:c r="I704" s="48" t="n">
        <x:v>0.88</x:v>
      </x:c>
      <x:c r="J704" s="48" t="n">
        <x:v>0.68</x:v>
      </x:c>
      <x:c r="K704" s="48" t="str">
        <x:v>Yes</x:v>
      </x:c>
      <x:c r="L704" s="48" t="str">
        <x:v>PDF text</x:v>
      </x:c>
    </x:row>
    <x:row r="705">
      <x:c r="A705" s="48" t="str">
        <x:v>RED-0704</x:v>
      </x:c>
      <x:c r="B705" s="48" t="str">
        <x:v>RED</x:v>
      </x:c>
      <x:c r="C705" s="48" t="str">
        <x:v>English</x:v>
      </x:c>
      <x:c r="D705" s="48" t="n">
        <x:v>44</x:v>
      </x:c>
      <x:c r="E705" s="48" t="str"/>
      <x:c r="F705" s="48" t="str">
        <x:v>If the Contractor suffers delay and/or incurs Cost from complying with the Engineer’s instructions under Sub-Clause 8.8 [Suspension of Work] and/or from resuming the work, the Contractor shall give notice to the Engineer and shall be entitled subject to Sub-Clause 20.1 [Contractor’s Claims] to: 8.6</x:v>
      </x:c>
      <x:c r="G705" s="48" t="str">
        <x:v>Risk</x:v>
      </x:c>
      <x:c r="H705" s="48" t="str">
        <x:v>Contractor</x:v>
      </x:c>
      <x:c r="I705" s="48" t="n">
        <x:v>0.78</x:v>
      </x:c>
      <x:c r="J705" s="48" t="n">
        <x:v>0.92</x:v>
      </x:c>
      <x:c r="K705" s="48" t="str">
        <x:v>No</x:v>
      </x:c>
      <x:c r="L705" s="48" t="str">
        <x:v>PDF text</x:v>
      </x:c>
    </x:row>
    <x:row r="706">
      <x:c r="A706" s="48" t="str">
        <x:v>RED-0705</x:v>
      </x:c>
      <x:c r="B706" s="48" t="str">
        <x:v>RED</x:v>
      </x:c>
      <x:c r="C706" s="48" t="str">
        <x:v>English</x:v>
      </x:c>
      <x:c r="D706" s="48" t="n">
        <x:v>44</x:v>
      </x:c>
      <x:c r="E706" s="48" t="str"/>
      <x:c r="F706" s="48" t="str">
        <x:v>Rate of Progress</x:v>
      </x:c>
      <x:c r="G706" s="48" t="str">
        <x:v>Obligation</x:v>
      </x:c>
      <x:c r="H706" s="48" t="str">
        <x:v>Shared</x:v>
      </x:c>
      <x:c r="I706" s="48" t="n">
        <x:v>0.45</x:v>
      </x:c>
      <x:c r="J706" s="48" t="n">
        <x:v>0.4</x:v>
      </x:c>
      <x:c r="K706" s="48" t="str">
        <x:v>Yes</x:v>
      </x:c>
      <x:c r="L706" s="48" t="str">
        <x:v>PDF text</x:v>
      </x:c>
    </x:row>
    <x:row r="707">
      <x:c r="A707" s="48" t="str">
        <x:v>RED-0706</x:v>
      </x:c>
      <x:c r="B707" s="48" t="str">
        <x:v>RED</x:v>
      </x:c>
      <x:c r="C707" s="48" t="str">
        <x:v>English</x:v>
      </x:c>
      <x:c r="D707" s="48" t="n">
        <x:v>44</x:v>
      </x:c>
      <x:c r="E707" s="48" t="str"/>
      <x:c r="F707" s="48" t="str">
        <x:v>Delay Damages</x:v>
      </x:c>
      <x:c r="G707" s="48" t="str">
        <x:v>Obligation</x:v>
      </x:c>
      <x:c r="H707" s="48" t="str">
        <x:v>Shared</x:v>
      </x:c>
      <x:c r="I707" s="48" t="n">
        <x:v>0.45</x:v>
      </x:c>
      <x:c r="J707" s="48" t="n">
        <x:v>0.4</x:v>
      </x:c>
      <x:c r="K707" s="48" t="str">
        <x:v>Yes</x:v>
      </x:c>
      <x:c r="L707" s="48" t="str">
        <x:v>PDF text</x:v>
      </x:c>
    </x:row>
    <x:row r="708">
      <x:c r="A708" s="48" t="str">
        <x:v>RED-0707</x:v>
      </x:c>
      <x:c r="B708" s="48" t="str">
        <x:v>RED</x:v>
      </x:c>
      <x:c r="C708" s="48" t="str">
        <x:v>English</x:v>
      </x:c>
      <x:c r="D708" s="48" t="n">
        <x:v>44</x:v>
      </x:c>
      <x:c r="E708" s="48" t="str"/>
      <x:c r="F708" s="48" t="str">
        <x:v>Suspension of Work</x:v>
      </x:c>
      <x:c r="G708" s="48" t="str">
        <x:v>Obligation</x:v>
      </x:c>
      <x:c r="H708" s="48" t="str">
        <x:v>Shared</x:v>
      </x:c>
      <x:c r="I708" s="48" t="n">
        <x:v>0.45</x:v>
      </x:c>
      <x:c r="J708" s="48" t="n">
        <x:v>0.4</x:v>
      </x:c>
      <x:c r="K708" s="48" t="str">
        <x:v>Yes</x:v>
      </x:c>
      <x:c r="L708" s="48" t="str">
        <x:v>PDF text</x:v>
      </x:c>
    </x:row>
    <x:row r="709">
      <x:c r="A709" s="48" t="str">
        <x:v>RED-0708</x:v>
      </x:c>
      <x:c r="B709" s="48" t="str">
        <x:v>RED</x:v>
      </x:c>
      <x:c r="C709" s="48" t="str">
        <x:v>English</x:v>
      </x:c>
      <x:c r="D709" s="48" t="n">
        <x:v>44</x:v>
      </x:c>
      <x:c r="E709" s="48" t="str"/>
      <x:c r="F709" s="48" t="str">
        <x:v>Consequences of</x:v>
      </x:c>
      <x:c r="G709" s="48" t="str">
        <x:v>Obligation</x:v>
      </x:c>
      <x:c r="H709" s="48" t="str">
        <x:v>Shared</x:v>
      </x:c>
      <x:c r="I709" s="48" t="n">
        <x:v>0.45</x:v>
      </x:c>
      <x:c r="J709" s="48" t="n">
        <x:v>0.4</x:v>
      </x:c>
      <x:c r="K709" s="48" t="str">
        <x:v>Yes</x:v>
      </x:c>
      <x:c r="L709" s="48" t="str">
        <x:v>PDF text</x:v>
      </x:c>
    </x:row>
    <x:row r="710">
      <x:c r="A710" s="48" t="str">
        <x:v>RED-0709</x:v>
      </x:c>
      <x:c r="B710" s="48" t="str">
        <x:v>RED</x:v>
      </x:c>
      <x:c r="C710" s="48" t="str">
        <x:v>English</x:v>
      </x:c>
      <x:c r="D710" s="48" t="n">
        <x:v>44</x:v>
      </x:c>
      <x:c r="E710" s="48" t="str"/>
      <x:c r="F710" s="48" t="str">
        <x:v>Suspension</x:v>
      </x:c>
      <x:c r="G710" s="48" t="str">
        <x:v>Obligation</x:v>
      </x:c>
      <x:c r="H710" s="48" t="str">
        <x:v>Shared</x:v>
      </x:c>
      <x:c r="I710" s="48" t="n">
        <x:v>0.45</x:v>
      </x:c>
      <x:c r="J710" s="48" t="n">
        <x:v>0.4</x:v>
      </x:c>
      <x:c r="K710" s="48" t="str">
        <x:v>Yes</x:v>
      </x:c>
      <x:c r="L710" s="48" t="str">
        <x:v>PDF text</x:v>
      </x:c>
    </x:row>
    <x:row r="711">
      <x:c r="A711" s="48" t="str">
        <x:v>RED-0710</x:v>
      </x:c>
      <x:c r="B711" s="48" t="str">
        <x:v>RED</x:v>
      </x:c>
      <x:c r="C711" s="48" t="str">
        <x:v>English</x:v>
      </x:c>
      <x:c r="D711" s="48" t="n">
        <x:v>45</x:v>
      </x:c>
      <x:c r="E711" s="48" t="str"/>
      <x:c r="F711" s="48" t="str">
        <x:v>(a) an extension of time for any such delay, if completion is or will be delayed, under Sub-Clause 8.4 [Extension of Time for Completion], and (b) payment of any such Cost, which shall be included in the Contract Price.</x:v>
      </x:c>
      <x:c r="G711" s="48" t="str">
        <x:v>Risk</x:v>
      </x:c>
      <x:c r="H711" s="48" t="str">
        <x:v>Shared</x:v>
      </x:c>
      <x:c r="I711" s="48" t="n">
        <x:v>0.78</x:v>
      </x:c>
      <x:c r="J711" s="48" t="n">
        <x:v>0.4</x:v>
      </x:c>
      <x:c r="K711" s="48" t="str">
        <x:v>Yes</x:v>
      </x:c>
      <x:c r="L711" s="48" t="str">
        <x:v>PDF text</x:v>
      </x:c>
    </x:row>
    <x:row r="712">
      <x:c r="A712" s="48" t="str">
        <x:v>RED-0711</x:v>
      </x:c>
      <x:c r="B712" s="48" t="str">
        <x:v>RED</x:v>
      </x:c>
      <x:c r="C712" s="48" t="str">
        <x:v>English</x:v>
      </x:c>
      <x:c r="D712" s="48" t="n">
        <x:v>45</x:v>
      </x:c>
      <x:c r="E712" s="48" t="str"/>
      <x:c r="F712" s="48" t="str">
        <x:v>The Contractor shall not be entitled to an extension of time for, or to payment of the</x:v>
      </x:c>
      <x:c r="G712" s="48" t="str">
        <x:v>Obligation</x:v>
      </x:c>
      <x:c r="H712" s="48" t="str">
        <x:v>Contractor</x:v>
      </x:c>
      <x:c r="I712" s="48" t="n">
        <x:v>0.88</x:v>
      </x:c>
      <x:c r="J712" s="48" t="n">
        <x:v>0.92</x:v>
      </x:c>
      <x:c r="K712" s="48" t="str">
        <x:v>No</x:v>
      </x:c>
      <x:c r="L712" s="48" t="str">
        <x:v>PDF text</x:v>
      </x:c>
    </x:row>
    <x:row r="713">
      <x:c r="A713" s="48" t="str">
        <x:v>RED-0712</x:v>
      </x:c>
      <x:c r="B713" s="48" t="str">
        <x:v>RED</x:v>
      </x:c>
      <x:c r="C713" s="48" t="str">
        <x:v>English</x:v>
      </x:c>
      <x:c r="D713" s="48" t="n">
        <x:v>45</x:v>
      </x:c>
      <x:c r="E713" s="48" t="str"/>
      <x:c r="F713" s="48" t="str">
        <x:v>Cost incurred in, making good the consequences of the Contractor’s faulty design,</x:v>
      </x:c>
      <x:c r="G713" s="48" t="str">
        <x:v>Obligation</x:v>
      </x:c>
      <x:c r="H713" s="48" t="str">
        <x:v>Contractor</x:v>
      </x:c>
      <x:c r="I713" s="48" t="n">
        <x:v>0.45</x:v>
      </x:c>
      <x:c r="J713" s="48" t="n">
        <x:v>0.68</x:v>
      </x:c>
      <x:c r="K713" s="48" t="str">
        <x:v>Yes</x:v>
      </x:c>
      <x:c r="L713" s="48" t="str">
        <x:v>PDF text</x:v>
      </x:c>
    </x:row>
    <x:row r="714">
      <x:c r="A714" s="48" t="str">
        <x:v>RED-0713</x:v>
      </x:c>
      <x:c r="B714" s="48" t="str">
        <x:v>RED</x:v>
      </x:c>
      <x:c r="C714" s="48" t="str">
        <x:v>English</x:v>
      </x:c>
      <x:c r="D714" s="48" t="n">
        <x:v>45</x:v>
      </x:c>
      <x:c r="E714" s="48" t="str"/>
      <x:c r="F714" s="48" t="str">
        <x:v>workmanship or materials, or of the Contractor’s failure to protect, store or secure in accordance with Sub-Clause 8.8 [Suspension of Work].</x:v>
      </x:c>
      <x:c r="G714" s="48" t="str">
        <x:v>Obligation</x:v>
      </x:c>
      <x:c r="H714" s="48" t="str">
        <x:v>Contractor</x:v>
      </x:c>
      <x:c r="I714" s="48" t="n">
        <x:v>0.45</x:v>
      </x:c>
      <x:c r="J714" s="48" t="n">
        <x:v>0.68</x:v>
      </x:c>
      <x:c r="K714" s="48" t="str">
        <x:v>Yes</x:v>
      </x:c>
      <x:c r="L714" s="48" t="str">
        <x:v>PDF text</x:v>
      </x:c>
    </x:row>
    <x:row r="715">
      <x:c r="A715" s="48" t="str">
        <x:v>RED-0714</x:v>
      </x:c>
      <x:c r="B715" s="48" t="str">
        <x:v>RED</x:v>
      </x:c>
      <x:c r="C715" s="48" t="str">
        <x:v>English</x:v>
      </x:c>
      <x:c r="D715" s="48" t="n">
        <x:v>45</x:v>
      </x:c>
      <x:c r="E715" s="48" t="str"/>
      <x:c r="F715" s="48" t="str">
        <x:v>The Contractor shall be entitled to payment of the value (as at the date of suspension) of Plant and/or Materials which have not been delivered to Site, if: (a) the work on Plant or delivery of Plant and/or Materials has been suspended for more than 28 days, and (b) the Contractor has marked the Plant and/or Materials as the Employer’s property in accordance with the Engineer’s instructions.</x:v>
      </x:c>
      <x:c r="G715" s="48" t="str">
        <x:v>Obligation</x:v>
      </x:c>
      <x:c r="H715" s="48" t="str">
        <x:v>Contractor</x:v>
      </x:c>
      <x:c r="I715" s="48" t="n">
        <x:v>0.88</x:v>
      </x:c>
      <x:c r="J715" s="48" t="n">
        <x:v>0.92</x:v>
      </x:c>
      <x:c r="K715" s="48" t="str">
        <x:v>No</x:v>
      </x:c>
      <x:c r="L715" s="48" t="str">
        <x:v>PDF text</x:v>
      </x:c>
    </x:row>
    <x:row r="716">
      <x:c r="A716" s="48" t="str">
        <x:v>RED-0715</x:v>
      </x:c>
      <x:c r="B716" s="48" t="str">
        <x:v>RED</x:v>
      </x:c>
      <x:c r="C716" s="48" t="str">
        <x:v>English</x:v>
      </x:c>
      <x:c r="D716" s="48" t="n">
        <x:v>45</x:v>
      </x:c>
      <x:c r="E716" s="48" t="str"/>
      <x:c r="F716" s="48" t="str">
        <x:v>If the suspension under Sub-Clause 8.8 [Suspension of Work] has continued for more than 84 days, the Contractor may request the Engineer’s permission to proceed.</x:v>
      </x:c>
      <x:c r="G716" s="48" t="str">
        <x:v>Right</x:v>
      </x:c>
      <x:c r="H716" s="48" t="str">
        <x:v>Contractor</x:v>
      </x:c>
      <x:c r="I716" s="48" t="n">
        <x:v>0.78</x:v>
      </x:c>
      <x:c r="J716" s="48" t="n">
        <x:v>0.92</x:v>
      </x:c>
      <x:c r="K716" s="48" t="str">
        <x:v>No</x:v>
      </x:c>
      <x:c r="L716" s="48" t="str">
        <x:v>PDF text</x:v>
      </x:c>
    </x:row>
    <x:row r="717">
      <x:c r="A717" s="48" t="str">
        <x:v>RED-0716</x:v>
      </x:c>
      <x:c r="B717" s="48" t="str">
        <x:v>RED</x:v>
      </x:c>
      <x:c r="C717" s="48" t="str">
        <x:v>English</x:v>
      </x:c>
      <x:c r="D717" s="48" t="n">
        <x:v>45</x:v>
      </x:c>
      <x:c r="E717" s="48" t="str"/>
      <x:c r="F717" s="48" t="str">
        <x:v>If the Engineer does not give permission within 28 days after being requested to do so, the Contractor may, by giving notice to the Engineer, treat the suspension as an omission under Clause 13 [Variations and Adjustments] of the affected part of the Works.</x:v>
      </x:c>
      <x:c r="G717" s="48" t="str">
        <x:v>Obligation</x:v>
      </x:c>
      <x:c r="H717" s="48" t="str">
        <x:v>Contractor</x:v>
      </x:c>
      <x:c r="I717" s="48" t="n">
        <x:v>0.55</x:v>
      </x:c>
      <x:c r="J717" s="48" t="n">
        <x:v>0.68</x:v>
      </x:c>
      <x:c r="K717" s="48" t="str">
        <x:v>Yes</x:v>
      </x:c>
      <x:c r="L717" s="48" t="str">
        <x:v>PDF text</x:v>
      </x:c>
    </x:row>
    <x:row r="718">
      <x:c r="A718" s="48" t="str">
        <x:v>RED-0717</x:v>
      </x:c>
      <x:c r="B718" s="48" t="str">
        <x:v>RED</x:v>
      </x:c>
      <x:c r="C718" s="48" t="str">
        <x:v>English</x:v>
      </x:c>
      <x:c r="D718" s="48" t="n">
        <x:v>45</x:v>
      </x:c>
      <x:c r="E718" s="48" t="str"/>
      <x:c r="F718" s="48" t="str">
        <x:v>If the suspension affects the whole of the Works, the Contractor may give notice of termination under Sub-Clause 16.2 [Termination by Contractor].</x:v>
      </x:c>
      <x:c r="G718" s="48" t="str">
        <x:v>Right</x:v>
      </x:c>
      <x:c r="H718" s="48" t="str">
        <x:v>Contractor</x:v>
      </x:c>
      <x:c r="I718" s="48" t="n">
        <x:v>0.78</x:v>
      </x:c>
      <x:c r="J718" s="48" t="n">
        <x:v>0.92</x:v>
      </x:c>
      <x:c r="K718" s="48" t="str">
        <x:v>No</x:v>
      </x:c>
      <x:c r="L718" s="48" t="str">
        <x:v>PDF text</x:v>
      </x:c>
    </x:row>
    <x:row r="719">
      <x:c r="A719" s="48" t="str">
        <x:v>RED-0718</x:v>
      </x:c>
      <x:c r="B719" s="48" t="str">
        <x:v>RED</x:v>
      </x:c>
      <x:c r="C719" s="48" t="str">
        <x:v>English</x:v>
      </x:c>
      <x:c r="D719" s="48" t="n">
        <x:v>45</x:v>
      </x:c>
      <x:c r="E719" s="48" t="str"/>
      <x:c r="F719" s="48" t="str">
        <x:v>After the permission or instruction to proceed is given, the Contractor and the</x:v>
      </x:c>
      <x:c r="G719" s="48" t="str">
        <x:v>Obligation</x:v>
      </x:c>
      <x:c r="H719" s="48" t="str">
        <x:v>Contractor</x:v>
      </x:c>
      <x:c r="I719" s="48" t="n">
        <x:v>0.45</x:v>
      </x:c>
      <x:c r="J719" s="48" t="n">
        <x:v>0.68</x:v>
      </x:c>
      <x:c r="K719" s="48" t="str">
        <x:v>Yes</x:v>
      </x:c>
      <x:c r="L719" s="48" t="str">
        <x:v>PDF text</x:v>
      </x:c>
    </x:row>
    <x:row r="720">
      <x:c r="A720" s="48" t="str">
        <x:v>RED-0719</x:v>
      </x:c>
      <x:c r="B720" s="48" t="str">
        <x:v>RED</x:v>
      </x:c>
      <x:c r="C720" s="48" t="str">
        <x:v>English</x:v>
      </x:c>
      <x:c r="D720" s="48" t="n">
        <x:v>45</x:v>
      </x:c>
      <x:c r="E720" s="48" t="str"/>
      <x:c r="F720" s="48" t="str">
        <x:v>Engineer shall jointly examine the Works and the Plant and Materials affected by the suspension.</x:v>
      </x:c>
      <x:c r="G720" s="48" t="str">
        <x:v>Obligation</x:v>
      </x:c>
      <x:c r="H720" s="48" t="str">
        <x:v>Shared</x:v>
      </x:c>
      <x:c r="I720" s="48" t="n">
        <x:v>0.88</x:v>
      </x:c>
      <x:c r="J720" s="48" t="n">
        <x:v>0.4</x:v>
      </x:c>
      <x:c r="K720" s="48" t="str">
        <x:v>Yes</x:v>
      </x:c>
      <x:c r="L720" s="48" t="str">
        <x:v>PDF text</x:v>
      </x:c>
    </x:row>
    <x:row r="721">
      <x:c r="A721" s="48" t="str">
        <x:v>RED-0720</x:v>
      </x:c>
      <x:c r="B721" s="48" t="str">
        <x:v>RED</x:v>
      </x:c>
      <x:c r="C721" s="48" t="str">
        <x:v>English</x:v>
      </x:c>
      <x:c r="D721" s="48" t="n">
        <x:v>45</x:v>
      </x:c>
      <x:c r="E721" s="48" t="str"/>
      <x:c r="F721" s="48" t="str">
        <x:v>The Contractor shall make good any deterioration or defect in or loss of the Works or Plant or Materials, which has occurred during the suspension.</x:v>
      </x:c>
      <x:c r="G721" s="48" t="str">
        <x:v>Obligation</x:v>
      </x:c>
      <x:c r="H721" s="48" t="str">
        <x:v>Contractor</x:v>
      </x:c>
      <x:c r="I721" s="48" t="n">
        <x:v>0.88</x:v>
      </x:c>
      <x:c r="J721" s="48" t="n">
        <x:v>0.92</x:v>
      </x:c>
      <x:c r="K721" s="48" t="str">
        <x:v>No</x:v>
      </x:c>
      <x:c r="L721" s="48" t="str">
        <x:v>PDF text</x:v>
      </x:c>
    </x:row>
    <x:row r="722">
      <x:c r="A722" s="48" t="str">
        <x:v>RED-0721</x:v>
      </x:c>
      <x:c r="B722" s="48" t="str">
        <x:v>RED</x:v>
      </x:c>
      <x:c r="C722" s="48" t="str">
        <x:v>English</x:v>
      </x:c>
      <x:c r="D722" s="48" t="n">
        <x:v>45</x:v>
      </x:c>
      <x:c r="E722" s="48" t="str"/>
      <x:c r="F722" s="48" t="str">
        <x:v>The Contractor shall carry out the Tests on Completion in accordance with this Clause and Sub-Clause 7.4 [Testing], after providing the documents in accordance with subparagraph (d) of Sub-Clause 4.1 [Contractor’s General Obligations].</x:v>
      </x:c>
      <x:c r="G722" s="48" t="str">
        <x:v>Obligation</x:v>
      </x:c>
      <x:c r="H722" s="48" t="str">
        <x:v>Contractor</x:v>
      </x:c>
      <x:c r="I722" s="48" t="n">
        <x:v>0.88</x:v>
      </x:c>
      <x:c r="J722" s="48" t="n">
        <x:v>0.92</x:v>
      </x:c>
      <x:c r="K722" s="48" t="str">
        <x:v>No</x:v>
      </x:c>
      <x:c r="L722" s="48" t="str">
        <x:v>PDF text</x:v>
      </x:c>
    </x:row>
    <x:row r="723">
      <x:c r="A723" s="48" t="str">
        <x:v>RED-0722</x:v>
      </x:c>
      <x:c r="B723" s="48" t="str">
        <x:v>RED</x:v>
      </x:c>
      <x:c r="C723" s="48" t="str">
        <x:v>English</x:v>
      </x:c>
      <x:c r="D723" s="48" t="n">
        <x:v>45</x:v>
      </x:c>
      <x:c r="E723" s="48" t="str"/>
      <x:c r="F723" s="48" t="str">
        <x:v>The Contractor shall give to the Engineer not less than 21 days’ notice of the date after which the Contractor will be ready to carry out each of the Tests on Completion.</x:v>
      </x:c>
      <x:c r="G723" s="48" t="str">
        <x:v>Obligation</x:v>
      </x:c>
      <x:c r="H723" s="48" t="str">
        <x:v>Contractor</x:v>
      </x:c>
      <x:c r="I723" s="48" t="n">
        <x:v>0.88</x:v>
      </x:c>
      <x:c r="J723" s="48" t="n">
        <x:v>0.92</x:v>
      </x:c>
      <x:c r="K723" s="48" t="str">
        <x:v>No</x:v>
      </x:c>
      <x:c r="L723" s="48" t="str">
        <x:v>PDF text</x:v>
      </x:c>
    </x:row>
    <x:row r="724">
      <x:c r="A724" s="48" t="str">
        <x:v>RED-0723</x:v>
      </x:c>
      <x:c r="B724" s="48" t="str">
        <x:v>RED</x:v>
      </x:c>
      <x:c r="C724" s="48" t="str">
        <x:v>English</x:v>
      </x:c>
      <x:c r="D724" s="48" t="n">
        <x:v>45</x:v>
      </x:c>
      <x:c r="E724" s="48" t="str"/>
      <x:c r="F724" s="48" t="str">
        <x:v>Unless otherwise agreed, Tests on Completion shall be carried out within 14 days after this date, on such day or days as the Engineer shall instruct.</x:v>
      </x:c>
      <x:c r="G724" s="48" t="str">
        <x:v>Obligation</x:v>
      </x:c>
      <x:c r="H724" s="48" t="str">
        <x:v>Shared</x:v>
      </x:c>
      <x:c r="I724" s="48" t="n">
        <x:v>0.88</x:v>
      </x:c>
      <x:c r="J724" s="48" t="n">
        <x:v>0.4</x:v>
      </x:c>
      <x:c r="K724" s="48" t="str">
        <x:v>Yes</x:v>
      </x:c>
      <x:c r="L724" s="48" t="str">
        <x:v>PDF text</x:v>
      </x:c>
    </x:row>
    <x:row r="725">
      <x:c r="A725" s="48" t="str">
        <x:v>RED-0724</x:v>
      </x:c>
      <x:c r="B725" s="48" t="str">
        <x:v>RED</x:v>
      </x:c>
      <x:c r="C725" s="48" t="str">
        <x:v>English</x:v>
      </x:c>
      <x:c r="D725" s="48" t="n">
        <x:v>45</x:v>
      </x:c>
      <x:c r="E725" s="48" t="str"/>
      <x:c r="F725" s="48" t="str">
        <x:v>In considering the results of the Tests on Completion, the Engineer shall make</x:v>
      </x:c>
      <x:c r="G725" s="48" t="str">
        <x:v>Obligation</x:v>
      </x:c>
      <x:c r="H725" s="48" t="str">
        <x:v>Shared</x:v>
      </x:c>
      <x:c r="I725" s="48" t="n">
        <x:v>0.88</x:v>
      </x:c>
      <x:c r="J725" s="48" t="n">
        <x:v>0.4</x:v>
      </x:c>
      <x:c r="K725" s="48" t="str">
        <x:v>Yes</x:v>
      </x:c>
      <x:c r="L725" s="48" t="str">
        <x:v>PDF text</x:v>
      </x:c>
    </x:row>
    <x:row r="726">
      <x:c r="A726" s="48" t="str">
        <x:v>RED-0725</x:v>
      </x:c>
      <x:c r="B726" s="48" t="str">
        <x:v>RED</x:v>
      </x:c>
      <x:c r="C726" s="48" t="str">
        <x:v>English</x:v>
      </x:c>
      <x:c r="D726" s="48" t="n">
        <x:v>45</x:v>
      </x:c>
      <x:c r="E726" s="48" t="str"/>
      <x:c r="F726" s="48" t="str">
        <x:v>allowances for the effect of any use of the Works by the Employer on the performance or other characteristics of the Works.</x:v>
      </x:c>
      <x:c r="G726" s="48" t="str">
        <x:v>Obligation</x:v>
      </x:c>
      <x:c r="H726" s="48" t="str">
        <x:v>Employer</x:v>
      </x:c>
      <x:c r="I726" s="48" t="n">
        <x:v>0.45</x:v>
      </x:c>
      <x:c r="J726" s="48" t="n">
        <x:v>0.68</x:v>
      </x:c>
      <x:c r="K726" s="48" t="str">
        <x:v>Yes</x:v>
      </x:c>
      <x:c r="L726" s="48" t="str">
        <x:v>PDF text</x:v>
      </x:c>
    </x:row>
    <x:row r="727">
      <x:c r="A727" s="48" t="str">
        <x:v>RED-0726</x:v>
      </x:c>
      <x:c r="B727" s="48" t="str">
        <x:v>RED</x:v>
      </x:c>
      <x:c r="C727" s="48" t="str">
        <x:v>English</x:v>
      </x:c>
      <x:c r="D727" s="48" t="n">
        <x:v>45</x:v>
      </x:c>
      <x:c r="E727" s="48" t="str"/>
      <x:c r="F727" s="48" t="str">
        <x:v>As soon as the Works, or a Section, have passed any Tests on Completion, the Contractor shall submit a certified report of the results of these Tests to the Engineer.</x:v>
      </x:c>
      <x:c r="G727" s="48" t="str">
        <x:v>Obligation</x:v>
      </x:c>
      <x:c r="H727" s="48" t="str">
        <x:v>Contractor</x:v>
      </x:c>
      <x:c r="I727" s="48" t="n">
        <x:v>0.88</x:v>
      </x:c>
      <x:c r="J727" s="48" t="n">
        <x:v>0.92</x:v>
      </x:c>
      <x:c r="K727" s="48" t="str">
        <x:v>No</x:v>
      </x:c>
      <x:c r="L727" s="48" t="str">
        <x:v>PDF text</x:v>
      </x:c>
    </x:row>
    <x:row r="728">
      <x:c r="A728" s="48" t="str">
        <x:v>RED-0727</x:v>
      </x:c>
      <x:c r="B728" s="48" t="str">
        <x:v>RED</x:v>
      </x:c>
      <x:c r="C728" s="48" t="str">
        <x:v>English</x:v>
      </x:c>
      <x:c r="D728" s="48" t="n">
        <x:v>45</x:v>
      </x:c>
      <x:c r="E728" s="48" t="str"/>
      <x:c r="F728" s="48" t="str">
        <x:v>Payment for Plant and</x:v>
      </x:c>
      <x:c r="G728" s="48" t="str">
        <x:v>Obligation</x:v>
      </x:c>
      <x:c r="H728" s="48" t="str">
        <x:v>Shared</x:v>
      </x:c>
      <x:c r="I728" s="48" t="n">
        <x:v>0.55</x:v>
      </x:c>
      <x:c r="J728" s="48" t="n">
        <x:v>0.4</x:v>
      </x:c>
      <x:c r="K728" s="48" t="str">
        <x:v>Yes</x:v>
      </x:c>
      <x:c r="L728" s="48" t="str">
        <x:v>PDF text</x:v>
      </x:c>
    </x:row>
    <x:row r="729">
      <x:c r="A729" s="48" t="str">
        <x:v>RED-0728</x:v>
      </x:c>
      <x:c r="B729" s="48" t="str">
        <x:v>RED</x:v>
      </x:c>
      <x:c r="C729" s="48" t="str">
        <x:v>English</x:v>
      </x:c>
      <x:c r="D729" s="48" t="n">
        <x:v>45</x:v>
      </x:c>
      <x:c r="E729" s="48" t="str"/>
      <x:c r="F729" s="48" t="str">
        <x:v>Materials in Event of</x:v>
      </x:c>
      <x:c r="G729" s="48" t="str">
        <x:v>Obligation</x:v>
      </x:c>
      <x:c r="H729" s="48" t="str">
        <x:v>Shared</x:v>
      </x:c>
      <x:c r="I729" s="48" t="n">
        <x:v>0.45</x:v>
      </x:c>
      <x:c r="J729" s="48" t="n">
        <x:v>0.4</x:v>
      </x:c>
      <x:c r="K729" s="48" t="str">
        <x:v>Yes</x:v>
      </x:c>
      <x:c r="L729" s="48" t="str">
        <x:v>PDF text</x:v>
      </x:c>
    </x:row>
    <x:row r="730">
      <x:c r="A730" s="48" t="str">
        <x:v>RED-0729</x:v>
      </x:c>
      <x:c r="B730" s="48" t="str">
        <x:v>RED</x:v>
      </x:c>
      <x:c r="C730" s="48" t="str">
        <x:v>English</x:v>
      </x:c>
      <x:c r="D730" s="48" t="n">
        <x:v>45</x:v>
      </x:c>
      <x:c r="E730" s="48" t="str"/>
      <x:c r="F730" s="48" t="str">
        <x:v>Prolonged Suspension</x:v>
      </x:c>
      <x:c r="G730" s="48" t="str">
        <x:v>Obligation</x:v>
      </x:c>
      <x:c r="H730" s="48" t="str">
        <x:v>Shared</x:v>
      </x:c>
      <x:c r="I730" s="48" t="n">
        <x:v>0.45</x:v>
      </x:c>
      <x:c r="J730" s="48" t="n">
        <x:v>0.4</x:v>
      </x:c>
      <x:c r="K730" s="48" t="str">
        <x:v>Yes</x:v>
      </x:c>
      <x:c r="L730" s="48" t="str">
        <x:v>PDF text</x:v>
      </x:c>
    </x:row>
    <x:row r="731">
      <x:c r="A731" s="48" t="str">
        <x:v>RED-0730</x:v>
      </x:c>
      <x:c r="B731" s="48" t="str">
        <x:v>RED</x:v>
      </x:c>
      <x:c r="C731" s="48" t="str">
        <x:v>English</x:v>
      </x:c>
      <x:c r="D731" s="48" t="n">
        <x:v>45</x:v>
      </x:c>
      <x:c r="E731" s="48" t="str"/>
      <x:c r="F731" s="48" t="str">
        <x:v>Resumption of Work</x:v>
      </x:c>
      <x:c r="G731" s="48" t="str">
        <x:v>Obligation</x:v>
      </x:c>
      <x:c r="H731" s="48" t="str">
        <x:v>Shared</x:v>
      </x:c>
      <x:c r="I731" s="48" t="n">
        <x:v>0.45</x:v>
      </x:c>
      <x:c r="J731" s="48" t="n">
        <x:v>0.4</x:v>
      </x:c>
      <x:c r="K731" s="48" t="str">
        <x:v>Yes</x:v>
      </x:c>
      <x:c r="L731" s="48" t="str">
        <x:v>PDF text</x:v>
      </x:c>
    </x:row>
    <x:row r="732">
      <x:c r="A732" s="48" t="str">
        <x:v>RED-0731</x:v>
      </x:c>
      <x:c r="B732" s="48" t="str">
        <x:v>RED</x:v>
      </x:c>
      <x:c r="C732" s="48" t="str">
        <x:v>English</x:v>
      </x:c>
      <x:c r="D732" s="48" t="n">
        <x:v>45</x:v>
      </x:c>
      <x:c r="E732" s="48" t="str">
        <x:v>9.1</x:v>
      </x:c>
      <x:c r="F732" s="48" t="str">
        <x:v>9.1 Contractor’s Obligations9</x:v>
      </x:c>
      <x:c r="G732" s="48" t="str">
        <x:v>Heading</x:v>
      </x:c>
      <x:c r="H732" s="48" t="str"/>
      <x:c r="I732" s="48" t="n">
        <x:v>0.9</x:v>
      </x:c>
      <x:c r="J732" s="48" t="n">
        <x:v>0.99</x:v>
      </x:c>
      <x:c r="K732" s="48" t="str">
        <x:v>No</x:v>
      </x:c>
      <x:c r="L732" s="48" t="str">
        <x:v>PDF text</x:v>
      </x:c>
    </x:row>
    <x:row r="733">
      <x:c r="A733" s="48" t="str">
        <x:v>RED-0732</x:v>
      </x:c>
      <x:c r="B733" s="48" t="str">
        <x:v>RED</x:v>
      </x:c>
      <x:c r="C733" s="48" t="str">
        <x:v>English</x:v>
      </x:c>
      <x:c r="D733" s="48" t="n">
        <x:v>45</x:v>
      </x:c>
      <x:c r="E733" s="48" t="str"/>
      <x:c r="F733" s="48" t="str">
        <x:v>Tests on Completion</x:v>
      </x:c>
      <x:c r="G733" s="48" t="str">
        <x:v>Obligation</x:v>
      </x:c>
      <x:c r="H733" s="48" t="str">
        <x:v>Shared</x:v>
      </x:c>
      <x:c r="I733" s="48" t="n">
        <x:v>0.45</x:v>
      </x:c>
      <x:c r="J733" s="48" t="n">
        <x:v>0.4</x:v>
      </x:c>
      <x:c r="K733" s="48" t="str">
        <x:v>Yes</x:v>
      </x:c>
      <x:c r="L733" s="48" t="str">
        <x:v>PDF text</x:v>
      </x:c>
    </x:row>
    <x:row r="734">
      <x:c r="A734" s="48" t="str">
        <x:v>RED-0733</x:v>
      </x:c>
      <x:c r="B734" s="48" t="str">
        <x:v>RED</x:v>
      </x:c>
      <x:c r="C734" s="48" t="str">
        <x:v>English</x:v>
      </x:c>
      <x:c r="D734" s="48" t="n">
        <x:v>46</x:v>
      </x:c>
      <x:c r="E734" s="48" t="str"/>
      <x:c r="F734" s="48" t="str">
        <x:v>If the Tests on Completion are being unduly delayed by the Employer, Sub-Clause 7.4 [Testing] (fifth paragraph) and/or Sub-Clause 10.3 [Interference with Tests on Completion] shall be applicable.</x:v>
      </x:c>
      <x:c r="G734" s="48" t="str">
        <x:v>Obligation</x:v>
      </x:c>
      <x:c r="H734" s="48" t="str">
        <x:v>Employer</x:v>
      </x:c>
      <x:c r="I734" s="48" t="n">
        <x:v>0.88</x:v>
      </x:c>
      <x:c r="J734" s="48" t="n">
        <x:v>0.68</x:v>
      </x:c>
      <x:c r="K734" s="48" t="str">
        <x:v>Yes</x:v>
      </x:c>
      <x:c r="L734" s="48" t="str">
        <x:v>PDF text</x:v>
      </x:c>
    </x:row>
    <x:row r="735">
      <x:c r="A735" s="48" t="str">
        <x:v>RED-0734</x:v>
      </x:c>
      <x:c r="B735" s="48" t="str">
        <x:v>RED</x:v>
      </x:c>
      <x:c r="C735" s="48" t="str">
        <x:v>English</x:v>
      </x:c>
      <x:c r="D735" s="48" t="n">
        <x:v>46</x:v>
      </x:c>
      <x:c r="E735" s="48" t="str"/>
      <x:c r="F735" s="48" t="str">
        <x:v>If the Tests on Completion are being unduly delayed by the Contractor, the Engineer may by notice require the Contractor to carry out the Tests within 21 days after receiving the notice.</x:v>
      </x:c>
      <x:c r="G735" s="48" t="str">
        <x:v>Right</x:v>
      </x:c>
      <x:c r="H735" s="48" t="str">
        <x:v>Contractor</x:v>
      </x:c>
      <x:c r="I735" s="48" t="n">
        <x:v>0.78</x:v>
      </x:c>
      <x:c r="J735" s="48" t="n">
        <x:v>0.68</x:v>
      </x:c>
      <x:c r="K735" s="48" t="str">
        <x:v>Yes</x:v>
      </x:c>
      <x:c r="L735" s="48" t="str">
        <x:v>PDF text</x:v>
      </x:c>
    </x:row>
    <x:row r="736">
      <x:c r="A736" s="48" t="str">
        <x:v>RED-0735</x:v>
      </x:c>
      <x:c r="B736" s="48" t="str">
        <x:v>RED</x:v>
      </x:c>
      <x:c r="C736" s="48" t="str">
        <x:v>English</x:v>
      </x:c>
      <x:c r="D736" s="48" t="n">
        <x:v>46</x:v>
      </x:c>
      <x:c r="E736" s="48" t="str"/>
      <x:c r="F736" s="48" t="str">
        <x:v>The Contractor shall carry out the Tests on such day or days within that period as the Contractor may fix and of which he shall give notice to the Engineer.</x:v>
      </x:c>
      <x:c r="G736" s="48" t="str">
        <x:v>Obligation</x:v>
      </x:c>
      <x:c r="H736" s="48" t="str">
        <x:v>Contractor</x:v>
      </x:c>
      <x:c r="I736" s="48" t="n">
        <x:v>0.88</x:v>
      </x:c>
      <x:c r="J736" s="48" t="n">
        <x:v>0.92</x:v>
      </x:c>
      <x:c r="K736" s="48" t="str">
        <x:v>No</x:v>
      </x:c>
      <x:c r="L736" s="48" t="str">
        <x:v>PDF text</x:v>
      </x:c>
    </x:row>
    <x:row r="737">
      <x:c r="A737" s="48" t="str">
        <x:v>RED-0736</x:v>
      </x:c>
      <x:c r="B737" s="48" t="str">
        <x:v>RED</x:v>
      </x:c>
      <x:c r="C737" s="48" t="str">
        <x:v>English</x:v>
      </x:c>
      <x:c r="D737" s="48" t="n">
        <x:v>46</x:v>
      </x:c>
      <x:c r="E737" s="48" t="str"/>
      <x:c r="F737" s="48" t="str">
        <x:v>If the Contractor fails to carry out the Tests on Completion within the period of 21 days, the Employer’s Personnel may proceed with the Tests at the risk and cost of the Contractor.</x:v>
      </x:c>
      <x:c r="G737" s="48" t="str">
        <x:v>Risk</x:v>
      </x:c>
      <x:c r="H737" s="48" t="str">
        <x:v>Shared</x:v>
      </x:c>
      <x:c r="I737" s="48" t="n">
        <x:v>0.78</x:v>
      </x:c>
      <x:c r="J737" s="48" t="n">
        <x:v>0.6</x:v>
      </x:c>
      <x:c r="K737" s="48" t="str">
        <x:v>Yes</x:v>
      </x:c>
      <x:c r="L737" s="48" t="str">
        <x:v>PDF text</x:v>
      </x:c>
    </x:row>
    <x:row r="738">
      <x:c r="A738" s="48" t="str">
        <x:v>RED-0737</x:v>
      </x:c>
      <x:c r="B738" s="48" t="str">
        <x:v>RED</x:v>
      </x:c>
      <x:c r="C738" s="48" t="str">
        <x:v>English</x:v>
      </x:c>
      <x:c r="D738" s="48" t="n">
        <x:v>46</x:v>
      </x:c>
      <x:c r="E738" s="48" t="str"/>
      <x:c r="F738" s="48" t="str">
        <x:v>The Tests on Completion shall then be deemed to have been carried out in the presence of the Contractor and the results of the Tests shall be accepted as accurate.</x:v>
      </x:c>
      <x:c r="G738" s="48" t="str">
        <x:v>Obligation</x:v>
      </x:c>
      <x:c r="H738" s="48" t="str">
        <x:v>Contractor</x:v>
      </x:c>
      <x:c r="I738" s="48" t="n">
        <x:v>0.88</x:v>
      </x:c>
      <x:c r="J738" s="48" t="n">
        <x:v>0.68</x:v>
      </x:c>
      <x:c r="K738" s="48" t="str">
        <x:v>Yes</x:v>
      </x:c>
      <x:c r="L738" s="48" t="str">
        <x:v>PDF text</x:v>
      </x:c>
    </x:row>
    <x:row r="739">
      <x:c r="A739" s="48" t="str">
        <x:v>RED-0738</x:v>
      </x:c>
      <x:c r="B739" s="48" t="str">
        <x:v>RED</x:v>
      </x:c>
      <x:c r="C739" s="48" t="str">
        <x:v>English</x:v>
      </x:c>
      <x:c r="D739" s="48" t="n">
        <x:v>46</x:v>
      </x:c>
      <x:c r="E739" s="48" t="str"/>
      <x:c r="F739" s="48" t="str">
        <x:v>If the Works, or a Section, fail to pass the Tests on Completion, Sub-Clause 7.5 [Rejection] shall apply, and the Engineer or the Contractor may require the failed Tests, and Tests on Completion on any related work, to be repeated under the same terms and conditions.</x:v>
      </x:c>
      <x:c r="G739" s="48" t="str">
        <x:v>Obligation</x:v>
      </x:c>
      <x:c r="H739" s="48" t="str">
        <x:v>Contractor</x:v>
      </x:c>
      <x:c r="I739" s="48" t="n">
        <x:v>0.88</x:v>
      </x:c>
      <x:c r="J739" s="48" t="n">
        <x:v>0.68</x:v>
      </x:c>
      <x:c r="K739" s="48" t="str">
        <x:v>Yes</x:v>
      </x:c>
      <x:c r="L739" s="48" t="str">
        <x:v>PDF text</x:v>
      </x:c>
    </x:row>
    <x:row r="740">
      <x:c r="A740" s="48" t="str">
        <x:v>RED-0739</x:v>
      </x:c>
      <x:c r="B740" s="48" t="str">
        <x:v>RED</x:v>
      </x:c>
      <x:c r="C740" s="48" t="str">
        <x:v>English</x:v>
      </x:c>
      <x:c r="D740" s="48" t="n">
        <x:v>46</x:v>
      </x:c>
      <x:c r="E740" s="48" t="str"/>
      <x:c r="F740" s="48" t="str">
        <x:v>If the Works, or a Section, fail to pass the Tests on Completion repeated under SubClause 9.3 [Retesting], the Engineer shall be entitled to: (a) order further repetition of Tests on Completion under Sub-Clause 9.3; (b) if the failure deprives the Employer of substantially the whole benefit of the</x:v>
      </x:c>
      <x:c r="G740" s="48" t="str">
        <x:v>Risk</x:v>
      </x:c>
      <x:c r="H740" s="48" t="str">
        <x:v>Employer</x:v>
      </x:c>
      <x:c r="I740" s="48" t="n">
        <x:v>0.78</x:v>
      </x:c>
      <x:c r="J740" s="48" t="n">
        <x:v>0.68</x:v>
      </x:c>
      <x:c r="K740" s="48" t="str">
        <x:v>Yes</x:v>
      </x:c>
      <x:c r="L740" s="48" t="str">
        <x:v>PDF text</x:v>
      </x:c>
    </x:row>
    <x:row r="741">
      <x:c r="A741" s="48" t="str">
        <x:v>RED-0740</x:v>
      </x:c>
      <x:c r="B741" s="48" t="str">
        <x:v>RED</x:v>
      </x:c>
      <x:c r="C741" s="48" t="str">
        <x:v>English</x:v>
      </x:c>
      <x:c r="D741" s="48" t="n">
        <x:v>46</x:v>
      </x:c>
      <x:c r="E741" s="48" t="str"/>
      <x:c r="F741" s="48" t="str">
        <x:v>Works or Section, reject the Works or Section (as the case may be), in which</x:v>
      </x:c>
      <x:c r="G741" s="48" t="str">
        <x:v>Right</x:v>
      </x:c>
      <x:c r="H741" s="48" t="str">
        <x:v>Shared</x:v>
      </x:c>
      <x:c r="I741" s="48" t="n">
        <x:v>0.78</x:v>
      </x:c>
      <x:c r="J741" s="48" t="n">
        <x:v>0.4</x:v>
      </x:c>
      <x:c r="K741" s="48" t="str">
        <x:v>Yes</x:v>
      </x:c>
      <x:c r="L741" s="48" t="str">
        <x:v>PDF text</x:v>
      </x:c>
    </x:row>
    <x:row r="742">
      <x:c r="A742" s="48" t="str">
        <x:v>RED-0741</x:v>
      </x:c>
      <x:c r="B742" s="48" t="str">
        <x:v>RED</x:v>
      </x:c>
      <x:c r="C742" s="48" t="str">
        <x:v>English</x:v>
      </x:c>
      <x:c r="D742" s="48" t="n">
        <x:v>46</x:v>
      </x:c>
      <x:c r="E742" s="48" t="str"/>
      <x:c r="F742" s="48" t="str">
        <x:v>event the Employer shall have the same remedies as are provided in subparagraph (c) of Sub-Clause 11.4 [Failure to Remedy Defects]; or (c) issue a Taking-Over Certificate, if the Employer so requests.</x:v>
      </x:c>
      <x:c r="G742" s="48" t="str">
        <x:v>Risk</x:v>
      </x:c>
      <x:c r="H742" s="48" t="str">
        <x:v>Employer</x:v>
      </x:c>
      <x:c r="I742" s="48" t="n">
        <x:v>0.78</x:v>
      </x:c>
      <x:c r="J742" s="48" t="n">
        <x:v>0.92</x:v>
      </x:c>
      <x:c r="K742" s="48" t="str">
        <x:v>No</x:v>
      </x:c>
      <x:c r="L742" s="48" t="str">
        <x:v>PDF text</x:v>
      </x:c>
    </x:row>
    <x:row r="743">
      <x:c r="A743" s="48" t="str">
        <x:v>RED-0742</x:v>
      </x:c>
      <x:c r="B743" s="48" t="str">
        <x:v>RED</x:v>
      </x:c>
      <x:c r="C743" s="48" t="str">
        <x:v>English</x:v>
      </x:c>
      <x:c r="D743" s="48" t="n">
        <x:v>46</x:v>
      </x:c>
      <x:c r="E743" s="48" t="str"/>
      <x:c r="F743" s="48" t="str">
        <x:v>In the event of sub-paragraph (c), the Contractor shall proceed in accordance with all other obligations under the Contract, and the Contract Price shall be reduced by such amount as shall be appropriate to cover the reduced value to the Employer as a result of this failure.</x:v>
      </x:c>
      <x:c r="G743" s="48" t="str">
        <x:v>Risk</x:v>
      </x:c>
      <x:c r="H743" s="48" t="str">
        <x:v>Contractor</x:v>
      </x:c>
      <x:c r="I743" s="48" t="n">
        <x:v>0.78</x:v>
      </x:c>
      <x:c r="J743" s="48" t="n">
        <x:v>0.92</x:v>
      </x:c>
      <x:c r="K743" s="48" t="str">
        <x:v>No</x:v>
      </x:c>
      <x:c r="L743" s="48" t="str">
        <x:v>PDF text</x:v>
      </x:c>
    </x:row>
    <x:row r="744">
      <x:c r="A744" s="48" t="str">
        <x:v>RED-0743</x:v>
      </x:c>
      <x:c r="B744" s="48" t="str">
        <x:v>RED</x:v>
      </x:c>
      <x:c r="C744" s="48" t="str">
        <x:v>English</x:v>
      </x:c>
      <x:c r="D744" s="48" t="n">
        <x:v>46</x:v>
      </x:c>
      <x:c r="E744" s="48" t="str"/>
      <x:c r="F744" s="48" t="str">
        <x:v>Unless the relevant reduction for this failure is stated (or its method of calculation is defined) in the Contract, the Employer may require the reduction to be (i) agreed by both Parties (in full satisfaction of this failure only) and paid before this Taking-Over Certificate is issued, or (ii) determined and paid under Sub-Clause 2.5 [Employer’s Claims] and Sub-Clause 3.5 [Determinations].</x:v>
      </x:c>
      <x:c r="G744" s="48" t="str">
        <x:v>Right</x:v>
      </x:c>
      <x:c r="H744" s="48" t="str">
        <x:v>Shared</x:v>
      </x:c>
      <x:c r="I744" s="48" t="n">
        <x:v>0.78</x:v>
      </x:c>
      <x:c r="J744" s="48" t="n">
        <x:v>0.93</x:v>
      </x:c>
      <x:c r="K744" s="48" t="str">
        <x:v>No</x:v>
      </x:c>
      <x:c r="L744" s="48" t="str">
        <x:v>PDF text</x:v>
      </x:c>
    </x:row>
    <x:row r="745">
      <x:c r="A745" s="48" t="str">
        <x:v>RED-0744</x:v>
      </x:c>
      <x:c r="B745" s="48" t="str">
        <x:v>RED</x:v>
      </x:c>
      <x:c r="C745" s="48" t="str">
        <x:v>English</x:v>
      </x:c>
      <x:c r="D745" s="48" t="n">
        <x:v>46</x:v>
      </x:c>
      <x:c r="E745" s="48" t="str"/>
      <x:c r="F745" s="48" t="str">
        <x:v>Except as stated in Sub-Clause 9.4 [Failure to Pass Tests on Completion], the Works shall be taken over by the Employer when (i) the Works have been completed in accordance with the Contract, including the matters described in Sub-Clause 8.2 [Time for Completion] and except as allowed in sub-paragraph (a) below, and (ii) a</x:v>
      </x:c>
      <x:c r="G745" s="48" t="str">
        <x:v>Risk</x:v>
      </x:c>
      <x:c r="H745" s="48" t="str">
        <x:v>Employer</x:v>
      </x:c>
      <x:c r="I745" s="48" t="n">
        <x:v>0.78</x:v>
      </x:c>
      <x:c r="J745" s="48" t="n">
        <x:v>0.68</x:v>
      </x:c>
      <x:c r="K745" s="48" t="str">
        <x:v>Yes</x:v>
      </x:c>
      <x:c r="L745" s="48" t="str">
        <x:v>PDF text</x:v>
      </x:c>
    </x:row>
    <x:row r="746">
      <x:c r="A746" s="48" t="str">
        <x:v>RED-0745</x:v>
      </x:c>
      <x:c r="B746" s="48" t="str">
        <x:v>RED</x:v>
      </x:c>
      <x:c r="C746" s="48" t="str">
        <x:v>English</x:v>
      </x:c>
      <x:c r="D746" s="48" t="n">
        <x:v>46</x:v>
      </x:c>
      <x:c r="E746" s="48" t="str"/>
      <x:c r="F746" s="48" t="str">
        <x:v>Taking-Over Certificate for the Works has been issued, or is deemed to have been</x:v>
      </x:c>
      <x:c r="G746" s="48" t="str">
        <x:v>Obligation</x:v>
      </x:c>
      <x:c r="H746" s="48" t="str">
        <x:v>Shared</x:v>
      </x:c>
      <x:c r="I746" s="48" t="n">
        <x:v>0.55</x:v>
      </x:c>
      <x:c r="J746" s="48" t="n">
        <x:v>0.4</x:v>
      </x:c>
      <x:c r="K746" s="48" t="str">
        <x:v>Yes</x:v>
      </x:c>
      <x:c r="L746" s="48" t="str">
        <x:v>PDF text</x:v>
      </x:c>
    </x:row>
    <x:row r="747">
      <x:c r="A747" s="48" t="str">
        <x:v>RED-0746</x:v>
      </x:c>
      <x:c r="B747" s="48" t="str">
        <x:v>RED</x:v>
      </x:c>
      <x:c r="C747" s="48" t="str">
        <x:v>English</x:v>
      </x:c>
      <x:c r="D747" s="48" t="n">
        <x:v>46</x:v>
      </x:c>
      <x:c r="E747" s="48" t="str"/>
      <x:c r="F747" s="48" t="str">
        <x:v>issued in accordance with this Sub-Clause.</x:v>
      </x:c>
      <x:c r="G747" s="48" t="str">
        <x:v>Obligation</x:v>
      </x:c>
      <x:c r="H747" s="48" t="str">
        <x:v>Shared</x:v>
      </x:c>
      <x:c r="I747" s="48" t="n">
        <x:v>0.45</x:v>
      </x:c>
      <x:c r="J747" s="48" t="n">
        <x:v>0.4</x:v>
      </x:c>
      <x:c r="K747" s="48" t="str">
        <x:v>Yes</x:v>
      </x:c>
      <x:c r="L747" s="48" t="str">
        <x:v>PDF text</x:v>
      </x:c>
    </x:row>
    <x:row r="748">
      <x:c r="A748" s="48" t="str">
        <x:v>RED-0747</x:v>
      </x:c>
      <x:c r="B748" s="48" t="str">
        <x:v>RED</x:v>
      </x:c>
      <x:c r="C748" s="48" t="str">
        <x:v>English</x:v>
      </x:c>
      <x:c r="D748" s="48" t="n">
        <x:v>46</x:v>
      </x:c>
      <x:c r="E748" s="48" t="str"/>
      <x:c r="F748" s="48" t="str">
        <x:v>The Contractor may apply by notice to the Engineer for a Taking-Over Certificate not earlier than 14 days before the Works will, in the Contractor’s opinion, be complete 9.2</x:v>
      </x:c>
      <x:c r="G748" s="48" t="str">
        <x:v>Right</x:v>
      </x:c>
      <x:c r="H748" s="48" t="str">
        <x:v>Contractor</x:v>
      </x:c>
      <x:c r="I748" s="48" t="n">
        <x:v>0.78</x:v>
      </x:c>
      <x:c r="J748" s="48" t="n">
        <x:v>0.92</x:v>
      </x:c>
      <x:c r="K748" s="48" t="str">
        <x:v>No</x:v>
      </x:c>
      <x:c r="L748" s="48" t="str">
        <x:v>PDF text</x:v>
      </x:c>
    </x:row>
    <x:row r="749">
      <x:c r="A749" s="48" t="str">
        <x:v>RED-0748</x:v>
      </x:c>
      <x:c r="B749" s="48" t="str">
        <x:v>RED</x:v>
      </x:c>
      <x:c r="C749" s="48" t="str">
        <x:v>English</x:v>
      </x:c>
      <x:c r="D749" s="48" t="n">
        <x:v>46</x:v>
      </x:c>
      <x:c r="E749" s="48" t="str"/>
      <x:c r="F749" s="48" t="str">
        <x:v>Delayed Tests</x:v>
      </x:c>
      <x:c r="G749" s="48" t="str">
        <x:v>Obligation</x:v>
      </x:c>
      <x:c r="H749" s="48" t="str">
        <x:v>Shared</x:v>
      </x:c>
      <x:c r="I749" s="48" t="n">
        <x:v>0.45</x:v>
      </x:c>
      <x:c r="J749" s="48" t="n">
        <x:v>0.4</x:v>
      </x:c>
      <x:c r="K749" s="48" t="str">
        <x:v>Yes</x:v>
      </x:c>
      <x:c r="L749" s="48" t="str">
        <x:v>PDF text</x:v>
      </x:c>
    </x:row>
    <x:row r="750">
      <x:c r="A750" s="48" t="str">
        <x:v>RED-0749</x:v>
      </x:c>
      <x:c r="B750" s="48" t="str">
        <x:v>RED</x:v>
      </x:c>
      <x:c r="C750" s="48" t="str">
        <x:v>English</x:v>
      </x:c>
      <x:c r="D750" s="48" t="n">
        <x:v>46</x:v>
      </x:c>
      <x:c r="E750" s="48" t="str"/>
      <x:c r="F750" s="48" t="str">
        <x:v>Retesting</x:v>
      </x:c>
      <x:c r="G750" s="48" t="str">
        <x:v>Obligation</x:v>
      </x:c>
      <x:c r="H750" s="48" t="str">
        <x:v>Shared</x:v>
      </x:c>
      <x:c r="I750" s="48" t="n">
        <x:v>0.45</x:v>
      </x:c>
      <x:c r="J750" s="48" t="n">
        <x:v>0.4</x:v>
      </x:c>
      <x:c r="K750" s="48" t="str">
        <x:v>Yes</x:v>
      </x:c>
      <x:c r="L750" s="48" t="str">
        <x:v>PDF text</x:v>
      </x:c>
    </x:row>
    <x:row r="751">
      <x:c r="A751" s="48" t="str">
        <x:v>RED-0750</x:v>
      </x:c>
      <x:c r="B751" s="48" t="str">
        <x:v>RED</x:v>
      </x:c>
      <x:c r="C751" s="48" t="str">
        <x:v>English</x:v>
      </x:c>
      <x:c r="D751" s="48" t="n">
        <x:v>46</x:v>
      </x:c>
      <x:c r="E751" s="48" t="str"/>
      <x:c r="F751" s="48" t="str">
        <x:v>Failure to Pass Tests on</x:v>
      </x:c>
      <x:c r="G751" s="48" t="str">
        <x:v>Obligation</x:v>
      </x:c>
      <x:c r="H751" s="48" t="str">
        <x:v>Shared</x:v>
      </x:c>
      <x:c r="I751" s="48" t="n">
        <x:v>0.45</x:v>
      </x:c>
      <x:c r="J751" s="48" t="n">
        <x:v>0.4</x:v>
      </x:c>
      <x:c r="K751" s="48" t="str">
        <x:v>Yes</x:v>
      </x:c>
      <x:c r="L751" s="48" t="str">
        <x:v>PDF text</x:v>
      </x:c>
    </x:row>
    <x:row r="752">
      <x:c r="A752" s="48" t="str">
        <x:v>RED-0751</x:v>
      </x:c>
      <x:c r="B752" s="48" t="str">
        <x:v>RED</x:v>
      </x:c>
      <x:c r="C752" s="48" t="str">
        <x:v>English</x:v>
      </x:c>
      <x:c r="D752" s="48" t="n">
        <x:v>46</x:v>
      </x:c>
      <x:c r="E752" s="48" t="str"/>
      <x:c r="F752" s="48" t="str">
        <x:v>Taking Over of the</x:v>
      </x:c>
      <x:c r="G752" s="48" t="str">
        <x:v>Obligation</x:v>
      </x:c>
      <x:c r="H752" s="48" t="str">
        <x:v>Shared</x:v>
      </x:c>
      <x:c r="I752" s="48" t="n">
        <x:v>0.45</x:v>
      </x:c>
      <x:c r="J752" s="48" t="n">
        <x:v>0.4</x:v>
      </x:c>
      <x:c r="K752" s="48" t="str">
        <x:v>Yes</x:v>
      </x:c>
      <x:c r="L752" s="48" t="str">
        <x:v>PDF text</x:v>
      </x:c>
    </x:row>
    <x:row r="753">
      <x:c r="A753" s="48" t="str">
        <x:v>RED-0752</x:v>
      </x:c>
      <x:c r="B753" s="48" t="str">
        <x:v>RED</x:v>
      </x:c>
      <x:c r="C753" s="48" t="str">
        <x:v>English</x:v>
      </x:c>
      <x:c r="D753" s="48" t="n">
        <x:v>46</x:v>
      </x:c>
      <x:c r="E753" s="48" t="str"/>
      <x:c r="F753" s="48" t="str">
        <x:v>Works and Sections10</x:v>
      </x:c>
      <x:c r="G753" s="48" t="str">
        <x:v>Obligation</x:v>
      </x:c>
      <x:c r="H753" s="48" t="str">
        <x:v>Shared</x:v>
      </x:c>
      <x:c r="I753" s="48" t="n">
        <x:v>0.45</x:v>
      </x:c>
      <x:c r="J753" s="48" t="n">
        <x:v>0.4</x:v>
      </x:c>
      <x:c r="K753" s="48" t="str">
        <x:v>Yes</x:v>
      </x:c>
      <x:c r="L753" s="48" t="str">
        <x:v>PDF text</x:v>
      </x:c>
    </x:row>
    <x:row r="754">
      <x:c r="A754" s="48" t="str">
        <x:v>RED-0753</x:v>
      </x:c>
      <x:c r="B754" s="48" t="str">
        <x:v>RED</x:v>
      </x:c>
      <x:c r="C754" s="48" t="str">
        <x:v>English</x:v>
      </x:c>
      <x:c r="D754" s="48" t="n">
        <x:v>46</x:v>
      </x:c>
      <x:c r="E754" s="48" t="str"/>
      <x:c r="F754" s="48" t="str">
        <x:v>Employer’s Taking Over</x:v>
      </x:c>
      <x:c r="G754" s="48" t="str">
        <x:v>Obligation</x:v>
      </x:c>
      <x:c r="H754" s="48" t="str">
        <x:v>Employer</x:v>
      </x:c>
      <x:c r="I754" s="48" t="n">
        <x:v>0.45</x:v>
      </x:c>
      <x:c r="J754" s="48" t="n">
        <x:v>0.68</x:v>
      </x:c>
      <x:c r="K754" s="48" t="str">
        <x:v>Yes</x:v>
      </x:c>
      <x:c r="L754" s="48" t="str">
        <x:v>PDF text</x:v>
      </x:c>
    </x:row>
    <x:row r="755">
      <x:c r="A755" s="48" t="str">
        <x:v>RED-0754</x:v>
      </x:c>
      <x:c r="B755" s="48" t="str">
        <x:v>RED</x:v>
      </x:c>
      <x:c r="C755" s="48" t="str">
        <x:v>English</x:v>
      </x:c>
      <x:c r="D755" s="48" t="n">
        <x:v>47</x:v>
      </x:c>
      <x:c r="E755" s="48" t="str"/>
      <x:c r="F755" s="48" t="str">
        <x:v>and ready for taking over.</x:v>
      </x:c>
      <x:c r="G755" s="48" t="str">
        <x:v>Obligation</x:v>
      </x:c>
      <x:c r="H755" s="48" t="str">
        <x:v>Shared</x:v>
      </x:c>
      <x:c r="I755" s="48" t="n">
        <x:v>0.45</x:v>
      </x:c>
      <x:c r="J755" s="48" t="n">
        <x:v>0.4</x:v>
      </x:c>
      <x:c r="K755" s="48" t="str">
        <x:v>Yes</x:v>
      </x:c>
      <x:c r="L755" s="48" t="str">
        <x:v>PDF text</x:v>
      </x:c>
    </x:row>
    <x:row r="756">
      <x:c r="A756" s="48" t="str">
        <x:v>RED-0755</x:v>
      </x:c>
      <x:c r="B756" s="48" t="str">
        <x:v>RED</x:v>
      </x:c>
      <x:c r="C756" s="48" t="str">
        <x:v>English</x:v>
      </x:c>
      <x:c r="D756" s="48" t="n">
        <x:v>47</x:v>
      </x:c>
      <x:c r="E756" s="48" t="str"/>
      <x:c r="F756" s="48" t="str">
        <x:v>If the Works are divided into Sections, the Contractor may similarly apply for a Taking-Over Certificate for each Section.</x:v>
      </x:c>
      <x:c r="G756" s="48" t="str">
        <x:v>Right</x:v>
      </x:c>
      <x:c r="H756" s="48" t="str">
        <x:v>Contractor</x:v>
      </x:c>
      <x:c r="I756" s="48" t="n">
        <x:v>0.78</x:v>
      </x:c>
      <x:c r="J756" s="48" t="n">
        <x:v>0.92</x:v>
      </x:c>
      <x:c r="K756" s="48" t="str">
        <x:v>No</x:v>
      </x:c>
      <x:c r="L756" s="48" t="str">
        <x:v>PDF text</x:v>
      </x:c>
    </x:row>
    <x:row r="757">
      <x:c r="A757" s="48" t="str">
        <x:v>RED-0756</x:v>
      </x:c>
      <x:c r="B757" s="48" t="str">
        <x:v>RED</x:v>
      </x:c>
      <x:c r="C757" s="48" t="str">
        <x:v>English</x:v>
      </x:c>
      <x:c r="D757" s="48" t="n">
        <x:v>47</x:v>
      </x:c>
      <x:c r="E757" s="48" t="str"/>
      <x:c r="F757" s="48" t="str">
        <x:v>The Engineer shall, within 28 days after receiving the Contractor’s application: (a) issue the Taking-Over Certificate to the Contractor, stating the date on which the Works or Section were completed in accordance with the Contract, except for any minor outstanding work and defects which will not substantially affect the use of the Works or Section for their intended purpose (either until or whilst this work is completed and these defects are remedied); or (b) reject the application, giving reasons and specifying the work required to be done by the Contractor to enable the Taking-Over Certificate to be issued.</x:v>
      </x:c>
      <x:c r="G757" s="48" t="str">
        <x:v>Obligation</x:v>
      </x:c>
      <x:c r="H757" s="48" t="str">
        <x:v>Contractor</x:v>
      </x:c>
      <x:c r="I757" s="48" t="n">
        <x:v>0.88</x:v>
      </x:c>
      <x:c r="J757" s="48" t="n">
        <x:v>0.68</x:v>
      </x:c>
      <x:c r="K757" s="48" t="str">
        <x:v>Yes</x:v>
      </x:c>
      <x:c r="L757" s="48" t="str">
        <x:v>PDF text</x:v>
      </x:c>
    </x:row>
    <x:row r="758">
      <x:c r="A758" s="48" t="str">
        <x:v>RED-0757</x:v>
      </x:c>
      <x:c r="B758" s="48" t="str">
        <x:v>RED</x:v>
      </x:c>
      <x:c r="C758" s="48" t="str">
        <x:v>English</x:v>
      </x:c>
      <x:c r="D758" s="48" t="n">
        <x:v>47</x:v>
      </x:c>
      <x:c r="E758" s="48" t="str"/>
      <x:c r="F758" s="48" t="str">
        <x:v>Contractor shall then complete this work before issuing a further notice under</x:v>
      </x:c>
      <x:c r="G758" s="48" t="str">
        <x:v>Obligation</x:v>
      </x:c>
      <x:c r="H758" s="48" t="str">
        <x:v>Contractor</x:v>
      </x:c>
      <x:c r="I758" s="48" t="n">
        <x:v>0.88</x:v>
      </x:c>
      <x:c r="J758" s="48" t="n">
        <x:v>0.68</x:v>
      </x:c>
      <x:c r="K758" s="48" t="str">
        <x:v>Yes</x:v>
      </x:c>
      <x:c r="L758" s="48" t="str">
        <x:v>PDF text</x:v>
      </x:c>
    </x:row>
    <x:row r="759">
      <x:c r="A759" s="48" t="str">
        <x:v>RED-0758</x:v>
      </x:c>
      <x:c r="B759" s="48" t="str">
        <x:v>RED</x:v>
      </x:c>
      <x:c r="C759" s="48" t="str">
        <x:v>English</x:v>
      </x:c>
      <x:c r="D759" s="48" t="n">
        <x:v>47</x:v>
      </x:c>
      <x:c r="E759" s="48" t="str"/>
      <x:c r="F759" s="48" t="str">
        <x:v>this Sub-Clause.</x:v>
      </x:c>
      <x:c r="G759" s="48" t="str">
        <x:v>Obligation</x:v>
      </x:c>
      <x:c r="H759" s="48" t="str">
        <x:v>Shared</x:v>
      </x:c>
      <x:c r="I759" s="48" t="n">
        <x:v>0.45</x:v>
      </x:c>
      <x:c r="J759" s="48" t="n">
        <x:v>0.4</x:v>
      </x:c>
      <x:c r="K759" s="48" t="str">
        <x:v>Yes</x:v>
      </x:c>
      <x:c r="L759" s="48" t="str">
        <x:v>PDF text</x:v>
      </x:c>
    </x:row>
    <x:row r="760">
      <x:c r="A760" s="48" t="str">
        <x:v>RED-0759</x:v>
      </x:c>
      <x:c r="B760" s="48" t="str">
        <x:v>RED</x:v>
      </x:c>
      <x:c r="C760" s="48" t="str">
        <x:v>English</x:v>
      </x:c>
      <x:c r="D760" s="48" t="n">
        <x:v>47</x:v>
      </x:c>
      <x:c r="E760" s="48" t="str"/>
      <x:c r="F760" s="48" t="str">
        <x:v>If the Engineer fails either to issue the Taking-Over Certificate or to reject the Contractor’s application within the period of 28 days, and if the Works or Section (as the case may be) are substantially in accordance with the Contract, the Taking-Over Certificate shall be deemed to have been issued on the last day of that period.</x:v>
      </x:c>
      <x:c r="G760" s="48" t="str">
        <x:v>Obligation</x:v>
      </x:c>
      <x:c r="H760" s="48" t="str">
        <x:v>Contractor</x:v>
      </x:c>
      <x:c r="I760" s="48" t="n">
        <x:v>0.88</x:v>
      </x:c>
      <x:c r="J760" s="48" t="n">
        <x:v>0.68</x:v>
      </x:c>
      <x:c r="K760" s="48" t="str">
        <x:v>Yes</x:v>
      </x:c>
      <x:c r="L760" s="48" t="str">
        <x:v>PDF text</x:v>
      </x:c>
    </x:row>
    <x:row r="761">
      <x:c r="A761" s="48" t="str">
        <x:v>RED-0760</x:v>
      </x:c>
      <x:c r="B761" s="48" t="str">
        <x:v>RED</x:v>
      </x:c>
      <x:c r="C761" s="48" t="str">
        <x:v>English</x:v>
      </x:c>
      <x:c r="D761" s="48" t="n">
        <x:v>47</x:v>
      </x:c>
      <x:c r="E761" s="48" t="str"/>
      <x:c r="F761" s="48" t="str">
        <x:v>The Engineer may, at the sole discretion of the Employer, issue a Taking-Over</x:v>
      </x:c>
      <x:c r="G761" s="48" t="str">
        <x:v>Obligation</x:v>
      </x:c>
      <x:c r="H761" s="48" t="str">
        <x:v>Employer</x:v>
      </x:c>
      <x:c r="I761" s="48" t="n">
        <x:v>0.45</x:v>
      </x:c>
      <x:c r="J761" s="48" t="n">
        <x:v>0.68</x:v>
      </x:c>
      <x:c r="K761" s="48" t="str">
        <x:v>Yes</x:v>
      </x:c>
      <x:c r="L761" s="48" t="str">
        <x:v>PDF text</x:v>
      </x:c>
    </x:row>
    <x:row r="762">
      <x:c r="A762" s="48" t="str">
        <x:v>RED-0761</x:v>
      </x:c>
      <x:c r="B762" s="48" t="str">
        <x:v>RED</x:v>
      </x:c>
      <x:c r="C762" s="48" t="str">
        <x:v>English</x:v>
      </x:c>
      <x:c r="D762" s="48" t="n">
        <x:v>47</x:v>
      </x:c>
      <x:c r="E762" s="48" t="str"/>
      <x:c r="F762" s="48" t="str">
        <x:v>Certificate for any part of the Permanent Works.</x:v>
      </x:c>
      <x:c r="G762" s="48" t="str">
        <x:v>Obligation</x:v>
      </x:c>
      <x:c r="H762" s="48" t="str">
        <x:v>Shared</x:v>
      </x:c>
      <x:c r="I762" s="48" t="n">
        <x:v>0.55</x:v>
      </x:c>
      <x:c r="J762" s="48" t="n">
        <x:v>0.4</x:v>
      </x:c>
      <x:c r="K762" s="48" t="str">
        <x:v>Yes</x:v>
      </x:c>
      <x:c r="L762" s="48" t="str">
        <x:v>PDF text</x:v>
      </x:c>
    </x:row>
    <x:row r="763">
      <x:c r="A763" s="48" t="str">
        <x:v>RED-0762</x:v>
      </x:c>
      <x:c r="B763" s="48" t="str">
        <x:v>RED</x:v>
      </x:c>
      <x:c r="C763" s="48" t="str">
        <x:v>English</x:v>
      </x:c>
      <x:c r="D763" s="48" t="n">
        <x:v>47</x:v>
      </x:c>
      <x:c r="E763" s="48" t="str"/>
      <x:c r="F763" s="48" t="str">
        <x:v>The Employer shall not use any part of the Works (other than as a temporary measure which is either specified in the Contract or agreed by both Parties) unless and until the Engineer has issued a Taking-Over Certificate for this part.</x:v>
      </x:c>
      <x:c r="G763" s="48" t="str">
        <x:v>Obligation</x:v>
      </x:c>
      <x:c r="H763" s="48" t="str">
        <x:v>Shared</x:v>
      </x:c>
      <x:c r="I763" s="48" t="n">
        <x:v>0.88</x:v>
      </x:c>
      <x:c r="J763" s="48" t="n">
        <x:v>0.93</x:v>
      </x:c>
      <x:c r="K763" s="48" t="str">
        <x:v>No</x:v>
      </x:c>
      <x:c r="L763" s="48" t="str">
        <x:v>PDF text</x:v>
      </x:c>
    </x:row>
    <x:row r="764">
      <x:c r="A764" s="48" t="str">
        <x:v>RED-0763</x:v>
      </x:c>
      <x:c r="B764" s="48" t="str">
        <x:v>RED</x:v>
      </x:c>
      <x:c r="C764" s="48" t="str">
        <x:v>English</x:v>
      </x:c>
      <x:c r="D764" s="48" t="n">
        <x:v>47</x:v>
      </x:c>
      <x:c r="E764" s="48" t="str"/>
      <x:c r="F764" s="48" t="str">
        <x:v>However, if the Employer does use any part of the Works before the Taking-Over Certificate is issued: (a) the part which is used shall be deemed to have been taken over as from the date on which it is used, (b) the Contractor shall cease to be liable for the care of such part as from this date, when responsibility shall pass to the Employer, and (c) if requested by the Contractor, the Engineer shall issue a Taking-Over Certificate for this part.</x:v>
      </x:c>
      <x:c r="G764" s="48" t="str">
        <x:v>Risk</x:v>
      </x:c>
      <x:c r="H764" s="48" t="str">
        <x:v>Contractor</x:v>
      </x:c>
      <x:c r="I764" s="48" t="n">
        <x:v>0.78</x:v>
      </x:c>
      <x:c r="J764" s="48" t="n">
        <x:v>0.92</x:v>
      </x:c>
      <x:c r="K764" s="48" t="str">
        <x:v>No</x:v>
      </x:c>
      <x:c r="L764" s="48" t="str">
        <x:v>PDF text</x:v>
      </x:c>
    </x:row>
    <x:row r="765">
      <x:c r="A765" s="48" t="str">
        <x:v>RED-0764</x:v>
      </x:c>
      <x:c r="B765" s="48" t="str">
        <x:v>RED</x:v>
      </x:c>
      <x:c r="C765" s="48" t="str">
        <x:v>English</x:v>
      </x:c>
      <x:c r="D765" s="48" t="n">
        <x:v>47</x:v>
      </x:c>
      <x:c r="E765" s="48" t="str"/>
      <x:c r="F765" s="48" t="str">
        <x:v>After the Engineer has issued a Taking-Over Certificate for a part of the Works, the</x:v>
      </x:c>
      <x:c r="G765" s="48" t="str">
        <x:v>Obligation</x:v>
      </x:c>
      <x:c r="H765" s="48" t="str">
        <x:v>Shared</x:v>
      </x:c>
      <x:c r="I765" s="48" t="n">
        <x:v>0.55</x:v>
      </x:c>
      <x:c r="J765" s="48" t="n">
        <x:v>0.4</x:v>
      </x:c>
      <x:c r="K765" s="48" t="str">
        <x:v>Yes</x:v>
      </x:c>
      <x:c r="L765" s="48" t="str">
        <x:v>PDF text</x:v>
      </x:c>
    </x:row>
    <x:row r="766">
      <x:c r="A766" s="48" t="str">
        <x:v>RED-0765</x:v>
      </x:c>
      <x:c r="B766" s="48" t="str">
        <x:v>RED</x:v>
      </x:c>
      <x:c r="C766" s="48" t="str">
        <x:v>English</x:v>
      </x:c>
      <x:c r="D766" s="48" t="n">
        <x:v>47</x:v>
      </x:c>
      <x:c r="E766" s="48" t="str"/>
      <x:c r="F766" s="48" t="str">
        <x:v>Contractor shall be given the earliest opportunity to take such steps as may be</x:v>
      </x:c>
      <x:c r="G766" s="48" t="str">
        <x:v>Obligation</x:v>
      </x:c>
      <x:c r="H766" s="48" t="str">
        <x:v>Contractor</x:v>
      </x:c>
      <x:c r="I766" s="48" t="n">
        <x:v>0.88</x:v>
      </x:c>
      <x:c r="J766" s="48" t="n">
        <x:v>0.68</x:v>
      </x:c>
      <x:c r="K766" s="48" t="str">
        <x:v>Yes</x:v>
      </x:c>
      <x:c r="L766" s="48" t="str">
        <x:v>PDF text</x:v>
      </x:c>
    </x:row>
    <x:row r="767">
      <x:c r="A767" s="48" t="str">
        <x:v>RED-0766</x:v>
      </x:c>
      <x:c r="B767" s="48" t="str">
        <x:v>RED</x:v>
      </x:c>
      <x:c r="C767" s="48" t="str">
        <x:v>English</x:v>
      </x:c>
      <x:c r="D767" s="48" t="n">
        <x:v>47</x:v>
      </x:c>
      <x:c r="E767" s="48" t="str"/>
      <x:c r="F767" s="48" t="str">
        <x:v>necessary to carry out any outstanding Tests on Completion.</x:v>
      </x:c>
      <x:c r="G767" s="48" t="str">
        <x:v>Obligation</x:v>
      </x:c>
      <x:c r="H767" s="48" t="str">
        <x:v>Shared</x:v>
      </x:c>
      <x:c r="I767" s="48" t="n">
        <x:v>0.45</x:v>
      </x:c>
      <x:c r="J767" s="48" t="n">
        <x:v>0.4</x:v>
      </x:c>
      <x:c r="K767" s="48" t="str">
        <x:v>Yes</x:v>
      </x:c>
      <x:c r="L767" s="48" t="str">
        <x:v>PDF text</x:v>
      </x:c>
    </x:row>
    <x:row r="768">
      <x:c r="A768" s="48" t="str">
        <x:v>RED-0767</x:v>
      </x:c>
      <x:c r="B768" s="48" t="str">
        <x:v>RED</x:v>
      </x:c>
      <x:c r="C768" s="48" t="str">
        <x:v>English</x:v>
      </x:c>
      <x:c r="D768" s="48" t="n">
        <x:v>47</x:v>
      </x:c>
      <x:c r="E768" s="48" t="str"/>
      <x:c r="F768" s="48" t="str">
        <x:v>The Contractor shall carry out these Tests on Completion as soon as practicable before the expiry date of the relevant Defects Notification Period.</x:v>
      </x:c>
      <x:c r="G768" s="48" t="str">
        <x:v>Obligation</x:v>
      </x:c>
      <x:c r="H768" s="48" t="str">
        <x:v>Contractor</x:v>
      </x:c>
      <x:c r="I768" s="48" t="n">
        <x:v>0.88</x:v>
      </x:c>
      <x:c r="J768" s="48" t="n">
        <x:v>0.92</x:v>
      </x:c>
      <x:c r="K768" s="48" t="str">
        <x:v>No</x:v>
      </x:c>
      <x:c r="L768" s="48" t="str">
        <x:v>PDF text</x:v>
      </x:c>
    </x:row>
    <x:row r="769">
      <x:c r="A769" s="48" t="str">
        <x:v>RED-0768</x:v>
      </x:c>
      <x:c r="B769" s="48" t="str">
        <x:v>RED</x:v>
      </x:c>
      <x:c r="C769" s="48" t="str">
        <x:v>English</x:v>
      </x:c>
      <x:c r="D769" s="48" t="n">
        <x:v>47</x:v>
      </x:c>
      <x:c r="E769" s="48" t="str"/>
      <x:c r="F769" s="48" t="str">
        <x:v>If the Contractor incurs Cost as a result of the Employer taking over and/or using a part of the Works, other than such use as is specified in the Contract or agreed by the Contractor, the Contractor shall (i) give notice to the Engineer and (ii) be entitled subject to Sub-Clause 20.1 [Contractor’s Claims] to payment of any such Cost plus profit, which shall be included in the Contract Price.</x:v>
      </x:c>
      <x:c r="G769" s="48" t="str">
        <x:v>Risk</x:v>
      </x:c>
      <x:c r="H769" s="48" t="str">
        <x:v>Contractor</x:v>
      </x:c>
      <x:c r="I769" s="48" t="n">
        <x:v>0.78</x:v>
      </x:c>
      <x:c r="J769" s="48" t="n">
        <x:v>0.92</x:v>
      </x:c>
      <x:c r="K769" s="48" t="str">
        <x:v>No</x:v>
      </x:c>
      <x:c r="L769" s="48" t="str">
        <x:v>PDF text</x:v>
      </x:c>
    </x:row>
    <x:row r="770">
      <x:c r="A770" s="48" t="str">
        <x:v>RED-0769</x:v>
      </x:c>
      <x:c r="B770" s="48" t="str">
        <x:v>RED</x:v>
      </x:c>
      <x:c r="C770" s="48" t="str">
        <x:v>English</x:v>
      </x:c>
      <x:c r="D770" s="48" t="n">
        <x:v>47</x:v>
      </x:c>
      <x:c r="E770" s="48" t="str"/>
      <x:c r="F770" s="48" t="str">
        <x:v>After receiving this notice, the Engineer shall proceed in accordance with Sub-Clause 3.5 [Determinations] to agree or determine this Cost and profit.</x:v>
      </x:c>
      <x:c r="G770" s="48" t="str">
        <x:v>Obligation</x:v>
      </x:c>
      <x:c r="H770" s="48" t="str">
        <x:v>Shared</x:v>
      </x:c>
      <x:c r="I770" s="48" t="n">
        <x:v>0.88</x:v>
      </x:c>
      <x:c r="J770" s="48" t="n">
        <x:v>0.4</x:v>
      </x:c>
      <x:c r="K770" s="48" t="str">
        <x:v>Yes</x:v>
      </x:c>
      <x:c r="L770" s="48" t="str">
        <x:v>PDF text</x:v>
      </x:c>
    </x:row>
    <x:row r="771">
      <x:c r="A771" s="48" t="str">
        <x:v>RED-0770</x:v>
      </x:c>
      <x:c r="B771" s="48" t="str">
        <x:v>RED</x:v>
      </x:c>
      <x:c r="C771" s="48" t="str">
        <x:v>English</x:v>
      </x:c>
      <x:c r="D771" s="48" t="n">
        <x:v>47</x:v>
      </x:c>
      <x:c r="E771" s="48" t="str"/>
      <x:c r="F771" s="48" t="str">
        <x:v>If a Taking-Over Certificate has been issued for a part of the Works (other than a Section), the delay damages thereafter for completion of the remainder of the Works shall be reduced.</x:v>
      </x:c>
      <x:c r="G771" s="48" t="str">
        <x:v>Risk</x:v>
      </x:c>
      <x:c r="H771" s="48" t="str">
        <x:v>Shared</x:v>
      </x:c>
      <x:c r="I771" s="48" t="n">
        <x:v>0.78</x:v>
      </x:c>
      <x:c r="J771" s="48" t="n">
        <x:v>0.4</x:v>
      </x:c>
      <x:c r="K771" s="48" t="str">
        <x:v>Yes</x:v>
      </x:c>
      <x:c r="L771" s="48" t="str">
        <x:v>PDF text</x:v>
      </x:c>
    </x:row>
    <x:row r="772">
      <x:c r="A772" s="48" t="str">
        <x:v>RED-0771</x:v>
      </x:c>
      <x:c r="B772" s="48" t="str">
        <x:v>RED</x:v>
      </x:c>
      <x:c r="C772" s="48" t="str">
        <x:v>English</x:v>
      </x:c>
      <x:c r="D772" s="48" t="n">
        <x:v>47</x:v>
      </x:c>
      <x:c r="E772" s="48" t="str"/>
      <x:c r="F772" s="48" t="str">
        <x:v>Similarly, the delay damages for the remainder of the Section (if any) in which this part is included shall also be reduced.</x:v>
      </x:c>
      <x:c r="G772" s="48" t="str">
        <x:v>Risk</x:v>
      </x:c>
      <x:c r="H772" s="48" t="str">
        <x:v>Shared</x:v>
      </x:c>
      <x:c r="I772" s="48" t="n">
        <x:v>0.78</x:v>
      </x:c>
      <x:c r="J772" s="48" t="n">
        <x:v>0.4</x:v>
      </x:c>
      <x:c r="K772" s="48" t="str">
        <x:v>Yes</x:v>
      </x:c>
      <x:c r="L772" s="48" t="str">
        <x:v>PDF text</x:v>
      </x:c>
    </x:row>
    <x:row r="773">
      <x:c r="A773" s="48" t="str">
        <x:v>RED-0772</x:v>
      </x:c>
      <x:c r="B773" s="48" t="str">
        <x:v>RED</x:v>
      </x:c>
      <x:c r="C773" s="48" t="str">
        <x:v>English</x:v>
      </x:c>
      <x:c r="D773" s="48" t="n">
        <x:v>47</x:v>
      </x:c>
      <x:c r="E773" s="48" t="str"/>
      <x:c r="F773" s="48" t="str">
        <x:v>For any period of delay after the date stated in this Taking-Over Certificate, the proportional reduction in these delay damages shall be calculated as the proportion which the value of the part so certified 10.2</x:v>
      </x:c>
      <x:c r="G773" s="48" t="str">
        <x:v>Obligation</x:v>
      </x:c>
      <x:c r="H773" s="48" t="str">
        <x:v>Shared</x:v>
      </x:c>
      <x:c r="I773" s="48" t="n">
        <x:v>0.88</x:v>
      </x:c>
      <x:c r="J773" s="48" t="n">
        <x:v>0.4</x:v>
      </x:c>
      <x:c r="K773" s="48" t="str">
        <x:v>Yes</x:v>
      </x:c>
      <x:c r="L773" s="48" t="str">
        <x:v>PDF text</x:v>
      </x:c>
    </x:row>
    <x:row r="774">
      <x:c r="A774" s="48" t="str">
        <x:v>RED-0773</x:v>
      </x:c>
      <x:c r="B774" s="48" t="str">
        <x:v>RED</x:v>
      </x:c>
      <x:c r="C774" s="48" t="str">
        <x:v>English</x:v>
      </x:c>
      <x:c r="D774" s="48" t="n">
        <x:v>47</x:v>
      </x:c>
      <x:c r="E774" s="48" t="str"/>
      <x:c r="F774" s="48" t="str">
        <x:v>Taking Over</x:v>
      </x:c>
      <x:c r="G774" s="48" t="str">
        <x:v>Obligation</x:v>
      </x:c>
      <x:c r="H774" s="48" t="str">
        <x:v>Shared</x:v>
      </x:c>
      <x:c r="I774" s="48" t="n">
        <x:v>0.45</x:v>
      </x:c>
      <x:c r="J774" s="48" t="n">
        <x:v>0.4</x:v>
      </x:c>
      <x:c r="K774" s="48" t="str">
        <x:v>Yes</x:v>
      </x:c>
      <x:c r="L774" s="48" t="str">
        <x:v>PDF text</x:v>
      </x:c>
    </x:row>
    <x:row r="775">
      <x:c r="A775" s="48" t="str">
        <x:v>RED-0774</x:v>
      </x:c>
      <x:c r="B775" s="48" t="str">
        <x:v>RED</x:v>
      </x:c>
      <x:c r="C775" s="48" t="str">
        <x:v>English</x:v>
      </x:c>
      <x:c r="D775" s="48" t="n">
        <x:v>47</x:v>
      </x:c>
      <x:c r="E775" s="48" t="str"/>
      <x:c r="F775" s="48" t="str">
        <x:v>of Parts of the Works</x:v>
      </x:c>
      <x:c r="G775" s="48" t="str">
        <x:v>Obligation</x:v>
      </x:c>
      <x:c r="H775" s="48" t="str">
        <x:v>Shared</x:v>
      </x:c>
      <x:c r="I775" s="48" t="n">
        <x:v>0.45</x:v>
      </x:c>
      <x:c r="J775" s="48" t="n">
        <x:v>0.4</x:v>
      </x:c>
      <x:c r="K775" s="48" t="str">
        <x:v>Yes</x:v>
      </x:c>
      <x:c r="L775" s="48" t="str">
        <x:v>PDF text</x:v>
      </x:c>
    </x:row>
    <x:row r="776">
      <x:c r="A776" s="48" t="str">
        <x:v>RED-0775</x:v>
      </x:c>
      <x:c r="B776" s="48" t="str">
        <x:v>RED</x:v>
      </x:c>
      <x:c r="C776" s="48" t="str">
        <x:v>English</x:v>
      </x:c>
      <x:c r="D776" s="48" t="n">
        <x:v>48</x:v>
      </x:c>
      <x:c r="E776" s="48" t="str"/>
      <x:c r="F776" s="48" t="str">
        <x:v>bears to the value of the Works or Section (as the case may be) as a whole.</x:v>
      </x:c>
      <x:c r="G776" s="48" t="str">
        <x:v>Right</x:v>
      </x:c>
      <x:c r="H776" s="48" t="str">
        <x:v>Shared</x:v>
      </x:c>
      <x:c r="I776" s="48" t="n">
        <x:v>0.78</x:v>
      </x:c>
      <x:c r="J776" s="48" t="n">
        <x:v>0.4</x:v>
      </x:c>
      <x:c r="K776" s="48" t="str">
        <x:v>Yes</x:v>
      </x:c>
      <x:c r="L776" s="48" t="str">
        <x:v>PDF text</x:v>
      </x:c>
    </x:row>
    <x:row r="777">
      <x:c r="A777" s="48" t="str">
        <x:v>RED-0776</x:v>
      </x:c>
      <x:c r="B777" s="48" t="str">
        <x:v>RED</x:v>
      </x:c>
      <x:c r="C777" s="48" t="str">
        <x:v>English</x:v>
      </x:c>
      <x:c r="D777" s="48" t="n">
        <x:v>48</x:v>
      </x:c>
      <x:c r="E777" s="48" t="str"/>
      <x:c r="F777" s="48" t="str">
        <x:v>The Engineer shall proceed in accordance with Sub-Clause 3.5 [Determinations] to agree or determine these proportions.</x:v>
      </x:c>
      <x:c r="G777" s="48" t="str">
        <x:v>Obligation</x:v>
      </x:c>
      <x:c r="H777" s="48" t="str">
        <x:v>Shared</x:v>
      </x:c>
      <x:c r="I777" s="48" t="n">
        <x:v>0.88</x:v>
      </x:c>
      <x:c r="J777" s="48" t="n">
        <x:v>0.4</x:v>
      </x:c>
      <x:c r="K777" s="48" t="str">
        <x:v>Yes</x:v>
      </x:c>
      <x:c r="L777" s="48" t="str">
        <x:v>PDF text</x:v>
      </x:c>
    </x:row>
    <x:row r="778">
      <x:c r="A778" s="48" t="str">
        <x:v>RED-0777</x:v>
      </x:c>
      <x:c r="B778" s="48" t="str">
        <x:v>RED</x:v>
      </x:c>
      <x:c r="C778" s="48" t="str">
        <x:v>English</x:v>
      </x:c>
      <x:c r="D778" s="48" t="n">
        <x:v>48</x:v>
      </x:c>
      <x:c r="E778" s="48" t="str"/>
      <x:c r="F778" s="48" t="str">
        <x:v>The provisions of this paragraph shall only apply to the daily rate of delay damages under Sub-Clause 8.7 [Delay Damages], and shall not affect the maximum amount of these damages.</x:v>
      </x:c>
      <x:c r="G778" s="48" t="str">
        <x:v>Obligation</x:v>
      </x:c>
      <x:c r="H778" s="48" t="str">
        <x:v>Shared</x:v>
      </x:c>
      <x:c r="I778" s="48" t="n">
        <x:v>0.88</x:v>
      </x:c>
      <x:c r="J778" s="48" t="n">
        <x:v>0.4</x:v>
      </x:c>
      <x:c r="K778" s="48" t="str">
        <x:v>Yes</x:v>
      </x:c>
      <x:c r="L778" s="48" t="str">
        <x:v>PDF text</x:v>
      </x:c>
    </x:row>
    <x:row r="779">
      <x:c r="A779" s="48" t="str">
        <x:v>RED-0778</x:v>
      </x:c>
      <x:c r="B779" s="48" t="str">
        <x:v>RED</x:v>
      </x:c>
      <x:c r="C779" s="48" t="str">
        <x:v>English</x:v>
      </x:c>
      <x:c r="D779" s="48" t="n">
        <x:v>48</x:v>
      </x:c>
      <x:c r="E779" s="48" t="str"/>
      <x:c r="F779" s="48" t="str">
        <x:v>If the Contractor is prevented, for more than 14 days, from carrying out the Tests on Completion by a cause for which the Employer is responsible, the Employer shall be deemed to have taken over the Works or Section (as the case may be) on the date when the Tests on Completion would otherwise have been completed.</x:v>
      </x:c>
      <x:c r="G779" s="48" t="str">
        <x:v>Obligation</x:v>
      </x:c>
      <x:c r="H779" s="48" t="str">
        <x:v>Employer</x:v>
      </x:c>
      <x:c r="I779" s="48" t="n">
        <x:v>0.88</x:v>
      </x:c>
      <x:c r="J779" s="48" t="n">
        <x:v>0.92</x:v>
      </x:c>
      <x:c r="K779" s="48" t="str">
        <x:v>No</x:v>
      </x:c>
      <x:c r="L779" s="48" t="str">
        <x:v>PDF text</x:v>
      </x:c>
    </x:row>
    <x:row r="780">
      <x:c r="A780" s="48" t="str">
        <x:v>RED-0779</x:v>
      </x:c>
      <x:c r="B780" s="48" t="str">
        <x:v>RED</x:v>
      </x:c>
      <x:c r="C780" s="48" t="str">
        <x:v>English</x:v>
      </x:c>
      <x:c r="D780" s="48" t="n">
        <x:v>48</x:v>
      </x:c>
      <x:c r="E780" s="48" t="str"/>
      <x:c r="F780" s="48" t="str">
        <x:v>The Engineer shall then issue a Taking-Over Certificate accordingly, and the</x:v>
      </x:c>
      <x:c r="G780" s="48" t="str">
        <x:v>Obligation</x:v>
      </x:c>
      <x:c r="H780" s="48" t="str">
        <x:v>Shared</x:v>
      </x:c>
      <x:c r="I780" s="48" t="n">
        <x:v>0.88</x:v>
      </x:c>
      <x:c r="J780" s="48" t="n">
        <x:v>0.4</x:v>
      </x:c>
      <x:c r="K780" s="48" t="str">
        <x:v>Yes</x:v>
      </x:c>
      <x:c r="L780" s="48" t="str">
        <x:v>PDF text</x:v>
      </x:c>
    </x:row>
    <x:row r="781">
      <x:c r="A781" s="48" t="str">
        <x:v>RED-0780</x:v>
      </x:c>
      <x:c r="B781" s="48" t="str">
        <x:v>RED</x:v>
      </x:c>
      <x:c r="C781" s="48" t="str">
        <x:v>English</x:v>
      </x:c>
      <x:c r="D781" s="48" t="n">
        <x:v>48</x:v>
      </x:c>
      <x:c r="E781" s="48" t="str"/>
      <x:c r="F781" s="48" t="str">
        <x:v>Contractor shall carry out the Tests on Completion as soon as practicable, before the expiry date of the Defects Notification Period.</x:v>
      </x:c>
      <x:c r="G781" s="48" t="str">
        <x:v>Obligation</x:v>
      </x:c>
      <x:c r="H781" s="48" t="str">
        <x:v>Contractor</x:v>
      </x:c>
      <x:c r="I781" s="48" t="n">
        <x:v>0.88</x:v>
      </x:c>
      <x:c r="J781" s="48" t="n">
        <x:v>0.68</x:v>
      </x:c>
      <x:c r="K781" s="48" t="str">
        <x:v>Yes</x:v>
      </x:c>
      <x:c r="L781" s="48" t="str">
        <x:v>PDF text</x:v>
      </x:c>
    </x:row>
    <x:row r="782">
      <x:c r="A782" s="48" t="str">
        <x:v>RED-0781</x:v>
      </x:c>
      <x:c r="B782" s="48" t="str">
        <x:v>RED</x:v>
      </x:c>
      <x:c r="C782" s="48" t="str">
        <x:v>English</x:v>
      </x:c>
      <x:c r="D782" s="48" t="n">
        <x:v>48</x:v>
      </x:c>
      <x:c r="E782" s="48" t="str"/>
      <x:c r="F782" s="48" t="str">
        <x:v>The Engineer shall require the Tests on Completion to be carried out by giving 14 days’ notice and in accordance with the relevant provisions of the Contract.</x:v>
      </x:c>
      <x:c r="G782" s="48" t="str">
        <x:v>Obligation</x:v>
      </x:c>
      <x:c r="H782" s="48" t="str">
        <x:v>Shared</x:v>
      </x:c>
      <x:c r="I782" s="48" t="n">
        <x:v>0.88</x:v>
      </x:c>
      <x:c r="J782" s="48" t="n">
        <x:v>0.4</x:v>
      </x:c>
      <x:c r="K782" s="48" t="str">
        <x:v>Yes</x:v>
      </x:c>
      <x:c r="L782" s="48" t="str">
        <x:v>PDF text</x:v>
      </x:c>
    </x:row>
    <x:row r="783">
      <x:c r="A783" s="48" t="str">
        <x:v>RED-0782</x:v>
      </x:c>
      <x:c r="B783" s="48" t="str">
        <x:v>RED</x:v>
      </x:c>
      <x:c r="C783" s="48" t="str">
        <x:v>English</x:v>
      </x:c>
      <x:c r="D783" s="48" t="n">
        <x:v>48</x:v>
      </x:c>
      <x:c r="E783" s="48" t="str"/>
      <x:c r="F783" s="48" t="str">
        <x:v>If the Contractor suffers delay and/or incurs Cost as a result of this delay in carrying out the Tests on Completion, the Contractor shall give notice to the Engineer and shall be entitled subject to Sub-Clause 20.1 [Contractor’s Claims] to: (a) an extension of time for any such delay, if completion is or will be delayed, under Sub-Clause 8.4 [Extension of Time for Completion], and (b) payment of any such Cost plus profit, which shall be included in the Contract Price.</x:v>
      </x:c>
      <x:c r="G783" s="48" t="str">
        <x:v>Risk</x:v>
      </x:c>
      <x:c r="H783" s="48" t="str">
        <x:v>Contractor</x:v>
      </x:c>
      <x:c r="I783" s="48" t="n">
        <x:v>0.78</x:v>
      </x:c>
      <x:c r="J783" s="48" t="n">
        <x:v>0.92</x:v>
      </x:c>
      <x:c r="K783" s="48" t="str">
        <x:v>No</x:v>
      </x:c>
      <x:c r="L783" s="48" t="str">
        <x:v>PDF text</x:v>
      </x:c>
    </x:row>
    <x:row r="784">
      <x:c r="A784" s="48" t="str">
        <x:v>RED-0783</x:v>
      </x:c>
      <x:c r="B784" s="48" t="str">
        <x:v>RED</x:v>
      </x:c>
      <x:c r="C784" s="48" t="str">
        <x:v>English</x:v>
      </x:c>
      <x:c r="D784" s="48" t="n">
        <x:v>48</x:v>
      </x:c>
      <x:c r="E784" s="48" t="str"/>
      <x:c r="F784" s="48" t="str">
        <x:v>Except as otherwise stated in a Taking-Over Certificate, a certificate for a Section or part of the Works shall not be deemed to certify completion of any ground or other surfaces requiring reinstatement.</x:v>
      </x:c>
      <x:c r="G784" s="48" t="str">
        <x:v>Obligation</x:v>
      </x:c>
      <x:c r="H784" s="48" t="str">
        <x:v>Shared</x:v>
      </x:c>
      <x:c r="I784" s="48" t="n">
        <x:v>0.88</x:v>
      </x:c>
      <x:c r="J784" s="48" t="n">
        <x:v>0.4</x:v>
      </x:c>
      <x:c r="K784" s="48" t="str">
        <x:v>Yes</x:v>
      </x:c>
      <x:c r="L784" s="48" t="str">
        <x:v>PDF text</x:v>
      </x:c>
    </x:row>
    <x:row r="785">
      <x:c r="A785" s="48" t="str">
        <x:v>RED-0784</x:v>
      </x:c>
      <x:c r="B785" s="48" t="str">
        <x:v>RED</x:v>
      </x:c>
      <x:c r="C785" s="48" t="str">
        <x:v>English</x:v>
      </x:c>
      <x:c r="D785" s="48" t="n">
        <x:v>48</x:v>
      </x:c>
      <x:c r="E785" s="48" t="str"/>
      <x:c r="F785" s="48" t="str">
        <x:v>In order that the Works and Contractor’s Documents, and each Section, shall be in</x:v>
      </x:c>
      <x:c r="G785" s="48" t="str">
        <x:v>Obligation</x:v>
      </x:c>
      <x:c r="H785" s="48" t="str">
        <x:v>Contractor</x:v>
      </x:c>
      <x:c r="I785" s="48" t="n">
        <x:v>0.88</x:v>
      </x:c>
      <x:c r="J785" s="48" t="n">
        <x:v>0.68</x:v>
      </x:c>
      <x:c r="K785" s="48" t="str">
        <x:v>Yes</x:v>
      </x:c>
      <x:c r="L785" s="48" t="str">
        <x:v>PDF text</x:v>
      </x:c>
    </x:row>
    <x:row r="786">
      <x:c r="A786" s="48" t="str">
        <x:v>RED-0785</x:v>
      </x:c>
      <x:c r="B786" s="48" t="str">
        <x:v>RED</x:v>
      </x:c>
      <x:c r="C786" s="48" t="str">
        <x:v>English</x:v>
      </x:c>
      <x:c r="D786" s="48" t="n">
        <x:v>48</x:v>
      </x:c>
      <x:c r="E786" s="48" t="str"/>
      <x:c r="F786" s="48" t="str">
        <x:v>the condition required by the Contract (fair wear and tear excepted) by the expiry date of the relevant Defects Notification Period or as soon as practicable thereafter, the Contractor shall: (a) complete any work which is outstanding on the date stated in a Taking-Over</x:v>
      </x:c>
      <x:c r="G786" s="48" t="str">
        <x:v>Obligation</x:v>
      </x:c>
      <x:c r="H786" s="48" t="str">
        <x:v>Contractor</x:v>
      </x:c>
      <x:c r="I786" s="48" t="n">
        <x:v>0.88</x:v>
      </x:c>
      <x:c r="J786" s="48" t="n">
        <x:v>0.92</x:v>
      </x:c>
      <x:c r="K786" s="48" t="str">
        <x:v>No</x:v>
      </x:c>
      <x:c r="L786" s="48" t="str">
        <x:v>PDF text</x:v>
      </x:c>
    </x:row>
    <x:row r="787">
      <x:c r="A787" s="48" t="str">
        <x:v>RED-0786</x:v>
      </x:c>
      <x:c r="B787" s="48" t="str">
        <x:v>RED</x:v>
      </x:c>
      <x:c r="C787" s="48" t="str">
        <x:v>English</x:v>
      </x:c>
      <x:c r="D787" s="48" t="n">
        <x:v>48</x:v>
      </x:c>
      <x:c r="E787" s="48" t="str"/>
      <x:c r="F787" s="48" t="str">
        <x:v>Certificate, within such reasonable time as is instructed by the Engineer, and</x:v>
      </x:c>
      <x:c r="G787" s="48" t="str">
        <x:v>Obligation</x:v>
      </x:c>
      <x:c r="H787" s="48" t="str">
        <x:v>Shared</x:v>
      </x:c>
      <x:c r="I787" s="48" t="n">
        <x:v>0.55</x:v>
      </x:c>
      <x:c r="J787" s="48" t="n">
        <x:v>0.4</x:v>
      </x:c>
      <x:c r="K787" s="48" t="str">
        <x:v>Yes</x:v>
      </x:c>
      <x:c r="L787" s="48" t="str">
        <x:v>PDF text</x:v>
      </x:c>
    </x:row>
    <x:row r="788">
      <x:c r="A788" s="48" t="str">
        <x:v>RED-0787</x:v>
      </x:c>
      <x:c r="B788" s="48" t="str">
        <x:v>RED</x:v>
      </x:c>
      <x:c r="C788" s="48" t="str">
        <x:v>English</x:v>
      </x:c>
      <x:c r="D788" s="48" t="n">
        <x:v>48</x:v>
      </x:c>
      <x:c r="E788" s="48" t="str"/>
      <x:c r="F788" s="48" t="str">
        <x:v>(b) execute all work required to remedy defects or damage, as may be notified by (or on behalf of) the Employer on or before the expiry date of the Defects Notification Period for the Works or Section (as the case may be).</x:v>
      </x:c>
      <x:c r="G788" s="48" t="str">
        <x:v>Right</x:v>
      </x:c>
      <x:c r="H788" s="48" t="str">
        <x:v>Employer</x:v>
      </x:c>
      <x:c r="I788" s="48" t="n">
        <x:v>0.78</x:v>
      </x:c>
      <x:c r="J788" s="48" t="n">
        <x:v>0.68</x:v>
      </x:c>
      <x:c r="K788" s="48" t="str">
        <x:v>Yes</x:v>
      </x:c>
      <x:c r="L788" s="48" t="str">
        <x:v>PDF text</x:v>
      </x:c>
    </x:row>
    <x:row r="789">
      <x:c r="A789" s="48" t="str">
        <x:v>RED-0788</x:v>
      </x:c>
      <x:c r="B789" s="48" t="str">
        <x:v>RED</x:v>
      </x:c>
      <x:c r="C789" s="48" t="str">
        <x:v>English</x:v>
      </x:c>
      <x:c r="D789" s="48" t="n">
        <x:v>48</x:v>
      </x:c>
      <x:c r="E789" s="48" t="str"/>
      <x:c r="F789" s="48" t="str">
        <x:v>If a defect appears or damage occurs, the Contractor shall be notified accordingly, by (or on behalf of) the Employer.</x:v>
      </x:c>
      <x:c r="G789" s="48" t="str">
        <x:v>Risk</x:v>
      </x:c>
      <x:c r="H789" s="48" t="str">
        <x:v>Contractor</x:v>
      </x:c>
      <x:c r="I789" s="48" t="n">
        <x:v>0.78</x:v>
      </x:c>
      <x:c r="J789" s="48" t="n">
        <x:v>0.92</x:v>
      </x:c>
      <x:c r="K789" s="48" t="str">
        <x:v>No</x:v>
      </x:c>
      <x:c r="L789" s="48" t="str">
        <x:v>PDF text</x:v>
      </x:c>
    </x:row>
    <x:row r="790">
      <x:c r="A790" s="48" t="str">
        <x:v>RED-0789</x:v>
      </x:c>
      <x:c r="B790" s="48" t="str">
        <x:v>RED</x:v>
      </x:c>
      <x:c r="C790" s="48" t="str">
        <x:v>English</x:v>
      </x:c>
      <x:c r="D790" s="48" t="n">
        <x:v>48</x:v>
      </x:c>
      <x:c r="E790" s="48" t="str"/>
      <x:c r="F790" s="48" t="str">
        <x:v>All work referred to in sub-paragraph (b) of Sub-Clause 11.1 [Completion of Outstanding Work and Remedying Defects] shall be executed at the risk and cost of 10.3</x:v>
      </x:c>
      <x:c r="G790" s="48" t="str">
        <x:v>Risk</x:v>
      </x:c>
      <x:c r="H790" s="48" t="str">
        <x:v>Shared</x:v>
      </x:c>
      <x:c r="I790" s="48" t="n">
        <x:v>0.78</x:v>
      </x:c>
      <x:c r="J790" s="48" t="n">
        <x:v>0.4</x:v>
      </x:c>
      <x:c r="K790" s="48" t="str">
        <x:v>Yes</x:v>
      </x:c>
      <x:c r="L790" s="48" t="str">
        <x:v>PDF text</x:v>
      </x:c>
    </x:row>
    <x:row r="791">
      <x:c r="A791" s="48" t="str">
        <x:v>RED-0790</x:v>
      </x:c>
      <x:c r="B791" s="48" t="str">
        <x:v>RED</x:v>
      </x:c>
      <x:c r="C791" s="48" t="str">
        <x:v>English</x:v>
      </x:c>
      <x:c r="D791" s="48" t="n">
        <x:v>48</x:v>
      </x:c>
      <x:c r="E791" s="48" t="str"/>
      <x:c r="F791" s="48" t="str">
        <x:v>Interference with Tests on</x:v>
      </x:c>
      <x:c r="G791" s="48" t="str">
        <x:v>Obligation</x:v>
      </x:c>
      <x:c r="H791" s="48" t="str">
        <x:v>Shared</x:v>
      </x:c>
      <x:c r="I791" s="48" t="n">
        <x:v>0.45</x:v>
      </x:c>
      <x:c r="J791" s="48" t="n">
        <x:v>0.4</x:v>
      </x:c>
      <x:c r="K791" s="48" t="str">
        <x:v>Yes</x:v>
      </x:c>
      <x:c r="L791" s="48" t="str">
        <x:v>PDF text</x:v>
      </x:c>
    </x:row>
    <x:row r="792">
      <x:c r="A792" s="48" t="str">
        <x:v>RED-0791</x:v>
      </x:c>
      <x:c r="B792" s="48" t="str">
        <x:v>RED</x:v>
      </x:c>
      <x:c r="C792" s="48" t="str">
        <x:v>English</x:v>
      </x:c>
      <x:c r="D792" s="48" t="n">
        <x:v>48</x:v>
      </x:c>
      <x:c r="E792" s="48" t="str"/>
      <x:c r="F792" s="48" t="str">
        <x:v>Surfaces Requiring</x:v>
      </x:c>
      <x:c r="G792" s="48" t="str">
        <x:v>Obligation</x:v>
      </x:c>
      <x:c r="H792" s="48" t="str">
        <x:v>Shared</x:v>
      </x:c>
      <x:c r="I792" s="48" t="n">
        <x:v>0.45</x:v>
      </x:c>
      <x:c r="J792" s="48" t="n">
        <x:v>0.4</x:v>
      </x:c>
      <x:c r="K792" s="48" t="str">
        <x:v>Yes</x:v>
      </x:c>
      <x:c r="L792" s="48" t="str">
        <x:v>PDF text</x:v>
      </x:c>
    </x:row>
    <x:row r="793">
      <x:c r="A793" s="48" t="str">
        <x:v>RED-0792</x:v>
      </x:c>
      <x:c r="B793" s="48" t="str">
        <x:v>RED</x:v>
      </x:c>
      <x:c r="C793" s="48" t="str">
        <x:v>English</x:v>
      </x:c>
      <x:c r="D793" s="48" t="n">
        <x:v>48</x:v>
      </x:c>
      <x:c r="E793" s="48" t="str"/>
      <x:c r="F793" s="48" t="str">
        <x:v>Reinstatement</x:v>
      </x:c>
      <x:c r="G793" s="48" t="str">
        <x:v>Obligation</x:v>
      </x:c>
      <x:c r="H793" s="48" t="str">
        <x:v>Shared</x:v>
      </x:c>
      <x:c r="I793" s="48" t="n">
        <x:v>0.45</x:v>
      </x:c>
      <x:c r="J793" s="48" t="n">
        <x:v>0.4</x:v>
      </x:c>
      <x:c r="K793" s="48" t="str">
        <x:v>Yes</x:v>
      </x:c>
      <x:c r="L793" s="48" t="str">
        <x:v>PDF text</x:v>
      </x:c>
    </x:row>
    <x:row r="794">
      <x:c r="A794" s="48" t="str">
        <x:v>RED-0793</x:v>
      </x:c>
      <x:c r="B794" s="48" t="str">
        <x:v>RED</x:v>
      </x:c>
      <x:c r="C794" s="48" t="str">
        <x:v>English</x:v>
      </x:c>
      <x:c r="D794" s="48" t="n">
        <x:v>48</x:v>
      </x:c>
      <x:c r="E794" s="48" t="str"/>
      <x:c r="F794" s="48" t="str">
        <x:v>Completion of</x:v>
      </x:c>
      <x:c r="G794" s="48" t="str">
        <x:v>Obligation</x:v>
      </x:c>
      <x:c r="H794" s="48" t="str">
        <x:v>Shared</x:v>
      </x:c>
      <x:c r="I794" s="48" t="n">
        <x:v>0.45</x:v>
      </x:c>
      <x:c r="J794" s="48" t="n">
        <x:v>0.4</x:v>
      </x:c>
      <x:c r="K794" s="48" t="str">
        <x:v>Yes</x:v>
      </x:c>
      <x:c r="L794" s="48" t="str">
        <x:v>PDF text</x:v>
      </x:c>
    </x:row>
    <x:row r="795">
      <x:c r="A795" s="48" t="str">
        <x:v>RED-0794</x:v>
      </x:c>
      <x:c r="B795" s="48" t="str">
        <x:v>RED</x:v>
      </x:c>
      <x:c r="C795" s="48" t="str">
        <x:v>English</x:v>
      </x:c>
      <x:c r="D795" s="48" t="n">
        <x:v>48</x:v>
      </x:c>
      <x:c r="E795" s="48" t="str"/>
      <x:c r="F795" s="48" t="str">
        <x:v>Outstanding Work and</x:v>
      </x:c>
      <x:c r="G795" s="48" t="str">
        <x:v>Obligation</x:v>
      </x:c>
      <x:c r="H795" s="48" t="str">
        <x:v>Shared</x:v>
      </x:c>
      <x:c r="I795" s="48" t="n">
        <x:v>0.45</x:v>
      </x:c>
      <x:c r="J795" s="48" t="n">
        <x:v>0.4</x:v>
      </x:c>
      <x:c r="K795" s="48" t="str">
        <x:v>Yes</x:v>
      </x:c>
      <x:c r="L795" s="48" t="str">
        <x:v>PDF text</x:v>
      </x:c>
    </x:row>
    <x:row r="796">
      <x:c r="A796" s="48" t="str">
        <x:v>RED-0795</x:v>
      </x:c>
      <x:c r="B796" s="48" t="str">
        <x:v>RED</x:v>
      </x:c>
      <x:c r="C796" s="48" t="str">
        <x:v>English</x:v>
      </x:c>
      <x:c r="D796" s="48" t="n">
        <x:v>48</x:v>
      </x:c>
      <x:c r="E796" s="48" t="str"/>
      <x:c r="F796" s="48" t="str">
        <x:v>Remedying Defects</x:v>
      </x:c>
      <x:c r="G796" s="48" t="str">
        <x:v>Obligation</x:v>
      </x:c>
      <x:c r="H796" s="48" t="str">
        <x:v>Shared</x:v>
      </x:c>
      <x:c r="I796" s="48" t="n">
        <x:v>0.45</x:v>
      </x:c>
      <x:c r="J796" s="48" t="n">
        <x:v>0.4</x:v>
      </x:c>
      <x:c r="K796" s="48" t="str">
        <x:v>Yes</x:v>
      </x:c>
      <x:c r="L796" s="48" t="str">
        <x:v>PDF text</x:v>
      </x:c>
    </x:row>
    <x:row r="797">
      <x:c r="A797" s="48" t="str">
        <x:v>RED-0796</x:v>
      </x:c>
      <x:c r="B797" s="48" t="str">
        <x:v>RED</x:v>
      </x:c>
      <x:c r="C797" s="48" t="str">
        <x:v>English</x:v>
      </x:c>
      <x:c r="D797" s="48" t="n">
        <x:v>48</x:v>
      </x:c>
      <x:c r="E797" s="48" t="str"/>
      <x:c r="F797" s="48" t="str">
        <x:v>Cost of Remedying</x:v>
      </x:c>
      <x:c r="G797" s="48" t="str">
        <x:v>Obligation</x:v>
      </x:c>
      <x:c r="H797" s="48" t="str">
        <x:v>Shared</x:v>
      </x:c>
      <x:c r="I797" s="48" t="n">
        <x:v>0.45</x:v>
      </x:c>
      <x:c r="J797" s="48" t="n">
        <x:v>0.4</x:v>
      </x:c>
      <x:c r="K797" s="48" t="str">
        <x:v>Yes</x:v>
      </x:c>
      <x:c r="L797" s="48" t="str">
        <x:v>PDF text</x:v>
      </x:c>
    </x:row>
    <x:row r="798">
      <x:c r="A798" s="48" t="str">
        <x:v>RED-0797</x:v>
      </x:c>
      <x:c r="B798" s="48" t="str">
        <x:v>RED</x:v>
      </x:c>
      <x:c r="C798" s="48" t="str">
        <x:v>English</x:v>
      </x:c>
      <x:c r="D798" s="48" t="n">
        <x:v>48</x:v>
      </x:c>
      <x:c r="E798" s="48" t="str"/>
      <x:c r="F798" s="48" t="str">
        <x:v>Defects Liability</x:v>
      </x:c>
      <x:c r="G798" s="48" t="str">
        <x:v>Risk</x:v>
      </x:c>
      <x:c r="H798" s="48" t="str">
        <x:v>Shared</x:v>
      </x:c>
      <x:c r="I798" s="48" t="n">
        <x:v>0.78</x:v>
      </x:c>
      <x:c r="J798" s="48" t="n">
        <x:v>0.4</x:v>
      </x:c>
      <x:c r="K798" s="48" t="str">
        <x:v>Yes</x:v>
      </x:c>
      <x:c r="L798" s="48" t="str">
        <x:v>PDF text</x:v>
      </x:c>
    </x:row>
    <x:row r="799">
      <x:c r="A799" s="48" t="str">
        <x:v>RED-0798</x:v>
      </x:c>
      <x:c r="B799" s="48" t="str">
        <x:v>RED</x:v>
      </x:c>
      <x:c r="C799" s="48" t="str">
        <x:v>English</x:v>
      </x:c>
      <x:c r="D799" s="48" t="n">
        <x:v>49</x:v>
      </x:c>
      <x:c r="E799" s="48" t="str"/>
      <x:c r="F799" s="48" t="str">
        <x:v>the Contractor, if and to the extent that the work is attributable to: (a) any design for which the Contractor is responsible, (b)</x:v>
      </x:c>
      <x:c r="G799" s="48" t="str">
        <x:v>Obligation</x:v>
      </x:c>
      <x:c r="H799" s="48" t="str">
        <x:v>Contractor</x:v>
      </x:c>
      <x:c r="I799" s="48" t="n">
        <x:v>0.45</x:v>
      </x:c>
      <x:c r="J799" s="48" t="n">
        <x:v>0.68</x:v>
      </x:c>
      <x:c r="K799" s="48" t="str">
        <x:v>Yes</x:v>
      </x:c>
      <x:c r="L799" s="48" t="str">
        <x:v>PDF text</x:v>
      </x:c>
    </x:row>
    <x:row r="800">
      <x:c r="A800" s="48" t="str">
        <x:v>RED-0799</x:v>
      </x:c>
      <x:c r="B800" s="48" t="str">
        <x:v>RED</x:v>
      </x:c>
      <x:c r="C800" s="48" t="str">
        <x:v>English</x:v>
      </x:c>
      <x:c r="D800" s="48" t="n">
        <x:v>49</x:v>
      </x:c>
      <x:c r="E800" s="48" t="str"/>
      <x:c r="F800" s="48" t="str">
        <x:v>Plant, Materials or workmanship not being in accordance with the Contract, or</x:v>
      </x:c>
      <x:c r="G800" s="48" t="str">
        <x:v>Obligation</x:v>
      </x:c>
      <x:c r="H800" s="48" t="str">
        <x:v>Shared</x:v>
      </x:c>
      <x:c r="I800" s="48" t="n">
        <x:v>0.45</x:v>
      </x:c>
      <x:c r="J800" s="48" t="n">
        <x:v>0.4</x:v>
      </x:c>
      <x:c r="K800" s="48" t="str">
        <x:v>Yes</x:v>
      </x:c>
      <x:c r="L800" s="48" t="str">
        <x:v>PDF text</x:v>
      </x:c>
    </x:row>
    <x:row r="801">
      <x:c r="A801" s="48" t="str">
        <x:v>RED-0800</x:v>
      </x:c>
      <x:c r="B801" s="48" t="str">
        <x:v>RED</x:v>
      </x:c>
      <x:c r="C801" s="48" t="str">
        <x:v>English</x:v>
      </x:c>
      <x:c r="D801" s="48" t="n">
        <x:v>49</x:v>
      </x:c>
      <x:c r="E801" s="48" t="str"/>
      <x:c r="F801" s="48" t="str">
        <x:v>(c) failure by the Contractor to comply with any other obligation.</x:v>
      </x:c>
      <x:c r="G801" s="48" t="str">
        <x:v>Obligation</x:v>
      </x:c>
      <x:c r="H801" s="48" t="str">
        <x:v>Contractor</x:v>
      </x:c>
      <x:c r="I801" s="48" t="n">
        <x:v>0.45</x:v>
      </x:c>
      <x:c r="J801" s="48" t="n">
        <x:v>0.68</x:v>
      </x:c>
      <x:c r="K801" s="48" t="str">
        <x:v>Yes</x:v>
      </x:c>
      <x:c r="L801" s="48" t="str">
        <x:v>PDF text</x:v>
      </x:c>
    </x:row>
    <x:row r="802">
      <x:c r="A802" s="48" t="str">
        <x:v>RED-0801</x:v>
      </x:c>
      <x:c r="B802" s="48" t="str">
        <x:v>RED</x:v>
      </x:c>
      <x:c r="C802" s="48" t="str">
        <x:v>English</x:v>
      </x:c>
      <x:c r="D802" s="48" t="n">
        <x:v>49</x:v>
      </x:c>
      <x:c r="E802" s="48" t="str"/>
      <x:c r="F802" s="48" t="str">
        <x:v>If and to the extent that such work is attributable to any other cause, the Contractor shall be notified promptly by (or on behalf of) the Employer, and Sub-Clause 13.3 [Variation Procedure] shall apply.</x:v>
      </x:c>
      <x:c r="G802" s="48" t="str">
        <x:v>Obligation</x:v>
      </x:c>
      <x:c r="H802" s="48" t="str">
        <x:v>Contractor</x:v>
      </x:c>
      <x:c r="I802" s="48" t="n">
        <x:v>0.88</x:v>
      </x:c>
      <x:c r="J802" s="48" t="n">
        <x:v>0.92</x:v>
      </x:c>
      <x:c r="K802" s="48" t="str">
        <x:v>No</x:v>
      </x:c>
      <x:c r="L802" s="48" t="str">
        <x:v>PDF text</x:v>
      </x:c>
    </x:row>
    <x:row r="803">
      <x:c r="A803" s="48" t="str">
        <x:v>RED-0802</x:v>
      </x:c>
      <x:c r="B803" s="48" t="str">
        <x:v>RED</x:v>
      </x:c>
      <x:c r="C803" s="48" t="str">
        <x:v>English</x:v>
      </x:c>
      <x:c r="D803" s="48" t="n">
        <x:v>49</x:v>
      </x:c>
      <x:c r="E803" s="48" t="str"/>
      <x:c r="F803" s="48" t="str">
        <x:v>The Employer shall be entitled subject to Sub-Clause 2.5 [Employer’s Claims] to an extension of the Defects Notification Period for the Works or a Section if and to the extent that the Works, Section or a major item of Plant (as the case may be, and after taking over) cannot be used for the purposes for which they are intended by reason of a defect or damage.</x:v>
      </x:c>
      <x:c r="G803" s="48" t="str">
        <x:v>Risk</x:v>
      </x:c>
      <x:c r="H803" s="48" t="str">
        <x:v>Employer</x:v>
      </x:c>
      <x:c r="I803" s="48" t="n">
        <x:v>0.78</x:v>
      </x:c>
      <x:c r="J803" s="48" t="n">
        <x:v>0.92</x:v>
      </x:c>
      <x:c r="K803" s="48" t="str">
        <x:v>No</x:v>
      </x:c>
      <x:c r="L803" s="48" t="str">
        <x:v>PDF text</x:v>
      </x:c>
    </x:row>
    <x:row r="804">
      <x:c r="A804" s="48" t="str">
        <x:v>RED-0803</x:v>
      </x:c>
      <x:c r="B804" s="48" t="str">
        <x:v>RED</x:v>
      </x:c>
      <x:c r="C804" s="48" t="str">
        <x:v>English</x:v>
      </x:c>
      <x:c r="D804" s="48" t="n">
        <x:v>49</x:v>
      </x:c>
      <x:c r="E804" s="48" t="str"/>
      <x:c r="F804" s="48" t="str">
        <x:v>However, a Defects Notification Period shall not be extended by more than two years.</x:v>
      </x:c>
      <x:c r="G804" s="48" t="str">
        <x:v>Obligation</x:v>
      </x:c>
      <x:c r="H804" s="48" t="str">
        <x:v>Shared</x:v>
      </x:c>
      <x:c r="I804" s="48" t="n">
        <x:v>0.88</x:v>
      </x:c>
      <x:c r="J804" s="48" t="n">
        <x:v>0.4</x:v>
      </x:c>
      <x:c r="K804" s="48" t="str">
        <x:v>Yes</x:v>
      </x:c>
      <x:c r="L804" s="48" t="str">
        <x:v>PDF text</x:v>
      </x:c>
    </x:row>
    <x:row r="805">
      <x:c r="A805" s="48" t="str">
        <x:v>RED-0804</x:v>
      </x:c>
      <x:c r="B805" s="48" t="str">
        <x:v>RED</x:v>
      </x:c>
      <x:c r="C805" s="48" t="str">
        <x:v>English</x:v>
      </x:c>
      <x:c r="D805" s="48" t="n">
        <x:v>49</x:v>
      </x:c>
      <x:c r="E805" s="48" t="str"/>
      <x:c r="F805" s="48" t="str">
        <x:v>If delivery and/or erection of Plant and/or Materials was suspended under Sub-Clause</x:v>
      </x:c>
      <x:c r="G805" s="48" t="str">
        <x:v>Obligation</x:v>
      </x:c>
      <x:c r="H805" s="48" t="str">
        <x:v>Shared</x:v>
      </x:c>
      <x:c r="I805" s="48" t="n">
        <x:v>0.45</x:v>
      </x:c>
      <x:c r="J805" s="48" t="n">
        <x:v>0.4</x:v>
      </x:c>
      <x:c r="K805" s="48" t="str">
        <x:v>Yes</x:v>
      </x:c>
      <x:c r="L805" s="48" t="str">
        <x:v>PDF text</x:v>
      </x:c>
    </x:row>
    <x:row r="806">
      <x:c r="A806" s="48" t="str">
        <x:v>RED-0805</x:v>
      </x:c>
      <x:c r="B806" s="48" t="str">
        <x:v>RED</x:v>
      </x:c>
      <x:c r="C806" s="48" t="str">
        <x:v>English</x:v>
      </x:c>
      <x:c r="D806" s="48" t="n">
        <x:v>49</x:v>
      </x:c>
      <x:c r="E806" s="48" t="str">
        <x:v>8.8</x:v>
      </x:c>
      <x:c r="F806" s="48" t="str">
        <x:v>8.8 [Suspension of Work] or Sub-Clause 16.1 [ Contractor’s Entitlement to Suspend</x:v>
      </x:c>
      <x:c r="G806" s="48" t="str">
        <x:v>Obligation</x:v>
      </x:c>
      <x:c r="H806" s="48" t="str">
        <x:v>Contractor</x:v>
      </x:c>
      <x:c r="I806" s="48" t="n">
        <x:v>0.45</x:v>
      </x:c>
      <x:c r="J806" s="48" t="n">
        <x:v>0.68</x:v>
      </x:c>
      <x:c r="K806" s="48" t="str">
        <x:v>Yes</x:v>
      </x:c>
      <x:c r="L806" s="48" t="str">
        <x:v>PDF text</x:v>
      </x:c>
    </x:row>
    <x:row r="807">
      <x:c r="A807" s="48" t="str">
        <x:v>RED-0806</x:v>
      </x:c>
      <x:c r="B807" s="48" t="str">
        <x:v>RED</x:v>
      </x:c>
      <x:c r="C807" s="48" t="str">
        <x:v>English</x:v>
      </x:c>
      <x:c r="D807" s="48" t="n">
        <x:v>49</x:v>
      </x:c>
      <x:c r="E807" s="48" t="str"/>
      <x:c r="F807" s="48" t="str">
        <x:v>Work], the Contractor’s obligations under this Clause shall not apply to any defects or damage occurring more than two years after the Defects Notification Period for the Plant and/or Materials would otherwise have expired.</x:v>
      </x:c>
      <x:c r="G807" s="48" t="str">
        <x:v>Obligation</x:v>
      </x:c>
      <x:c r="H807" s="48" t="str">
        <x:v>Contractor</x:v>
      </x:c>
      <x:c r="I807" s="48" t="n">
        <x:v>0.88</x:v>
      </x:c>
      <x:c r="J807" s="48" t="n">
        <x:v>0.68</x:v>
      </x:c>
      <x:c r="K807" s="48" t="str">
        <x:v>Yes</x:v>
      </x:c>
      <x:c r="L807" s="48" t="str">
        <x:v>PDF text</x:v>
      </x:c>
    </x:row>
    <x:row r="808">
      <x:c r="A808" s="48" t="str">
        <x:v>RED-0807</x:v>
      </x:c>
      <x:c r="B808" s="48" t="str">
        <x:v>RED</x:v>
      </x:c>
      <x:c r="C808" s="48" t="str">
        <x:v>English</x:v>
      </x:c>
      <x:c r="D808" s="48" t="n">
        <x:v>49</x:v>
      </x:c>
      <x:c r="E808" s="48" t="str"/>
      <x:c r="F808" s="48" t="str">
        <x:v>If the Contractor fails to remedy any defect or damage within a reasonable time, a date may be fixed by (or on behalf of) the Employer, on or by which the defect or damage is to be remedied.</x:v>
      </x:c>
      <x:c r="G808" s="48" t="str">
        <x:v>Risk</x:v>
      </x:c>
      <x:c r="H808" s="48" t="str">
        <x:v>Shared</x:v>
      </x:c>
      <x:c r="I808" s="48" t="n">
        <x:v>0.78</x:v>
      </x:c>
      <x:c r="J808" s="48" t="n">
        <x:v>0.6</x:v>
      </x:c>
      <x:c r="K808" s="48" t="str">
        <x:v>Yes</x:v>
      </x:c>
      <x:c r="L808" s="48" t="str">
        <x:v>PDF text</x:v>
      </x:c>
    </x:row>
    <x:row r="809">
      <x:c r="A809" s="48" t="str">
        <x:v>RED-0808</x:v>
      </x:c>
      <x:c r="B809" s="48" t="str">
        <x:v>RED</x:v>
      </x:c>
      <x:c r="C809" s="48" t="str">
        <x:v>English</x:v>
      </x:c>
      <x:c r="D809" s="48" t="n">
        <x:v>49</x:v>
      </x:c>
      <x:c r="E809" s="48" t="str"/>
      <x:c r="F809" s="48" t="str">
        <x:v>The Contractor shall be given reasonable notice of this date.</x:v>
      </x:c>
      <x:c r="G809" s="48" t="str">
        <x:v>Obligation</x:v>
      </x:c>
      <x:c r="H809" s="48" t="str">
        <x:v>Contractor</x:v>
      </x:c>
      <x:c r="I809" s="48" t="n">
        <x:v>0.88</x:v>
      </x:c>
      <x:c r="J809" s="48" t="n">
        <x:v>0.92</x:v>
      </x:c>
      <x:c r="K809" s="48" t="str">
        <x:v>No</x:v>
      </x:c>
      <x:c r="L809" s="48" t="str">
        <x:v>PDF text</x:v>
      </x:c>
    </x:row>
    <x:row r="810">
      <x:c r="A810" s="48" t="str">
        <x:v>RED-0809</x:v>
      </x:c>
      <x:c r="B810" s="48" t="str">
        <x:v>RED</x:v>
      </x:c>
      <x:c r="C810" s="48" t="str">
        <x:v>English</x:v>
      </x:c>
      <x:c r="D810" s="48" t="n">
        <x:v>49</x:v>
      </x:c>
      <x:c r="E810" s="48" t="str"/>
      <x:c r="F810" s="48" t="str">
        <x:v>If the Contractor fails to remedy the defect or damage by this notified date and this remedial work was to be executed at the cost of the Contractor under Sub-Clause</x:v>
      </x:c>
      <x:c r="G810" s="48" t="str">
        <x:v>Risk</x:v>
      </x:c>
      <x:c r="H810" s="48" t="str">
        <x:v>Contractor</x:v>
      </x:c>
      <x:c r="I810" s="48" t="n">
        <x:v>0.78</x:v>
      </x:c>
      <x:c r="J810" s="48" t="n">
        <x:v>0.68</x:v>
      </x:c>
      <x:c r="K810" s="48" t="str">
        <x:v>Yes</x:v>
      </x:c>
      <x:c r="L810" s="48" t="str">
        <x:v>PDF text</x:v>
      </x:c>
    </x:row>
    <x:row r="811">
      <x:c r="A811" s="48" t="str">
        <x:v>RED-0810</x:v>
      </x:c>
      <x:c r="B811" s="48" t="str">
        <x:v>RED</x:v>
      </x:c>
      <x:c r="C811" s="48" t="str">
        <x:v>English</x:v>
      </x:c>
      <x:c r="D811" s="48" t="n">
        <x:v>49</x:v>
      </x:c>
      <x:c r="E811" s="48" t="str">
        <x:v>11.2</x:v>
      </x:c>
      <x:c r="F811" s="48" t="str">
        <x:v>11.2 [Cost of Remedying Defects], the Employer may (at his option):</x:v>
      </x:c>
      <x:c r="G811" s="48" t="str">
        <x:v>Obligation</x:v>
      </x:c>
      <x:c r="H811" s="48" t="str">
        <x:v>Employer</x:v>
      </x:c>
      <x:c r="I811" s="48" t="n">
        <x:v>0.45</x:v>
      </x:c>
      <x:c r="J811" s="48" t="n">
        <x:v>0.68</x:v>
      </x:c>
      <x:c r="K811" s="48" t="str">
        <x:v>Yes</x:v>
      </x:c>
      <x:c r="L811" s="48" t="str">
        <x:v>PDF text</x:v>
      </x:c>
    </x:row>
    <x:row r="812">
      <x:c r="A812" s="48" t="str">
        <x:v>RED-0811</x:v>
      </x:c>
      <x:c r="B812" s="48" t="str">
        <x:v>RED</x:v>
      </x:c>
      <x:c r="C812" s="48" t="str">
        <x:v>English</x:v>
      </x:c>
      <x:c r="D812" s="48" t="n">
        <x:v>49</x:v>
      </x:c>
      <x:c r="E812" s="48" t="str"/>
      <x:c r="F812" s="48" t="str">
        <x:v>(a) carry out the work himself or by others, in a reasonable manner and at the Contractor’s cost, but the Contractor shall have no responsibility for this work; and the Contractor shall subject to Sub-Clause 2.5 [Employer’s Claims] pay to the Employer the costs reasonably incurred by the Employer in remedying the defect or damage; (b) require the Engineer to agree or determine a reasonable reduction in the Contract Price in accordance with Sub-Clause 3.5 [Determinations]; or (c) if the defect or damage deprives the Employer of substantially the whole benefit of the Works or any major part of the Works, terminate the Contract as a whole, or in respect of such major part which cannot be put to the intended use.</x:v>
      </x:c>
      <x:c r="G812" s="48" t="str">
        <x:v>Risk</x:v>
      </x:c>
      <x:c r="H812" s="48" t="str">
        <x:v>Contractor</x:v>
      </x:c>
      <x:c r="I812" s="48" t="n">
        <x:v>0.78</x:v>
      </x:c>
      <x:c r="J812" s="48" t="n">
        <x:v>0.92</x:v>
      </x:c>
      <x:c r="K812" s="48" t="str">
        <x:v>No</x:v>
      </x:c>
      <x:c r="L812" s="48" t="str">
        <x:v>PDF text</x:v>
      </x:c>
    </x:row>
    <x:row r="813">
      <x:c r="A813" s="48" t="str">
        <x:v>RED-0812</x:v>
      </x:c>
      <x:c r="B813" s="48" t="str">
        <x:v>RED</x:v>
      </x:c>
      <x:c r="C813" s="48" t="str">
        <x:v>English</x:v>
      </x:c>
      <x:c r="D813" s="48" t="n">
        <x:v>49</x:v>
      </x:c>
      <x:c r="E813" s="48" t="str"/>
      <x:c r="F813" s="48" t="str">
        <x:v>Without prejudice to any other rights, under the Contract or otherwise, the Employer shall then be entitled to recover all sums paid for the Works or for such part (as the case may be), plus financing costs and the cost of dismantling the same, clearing the Site and returning Plant and Materials to the Contractor.</x:v>
      </x:c>
      <x:c r="G813" s="48" t="str">
        <x:v>Obligation</x:v>
      </x:c>
      <x:c r="H813" s="48" t="str">
        <x:v>Employer</x:v>
      </x:c>
      <x:c r="I813" s="48" t="n">
        <x:v>0.88</x:v>
      </x:c>
      <x:c r="J813" s="48" t="n">
        <x:v>0.92</x:v>
      </x:c>
      <x:c r="K813" s="48" t="str">
        <x:v>No</x:v>
      </x:c>
      <x:c r="L813" s="48" t="str">
        <x:v>PDF text</x:v>
      </x:c>
    </x:row>
    <x:row r="814">
      <x:c r="A814" s="48" t="str">
        <x:v>RED-0813</x:v>
      </x:c>
      <x:c r="B814" s="48" t="str">
        <x:v>RED</x:v>
      </x:c>
      <x:c r="C814" s="48" t="str">
        <x:v>English</x:v>
      </x:c>
      <x:c r="D814" s="48" t="n">
        <x:v>49</x:v>
      </x:c>
      <x:c r="E814" s="48" t="str"/>
      <x:c r="F814" s="48" t="str">
        <x:v>If the defect or damage cannot be remedied expeditiously on the Site and the</x:v>
      </x:c>
      <x:c r="G814" s="48" t="str">
        <x:v>Risk</x:v>
      </x:c>
      <x:c r="H814" s="48" t="str">
        <x:v>Shared</x:v>
      </x:c>
      <x:c r="I814" s="48" t="n">
        <x:v>0.78</x:v>
      </x:c>
      <x:c r="J814" s="48" t="n">
        <x:v>0.4</x:v>
      </x:c>
      <x:c r="K814" s="48" t="str">
        <x:v>Yes</x:v>
      </x:c>
      <x:c r="L814" s="48" t="str">
        <x:v>PDF text</x:v>
      </x:c>
    </x:row>
    <x:row r="815">
      <x:c r="A815" s="48" t="str">
        <x:v>RED-0814</x:v>
      </x:c>
      <x:c r="B815" s="48" t="str">
        <x:v>RED</x:v>
      </x:c>
      <x:c r="C815" s="48" t="str">
        <x:v>English</x:v>
      </x:c>
      <x:c r="D815" s="48" t="n">
        <x:v>49</x:v>
      </x:c>
      <x:c r="E815" s="48" t="str"/>
      <x:c r="F815" s="48" t="str">
        <x:v>Employer gives consent, the Contractor may remove from the Site for the purposes</x:v>
      </x:c>
      <x:c r="G815" s="48" t="str">
        <x:v>Right</x:v>
      </x:c>
      <x:c r="H815" s="48" t="str">
        <x:v>Contractor</x:v>
      </x:c>
      <x:c r="I815" s="48" t="n">
        <x:v>0.78</x:v>
      </x:c>
      <x:c r="J815" s="48" t="n">
        <x:v>0.92</x:v>
      </x:c>
      <x:c r="K815" s="48" t="str">
        <x:v>No</x:v>
      </x:c>
      <x:c r="L815" s="48" t="str">
        <x:v>PDF text</x:v>
      </x:c>
    </x:row>
    <x:row r="816">
      <x:c r="A816" s="48" t="str">
        <x:v>RED-0815</x:v>
      </x:c>
      <x:c r="B816" s="48" t="str">
        <x:v>RED</x:v>
      </x:c>
      <x:c r="C816" s="48" t="str">
        <x:v>English</x:v>
      </x:c>
      <x:c r="D816" s="48" t="n">
        <x:v>49</x:v>
      </x:c>
      <x:c r="E816" s="48" t="str"/>
      <x:c r="F816" s="48" t="str">
        <x:v>of repair such items of Plant as are defective or damaged.</x:v>
      </x:c>
      <x:c r="G816" s="48" t="str">
        <x:v>Obligation</x:v>
      </x:c>
      <x:c r="H816" s="48" t="str">
        <x:v>Shared</x:v>
      </x:c>
      <x:c r="I816" s="48" t="n">
        <x:v>0.45</x:v>
      </x:c>
      <x:c r="J816" s="48" t="n">
        <x:v>0.4</x:v>
      </x:c>
      <x:c r="K816" s="48" t="str">
        <x:v>Yes</x:v>
      </x:c>
      <x:c r="L816" s="48" t="str">
        <x:v>PDF text</x:v>
      </x:c>
    </x:row>
    <x:row r="817">
      <x:c r="A817" s="48" t="str">
        <x:v>RED-0816</x:v>
      </x:c>
      <x:c r="B817" s="48" t="str">
        <x:v>RED</x:v>
      </x:c>
      <x:c r="C817" s="48" t="str">
        <x:v>English</x:v>
      </x:c>
      <x:c r="D817" s="48" t="n">
        <x:v>49</x:v>
      </x:c>
      <x:c r="E817" s="48" t="str"/>
      <x:c r="F817" s="48" t="str">
        <x:v>This consent may require the Contractor to increase the amount of the Performance Security by the full replacement cost of these items, or to provide other appropriate security.</x:v>
      </x:c>
      <x:c r="G817" s="48" t="str">
        <x:v>Right</x:v>
      </x:c>
      <x:c r="H817" s="48" t="str">
        <x:v>Contractor</x:v>
      </x:c>
      <x:c r="I817" s="48" t="n">
        <x:v>0.78</x:v>
      </x:c>
      <x:c r="J817" s="48" t="n">
        <x:v>0.68</x:v>
      </x:c>
      <x:c r="K817" s="48" t="str">
        <x:v>Yes</x:v>
      </x:c>
      <x:c r="L817" s="48" t="str">
        <x:v>PDF text</x:v>
      </x:c>
    </x:row>
    <x:row r="818">
      <x:c r="A818" s="48" t="str">
        <x:v>RED-0817</x:v>
      </x:c>
      <x:c r="B818" s="48" t="str">
        <x:v>RED</x:v>
      </x:c>
      <x:c r="C818" s="48" t="str">
        <x:v>English</x:v>
      </x:c>
      <x:c r="D818" s="48" t="n">
        <x:v>49</x:v>
      </x:c>
      <x:c r="E818" s="48" t="str"/>
      <x:c r="F818" s="48" t="str">
        <x:v>Extension of Defects</x:v>
      </x:c>
      <x:c r="G818" s="48" t="str">
        <x:v>Obligation</x:v>
      </x:c>
      <x:c r="H818" s="48" t="str">
        <x:v>Shared</x:v>
      </x:c>
      <x:c r="I818" s="48" t="n">
        <x:v>0.45</x:v>
      </x:c>
      <x:c r="J818" s="48" t="n">
        <x:v>0.4</x:v>
      </x:c>
      <x:c r="K818" s="48" t="str">
        <x:v>Yes</x:v>
      </x:c>
      <x:c r="L818" s="48" t="str">
        <x:v>PDF text</x:v>
      </x:c>
    </x:row>
    <x:row r="819">
      <x:c r="A819" s="48" t="str">
        <x:v>RED-0818</x:v>
      </x:c>
      <x:c r="B819" s="48" t="str">
        <x:v>RED</x:v>
      </x:c>
      <x:c r="C819" s="48" t="str">
        <x:v>English</x:v>
      </x:c>
      <x:c r="D819" s="48" t="n">
        <x:v>49</x:v>
      </x:c>
      <x:c r="E819" s="48" t="str"/>
      <x:c r="F819" s="48" t="str">
        <x:v>Notification Period</x:v>
      </x:c>
      <x:c r="G819" s="48" t="str">
        <x:v>Obligation</x:v>
      </x:c>
      <x:c r="H819" s="48" t="str">
        <x:v>Shared</x:v>
      </x:c>
      <x:c r="I819" s="48" t="n">
        <x:v>0.45</x:v>
      </x:c>
      <x:c r="J819" s="48" t="n">
        <x:v>0.4</x:v>
      </x:c>
      <x:c r="K819" s="48" t="str">
        <x:v>Yes</x:v>
      </x:c>
      <x:c r="L819" s="48" t="str">
        <x:v>PDF text</x:v>
      </x:c>
    </x:row>
    <x:row r="820">
      <x:c r="A820" s="48" t="str">
        <x:v>RED-0819</x:v>
      </x:c>
      <x:c r="B820" s="48" t="str">
        <x:v>RED</x:v>
      </x:c>
      <x:c r="C820" s="48" t="str">
        <x:v>English</x:v>
      </x:c>
      <x:c r="D820" s="48" t="n">
        <x:v>49</x:v>
      </x:c>
      <x:c r="E820" s="48" t="str"/>
      <x:c r="F820" s="48" t="str">
        <x:v>Failure to Remedy</x:v>
      </x:c>
      <x:c r="G820" s="48" t="str">
        <x:v>Obligation</x:v>
      </x:c>
      <x:c r="H820" s="48" t="str">
        <x:v>Shared</x:v>
      </x:c>
      <x:c r="I820" s="48" t="n">
        <x:v>0.45</x:v>
      </x:c>
      <x:c r="J820" s="48" t="n">
        <x:v>0.4</x:v>
      </x:c>
      <x:c r="K820" s="48" t="str">
        <x:v>Yes</x:v>
      </x:c>
      <x:c r="L820" s="48" t="str">
        <x:v>PDF text</x:v>
      </x:c>
    </x:row>
    <x:row r="821">
      <x:c r="A821" s="48" t="str">
        <x:v>RED-0820</x:v>
      </x:c>
      <x:c r="B821" s="48" t="str">
        <x:v>RED</x:v>
      </x:c>
      <x:c r="C821" s="48" t="str">
        <x:v>English</x:v>
      </x:c>
      <x:c r="D821" s="48" t="n">
        <x:v>49</x:v>
      </x:c>
      <x:c r="E821" s="48" t="str"/>
      <x:c r="F821" s="48" t="str">
        <x:v>Removal of Defective</x:v>
      </x:c>
      <x:c r="G821" s="48" t="str">
        <x:v>Obligation</x:v>
      </x:c>
      <x:c r="H821" s="48" t="str">
        <x:v>Shared</x:v>
      </x:c>
      <x:c r="I821" s="48" t="n">
        <x:v>0.45</x:v>
      </x:c>
      <x:c r="J821" s="48" t="n">
        <x:v>0.4</x:v>
      </x:c>
      <x:c r="K821" s="48" t="str">
        <x:v>Yes</x:v>
      </x:c>
      <x:c r="L821" s="48" t="str">
        <x:v>PDF text</x:v>
      </x:c>
    </x:row>
    <x:row r="822">
      <x:c r="A822" s="48" t="str">
        <x:v>RED-0821</x:v>
      </x:c>
      <x:c r="B822" s="48" t="str">
        <x:v>RED</x:v>
      </x:c>
      <x:c r="C822" s="48" t="str">
        <x:v>English</x:v>
      </x:c>
      <x:c r="D822" s="48" t="n">
        <x:v>50</x:v>
      </x:c>
      <x:c r="E822" s="48" t="str"/>
      <x:c r="F822" s="48" t="str">
        <x:v>If the work of remedying of any defect or damage may affect the performance of the Works, the Engineer may require the repetition of any of the tests described in the Contract.</x:v>
      </x:c>
      <x:c r="G822" s="48" t="str">
        <x:v>Risk</x:v>
      </x:c>
      <x:c r="H822" s="48" t="str">
        <x:v>Shared</x:v>
      </x:c>
      <x:c r="I822" s="48" t="n">
        <x:v>0.78</x:v>
      </x:c>
      <x:c r="J822" s="48" t="n">
        <x:v>0.4</x:v>
      </x:c>
      <x:c r="K822" s="48" t="str">
        <x:v>Yes</x:v>
      </x:c>
      <x:c r="L822" s="48" t="str">
        <x:v>PDF text</x:v>
      </x:c>
    </x:row>
    <x:row r="823">
      <x:c r="A823" s="48" t="str">
        <x:v>RED-0822</x:v>
      </x:c>
      <x:c r="B823" s="48" t="str">
        <x:v>RED</x:v>
      </x:c>
      <x:c r="C823" s="48" t="str">
        <x:v>English</x:v>
      </x:c>
      <x:c r="D823" s="48" t="n">
        <x:v>50</x:v>
      </x:c>
      <x:c r="E823" s="48" t="str"/>
      <x:c r="F823" s="48" t="str">
        <x:v>The requirement shall be made by notice within 28 days after the defect or damage is remedied.</x:v>
      </x:c>
      <x:c r="G823" s="48" t="str">
        <x:v>Obligation</x:v>
      </x:c>
      <x:c r="H823" s="48" t="str">
        <x:v>Shared</x:v>
      </x:c>
      <x:c r="I823" s="48" t="n">
        <x:v>0.88</x:v>
      </x:c>
      <x:c r="J823" s="48" t="n">
        <x:v>0.4</x:v>
      </x:c>
      <x:c r="K823" s="48" t="str">
        <x:v>Yes</x:v>
      </x:c>
      <x:c r="L823" s="48" t="str">
        <x:v>PDF text</x:v>
      </x:c>
    </x:row>
    <x:row r="824">
      <x:c r="A824" s="48" t="str">
        <x:v>RED-0823</x:v>
      </x:c>
      <x:c r="B824" s="48" t="str">
        <x:v>RED</x:v>
      </x:c>
      <x:c r="C824" s="48" t="str">
        <x:v>English</x:v>
      </x:c>
      <x:c r="D824" s="48" t="n">
        <x:v>50</x:v>
      </x:c>
      <x:c r="E824" s="48" t="str"/>
      <x:c r="F824" s="48" t="str">
        <x:v>These tests shall be carried out in accordance with the terms applicable to the</x:v>
      </x:c>
      <x:c r="G824" s="48" t="str">
        <x:v>Obligation</x:v>
      </x:c>
      <x:c r="H824" s="48" t="str">
        <x:v>Shared</x:v>
      </x:c>
      <x:c r="I824" s="48" t="n">
        <x:v>0.88</x:v>
      </x:c>
      <x:c r="J824" s="48" t="n">
        <x:v>0.4</x:v>
      </x:c>
      <x:c r="K824" s="48" t="str">
        <x:v>Yes</x:v>
      </x:c>
      <x:c r="L824" s="48" t="str">
        <x:v>PDF text</x:v>
      </x:c>
    </x:row>
    <x:row r="825">
      <x:c r="A825" s="48" t="str">
        <x:v>RED-0824</x:v>
      </x:c>
      <x:c r="B825" s="48" t="str">
        <x:v>RED</x:v>
      </x:c>
      <x:c r="C825" s="48" t="str">
        <x:v>English</x:v>
      </x:c>
      <x:c r="D825" s="48" t="n">
        <x:v>50</x:v>
      </x:c>
      <x:c r="E825" s="48" t="str"/>
      <x:c r="F825" s="48" t="str">
        <x:v>previous tests, except that they shall be carried out at the risk and cost of the Party liable, under Sub-Clause 11.2 [Cost of Remedying Defects], for the cost of the remedial work.</x:v>
      </x:c>
      <x:c r="G825" s="48" t="str">
        <x:v>Risk</x:v>
      </x:c>
      <x:c r="H825" s="48" t="str">
        <x:v>Shared</x:v>
      </x:c>
      <x:c r="I825" s="48" t="n">
        <x:v>0.78</x:v>
      </x:c>
      <x:c r="J825" s="48" t="n">
        <x:v>0.4</x:v>
      </x:c>
      <x:c r="K825" s="48" t="str">
        <x:v>Yes</x:v>
      </x:c>
      <x:c r="L825" s="48" t="str">
        <x:v>PDF text</x:v>
      </x:c>
    </x:row>
    <x:row r="826">
      <x:c r="A826" s="48" t="str">
        <x:v>RED-0825</x:v>
      </x:c>
      <x:c r="B826" s="48" t="str">
        <x:v>RED</x:v>
      </x:c>
      <x:c r="C826" s="48" t="str">
        <x:v>English</x:v>
      </x:c>
      <x:c r="D826" s="48" t="n">
        <x:v>50</x:v>
      </x:c>
      <x:c r="E826" s="48" t="str"/>
      <x:c r="F826" s="48" t="str">
        <x:v>Until the Performance Certificate has been issued, the Contractor shall have such right of access to the Works as is reasonably required in order to comply with this Clause, except as may be inconsistent with the Employer’s reasonable security restrictions.</x:v>
      </x:c>
      <x:c r="G826" s="48" t="str">
        <x:v>Obligation</x:v>
      </x:c>
      <x:c r="H826" s="48" t="str">
        <x:v>Contractor</x:v>
      </x:c>
      <x:c r="I826" s="48" t="n">
        <x:v>0.88</x:v>
      </x:c>
      <x:c r="J826" s="48" t="n">
        <x:v>0.92</x:v>
      </x:c>
      <x:c r="K826" s="48" t="str">
        <x:v>No</x:v>
      </x:c>
      <x:c r="L826" s="48" t="str">
        <x:v>PDF text</x:v>
      </x:c>
    </x:row>
    <x:row r="827">
      <x:c r="A827" s="48" t="str">
        <x:v>RED-0826</x:v>
      </x:c>
      <x:c r="B827" s="48" t="str">
        <x:v>RED</x:v>
      </x:c>
      <x:c r="C827" s="48" t="str">
        <x:v>English</x:v>
      </x:c>
      <x:c r="D827" s="48" t="n">
        <x:v>50</x:v>
      </x:c>
      <x:c r="E827" s="48" t="str"/>
      <x:c r="F827" s="48" t="str">
        <x:v>The Contractor shall, if required by the Engineer, search for the cause of any defect, under the direction of the Engineer.</x:v>
      </x:c>
      <x:c r="G827" s="48" t="str">
        <x:v>Risk</x:v>
      </x:c>
      <x:c r="H827" s="48" t="str">
        <x:v>Contractor</x:v>
      </x:c>
      <x:c r="I827" s="48" t="n">
        <x:v>0.78</x:v>
      </x:c>
      <x:c r="J827" s="48" t="n">
        <x:v>0.92</x:v>
      </x:c>
      <x:c r="K827" s="48" t="str">
        <x:v>No</x:v>
      </x:c>
      <x:c r="L827" s="48" t="str">
        <x:v>PDF text</x:v>
      </x:c>
    </x:row>
    <x:row r="828">
      <x:c r="A828" s="48" t="str">
        <x:v>RED-0827</x:v>
      </x:c>
      <x:c r="B828" s="48" t="str">
        <x:v>RED</x:v>
      </x:c>
      <x:c r="C828" s="48" t="str">
        <x:v>English</x:v>
      </x:c>
      <x:c r="D828" s="48" t="n">
        <x:v>50</x:v>
      </x:c>
      <x:c r="E828" s="48" t="str"/>
      <x:c r="F828" s="48" t="str">
        <x:v>Unless the defect is to be remedied at the cost of the Contractor under Sub-Clause 11.2 [Cost of Remedying Defects], the Cost of the search plus profit shall be agreed or determined by the Engineer in accordance with Sub-Clause 3.5 [Determinations] and shall be included in the Contract Price.</x:v>
      </x:c>
      <x:c r="G828" s="48" t="str">
        <x:v>Obligation</x:v>
      </x:c>
      <x:c r="H828" s="48" t="str">
        <x:v>Contractor</x:v>
      </x:c>
      <x:c r="I828" s="48" t="n">
        <x:v>0.88</x:v>
      </x:c>
      <x:c r="J828" s="48" t="n">
        <x:v>0.68</x:v>
      </x:c>
      <x:c r="K828" s="48" t="str">
        <x:v>Yes</x:v>
      </x:c>
      <x:c r="L828" s="48" t="str">
        <x:v>PDF text</x:v>
      </x:c>
    </x:row>
    <x:row r="829">
      <x:c r="A829" s="48" t="str">
        <x:v>RED-0828</x:v>
      </x:c>
      <x:c r="B829" s="48" t="str">
        <x:v>RED</x:v>
      </x:c>
      <x:c r="C829" s="48" t="str">
        <x:v>English</x:v>
      </x:c>
      <x:c r="D829" s="48" t="n">
        <x:v>50</x:v>
      </x:c>
      <x:c r="E829" s="48" t="str"/>
      <x:c r="F829" s="48" t="str">
        <x:v>Performance of the Contractor’s obligations shall not be considered to have been</x:v>
      </x:c>
      <x:c r="G829" s="48" t="str">
        <x:v>Obligation</x:v>
      </x:c>
      <x:c r="H829" s="48" t="str">
        <x:v>Contractor</x:v>
      </x:c>
      <x:c r="I829" s="48" t="n">
        <x:v>0.88</x:v>
      </x:c>
      <x:c r="J829" s="48" t="n">
        <x:v>0.68</x:v>
      </x:c>
      <x:c r="K829" s="48" t="str">
        <x:v>Yes</x:v>
      </x:c>
      <x:c r="L829" s="48" t="str">
        <x:v>PDF text</x:v>
      </x:c>
    </x:row>
    <x:row r="830">
      <x:c r="A830" s="48" t="str">
        <x:v>RED-0829</x:v>
      </x:c>
      <x:c r="B830" s="48" t="str">
        <x:v>RED</x:v>
      </x:c>
      <x:c r="C830" s="48" t="str">
        <x:v>English</x:v>
      </x:c>
      <x:c r="D830" s="48" t="n">
        <x:v>50</x:v>
      </x:c>
      <x:c r="E830" s="48" t="str"/>
      <x:c r="F830" s="48" t="str">
        <x:v>completed until the Engineer has issued the Performance Certificate to the Contractor, stating the date on which the Contractor completed his obligations under the Contract.</x:v>
      </x:c>
      <x:c r="G830" s="48" t="str">
        <x:v>Obligation</x:v>
      </x:c>
      <x:c r="H830" s="48" t="str">
        <x:v>Contractor</x:v>
      </x:c>
      <x:c r="I830" s="48" t="n">
        <x:v>0.55</x:v>
      </x:c>
      <x:c r="J830" s="48" t="n">
        <x:v>0.68</x:v>
      </x:c>
      <x:c r="K830" s="48" t="str">
        <x:v>Yes</x:v>
      </x:c>
      <x:c r="L830" s="48" t="str">
        <x:v>PDF text</x:v>
      </x:c>
    </x:row>
    <x:row r="831">
      <x:c r="A831" s="48" t="str">
        <x:v>RED-0830</x:v>
      </x:c>
      <x:c r="B831" s="48" t="str">
        <x:v>RED</x:v>
      </x:c>
      <x:c r="C831" s="48" t="str">
        <x:v>English</x:v>
      </x:c>
      <x:c r="D831" s="48" t="n">
        <x:v>50</x:v>
      </x:c>
      <x:c r="E831" s="48" t="str"/>
      <x:c r="F831" s="48" t="str">
        <x:v>The Engineer shall issue the Performance Certificate within 28 days after the latest of the expiry dates of the Defects Notification Periods, or as soon thereafter as the Contractor has supplied all the Contractor’s Documents and completed and tested all the Works, including remedying any defects.</x:v>
      </x:c>
      <x:c r="G831" s="48" t="str">
        <x:v>Obligation</x:v>
      </x:c>
      <x:c r="H831" s="48" t="str">
        <x:v>Contractor</x:v>
      </x:c>
      <x:c r="I831" s="48" t="n">
        <x:v>0.88</x:v>
      </x:c>
      <x:c r="J831" s="48" t="n">
        <x:v>0.68</x:v>
      </x:c>
      <x:c r="K831" s="48" t="str">
        <x:v>Yes</x:v>
      </x:c>
      <x:c r="L831" s="48" t="str">
        <x:v>PDF text</x:v>
      </x:c>
    </x:row>
    <x:row r="832">
      <x:c r="A832" s="48" t="str">
        <x:v>RED-0831</x:v>
      </x:c>
      <x:c r="B832" s="48" t="str">
        <x:v>RED</x:v>
      </x:c>
      <x:c r="C832" s="48" t="str">
        <x:v>English</x:v>
      </x:c>
      <x:c r="D832" s="48" t="n">
        <x:v>50</x:v>
      </x:c>
      <x:c r="E832" s="48" t="str"/>
      <x:c r="F832" s="48" t="str">
        <x:v>A copy of the Performance Certificate shall be issued to the Employer.</x:v>
      </x:c>
      <x:c r="G832" s="48" t="str">
        <x:v>Obligation</x:v>
      </x:c>
      <x:c r="H832" s="48" t="str">
        <x:v>Employer</x:v>
      </x:c>
      <x:c r="I832" s="48" t="n">
        <x:v>0.88</x:v>
      </x:c>
      <x:c r="J832" s="48" t="n">
        <x:v>0.68</x:v>
      </x:c>
      <x:c r="K832" s="48" t="str">
        <x:v>Yes</x:v>
      </x:c>
      <x:c r="L832" s="48" t="str">
        <x:v>PDF text</x:v>
      </x:c>
    </x:row>
    <x:row r="833">
      <x:c r="A833" s="48" t="str">
        <x:v>RED-0832</x:v>
      </x:c>
      <x:c r="B833" s="48" t="str">
        <x:v>RED</x:v>
      </x:c>
      <x:c r="C833" s="48" t="str">
        <x:v>English</x:v>
      </x:c>
      <x:c r="D833" s="48" t="n">
        <x:v>50</x:v>
      </x:c>
      <x:c r="E833" s="48" t="str"/>
      <x:c r="F833" s="48" t="str">
        <x:v>Only the Performance Certificate shall be deemed to constitute acceptance of the</x:v>
      </x:c>
      <x:c r="G833" s="48" t="str">
        <x:v>Obligation</x:v>
      </x:c>
      <x:c r="H833" s="48" t="str">
        <x:v>Shared</x:v>
      </x:c>
      <x:c r="I833" s="48" t="n">
        <x:v>0.88</x:v>
      </x:c>
      <x:c r="J833" s="48" t="n">
        <x:v>0.4</x:v>
      </x:c>
      <x:c r="K833" s="48" t="str">
        <x:v>Yes</x:v>
      </x:c>
      <x:c r="L833" s="48" t="str">
        <x:v>PDF text</x:v>
      </x:c>
    </x:row>
    <x:row r="834">
      <x:c r="A834" s="48" t="str">
        <x:v>RED-0833</x:v>
      </x:c>
      <x:c r="B834" s="48" t="str">
        <x:v>RED</x:v>
      </x:c>
      <x:c r="C834" s="48" t="str">
        <x:v>English</x:v>
      </x:c>
      <x:c r="D834" s="48" t="n">
        <x:v>50</x:v>
      </x:c>
      <x:c r="E834" s="48" t="str"/>
      <x:c r="F834" s="48" t="str">
        <x:v>After the Performance Certificate has been issued, each Party shall remain liable for the fulfilment of any obligation which remains unperformed at that time.</x:v>
      </x:c>
      <x:c r="G834" s="48" t="str">
        <x:v>Risk</x:v>
      </x:c>
      <x:c r="H834" s="48" t="str">
        <x:v>Shared</x:v>
      </x:c>
      <x:c r="I834" s="48" t="n">
        <x:v>0.78</x:v>
      </x:c>
      <x:c r="J834" s="48" t="n">
        <x:v>0.93</x:v>
      </x:c>
      <x:c r="K834" s="48" t="str">
        <x:v>No</x:v>
      </x:c>
      <x:c r="L834" s="48" t="str">
        <x:v>PDF text</x:v>
      </x:c>
    </x:row>
    <x:row r="835">
      <x:c r="A835" s="48" t="str">
        <x:v>RED-0834</x:v>
      </x:c>
      <x:c r="B835" s="48" t="str">
        <x:v>RED</x:v>
      </x:c>
      <x:c r="C835" s="48" t="str">
        <x:v>English</x:v>
      </x:c>
      <x:c r="D835" s="48" t="n">
        <x:v>50</x:v>
      </x:c>
      <x:c r="E835" s="48" t="str"/>
      <x:c r="F835" s="48" t="str">
        <x:v>For the purposes of determining the nature and extent of unperformed obligations, the Contract shall be deemed to remain in force.</x:v>
      </x:c>
      <x:c r="G835" s="48" t="str">
        <x:v>Obligation</x:v>
      </x:c>
      <x:c r="H835" s="48" t="str">
        <x:v>Shared</x:v>
      </x:c>
      <x:c r="I835" s="48" t="n">
        <x:v>0.88</x:v>
      </x:c>
      <x:c r="J835" s="48" t="n">
        <x:v>0.4</x:v>
      </x:c>
      <x:c r="K835" s="48" t="str">
        <x:v>Yes</x:v>
      </x:c>
      <x:c r="L835" s="48" t="str">
        <x:v>PDF text</x:v>
      </x:c>
    </x:row>
    <x:row r="836">
      <x:c r="A836" s="48" t="str">
        <x:v>RED-0835</x:v>
      </x:c>
      <x:c r="B836" s="48" t="str">
        <x:v>RED</x:v>
      </x:c>
      <x:c r="C836" s="48" t="str">
        <x:v>English</x:v>
      </x:c>
      <x:c r="D836" s="48" t="n">
        <x:v>50</x:v>
      </x:c>
      <x:c r="E836" s="48" t="str"/>
      <x:c r="F836" s="48" t="str">
        <x:v>Upon receiving the Performance Certificate, the Contractor shall remove any</x:v>
      </x:c>
      <x:c r="G836" s="48" t="str">
        <x:v>Obligation</x:v>
      </x:c>
      <x:c r="H836" s="48" t="str">
        <x:v>Contractor</x:v>
      </x:c>
      <x:c r="I836" s="48" t="n">
        <x:v>0.88</x:v>
      </x:c>
      <x:c r="J836" s="48" t="n">
        <x:v>0.92</x:v>
      </x:c>
      <x:c r="K836" s="48" t="str">
        <x:v>No</x:v>
      </x:c>
      <x:c r="L836" s="48" t="str">
        <x:v>PDF text</x:v>
      </x:c>
    </x:row>
    <x:row r="837">
      <x:c r="A837" s="48" t="str">
        <x:v>RED-0836</x:v>
      </x:c>
      <x:c r="B837" s="48" t="str">
        <x:v>RED</x:v>
      </x:c>
      <x:c r="C837" s="48" t="str">
        <x:v>English</x:v>
      </x:c>
      <x:c r="D837" s="48" t="n">
        <x:v>50</x:v>
      </x:c>
      <x:c r="E837" s="48" t="str"/>
      <x:c r="F837" s="48" t="str">
        <x:v>remaining Contractor’s Equipment, surplus material, wreckage, rubbish and Temporary Works from the Site.</x:v>
      </x:c>
      <x:c r="G837" s="48" t="str">
        <x:v>Obligation</x:v>
      </x:c>
      <x:c r="H837" s="48" t="str">
        <x:v>Contractor</x:v>
      </x:c>
      <x:c r="I837" s="48" t="n">
        <x:v>0.45</x:v>
      </x:c>
      <x:c r="J837" s="48" t="n">
        <x:v>0.68</x:v>
      </x:c>
      <x:c r="K837" s="48" t="str">
        <x:v>Yes</x:v>
      </x:c>
      <x:c r="L837" s="48" t="str">
        <x:v>PDF text</x:v>
      </x:c>
    </x:row>
    <x:row r="838">
      <x:c r="A838" s="48" t="str">
        <x:v>RED-0837</x:v>
      </x:c>
      <x:c r="B838" s="48" t="str">
        <x:v>RED</x:v>
      </x:c>
      <x:c r="C838" s="48" t="str">
        <x:v>English</x:v>
      </x:c>
      <x:c r="D838" s="48" t="n">
        <x:v>50</x:v>
      </x:c>
      <x:c r="E838" s="48" t="str"/>
      <x:c r="F838" s="48" t="str">
        <x:v>If all these items have not been removed within 28 days after the Employer receives a copy of the Performance Certificate, the Employer may sell or otherwise dispose of any remaining items.</x:v>
      </x:c>
      <x:c r="G838" s="48" t="str">
        <x:v>Right</x:v>
      </x:c>
      <x:c r="H838" s="48" t="str">
        <x:v>Employer</x:v>
      </x:c>
      <x:c r="I838" s="48" t="n">
        <x:v>0.78</x:v>
      </x:c>
      <x:c r="J838" s="48" t="n">
        <x:v>0.92</x:v>
      </x:c>
      <x:c r="K838" s="48" t="str">
        <x:v>No</x:v>
      </x:c>
      <x:c r="L838" s="48" t="str">
        <x:v>PDF text</x:v>
      </x:c>
    </x:row>
    <x:row r="839">
      <x:c r="A839" s="48" t="str">
        <x:v>RED-0838</x:v>
      </x:c>
      <x:c r="B839" s="48" t="str">
        <x:v>RED</x:v>
      </x:c>
      <x:c r="C839" s="48" t="str">
        <x:v>English</x:v>
      </x:c>
      <x:c r="D839" s="48" t="n">
        <x:v>50</x:v>
      </x:c>
      <x:c r="E839" s="48" t="str"/>
      <x:c r="F839" s="48" t="str">
        <x:v>The Employer shall be entitled to be paid the costs incurred in connection with, or attributable to, such sale or disposal and restoring the Site.</x:v>
      </x:c>
      <x:c r="G839" s="48" t="str">
        <x:v>Obligation</x:v>
      </x:c>
      <x:c r="H839" s="48" t="str">
        <x:v>Employer</x:v>
      </x:c>
      <x:c r="I839" s="48" t="n">
        <x:v>0.88</x:v>
      </x:c>
      <x:c r="J839" s="48" t="n">
        <x:v>0.92</x:v>
      </x:c>
      <x:c r="K839" s="48" t="str">
        <x:v>No</x:v>
      </x:c>
      <x:c r="L839" s="48" t="str">
        <x:v>PDF text</x:v>
      </x:c>
    </x:row>
    <x:row r="840">
      <x:c r="A840" s="48" t="str">
        <x:v>RED-0839</x:v>
      </x:c>
      <x:c r="B840" s="48" t="str">
        <x:v>RED</x:v>
      </x:c>
      <x:c r="C840" s="48" t="str">
        <x:v>English</x:v>
      </x:c>
      <x:c r="D840" s="48" t="n">
        <x:v>50</x:v>
      </x:c>
      <x:c r="E840" s="48" t="str"/>
      <x:c r="F840" s="48" t="str">
        <x:v>Any balance of the moneys from the sale shall be paid to the Contractor.</x:v>
      </x:c>
      <x:c r="G840" s="48" t="str">
        <x:v>Obligation</x:v>
      </x:c>
      <x:c r="H840" s="48" t="str">
        <x:v>Contractor</x:v>
      </x:c>
      <x:c r="I840" s="48" t="n">
        <x:v>0.88</x:v>
      </x:c>
      <x:c r="J840" s="48" t="n">
        <x:v>0.68</x:v>
      </x:c>
      <x:c r="K840" s="48" t="str">
        <x:v>Yes</x:v>
      </x:c>
      <x:c r="L840" s="48" t="str">
        <x:v>PDF text</x:v>
      </x:c>
    </x:row>
    <x:row r="841">
      <x:c r="A841" s="48" t="str">
        <x:v>RED-0840</x:v>
      </x:c>
      <x:c r="B841" s="48" t="str">
        <x:v>RED</x:v>
      </x:c>
      <x:c r="C841" s="48" t="str">
        <x:v>English</x:v>
      </x:c>
      <x:c r="D841" s="48" t="n">
        <x:v>50</x:v>
      </x:c>
      <x:c r="E841" s="48" t="str"/>
      <x:c r="F841" s="48" t="str">
        <x:v>If these moneys are less than the Employer’s costs, the Contractor shall pay the outstanding balance to the Employer.</x:v>
      </x:c>
      <x:c r="G841" s="48" t="str">
        <x:v>Obligation</x:v>
      </x:c>
      <x:c r="H841" s="48" t="str">
        <x:v>Contractor</x:v>
      </x:c>
      <x:c r="I841" s="48" t="n">
        <x:v>0.88</x:v>
      </x:c>
      <x:c r="J841" s="48" t="n">
        <x:v>0.92</x:v>
      </x:c>
      <x:c r="K841" s="48" t="str">
        <x:v>No</x:v>
      </x:c>
      <x:c r="L841" s="48" t="str">
        <x:v>PDF text</x:v>
      </x:c>
    </x:row>
    <x:row r="842">
      <x:c r="A842" s="48" t="str">
        <x:v>RED-0841</x:v>
      </x:c>
      <x:c r="B842" s="48" t="str">
        <x:v>RED</x:v>
      </x:c>
      <x:c r="C842" s="48" t="str">
        <x:v>English</x:v>
      </x:c>
      <x:c r="D842" s="48" t="n">
        <x:v>50</x:v>
      </x:c>
      <x:c r="E842" s="48" t="str"/>
      <x:c r="F842" s="48" t="str">
        <x:v>Further Tests</x:v>
      </x:c>
      <x:c r="G842" s="48" t="str">
        <x:v>Obligation</x:v>
      </x:c>
      <x:c r="H842" s="48" t="str">
        <x:v>Shared</x:v>
      </x:c>
      <x:c r="I842" s="48" t="n">
        <x:v>0.45</x:v>
      </x:c>
      <x:c r="J842" s="48" t="n">
        <x:v>0.4</x:v>
      </x:c>
      <x:c r="K842" s="48" t="str">
        <x:v>Yes</x:v>
      </x:c>
      <x:c r="L842" s="48" t="str">
        <x:v>PDF text</x:v>
      </x:c>
    </x:row>
    <x:row r="843">
      <x:c r="A843" s="48" t="str">
        <x:v>RED-0842</x:v>
      </x:c>
      <x:c r="B843" s="48" t="str">
        <x:v>RED</x:v>
      </x:c>
      <x:c r="C843" s="48" t="str">
        <x:v>English</x:v>
      </x:c>
      <x:c r="D843" s="48" t="n">
        <x:v>50</x:v>
      </x:c>
      <x:c r="E843" s="48" t="str"/>
      <x:c r="F843" s="48" t="str">
        <x:v>Right of Access</x:v>
      </x:c>
      <x:c r="G843" s="48" t="str">
        <x:v>Obligation</x:v>
      </x:c>
      <x:c r="H843" s="48" t="str">
        <x:v>Shared</x:v>
      </x:c>
      <x:c r="I843" s="48" t="n">
        <x:v>0.45</x:v>
      </x:c>
      <x:c r="J843" s="48" t="n">
        <x:v>0.4</x:v>
      </x:c>
      <x:c r="K843" s="48" t="str">
        <x:v>Yes</x:v>
      </x:c>
      <x:c r="L843" s="48" t="str">
        <x:v>PDF text</x:v>
      </x:c>
    </x:row>
    <x:row r="844">
      <x:c r="A844" s="48" t="str">
        <x:v>RED-0843</x:v>
      </x:c>
      <x:c r="B844" s="48" t="str">
        <x:v>RED</x:v>
      </x:c>
      <x:c r="C844" s="48" t="str">
        <x:v>English</x:v>
      </x:c>
      <x:c r="D844" s="48" t="n">
        <x:v>50</x:v>
      </x:c>
      <x:c r="E844" s="48" t="str"/>
      <x:c r="F844" s="48" t="str">
        <x:v>Contractor to Search</x:v>
      </x:c>
      <x:c r="G844" s="48" t="str">
        <x:v>Obligation</x:v>
      </x:c>
      <x:c r="H844" s="48" t="str">
        <x:v>Contractor</x:v>
      </x:c>
      <x:c r="I844" s="48" t="n">
        <x:v>0.45</x:v>
      </x:c>
      <x:c r="J844" s="48" t="n">
        <x:v>0.68</x:v>
      </x:c>
      <x:c r="K844" s="48" t="str">
        <x:v>Yes</x:v>
      </x:c>
      <x:c r="L844" s="48" t="str">
        <x:v>PDF text</x:v>
      </x:c>
    </x:row>
    <x:row r="845">
      <x:c r="A845" s="48" t="str">
        <x:v>RED-0844</x:v>
      </x:c>
      <x:c r="B845" s="48" t="str">
        <x:v>RED</x:v>
      </x:c>
      <x:c r="C845" s="48" t="str">
        <x:v>English</x:v>
      </x:c>
      <x:c r="D845" s="48" t="n">
        <x:v>50</x:v>
      </x:c>
      <x:c r="E845" s="48" t="str"/>
      <x:c r="F845" s="48" t="str">
        <x:v>Unfulfilled Obligations</x:v>
      </x:c>
      <x:c r="G845" s="48" t="str">
        <x:v>Obligation</x:v>
      </x:c>
      <x:c r="H845" s="48" t="str">
        <x:v>Shared</x:v>
      </x:c>
      <x:c r="I845" s="48" t="n">
        <x:v>0.45</x:v>
      </x:c>
      <x:c r="J845" s="48" t="n">
        <x:v>0.4</x:v>
      </x:c>
      <x:c r="K845" s="48" t="str">
        <x:v>Yes</x:v>
      </x:c>
      <x:c r="L845" s="48" t="str">
        <x:v>PDF text</x:v>
      </x:c>
    </x:row>
    <x:row r="846">
      <x:c r="A846" s="48" t="str">
        <x:v>RED-0845</x:v>
      </x:c>
      <x:c r="B846" s="48" t="str">
        <x:v>RED</x:v>
      </x:c>
      <x:c r="C846" s="48" t="str">
        <x:v>English</x:v>
      </x:c>
      <x:c r="D846" s="48" t="n">
        <x:v>50</x:v>
      </x:c>
      <x:c r="E846" s="48" t="str"/>
      <x:c r="F846" s="48" t="str">
        <x:v>Clearance of Site</x:v>
      </x:c>
      <x:c r="G846" s="48" t="str">
        <x:v>Obligation</x:v>
      </x:c>
      <x:c r="H846" s="48" t="str">
        <x:v>Shared</x:v>
      </x:c>
      <x:c r="I846" s="48" t="n">
        <x:v>0.45</x:v>
      </x:c>
      <x:c r="J846" s="48" t="n">
        <x:v>0.4</x:v>
      </x:c>
      <x:c r="K846" s="48" t="str">
        <x:v>Yes</x:v>
      </x:c>
      <x:c r="L846" s="48" t="str">
        <x:v>PDF text</x:v>
      </x:c>
    </x:row>
    <x:row r="847">
      <x:c r="A847" s="48" t="str">
        <x:v>RED-0846</x:v>
      </x:c>
      <x:c r="B847" s="48" t="str">
        <x:v>RED</x:v>
      </x:c>
      <x:c r="C847" s="48" t="str">
        <x:v>English</x:v>
      </x:c>
      <x:c r="D847" s="48" t="n">
        <x:v>51</x:v>
      </x:c>
      <x:c r="E847" s="48" t="str"/>
      <x:c r="F847" s="48" t="str">
        <x:v>The Works shall be measured, and valued for payment, in accordance with this</x:v>
      </x:c>
      <x:c r="G847" s="48" t="str">
        <x:v>Obligation</x:v>
      </x:c>
      <x:c r="H847" s="48" t="str">
        <x:v>Shared</x:v>
      </x:c>
      <x:c r="I847" s="48" t="n">
        <x:v>0.88</x:v>
      </x:c>
      <x:c r="J847" s="48" t="n">
        <x:v>0.4</x:v>
      </x:c>
      <x:c r="K847" s="48" t="str">
        <x:v>Yes</x:v>
      </x:c>
      <x:c r="L847" s="48" t="str">
        <x:v>PDF text</x:v>
      </x:c>
    </x:row>
    <x:row r="848">
      <x:c r="A848" s="48" t="str">
        <x:v>RED-0847</x:v>
      </x:c>
      <x:c r="B848" s="48" t="str">
        <x:v>RED</x:v>
      </x:c>
      <x:c r="C848" s="48" t="str">
        <x:v>English</x:v>
      </x:c>
      <x:c r="D848" s="48" t="n">
        <x:v>51</x:v>
      </x:c>
      <x:c r="E848" s="48" t="str"/>
      <x:c r="F848" s="48" t="str">
        <x:v>Whenever the Engineer requires any part of the Works to be measured, reasonable</x:v>
      </x:c>
      <x:c r="G848" s="48" t="str">
        <x:v>Obligation</x:v>
      </x:c>
      <x:c r="H848" s="48" t="str">
        <x:v>Shared</x:v>
      </x:c>
      <x:c r="I848" s="48" t="n">
        <x:v>0.45</x:v>
      </x:c>
      <x:c r="J848" s="48" t="n">
        <x:v>0.4</x:v>
      </x:c>
      <x:c r="K848" s="48" t="str">
        <x:v>Yes</x:v>
      </x:c>
      <x:c r="L848" s="48" t="str">
        <x:v>PDF text</x:v>
      </x:c>
    </x:row>
    <x:row r="849">
      <x:c r="A849" s="48" t="str">
        <x:v>RED-0848</x:v>
      </x:c>
      <x:c r="B849" s="48" t="str">
        <x:v>RED</x:v>
      </x:c>
      <x:c r="C849" s="48" t="str">
        <x:v>English</x:v>
      </x:c>
      <x:c r="D849" s="48" t="n">
        <x:v>51</x:v>
      </x:c>
      <x:c r="E849" s="48" t="str"/>
      <x:c r="F849" s="48" t="str">
        <x:v>notice shall be given to the Contractor’s Representative, who shall: (a) promptly either attend or send another qualified representative to assist the</x:v>
      </x:c>
      <x:c r="G849" s="48" t="str">
        <x:v>Obligation</x:v>
      </x:c>
      <x:c r="H849" s="48" t="str">
        <x:v>Contractor</x:v>
      </x:c>
      <x:c r="I849" s="48" t="n">
        <x:v>0.88</x:v>
      </x:c>
      <x:c r="J849" s="48" t="n">
        <x:v>0.68</x:v>
      </x:c>
      <x:c r="K849" s="48" t="str">
        <x:v>Yes</x:v>
      </x:c>
      <x:c r="L849" s="48" t="str">
        <x:v>PDF text</x:v>
      </x:c>
    </x:row>
    <x:row r="850">
      <x:c r="A850" s="48" t="str">
        <x:v>RED-0849</x:v>
      </x:c>
      <x:c r="B850" s="48" t="str">
        <x:v>RED</x:v>
      </x:c>
      <x:c r="C850" s="48" t="str">
        <x:v>English</x:v>
      </x:c>
      <x:c r="D850" s="48" t="n">
        <x:v>51</x:v>
      </x:c>
      <x:c r="E850" s="48" t="str"/>
      <x:c r="F850" s="48" t="str">
        <x:v>Engineer in making the measurement, and</x:v>
      </x:c>
      <x:c r="G850" s="48" t="str">
        <x:v>Obligation</x:v>
      </x:c>
      <x:c r="H850" s="48" t="str">
        <x:v>Shared</x:v>
      </x:c>
      <x:c r="I850" s="48" t="n">
        <x:v>0.45</x:v>
      </x:c>
      <x:c r="J850" s="48" t="n">
        <x:v>0.4</x:v>
      </x:c>
      <x:c r="K850" s="48" t="str">
        <x:v>Yes</x:v>
      </x:c>
      <x:c r="L850" s="48" t="str">
        <x:v>PDF text</x:v>
      </x:c>
    </x:row>
    <x:row r="851">
      <x:c r="A851" s="48" t="str">
        <x:v>RED-0850</x:v>
      </x:c>
      <x:c r="B851" s="48" t="str">
        <x:v>RED</x:v>
      </x:c>
      <x:c r="C851" s="48" t="str">
        <x:v>English</x:v>
      </x:c>
      <x:c r="D851" s="48" t="n">
        <x:v>51</x:v>
      </x:c>
      <x:c r="E851" s="48" t="str"/>
      <x:c r="F851" s="48" t="str">
        <x:v>(b) supply any particulars requested by the Engineer.</x:v>
      </x:c>
      <x:c r="G851" s="48" t="str">
        <x:v>Obligation</x:v>
      </x:c>
      <x:c r="H851" s="48" t="str">
        <x:v>Shared</x:v>
      </x:c>
      <x:c r="I851" s="48" t="n">
        <x:v>0.45</x:v>
      </x:c>
      <x:c r="J851" s="48" t="n">
        <x:v>0.4</x:v>
      </x:c>
      <x:c r="K851" s="48" t="str">
        <x:v>Yes</x:v>
      </x:c>
      <x:c r="L851" s="48" t="str">
        <x:v>PDF text</x:v>
      </x:c>
    </x:row>
    <x:row r="852">
      <x:c r="A852" s="48" t="str">
        <x:v>RED-0851</x:v>
      </x:c>
      <x:c r="B852" s="48" t="str">
        <x:v>RED</x:v>
      </x:c>
      <x:c r="C852" s="48" t="str">
        <x:v>English</x:v>
      </x:c>
      <x:c r="D852" s="48" t="n">
        <x:v>51</x:v>
      </x:c>
      <x:c r="E852" s="48" t="str"/>
      <x:c r="F852" s="48" t="str">
        <x:v>If the Contractor fails to attend or send a representative, the measurement made by (or on behalf of) the Engineer shall be accepted as accurate.</x:v>
      </x:c>
      <x:c r="G852" s="48" t="str">
        <x:v>Obligation</x:v>
      </x:c>
      <x:c r="H852" s="48" t="str">
        <x:v>Contractor</x:v>
      </x:c>
      <x:c r="I852" s="48" t="n">
        <x:v>0.88</x:v>
      </x:c>
      <x:c r="J852" s="48" t="n">
        <x:v>0.68</x:v>
      </x:c>
      <x:c r="K852" s="48" t="str">
        <x:v>Yes</x:v>
      </x:c>
      <x:c r="L852" s="48" t="str">
        <x:v>PDF text</x:v>
      </x:c>
    </x:row>
    <x:row r="853">
      <x:c r="A853" s="48" t="str">
        <x:v>RED-0852</x:v>
      </x:c>
      <x:c r="B853" s="48" t="str">
        <x:v>RED</x:v>
      </x:c>
      <x:c r="C853" s="48" t="str">
        <x:v>English</x:v>
      </x:c>
      <x:c r="D853" s="48" t="n">
        <x:v>51</x:v>
      </x:c>
      <x:c r="E853" s="48" t="str"/>
      <x:c r="F853" s="48" t="str">
        <x:v>Except as otherwise stated in the Contract, wherever any Permanent Works are to be measured from records, these shall be prepared by the Engineer.</x:v>
      </x:c>
      <x:c r="G853" s="48" t="str">
        <x:v>Obligation</x:v>
      </x:c>
      <x:c r="H853" s="48" t="str">
        <x:v>Shared</x:v>
      </x:c>
      <x:c r="I853" s="48" t="n">
        <x:v>0.88</x:v>
      </x:c>
      <x:c r="J853" s="48" t="n">
        <x:v>0.4</x:v>
      </x:c>
      <x:c r="K853" s="48" t="str">
        <x:v>Yes</x:v>
      </x:c>
      <x:c r="L853" s="48" t="str">
        <x:v>PDF text</x:v>
      </x:c>
    </x:row>
    <x:row r="854">
      <x:c r="A854" s="48" t="str">
        <x:v>RED-0853</x:v>
      </x:c>
      <x:c r="B854" s="48" t="str">
        <x:v>RED</x:v>
      </x:c>
      <x:c r="C854" s="48" t="str">
        <x:v>English</x:v>
      </x:c>
      <x:c r="D854" s="48" t="n">
        <x:v>51</x:v>
      </x:c>
      <x:c r="E854" s="48" t="str"/>
      <x:c r="F854" s="48" t="str">
        <x:v>The Contractor shall, as and when requested, attend to examine and agree the records with the Engineer, and shall sign the same when agreed.</x:v>
      </x:c>
      <x:c r="G854" s="48" t="str">
        <x:v>Obligation</x:v>
      </x:c>
      <x:c r="H854" s="48" t="str">
        <x:v>Contractor</x:v>
      </x:c>
      <x:c r="I854" s="48" t="n">
        <x:v>0.88</x:v>
      </x:c>
      <x:c r="J854" s="48" t="n">
        <x:v>0.92</x:v>
      </x:c>
      <x:c r="K854" s="48" t="str">
        <x:v>No</x:v>
      </x:c>
      <x:c r="L854" s="48" t="str">
        <x:v>PDF text</x:v>
      </x:c>
    </x:row>
    <x:row r="855">
      <x:c r="A855" s="48" t="str">
        <x:v>RED-0854</x:v>
      </x:c>
      <x:c r="B855" s="48" t="str">
        <x:v>RED</x:v>
      </x:c>
      <x:c r="C855" s="48" t="str">
        <x:v>English</x:v>
      </x:c>
      <x:c r="D855" s="48" t="n">
        <x:v>51</x:v>
      </x:c>
      <x:c r="E855" s="48" t="str"/>
      <x:c r="F855" s="48" t="str">
        <x:v>If the Contractor does not attend, the records shall be accepted as accurate.</x:v>
      </x:c>
      <x:c r="G855" s="48" t="str">
        <x:v>Obligation</x:v>
      </x:c>
      <x:c r="H855" s="48" t="str">
        <x:v>Contractor</x:v>
      </x:c>
      <x:c r="I855" s="48" t="n">
        <x:v>0.88</x:v>
      </x:c>
      <x:c r="J855" s="48" t="n">
        <x:v>0.68</x:v>
      </x:c>
      <x:c r="K855" s="48" t="str">
        <x:v>Yes</x:v>
      </x:c>
      <x:c r="L855" s="48" t="str">
        <x:v>PDF text</x:v>
      </x:c>
    </x:row>
    <x:row r="856">
      <x:c r="A856" s="48" t="str">
        <x:v>RED-0855</x:v>
      </x:c>
      <x:c r="B856" s="48" t="str">
        <x:v>RED</x:v>
      </x:c>
      <x:c r="C856" s="48" t="str">
        <x:v>English</x:v>
      </x:c>
      <x:c r="D856" s="48" t="n">
        <x:v>51</x:v>
      </x:c>
      <x:c r="E856" s="48" t="str"/>
      <x:c r="F856" s="48" t="str">
        <x:v>If the Contractor examines and disagrees the records, and/or does not sign them as agreed, then the Contractor shall give notice to the Engineer of the respects in which the records are asserted to be inaccurate.</x:v>
      </x:c>
      <x:c r="G856" s="48" t="str">
        <x:v>Obligation</x:v>
      </x:c>
      <x:c r="H856" s="48" t="str">
        <x:v>Contractor</x:v>
      </x:c>
      <x:c r="I856" s="48" t="n">
        <x:v>0.88</x:v>
      </x:c>
      <x:c r="J856" s="48" t="n">
        <x:v>0.92</x:v>
      </x:c>
      <x:c r="K856" s="48" t="str">
        <x:v>No</x:v>
      </x:c>
      <x:c r="L856" s="48" t="str">
        <x:v>PDF text</x:v>
      </x:c>
    </x:row>
    <x:row r="857">
      <x:c r="A857" s="48" t="str">
        <x:v>RED-0856</x:v>
      </x:c>
      <x:c r="B857" s="48" t="str">
        <x:v>RED</x:v>
      </x:c>
      <x:c r="C857" s="48" t="str">
        <x:v>English</x:v>
      </x:c>
      <x:c r="D857" s="48" t="n">
        <x:v>51</x:v>
      </x:c>
      <x:c r="E857" s="48" t="str"/>
      <x:c r="F857" s="48" t="str">
        <x:v>After receiving this notice, the Engineer shall review the records and either confirm or vary them.</x:v>
      </x:c>
      <x:c r="G857" s="48" t="str">
        <x:v>Obligation</x:v>
      </x:c>
      <x:c r="H857" s="48" t="str">
        <x:v>Shared</x:v>
      </x:c>
      <x:c r="I857" s="48" t="n">
        <x:v>0.88</x:v>
      </x:c>
      <x:c r="J857" s="48" t="n">
        <x:v>0.4</x:v>
      </x:c>
      <x:c r="K857" s="48" t="str">
        <x:v>Yes</x:v>
      </x:c>
      <x:c r="L857" s="48" t="str">
        <x:v>PDF text</x:v>
      </x:c>
    </x:row>
    <x:row r="858">
      <x:c r="A858" s="48" t="str">
        <x:v>RED-0857</x:v>
      </x:c>
      <x:c r="B858" s="48" t="str">
        <x:v>RED</x:v>
      </x:c>
      <x:c r="C858" s="48" t="str">
        <x:v>English</x:v>
      </x:c>
      <x:c r="D858" s="48" t="n">
        <x:v>51</x:v>
      </x:c>
      <x:c r="E858" s="48" t="str"/>
      <x:c r="F858" s="48" t="str">
        <x:v>If the Contractor does not so give notice to the Engineer within 14 days after being requested to examine the records, they shall be accepted as accurate.</x:v>
      </x:c>
      <x:c r="G858" s="48" t="str">
        <x:v>Obligation</x:v>
      </x:c>
      <x:c r="H858" s="48" t="str">
        <x:v>Contractor</x:v>
      </x:c>
      <x:c r="I858" s="48" t="n">
        <x:v>0.88</x:v>
      </x:c>
      <x:c r="J858" s="48" t="n">
        <x:v>0.68</x:v>
      </x:c>
      <x:c r="K858" s="48" t="str">
        <x:v>Yes</x:v>
      </x:c>
      <x:c r="L858" s="48" t="str">
        <x:v>PDF text</x:v>
      </x:c>
    </x:row>
    <x:row r="859">
      <x:c r="A859" s="48" t="str">
        <x:v>RED-0858</x:v>
      </x:c>
      <x:c r="B859" s="48" t="str">
        <x:v>RED</x:v>
      </x:c>
      <x:c r="C859" s="48" t="str">
        <x:v>English</x:v>
      </x:c>
      <x:c r="D859" s="48" t="n">
        <x:v>51</x:v>
      </x:c>
      <x:c r="E859" s="48" t="str"/>
      <x:c r="F859" s="48" t="str">
        <x:v>Except as otherwise stated in the Contract and notwithstanding local practice: (a) measurement shall be made of the net actual quantity of each item of the</x:v>
      </x:c>
      <x:c r="G859" s="48" t="str">
        <x:v>Obligation</x:v>
      </x:c>
      <x:c r="H859" s="48" t="str">
        <x:v>Shared</x:v>
      </x:c>
      <x:c r="I859" s="48" t="n">
        <x:v>0.88</x:v>
      </x:c>
      <x:c r="J859" s="48" t="n">
        <x:v>0.4</x:v>
      </x:c>
      <x:c r="K859" s="48" t="str">
        <x:v>Yes</x:v>
      </x:c>
      <x:c r="L859" s="48" t="str">
        <x:v>PDF text</x:v>
      </x:c>
    </x:row>
    <x:row r="860">
      <x:c r="A860" s="48" t="str">
        <x:v>RED-0859</x:v>
      </x:c>
      <x:c r="B860" s="48" t="str">
        <x:v>RED</x:v>
      </x:c>
      <x:c r="C860" s="48" t="str">
        <x:v>English</x:v>
      </x:c>
      <x:c r="D860" s="48" t="n">
        <x:v>51</x:v>
      </x:c>
      <x:c r="E860" s="48" t="str"/>
      <x:c r="F860" s="48" t="str">
        <x:v>Permanent Works, and</x:v>
      </x:c>
      <x:c r="G860" s="48" t="str">
        <x:v>Obligation</x:v>
      </x:c>
      <x:c r="H860" s="48" t="str">
        <x:v>Shared</x:v>
      </x:c>
      <x:c r="I860" s="48" t="n">
        <x:v>0.45</x:v>
      </x:c>
      <x:c r="J860" s="48" t="n">
        <x:v>0.4</x:v>
      </x:c>
      <x:c r="K860" s="48" t="str">
        <x:v>Yes</x:v>
      </x:c>
      <x:c r="L860" s="48" t="str">
        <x:v>PDF text</x:v>
      </x:c>
    </x:row>
    <x:row r="861">
      <x:c r="A861" s="48" t="str">
        <x:v>RED-0860</x:v>
      </x:c>
      <x:c r="B861" s="48" t="str">
        <x:v>RED</x:v>
      </x:c>
      <x:c r="C861" s="48" t="str">
        <x:v>English</x:v>
      </x:c>
      <x:c r="D861" s="48" t="n">
        <x:v>51</x:v>
      </x:c>
      <x:c r="E861" s="48" t="str"/>
      <x:c r="F861" s="48" t="str">
        <x:v>(b) the method of measurement shall be in accordance with the Bill of Quantities or other applicable Schedules.</x:v>
      </x:c>
      <x:c r="G861" s="48" t="str">
        <x:v>Obligation</x:v>
      </x:c>
      <x:c r="H861" s="48" t="str">
        <x:v>Shared</x:v>
      </x:c>
      <x:c r="I861" s="48" t="n">
        <x:v>0.88</x:v>
      </x:c>
      <x:c r="J861" s="48" t="n">
        <x:v>0.4</x:v>
      </x:c>
      <x:c r="K861" s="48" t="str">
        <x:v>Yes</x:v>
      </x:c>
      <x:c r="L861" s="48" t="str">
        <x:v>PDF text</x:v>
      </x:c>
    </x:row>
    <x:row r="862">
      <x:c r="A862" s="48" t="str">
        <x:v>RED-0861</x:v>
      </x:c>
      <x:c r="B862" s="48" t="str">
        <x:v>RED</x:v>
      </x:c>
      <x:c r="C862" s="48" t="str">
        <x:v>English</x:v>
      </x:c>
      <x:c r="D862" s="48" t="n">
        <x:v>51</x:v>
      </x:c>
      <x:c r="E862" s="48" t="str"/>
      <x:c r="F862" s="48" t="str">
        <x:v>Except as otherwise stated in the Contract, the Engineer shall proceed in accordance with Sub-Clause 3.5 [Determinations] to agree or determine the Contract Price by evaluating each item of work, applying the measurement agreed or determined in accordance with the above Sub-Clauses 12.1 and 12.2 and the appropriate rate or price for the item.</x:v>
      </x:c>
      <x:c r="G862" s="48" t="str">
        <x:v>Obligation</x:v>
      </x:c>
      <x:c r="H862" s="48" t="str">
        <x:v>Shared</x:v>
      </x:c>
      <x:c r="I862" s="48" t="n">
        <x:v>0.88</x:v>
      </x:c>
      <x:c r="J862" s="48" t="n">
        <x:v>0.4</x:v>
      </x:c>
      <x:c r="K862" s="48" t="str">
        <x:v>Yes</x:v>
      </x:c>
      <x:c r="L862" s="48" t="str">
        <x:v>PDF text</x:v>
      </x:c>
    </x:row>
    <x:row r="863">
      <x:c r="A863" s="48" t="str">
        <x:v>RED-0862</x:v>
      </x:c>
      <x:c r="B863" s="48" t="str">
        <x:v>RED</x:v>
      </x:c>
      <x:c r="C863" s="48" t="str">
        <x:v>English</x:v>
      </x:c>
      <x:c r="D863" s="48" t="n">
        <x:v>51</x:v>
      </x:c>
      <x:c r="E863" s="48" t="str"/>
      <x:c r="F863" s="48" t="str">
        <x:v>For each item of work, the appropriate rate or price for the item shall be the rate or price specified for such item in the Contract or, if there is no such item, specified for similar work.</x:v>
      </x:c>
      <x:c r="G863" s="48" t="str">
        <x:v>Obligation</x:v>
      </x:c>
      <x:c r="H863" s="48" t="str">
        <x:v>Shared</x:v>
      </x:c>
      <x:c r="I863" s="48" t="n">
        <x:v>0.88</x:v>
      </x:c>
      <x:c r="J863" s="48" t="n">
        <x:v>0.4</x:v>
      </x:c>
      <x:c r="K863" s="48" t="str">
        <x:v>Yes</x:v>
      </x:c>
      <x:c r="L863" s="48" t="str">
        <x:v>PDF text</x:v>
      </x:c>
    </x:row>
    <x:row r="864">
      <x:c r="A864" s="48" t="str">
        <x:v>RED-0863</x:v>
      </x:c>
      <x:c r="B864" s="48" t="str">
        <x:v>RED</x:v>
      </x:c>
      <x:c r="C864" s="48" t="str">
        <x:v>English</x:v>
      </x:c>
      <x:c r="D864" s="48" t="n">
        <x:v>51</x:v>
      </x:c>
      <x:c r="E864" s="48" t="str"/>
      <x:c r="F864" s="48" t="str">
        <x:v>Any item of work included in the Bill of Quantities for which no rate or price was specified shall be considered as included in other rates and prices in the Bill of Quantities and will not be paid for separately.</x:v>
      </x:c>
      <x:c r="G864" s="48" t="str">
        <x:v>Obligation</x:v>
      </x:c>
      <x:c r="H864" s="48" t="str">
        <x:v>Shared</x:v>
      </x:c>
      <x:c r="I864" s="48" t="n">
        <x:v>0.88</x:v>
      </x:c>
      <x:c r="J864" s="48" t="n">
        <x:v>0.4</x:v>
      </x:c>
      <x:c r="K864" s="48" t="str">
        <x:v>Yes</x:v>
      </x:c>
      <x:c r="L864" s="48" t="str">
        <x:v>PDF text</x:v>
      </x:c>
    </x:row>
    <x:row r="865">
      <x:c r="A865" s="48" t="str">
        <x:v>RED-0864</x:v>
      </x:c>
      <x:c r="B865" s="48" t="str">
        <x:v>RED</x:v>
      </x:c>
      <x:c r="C865" s="48" t="str">
        <x:v>English</x:v>
      </x:c>
      <x:c r="D865" s="48" t="n">
        <x:v>51</x:v>
      </x:c>
      <x:c r="E865" s="48" t="str"/>
      <x:c r="F865" s="48" t="str">
        <x:v>However, a new rate or price shall be appropriate for an item of work if: 12.1</x:v>
      </x:c>
      <x:c r="G865" s="48" t="str">
        <x:v>Obligation</x:v>
      </x:c>
      <x:c r="H865" s="48" t="str">
        <x:v>Shared</x:v>
      </x:c>
      <x:c r="I865" s="48" t="n">
        <x:v>0.88</x:v>
      </x:c>
      <x:c r="J865" s="48" t="n">
        <x:v>0.4</x:v>
      </x:c>
      <x:c r="K865" s="48" t="str">
        <x:v>Yes</x:v>
      </x:c>
      <x:c r="L865" s="48" t="str">
        <x:v>PDF text</x:v>
      </x:c>
    </x:row>
    <x:row r="866">
      <x:c r="A866" s="48" t="str">
        <x:v>RED-0865</x:v>
      </x:c>
      <x:c r="B866" s="48" t="str">
        <x:v>RED</x:v>
      </x:c>
      <x:c r="C866" s="48" t="str">
        <x:v>English</x:v>
      </x:c>
      <x:c r="D866" s="48" t="n">
        <x:v>51</x:v>
      </x:c>
      <x:c r="E866" s="48" t="str"/>
      <x:c r="F866" s="48" t="str">
        <x:v>Works to be Measured</x:v>
      </x:c>
      <x:c r="G866" s="48" t="str">
        <x:v>Obligation</x:v>
      </x:c>
      <x:c r="H866" s="48" t="str">
        <x:v>Shared</x:v>
      </x:c>
      <x:c r="I866" s="48" t="n">
        <x:v>0.45</x:v>
      </x:c>
      <x:c r="J866" s="48" t="n">
        <x:v>0.4</x:v>
      </x:c>
      <x:c r="K866" s="48" t="str">
        <x:v>Yes</x:v>
      </x:c>
      <x:c r="L866" s="48" t="str">
        <x:v>PDF text</x:v>
      </x:c>
    </x:row>
    <x:row r="867">
      <x:c r="A867" s="48" t="str">
        <x:v>RED-0866</x:v>
      </x:c>
      <x:c r="B867" s="48" t="str">
        <x:v>RED</x:v>
      </x:c>
      <x:c r="C867" s="48" t="str">
        <x:v>English</x:v>
      </x:c>
      <x:c r="D867" s="48" t="n">
        <x:v>51</x:v>
      </x:c>
      <x:c r="E867" s="48" t="str"/>
      <x:c r="F867" s="48" t="str">
        <x:v>Method of Measurement</x:v>
      </x:c>
      <x:c r="G867" s="48" t="str">
        <x:v>Obligation</x:v>
      </x:c>
      <x:c r="H867" s="48" t="str">
        <x:v>Shared</x:v>
      </x:c>
      <x:c r="I867" s="48" t="n">
        <x:v>0.45</x:v>
      </x:c>
      <x:c r="J867" s="48" t="n">
        <x:v>0.4</x:v>
      </x:c>
      <x:c r="K867" s="48" t="str">
        <x:v>Yes</x:v>
      </x:c>
      <x:c r="L867" s="48" t="str">
        <x:v>PDF text</x:v>
      </x:c>
    </x:row>
    <x:row r="868">
      <x:c r="A868" s="48" t="str">
        <x:v>RED-0867</x:v>
      </x:c>
      <x:c r="B868" s="48" t="str">
        <x:v>RED</x:v>
      </x:c>
      <x:c r="C868" s="48" t="str">
        <x:v>English</x:v>
      </x:c>
      <x:c r="D868" s="48" t="n">
        <x:v>51</x:v>
      </x:c>
      <x:c r="E868" s="48" t="str"/>
      <x:c r="F868" s="48" t="str">
        <x:v>Evaluation</x:v>
      </x:c>
      <x:c r="G868" s="48" t="str">
        <x:v>Obligation</x:v>
      </x:c>
      <x:c r="H868" s="48" t="str">
        <x:v>Shared</x:v>
      </x:c>
      <x:c r="I868" s="48" t="n">
        <x:v>0.45</x:v>
      </x:c>
      <x:c r="J868" s="48" t="n">
        <x:v>0.4</x:v>
      </x:c>
      <x:c r="K868" s="48" t="str">
        <x:v>Yes</x:v>
      </x:c>
      <x:c r="L868" s="48" t="str">
        <x:v>PDF text</x:v>
      </x:c>
    </x:row>
    <x:row r="869">
      <x:c r="A869" s="48" t="str">
        <x:v>RED-0868</x:v>
      </x:c>
      <x:c r="B869" s="48" t="str">
        <x:v>RED</x:v>
      </x:c>
      <x:c r="C869" s="48" t="str">
        <x:v>English</x:v>
      </x:c>
      <x:c r="D869" s="48" t="n">
        <x:v>51</x:v>
      </x:c>
      <x:c r="E869" s="48" t="str"/>
      <x:c r="F869" s="48" t="str">
        <x:v>Measurement and Evaluation</x:v>
      </x:c>
      <x:c r="G869" s="48" t="str">
        <x:v>Obligation</x:v>
      </x:c>
      <x:c r="H869" s="48" t="str">
        <x:v>Shared</x:v>
      </x:c>
      <x:c r="I869" s="48" t="n">
        <x:v>0.45</x:v>
      </x:c>
      <x:c r="J869" s="48" t="n">
        <x:v>0.4</x:v>
      </x:c>
      <x:c r="K869" s="48" t="str">
        <x:v>Yes</x:v>
      </x:c>
      <x:c r="L869" s="48" t="str">
        <x:v>PDF text</x:v>
      </x:c>
    </x:row>
    <x:row r="870">
      <x:c r="A870" s="48" t="str">
        <x:v>RED-0869</x:v>
      </x:c>
      <x:c r="B870" s="48" t="str">
        <x:v>RED</x:v>
      </x:c>
      <x:c r="C870" s="48" t="str">
        <x:v>English</x:v>
      </x:c>
      <x:c r="D870" s="48" t="n">
        <x:v>52</x:v>
      </x:c>
      <x:c r="E870" s="48" t="str"/>
      <x:c r="F870" s="48" t="str">
        <x:v>Omissions</x:v>
      </x:c>
      <x:c r="G870" s="48" t="str">
        <x:v>Obligation</x:v>
      </x:c>
      <x:c r="H870" s="48" t="str">
        <x:v>Shared</x:v>
      </x:c>
      <x:c r="I870" s="48" t="n">
        <x:v>0.45</x:v>
      </x:c>
      <x:c r="J870" s="48" t="n">
        <x:v>0.4</x:v>
      </x:c>
      <x:c r="K870" s="48" t="str">
        <x:v>Yes</x:v>
      </x:c>
      <x:c r="L870" s="48" t="str">
        <x:v>PDF text</x:v>
      </x:c>
    </x:row>
    <x:row r="871">
      <x:c r="A871" s="48" t="str">
        <x:v>RED-0870</x:v>
      </x:c>
      <x:c r="B871" s="48" t="str">
        <x:v>RED</x:v>
      </x:c>
      <x:c r="C871" s="48" t="str">
        <x:v>English</x:v>
      </x:c>
      <x:c r="D871" s="48" t="n">
        <x:v>52</x:v>
      </x:c>
      <x:c r="E871" s="48" t="str"/>
      <x:c r="F871" s="48" t="str">
        <x:v>Right to Vary</x:v>
      </x:c>
      <x:c r="G871" s="48" t="str">
        <x:v>Right</x:v>
      </x:c>
      <x:c r="H871" s="48" t="str">
        <x:v>Shared</x:v>
      </x:c>
      <x:c r="I871" s="48" t="n">
        <x:v>0.78</x:v>
      </x:c>
      <x:c r="J871" s="48" t="n">
        <x:v>0.4</x:v>
      </x:c>
      <x:c r="K871" s="48" t="str">
        <x:v>Yes</x:v>
      </x:c>
      <x:c r="L871" s="48" t="str">
        <x:v>PDF text</x:v>
      </x:c>
    </x:row>
    <x:row r="872">
      <x:c r="A872" s="48" t="str">
        <x:v>RED-0871</x:v>
      </x:c>
      <x:c r="B872" s="48" t="str">
        <x:v>RED</x:v>
      </x:c>
      <x:c r="C872" s="48" t="str">
        <x:v>English</x:v>
      </x:c>
      <x:c r="D872" s="48" t="n">
        <x:v>52</x:v>
      </x:c>
      <x:c r="E872" s="48" t="str"/>
      <x:c r="F872" s="48" t="str">
        <x:v>(a) (i) the measured quantity of the item is changed by more than 25% from the quantity of this item in the Bill of Quantities or other Schedule, (ii) this change in quantity multiplied by such specified rate for this item exceeds 0.25% of the Accepted Contract Amount, (iii) this change in quantity directly changes the Cost per unit quantity of this item by more than 1%, and (iv) this item is not specified in the Contract as a “fixed rate item"; or (b) (i) the work is instructed under Clause 13 [Variations and Adjustments], (ii) no rate or price is specified in the Contract for this item, and (iii) no specified rate or price is appropriate because the item of work is not of similar character, or is not executed under similar conditions, as any item in the Contract.</x:v>
      </x:c>
      <x:c r="G872" s="48" t="str">
        <x:v>Obligation</x:v>
      </x:c>
      <x:c r="H872" s="48" t="str">
        <x:v>Shared</x:v>
      </x:c>
      <x:c r="I872" s="48" t="n">
        <x:v>0.45</x:v>
      </x:c>
      <x:c r="J872" s="48" t="n">
        <x:v>0.4</x:v>
      </x:c>
      <x:c r="K872" s="48" t="str">
        <x:v>Yes</x:v>
      </x:c>
      <x:c r="L872" s="48" t="str">
        <x:v>PDF text</x:v>
      </x:c>
    </x:row>
    <x:row r="873">
      <x:c r="A873" s="48" t="str">
        <x:v>RED-0872</x:v>
      </x:c>
      <x:c r="B873" s="48" t="str">
        <x:v>RED</x:v>
      </x:c>
      <x:c r="C873" s="48" t="str">
        <x:v>English</x:v>
      </x:c>
      <x:c r="D873" s="48" t="n">
        <x:v>52</x:v>
      </x:c>
      <x:c r="E873" s="48" t="str"/>
      <x:c r="F873" s="48" t="str">
        <x:v>Each new rate or price shall be derived from any relevant rates or prices in the</x:v>
      </x:c>
      <x:c r="G873" s="48" t="str">
        <x:v>Obligation</x:v>
      </x:c>
      <x:c r="H873" s="48" t="str">
        <x:v>Shared</x:v>
      </x:c>
      <x:c r="I873" s="48" t="n">
        <x:v>0.88</x:v>
      </x:c>
      <x:c r="J873" s="48" t="n">
        <x:v>0.4</x:v>
      </x:c>
      <x:c r="K873" s="48" t="str">
        <x:v>Yes</x:v>
      </x:c>
      <x:c r="L873" s="48" t="str">
        <x:v>PDF text</x:v>
      </x:c>
    </x:row>
    <x:row r="874">
      <x:c r="A874" s="48" t="str">
        <x:v>RED-0873</x:v>
      </x:c>
      <x:c r="B874" s="48" t="str">
        <x:v>RED</x:v>
      </x:c>
      <x:c r="C874" s="48" t="str">
        <x:v>English</x:v>
      </x:c>
      <x:c r="D874" s="48" t="n">
        <x:v>52</x:v>
      </x:c>
      <x:c r="E874" s="48" t="str"/>
      <x:c r="F874" s="48" t="str">
        <x:v>Contract, with reasonable adjustments to take account of the matters described in</x:v>
      </x:c>
      <x:c r="G874" s="48" t="str">
        <x:v>Obligation</x:v>
      </x:c>
      <x:c r="H874" s="48" t="str">
        <x:v>Shared</x:v>
      </x:c>
      <x:c r="I874" s="48" t="n">
        <x:v>0.45</x:v>
      </x:c>
      <x:c r="J874" s="48" t="n">
        <x:v>0.4</x:v>
      </x:c>
      <x:c r="K874" s="48" t="str">
        <x:v>Yes</x:v>
      </x:c>
      <x:c r="L874" s="48" t="str">
        <x:v>PDF text</x:v>
      </x:c>
    </x:row>
    <x:row r="875">
      <x:c r="A875" s="48" t="str">
        <x:v>RED-0874</x:v>
      </x:c>
      <x:c r="B875" s="48" t="str">
        <x:v>RED</x:v>
      </x:c>
      <x:c r="C875" s="48" t="str">
        <x:v>English</x:v>
      </x:c>
      <x:c r="D875" s="48" t="n">
        <x:v>52</x:v>
      </x:c>
      <x:c r="E875" s="48" t="str"/>
      <x:c r="F875" s="48" t="str">
        <x:v>sub-paragraph (a) and/or (b), as applicable.</x:v>
      </x:c>
      <x:c r="G875" s="48" t="str">
        <x:v>Obligation</x:v>
      </x:c>
      <x:c r="H875" s="48" t="str">
        <x:v>Shared</x:v>
      </x:c>
      <x:c r="I875" s="48" t="n">
        <x:v>0.45</x:v>
      </x:c>
      <x:c r="J875" s="48" t="n">
        <x:v>0.4</x:v>
      </x:c>
      <x:c r="K875" s="48" t="str">
        <x:v>Yes</x:v>
      </x:c>
      <x:c r="L875" s="48" t="str">
        <x:v>PDF text</x:v>
      </x:c>
    </x:row>
    <x:row r="876">
      <x:c r="A876" s="48" t="str">
        <x:v>RED-0875</x:v>
      </x:c>
      <x:c r="B876" s="48" t="str">
        <x:v>RED</x:v>
      </x:c>
      <x:c r="C876" s="48" t="str">
        <x:v>English</x:v>
      </x:c>
      <x:c r="D876" s="48" t="n">
        <x:v>52</x:v>
      </x:c>
      <x:c r="E876" s="48" t="str"/>
      <x:c r="F876" s="48" t="str">
        <x:v>If no rates or prices are relevant for the derivation of a new rate or price, it shall be derived from the reasonable Cost of executing the work, together with profit, taking account of any other relevant matters.</x:v>
      </x:c>
      <x:c r="G876" s="48" t="str">
        <x:v>Obligation</x:v>
      </x:c>
      <x:c r="H876" s="48" t="str">
        <x:v>Shared</x:v>
      </x:c>
      <x:c r="I876" s="48" t="n">
        <x:v>0.88</x:v>
      </x:c>
      <x:c r="J876" s="48" t="n">
        <x:v>0.4</x:v>
      </x:c>
      <x:c r="K876" s="48" t="str">
        <x:v>Yes</x:v>
      </x:c>
      <x:c r="L876" s="48" t="str">
        <x:v>PDF text</x:v>
      </x:c>
    </x:row>
    <x:row r="877">
      <x:c r="A877" s="48" t="str">
        <x:v>RED-0876</x:v>
      </x:c>
      <x:c r="B877" s="48" t="str">
        <x:v>RED</x:v>
      </x:c>
      <x:c r="C877" s="48" t="str">
        <x:v>English</x:v>
      </x:c>
      <x:c r="D877" s="48" t="n">
        <x:v>52</x:v>
      </x:c>
      <x:c r="E877" s="48" t="str"/>
      <x:c r="F877" s="48" t="str">
        <x:v>Until such time as an appropriate rate or price is agreed or determined, the Engineer shall determine a provisional rate or price for the purposes of Interim Payment Certificates.</x:v>
      </x:c>
      <x:c r="G877" s="48" t="str">
        <x:v>Obligation</x:v>
      </x:c>
      <x:c r="H877" s="48" t="str">
        <x:v>Shared</x:v>
      </x:c>
      <x:c r="I877" s="48" t="n">
        <x:v>0.88</x:v>
      </x:c>
      <x:c r="J877" s="48" t="n">
        <x:v>0.4</x:v>
      </x:c>
      <x:c r="K877" s="48" t="str">
        <x:v>Yes</x:v>
      </x:c>
      <x:c r="L877" s="48" t="str">
        <x:v>PDF text</x:v>
      </x:c>
    </x:row>
    <x:row r="878">
      <x:c r="A878" s="48" t="str">
        <x:v>RED-0877</x:v>
      </x:c>
      <x:c r="B878" s="48" t="str">
        <x:v>RED</x:v>
      </x:c>
      <x:c r="C878" s="48" t="str">
        <x:v>English</x:v>
      </x:c>
      <x:c r="D878" s="48" t="n">
        <x:v>52</x:v>
      </x:c>
      <x:c r="E878" s="48" t="str"/>
      <x:c r="F878" s="48" t="str">
        <x:v>Whenever the omission of any work forms part (or all) of a Variation, the value of which has not been agreed, if: (a) the Contractor will incur (or has incurred) cost which, if the work had not been omitted, would have been deemed to be covered by a sum forming part of the Accepted Contract Amount; (b) the omission of the work will result (or has resulted) in this sum not forming part of the Contract Price; and (c) this cost is not deemed to be included in the evaluation of any substituted work; then the Contractor shall give notice to the Engineer accordingly, with supporting particulars.</x:v>
      </x:c>
      <x:c r="G878" s="48" t="str">
        <x:v>Obligation</x:v>
      </x:c>
      <x:c r="H878" s="48" t="str">
        <x:v>Contractor</x:v>
      </x:c>
      <x:c r="I878" s="48" t="n">
        <x:v>0.88</x:v>
      </x:c>
      <x:c r="J878" s="48" t="n">
        <x:v>0.92</x:v>
      </x:c>
      <x:c r="K878" s="48" t="str">
        <x:v>No</x:v>
      </x:c>
      <x:c r="L878" s="48" t="str">
        <x:v>PDF text</x:v>
      </x:c>
    </x:row>
    <x:row r="879">
      <x:c r="A879" s="48" t="str">
        <x:v>RED-0878</x:v>
      </x:c>
      <x:c r="B879" s="48" t="str">
        <x:v>RED</x:v>
      </x:c>
      <x:c r="C879" s="48" t="str">
        <x:v>English</x:v>
      </x:c>
      <x:c r="D879" s="48" t="n">
        <x:v>52</x:v>
      </x:c>
      <x:c r="E879" s="48" t="str"/>
      <x:c r="F879" s="48" t="str">
        <x:v>Upon receiving this notice, the Engineer shall proceed in accordance with Sub-Clause 3.5 [Determinations] to agree or determine this cost, which shall be included in the Contract Price.</x:v>
      </x:c>
      <x:c r="G879" s="48" t="str">
        <x:v>Obligation</x:v>
      </x:c>
      <x:c r="H879" s="48" t="str">
        <x:v>Shared</x:v>
      </x:c>
      <x:c r="I879" s="48" t="n">
        <x:v>0.88</x:v>
      </x:c>
      <x:c r="J879" s="48" t="n">
        <x:v>0.4</x:v>
      </x:c>
      <x:c r="K879" s="48" t="str">
        <x:v>Yes</x:v>
      </x:c>
      <x:c r="L879" s="48" t="str">
        <x:v>PDF text</x:v>
      </x:c>
    </x:row>
    <x:row r="880">
      <x:c r="A880" s="48" t="str">
        <x:v>RED-0879</x:v>
      </x:c>
      <x:c r="B880" s="48" t="str">
        <x:v>RED</x:v>
      </x:c>
      <x:c r="C880" s="48" t="str">
        <x:v>English</x:v>
      </x:c>
      <x:c r="D880" s="48" t="n">
        <x:v>52</x:v>
      </x:c>
      <x:c r="E880" s="48" t="str"/>
      <x:c r="F880" s="48" t="str">
        <x:v>Variations may be initiated by the Engineer at any time prior to issuing the Taking-Over Certificate for the Works, either by an instruction or by a request for the Contractor to submit a proposal.</x:v>
      </x:c>
      <x:c r="G880" s="48" t="str">
        <x:v>Right</x:v>
      </x:c>
      <x:c r="H880" s="48" t="str">
        <x:v>Contractor</x:v>
      </x:c>
      <x:c r="I880" s="48" t="n">
        <x:v>0.78</x:v>
      </x:c>
      <x:c r="J880" s="48" t="n">
        <x:v>0.68</x:v>
      </x:c>
      <x:c r="K880" s="48" t="str">
        <x:v>Yes</x:v>
      </x:c>
      <x:c r="L880" s="48" t="str">
        <x:v>PDF text</x:v>
      </x:c>
    </x:row>
    <x:row r="881">
      <x:c r="A881" s="48" t="str">
        <x:v>RED-0880</x:v>
      </x:c>
      <x:c r="B881" s="48" t="str">
        <x:v>RED</x:v>
      </x:c>
      <x:c r="C881" s="48" t="str">
        <x:v>English</x:v>
      </x:c>
      <x:c r="D881" s="48" t="n">
        <x:v>52</x:v>
      </x:c>
      <x:c r="E881" s="48" t="str"/>
      <x:c r="F881" s="48" t="str">
        <x:v>The Contractor shall execute and be bound by each Variation, unless the Contractor promptly gives notice to the Engineer stating (with supporting particulars) that the Contractor cannot readily obtain the Goods required for the Variation.</x:v>
      </x:c>
      <x:c r="G881" s="48" t="str">
        <x:v>Obligation</x:v>
      </x:c>
      <x:c r="H881" s="48" t="str">
        <x:v>Contractor</x:v>
      </x:c>
      <x:c r="I881" s="48" t="n">
        <x:v>0.88</x:v>
      </x:c>
      <x:c r="J881" s="48" t="n">
        <x:v>0.92</x:v>
      </x:c>
      <x:c r="K881" s="48" t="str">
        <x:v>No</x:v>
      </x:c>
      <x:c r="L881" s="48" t="str">
        <x:v>PDF text</x:v>
      </x:c>
    </x:row>
    <x:row r="882">
      <x:c r="A882" s="48" t="str">
        <x:v>RED-0881</x:v>
      </x:c>
      <x:c r="B882" s="48" t="str">
        <x:v>RED</x:v>
      </x:c>
      <x:c r="C882" s="48" t="str">
        <x:v>English</x:v>
      </x:c>
      <x:c r="D882" s="48" t="n">
        <x:v>52</x:v>
      </x:c>
      <x:c r="E882" s="48" t="str"/>
      <x:c r="F882" s="48" t="str">
        <x:v>Upon receiving this notice, the Engineer shall cancel, confirm or vary the instruction.</x:v>
      </x:c>
      <x:c r="G882" s="48" t="str">
        <x:v>Obligation</x:v>
      </x:c>
      <x:c r="H882" s="48" t="str">
        <x:v>Shared</x:v>
      </x:c>
      <x:c r="I882" s="48" t="n">
        <x:v>0.88</x:v>
      </x:c>
      <x:c r="J882" s="48" t="n">
        <x:v>0.4</x:v>
      </x:c>
      <x:c r="K882" s="48" t="str">
        <x:v>Yes</x:v>
      </x:c>
      <x:c r="L882" s="48" t="str">
        <x:v>PDF text</x:v>
      </x:c>
    </x:row>
    <x:row r="883">
      <x:c r="A883" s="48" t="str">
        <x:v>RED-0882</x:v>
      </x:c>
      <x:c r="B883" s="48" t="str">
        <x:v>RED</x:v>
      </x:c>
      <x:c r="C883" s="48" t="str">
        <x:v>English</x:v>
      </x:c>
      <x:c r="D883" s="48" t="n">
        <x:v>52</x:v>
      </x:c>
      <x:c r="E883" s="48" t="str"/>
      <x:c r="F883" s="48" t="str">
        <x:v>Each Variation may include:</x:v>
      </x:c>
      <x:c r="G883" s="48" t="str">
        <x:v>Right</x:v>
      </x:c>
      <x:c r="H883" s="48" t="str">
        <x:v>Shared</x:v>
      </x:c>
      <x:c r="I883" s="48" t="n">
        <x:v>0.78</x:v>
      </x:c>
      <x:c r="J883" s="48" t="n">
        <x:v>0.4</x:v>
      </x:c>
      <x:c r="K883" s="48" t="str">
        <x:v>Yes</x:v>
      </x:c>
      <x:c r="L883" s="48" t="str">
        <x:v>PDF text</x:v>
      </x:c>
    </x:row>
    <x:row r="884">
      <x:c r="A884" s="48" t="str">
        <x:v>RED-0883</x:v>
      </x:c>
      <x:c r="B884" s="48" t="str">
        <x:v>RED</x:v>
      </x:c>
      <x:c r="C884" s="48" t="str">
        <x:v>English</x:v>
      </x:c>
      <x:c r="D884" s="48" t="n">
        <x:v>52</x:v>
      </x:c>
      <x:c r="E884" s="48" t="str"/>
      <x:c r="F884" s="48" t="str">
        <x:v>Variations and Adjustments</x:v>
      </x:c>
      <x:c r="G884" s="48" t="str">
        <x:v>Obligation</x:v>
      </x:c>
      <x:c r="H884" s="48" t="str">
        <x:v>Shared</x:v>
      </x:c>
      <x:c r="I884" s="48" t="n">
        <x:v>0.45</x:v>
      </x:c>
      <x:c r="J884" s="48" t="n">
        <x:v>0.4</x:v>
      </x:c>
      <x:c r="K884" s="48" t="str">
        <x:v>Yes</x:v>
      </x:c>
      <x:c r="L884" s="48" t="str">
        <x:v>PDF text</x:v>
      </x:c>
    </x:row>
    <x:row r="885">
      <x:c r="A885" s="48" t="str">
        <x:v>RED-0884</x:v>
      </x:c>
      <x:c r="B885" s="48" t="str">
        <x:v>RED</x:v>
      </x:c>
      <x:c r="C885" s="48" t="str">
        <x:v>English</x:v>
      </x:c>
      <x:c r="D885" s="48" t="n">
        <x:v>53</x:v>
      </x:c>
      <x:c r="E885" s="48" t="str"/>
      <x:c r="F885" s="48" t="str">
        <x:v>(a) changes to the quantities of any item of work included in the Contract (however, such changes do not necessarily constitute a Variation), (b) changes to the quality and other characteristics of any item of work, (c) changes to the levels, positions and/or dimensions of any part of the Works, (d) omission of any work unless it is to be carried out by others, (e) any additional work, Plant, Materials or services necessary for the Permanent</x:v>
      </x:c>
      <x:c r="G885" s="48" t="str">
        <x:v>Obligation</x:v>
      </x:c>
      <x:c r="H885" s="48" t="str">
        <x:v>Shared</x:v>
      </x:c>
      <x:c r="I885" s="48" t="n">
        <x:v>0.55</x:v>
      </x:c>
      <x:c r="J885" s="48" t="n">
        <x:v>0.4</x:v>
      </x:c>
      <x:c r="K885" s="48" t="str">
        <x:v>Yes</x:v>
      </x:c>
      <x:c r="L885" s="48" t="str">
        <x:v>PDF text</x:v>
      </x:c>
    </x:row>
    <x:row r="886">
      <x:c r="A886" s="48" t="str">
        <x:v>RED-0885</x:v>
      </x:c>
      <x:c r="B886" s="48" t="str">
        <x:v>RED</x:v>
      </x:c>
      <x:c r="C886" s="48" t="str">
        <x:v>English</x:v>
      </x:c>
      <x:c r="D886" s="48" t="n">
        <x:v>53</x:v>
      </x:c>
      <x:c r="E886" s="48" t="str"/>
      <x:c r="F886" s="48" t="str">
        <x:v>Works, including any associated Tests on Completion, boreholes and other</x:v>
      </x:c>
      <x:c r="G886" s="48" t="str">
        <x:v>Obligation</x:v>
      </x:c>
      <x:c r="H886" s="48" t="str">
        <x:v>Shared</x:v>
      </x:c>
      <x:c r="I886" s="48" t="n">
        <x:v>0.45</x:v>
      </x:c>
      <x:c r="J886" s="48" t="n">
        <x:v>0.4</x:v>
      </x:c>
      <x:c r="K886" s="48" t="str">
        <x:v>Yes</x:v>
      </x:c>
      <x:c r="L886" s="48" t="str">
        <x:v>PDF text</x:v>
      </x:c>
    </x:row>
    <x:row r="887">
      <x:c r="A887" s="48" t="str">
        <x:v>RED-0886</x:v>
      </x:c>
      <x:c r="B887" s="48" t="str">
        <x:v>RED</x:v>
      </x:c>
      <x:c r="C887" s="48" t="str">
        <x:v>English</x:v>
      </x:c>
      <x:c r="D887" s="48" t="n">
        <x:v>53</x:v>
      </x:c>
      <x:c r="E887" s="48" t="str"/>
      <x:c r="F887" s="48" t="str">
        <x:v>testing and exploratory work, or (f) changes to the sequence or timing of the execution of the Works.</x:v>
      </x:c>
      <x:c r="G887" s="48" t="str">
        <x:v>Obligation</x:v>
      </x:c>
      <x:c r="H887" s="48" t="str">
        <x:v>Shared</x:v>
      </x:c>
      <x:c r="I887" s="48" t="n">
        <x:v>0.45</x:v>
      </x:c>
      <x:c r="J887" s="48" t="n">
        <x:v>0.4</x:v>
      </x:c>
      <x:c r="K887" s="48" t="str">
        <x:v>Yes</x:v>
      </x:c>
      <x:c r="L887" s="48" t="str">
        <x:v>PDF text</x:v>
      </x:c>
    </x:row>
    <x:row r="888">
      <x:c r="A888" s="48" t="str">
        <x:v>RED-0887</x:v>
      </x:c>
      <x:c r="B888" s="48" t="str">
        <x:v>RED</x:v>
      </x:c>
      <x:c r="C888" s="48" t="str">
        <x:v>English</x:v>
      </x:c>
      <x:c r="D888" s="48" t="n">
        <x:v>53</x:v>
      </x:c>
      <x:c r="E888" s="48" t="str"/>
      <x:c r="F888" s="48" t="str">
        <x:v>The Contractor shall not make any alteration and/or modification of the Permanent</x:v>
      </x:c>
      <x:c r="G888" s="48" t="str">
        <x:v>Obligation</x:v>
      </x:c>
      <x:c r="H888" s="48" t="str">
        <x:v>Contractor</x:v>
      </x:c>
      <x:c r="I888" s="48" t="n">
        <x:v>0.88</x:v>
      </x:c>
      <x:c r="J888" s="48" t="n">
        <x:v>0.92</x:v>
      </x:c>
      <x:c r="K888" s="48" t="str">
        <x:v>No</x:v>
      </x:c>
      <x:c r="L888" s="48" t="str">
        <x:v>PDF text</x:v>
      </x:c>
    </x:row>
    <x:row r="889">
      <x:c r="A889" s="48" t="str">
        <x:v>RED-0888</x:v>
      </x:c>
      <x:c r="B889" s="48" t="str">
        <x:v>RED</x:v>
      </x:c>
      <x:c r="C889" s="48" t="str">
        <x:v>English</x:v>
      </x:c>
      <x:c r="D889" s="48" t="n">
        <x:v>53</x:v>
      </x:c>
      <x:c r="E889" s="48" t="str"/>
      <x:c r="F889" s="48" t="str">
        <x:v>Works, unless and until the Engineer instructs or approves a Variation.</x:v>
      </x:c>
      <x:c r="G889" s="48" t="str">
        <x:v>Obligation</x:v>
      </x:c>
      <x:c r="H889" s="48" t="str">
        <x:v>Shared</x:v>
      </x:c>
      <x:c r="I889" s="48" t="n">
        <x:v>0.55</x:v>
      </x:c>
      <x:c r="J889" s="48" t="n">
        <x:v>0.4</x:v>
      </x:c>
      <x:c r="K889" s="48" t="str">
        <x:v>Yes</x:v>
      </x:c>
      <x:c r="L889" s="48" t="str">
        <x:v>PDF text</x:v>
      </x:c>
    </x:row>
    <x:row r="890">
      <x:c r="A890" s="48" t="str">
        <x:v>RED-0889</x:v>
      </x:c>
      <x:c r="B890" s="48" t="str">
        <x:v>RED</x:v>
      </x:c>
      <x:c r="C890" s="48" t="str">
        <x:v>English</x:v>
      </x:c>
      <x:c r="D890" s="48" t="n">
        <x:v>53</x:v>
      </x:c>
      <x:c r="E890" s="48" t="str"/>
      <x:c r="F890" s="48" t="str">
        <x:v>The Contractor may, at any time, submit to the Engineer a written proposal which (in the Contractor’s opinion) will, if adopted, (i) accelerate completion, (ii) reduce the cost to the Employer of executing, maintaining or operating the Works, (iii) improve the efficiency or value to the Employer of the completed Works, or (iv) otherwise be of benefit to the Employer.</x:v>
      </x:c>
      <x:c r="G890" s="48" t="str">
        <x:v>Obligation</x:v>
      </x:c>
      <x:c r="H890" s="48" t="str">
        <x:v>Shared</x:v>
      </x:c>
      <x:c r="I890" s="48" t="n">
        <x:v>0.45</x:v>
      </x:c>
      <x:c r="J890" s="48" t="n">
        <x:v>0.6</x:v>
      </x:c>
      <x:c r="K890" s="48" t="str">
        <x:v>Yes</x:v>
      </x:c>
      <x:c r="L890" s="48" t="str">
        <x:v>PDF text</x:v>
      </x:c>
    </x:row>
    <x:row r="891">
      <x:c r="A891" s="48" t="str">
        <x:v>RED-0890</x:v>
      </x:c>
      <x:c r="B891" s="48" t="str">
        <x:v>RED</x:v>
      </x:c>
      <x:c r="C891" s="48" t="str">
        <x:v>English</x:v>
      </x:c>
      <x:c r="D891" s="48" t="n">
        <x:v>53</x:v>
      </x:c>
      <x:c r="E891" s="48" t="str"/>
      <x:c r="F891" s="48" t="str">
        <x:v>The proposal shall be prepared at the cost of the Contractor and shall include the items listed in Sub-Clause 13.3 [Variation Procedure].</x:v>
      </x:c>
      <x:c r="G891" s="48" t="str">
        <x:v>Obligation</x:v>
      </x:c>
      <x:c r="H891" s="48" t="str">
        <x:v>Contractor</x:v>
      </x:c>
      <x:c r="I891" s="48" t="n">
        <x:v>0.88</x:v>
      </x:c>
      <x:c r="J891" s="48" t="n">
        <x:v>0.68</x:v>
      </x:c>
      <x:c r="K891" s="48" t="str">
        <x:v>Yes</x:v>
      </x:c>
      <x:c r="L891" s="48" t="str">
        <x:v>PDF text</x:v>
      </x:c>
    </x:row>
    <x:row r="892">
      <x:c r="A892" s="48" t="str">
        <x:v>RED-0891</x:v>
      </x:c>
      <x:c r="B892" s="48" t="str">
        <x:v>RED</x:v>
      </x:c>
      <x:c r="C892" s="48" t="str">
        <x:v>English</x:v>
      </x:c>
      <x:c r="D892" s="48" t="n">
        <x:v>53</x:v>
      </x:c>
      <x:c r="E892" s="48" t="str"/>
      <x:c r="F892" s="48" t="str">
        <x:v>If a proposal, which is approved by the Engineer, includes a change in the design of part of the Permanent Works, then unless otherwise agreed by both Parties: (a) the Contractor shall design this part, (b) sub-paragraphs (a) to (d) of Sub-Clause 4.1 [Contractor’s General Obligations] shall apply, and (c) if this change results in a reduction in the contract value of this part, the Engineer shall proceed in accordance with Sub-Clause 3.5 [Determinations] to agree or determine a fee, which shall be included in the Contract Price.</x:v>
      </x:c>
      <x:c r="G892" s="48" t="str">
        <x:v>Obligation</x:v>
      </x:c>
      <x:c r="H892" s="48" t="str">
        <x:v>Shared</x:v>
      </x:c>
      <x:c r="I892" s="48" t="n">
        <x:v>0.88</x:v>
      </x:c>
      <x:c r="J892" s="48" t="n">
        <x:v>0.93</x:v>
      </x:c>
      <x:c r="K892" s="48" t="str">
        <x:v>No</x:v>
      </x:c>
      <x:c r="L892" s="48" t="str">
        <x:v>PDF text</x:v>
      </x:c>
    </x:row>
    <x:row r="893">
      <x:c r="A893" s="48" t="str">
        <x:v>RED-0892</x:v>
      </x:c>
      <x:c r="B893" s="48" t="str">
        <x:v>RED</x:v>
      </x:c>
      <x:c r="C893" s="48" t="str">
        <x:v>English</x:v>
      </x:c>
      <x:c r="D893" s="48" t="n">
        <x:v>53</x:v>
      </x:c>
      <x:c r="E893" s="48" t="str"/>
      <x:c r="F893" s="48" t="str">
        <x:v>This fee shall be half (50%) of the difference between the following amounts: (i) such reduction in contract value, resulting from the change, excluding adjustments under Sub-Clause 13.7 [Adjustments for Changes in Legislation] and Sub-Clause 13.8 [Adjustments for Changes in Cost], and (ii) the reduction (if any) in the value to the Employer of the varied works, taking account of any reductions in quality, anticipated life or operational efficiencies.</x:v>
      </x:c>
      <x:c r="G893" s="48" t="str">
        <x:v>Obligation</x:v>
      </x:c>
      <x:c r="H893" s="48" t="str">
        <x:v>Employer</x:v>
      </x:c>
      <x:c r="I893" s="48" t="n">
        <x:v>0.88</x:v>
      </x:c>
      <x:c r="J893" s="48" t="n">
        <x:v>0.68</x:v>
      </x:c>
      <x:c r="K893" s="48" t="str">
        <x:v>Yes</x:v>
      </x:c>
      <x:c r="L893" s="48" t="str">
        <x:v>PDF text</x:v>
      </x:c>
    </x:row>
    <x:row r="894">
      <x:c r="A894" s="48" t="str">
        <x:v>RED-0893</x:v>
      </x:c>
      <x:c r="B894" s="48" t="str">
        <x:v>RED</x:v>
      </x:c>
      <x:c r="C894" s="48" t="str">
        <x:v>English</x:v>
      </x:c>
      <x:c r="D894" s="48" t="n">
        <x:v>53</x:v>
      </x:c>
      <x:c r="E894" s="48" t="str"/>
      <x:c r="F894" s="48" t="str">
        <x:v>However, if amount (i) is less than amount (ii), there shall not be a fee.</x:v>
      </x:c>
      <x:c r="G894" s="48" t="str">
        <x:v>Obligation</x:v>
      </x:c>
      <x:c r="H894" s="48" t="str">
        <x:v>Shared</x:v>
      </x:c>
      <x:c r="I894" s="48" t="n">
        <x:v>0.88</x:v>
      </x:c>
      <x:c r="J894" s="48" t="n">
        <x:v>0.4</x:v>
      </x:c>
      <x:c r="K894" s="48" t="str">
        <x:v>Yes</x:v>
      </x:c>
      <x:c r="L894" s="48" t="str">
        <x:v>PDF text</x:v>
      </x:c>
    </x:row>
    <x:row r="895">
      <x:c r="A895" s="48" t="str">
        <x:v>RED-0894</x:v>
      </x:c>
      <x:c r="B895" s="48" t="str">
        <x:v>RED</x:v>
      </x:c>
      <x:c r="C895" s="48" t="str">
        <x:v>English</x:v>
      </x:c>
      <x:c r="D895" s="48" t="n">
        <x:v>53</x:v>
      </x:c>
      <x:c r="E895" s="48" t="str"/>
      <x:c r="F895" s="48" t="str">
        <x:v>If the Engineer requests a proposal, prior to instructing a Variation, the Contractor shall respond in writing as soon as practicable, either by giving reasons why he cannot comply (if this is the case) or by submitting: (a) a description of the proposed work to be performed and a programme for its execution, (b) the Contractor’s proposal for any necessary modifications to the programme according to Sub-Clause 8.3 [Programme] and to the Time for Completion, and (c) the Contractor’s proposal for evaluation of the Variation.</x:v>
      </x:c>
      <x:c r="G895" s="48" t="str">
        <x:v>Obligation</x:v>
      </x:c>
      <x:c r="H895" s="48" t="str">
        <x:v>Contractor</x:v>
      </x:c>
      <x:c r="I895" s="48" t="n">
        <x:v>0.88</x:v>
      </x:c>
      <x:c r="J895" s="48" t="n">
        <x:v>0.92</x:v>
      </x:c>
      <x:c r="K895" s="48" t="str">
        <x:v>No</x:v>
      </x:c>
      <x:c r="L895" s="48" t="str">
        <x:v>PDF text</x:v>
      </x:c>
    </x:row>
    <x:row r="896">
      <x:c r="A896" s="48" t="str">
        <x:v>RED-0895</x:v>
      </x:c>
      <x:c r="B896" s="48" t="str">
        <x:v>RED</x:v>
      </x:c>
      <x:c r="C896" s="48" t="str">
        <x:v>English</x:v>
      </x:c>
      <x:c r="D896" s="48" t="n">
        <x:v>53</x:v>
      </x:c>
      <x:c r="E896" s="48" t="str"/>
      <x:c r="F896" s="48" t="str">
        <x:v>The Engineer shall, as soon as practicable after receiving such proposal (under Sub13.2</x:v>
      </x:c>
      <x:c r="G896" s="48" t="str">
        <x:v>Obligation</x:v>
      </x:c>
      <x:c r="H896" s="48" t="str">
        <x:v>Shared</x:v>
      </x:c>
      <x:c r="I896" s="48" t="n">
        <x:v>0.88</x:v>
      </x:c>
      <x:c r="J896" s="48" t="n">
        <x:v>0.4</x:v>
      </x:c>
      <x:c r="K896" s="48" t="str">
        <x:v>Yes</x:v>
      </x:c>
      <x:c r="L896" s="48" t="str">
        <x:v>PDF text</x:v>
      </x:c>
    </x:row>
    <x:row r="897">
      <x:c r="A897" s="48" t="str">
        <x:v>RED-0896</x:v>
      </x:c>
      <x:c r="B897" s="48" t="str">
        <x:v>RED</x:v>
      </x:c>
      <x:c r="C897" s="48" t="str">
        <x:v>English</x:v>
      </x:c>
      <x:c r="D897" s="48" t="n">
        <x:v>53</x:v>
      </x:c>
      <x:c r="E897" s="48" t="str"/>
      <x:c r="F897" s="48" t="str">
        <x:v>Value Engineering</x:v>
      </x:c>
      <x:c r="G897" s="48" t="str">
        <x:v>Obligation</x:v>
      </x:c>
      <x:c r="H897" s="48" t="str">
        <x:v>Shared</x:v>
      </x:c>
      <x:c r="I897" s="48" t="n">
        <x:v>0.45</x:v>
      </x:c>
      <x:c r="J897" s="48" t="n">
        <x:v>0.4</x:v>
      </x:c>
      <x:c r="K897" s="48" t="str">
        <x:v>Yes</x:v>
      </x:c>
      <x:c r="L897" s="48" t="str">
        <x:v>PDF text</x:v>
      </x:c>
    </x:row>
    <x:row r="898">
      <x:c r="A898" s="48" t="str">
        <x:v>RED-0897</x:v>
      </x:c>
      <x:c r="B898" s="48" t="str">
        <x:v>RED</x:v>
      </x:c>
      <x:c r="C898" s="48" t="str">
        <x:v>English</x:v>
      </x:c>
      <x:c r="D898" s="48" t="n">
        <x:v>53</x:v>
      </x:c>
      <x:c r="E898" s="48" t="str"/>
      <x:c r="F898" s="48" t="str">
        <x:v>Variation Procedure</x:v>
      </x:c>
      <x:c r="G898" s="48" t="str">
        <x:v>Obligation</x:v>
      </x:c>
      <x:c r="H898" s="48" t="str">
        <x:v>Shared</x:v>
      </x:c>
      <x:c r="I898" s="48" t="n">
        <x:v>0.55</x:v>
      </x:c>
      <x:c r="J898" s="48" t="n">
        <x:v>0.4</x:v>
      </x:c>
      <x:c r="K898" s="48" t="str">
        <x:v>Yes</x:v>
      </x:c>
      <x:c r="L898" s="48" t="str">
        <x:v>PDF text</x:v>
      </x:c>
    </x:row>
    <x:row r="899">
      <x:c r="A899" s="48" t="str">
        <x:v>RED-0898</x:v>
      </x:c>
      <x:c r="B899" s="48" t="str">
        <x:v>RED</x:v>
      </x:c>
      <x:c r="C899" s="48" t="str">
        <x:v>English</x:v>
      </x:c>
      <x:c r="D899" s="48" t="n">
        <x:v>54</x:v>
      </x:c>
      <x:c r="E899" s="48" t="str"/>
      <x:c r="F899" s="48" t="str">
        <x:v>Clause 13.2 [Value Engineering] or otherwise), respond with approval, disapproval or comments.</x:v>
      </x:c>
      <x:c r="G899" s="48" t="str">
        <x:v>Obligation</x:v>
      </x:c>
      <x:c r="H899" s="48" t="str">
        <x:v>Shared</x:v>
      </x:c>
      <x:c r="I899" s="48" t="n">
        <x:v>0.45</x:v>
      </x:c>
      <x:c r="J899" s="48" t="n">
        <x:v>0.4</x:v>
      </x:c>
      <x:c r="K899" s="48" t="str">
        <x:v>Yes</x:v>
      </x:c>
      <x:c r="L899" s="48" t="str">
        <x:v>PDF text</x:v>
      </x:c>
    </x:row>
    <x:row r="900">
      <x:c r="A900" s="48" t="str">
        <x:v>RED-0899</x:v>
      </x:c>
      <x:c r="B900" s="48" t="str">
        <x:v>RED</x:v>
      </x:c>
      <x:c r="C900" s="48" t="str">
        <x:v>English</x:v>
      </x:c>
      <x:c r="D900" s="48" t="n">
        <x:v>54</x:v>
      </x:c>
      <x:c r="E900" s="48" t="str"/>
      <x:c r="F900" s="48" t="str">
        <x:v>The Contractor shall not delay any work whilst awaiting a response.</x:v>
      </x:c>
      <x:c r="G900" s="48" t="str">
        <x:v>Obligation</x:v>
      </x:c>
      <x:c r="H900" s="48" t="str">
        <x:v>Contractor</x:v>
      </x:c>
      <x:c r="I900" s="48" t="n">
        <x:v>0.88</x:v>
      </x:c>
      <x:c r="J900" s="48" t="n">
        <x:v>0.92</x:v>
      </x:c>
      <x:c r="K900" s="48" t="str">
        <x:v>No</x:v>
      </x:c>
      <x:c r="L900" s="48" t="str">
        <x:v>PDF text</x:v>
      </x:c>
    </x:row>
    <x:row r="901">
      <x:c r="A901" s="48" t="str">
        <x:v>RED-0900</x:v>
      </x:c>
      <x:c r="B901" s="48" t="str">
        <x:v>RED</x:v>
      </x:c>
      <x:c r="C901" s="48" t="str">
        <x:v>English</x:v>
      </x:c>
      <x:c r="D901" s="48" t="n">
        <x:v>54</x:v>
      </x:c>
      <x:c r="E901" s="48" t="str"/>
      <x:c r="F901" s="48" t="str">
        <x:v>Each instruction to execute a Variation, with any requirements for the recording of Costs, shall be issued by the Engineer to the Contractor, who shall acknowledge receipt.</x:v>
      </x:c>
      <x:c r="G901" s="48" t="str">
        <x:v>Obligation</x:v>
      </x:c>
      <x:c r="H901" s="48" t="str">
        <x:v>Contractor</x:v>
      </x:c>
      <x:c r="I901" s="48" t="n">
        <x:v>0.88</x:v>
      </x:c>
      <x:c r="J901" s="48" t="n">
        <x:v>0.68</x:v>
      </x:c>
      <x:c r="K901" s="48" t="str">
        <x:v>Yes</x:v>
      </x:c>
      <x:c r="L901" s="48" t="str">
        <x:v>PDF text</x:v>
      </x:c>
    </x:row>
    <x:row r="902">
      <x:c r="A902" s="48" t="str">
        <x:v>RED-0901</x:v>
      </x:c>
      <x:c r="B902" s="48" t="str">
        <x:v>RED</x:v>
      </x:c>
      <x:c r="C902" s="48" t="str">
        <x:v>English</x:v>
      </x:c>
      <x:c r="D902" s="48" t="n">
        <x:v>54</x:v>
      </x:c>
      <x:c r="E902" s="48" t="str"/>
      <x:c r="F902" s="48" t="str">
        <x:v>Each Variation shall be evaluated in accordance with Clause 12 [Measurement and Evaluation], unless the Engineer instructs or approves otherwise in accordance with this Clause.</x:v>
      </x:c>
      <x:c r="G902" s="48" t="str">
        <x:v>Obligation</x:v>
      </x:c>
      <x:c r="H902" s="48" t="str">
        <x:v>Shared</x:v>
      </x:c>
      <x:c r="I902" s="48" t="n">
        <x:v>0.88</x:v>
      </x:c>
      <x:c r="J902" s="48" t="n">
        <x:v>0.4</x:v>
      </x:c>
      <x:c r="K902" s="48" t="str">
        <x:v>Yes</x:v>
      </x:c>
      <x:c r="L902" s="48" t="str">
        <x:v>PDF text</x:v>
      </x:c>
    </x:row>
    <x:row r="903">
      <x:c r="A903" s="48" t="str">
        <x:v>RED-0902</x:v>
      </x:c>
      <x:c r="B903" s="48" t="str">
        <x:v>RED</x:v>
      </x:c>
      <x:c r="C903" s="48" t="str">
        <x:v>English</x:v>
      </x:c>
      <x:c r="D903" s="48" t="n">
        <x:v>54</x:v>
      </x:c>
      <x:c r="E903" s="48" t="str"/>
      <x:c r="F903" s="48" t="str">
        <x:v>If the Contract provides for payment of the Contract Price in more than one currency, then whenever an adjustment is agreed, approved or determined as stated above, the amount payable in each of the applicable currencies shall be specified.</x:v>
      </x:c>
      <x:c r="G903" s="48" t="str">
        <x:v>Obligation</x:v>
      </x:c>
      <x:c r="H903" s="48" t="str">
        <x:v>Shared</x:v>
      </x:c>
      <x:c r="I903" s="48" t="n">
        <x:v>0.88</x:v>
      </x:c>
      <x:c r="J903" s="48" t="n">
        <x:v>0.4</x:v>
      </x:c>
      <x:c r="K903" s="48" t="str">
        <x:v>Yes</x:v>
      </x:c>
      <x:c r="L903" s="48" t="str">
        <x:v>PDF text</x:v>
      </x:c>
    </x:row>
    <x:row r="904">
      <x:c r="A904" s="48" t="str">
        <x:v>RED-0903</x:v>
      </x:c>
      <x:c r="B904" s="48" t="str">
        <x:v>RED</x:v>
      </x:c>
      <x:c r="C904" s="48" t="str">
        <x:v>English</x:v>
      </x:c>
      <x:c r="D904" s="48" t="n">
        <x:v>54</x:v>
      </x:c>
      <x:c r="E904" s="48" t="str"/>
      <x:c r="F904" s="48" t="str">
        <x:v>For this purpose, reference shall be made to the actual or expected currency proportions of the Cost of the varied work, and to the proportions of various currencies specified for payment of the Contract Price.</x:v>
      </x:c>
      <x:c r="G904" s="48" t="str">
        <x:v>Obligation</x:v>
      </x:c>
      <x:c r="H904" s="48" t="str">
        <x:v>Shared</x:v>
      </x:c>
      <x:c r="I904" s="48" t="n">
        <x:v>0.88</x:v>
      </x:c>
      <x:c r="J904" s="48" t="n">
        <x:v>0.4</x:v>
      </x:c>
      <x:c r="K904" s="48" t="str">
        <x:v>Yes</x:v>
      </x:c>
      <x:c r="L904" s="48" t="str">
        <x:v>PDF text</x:v>
      </x:c>
    </x:row>
    <x:row r="905">
      <x:c r="A905" s="48" t="str">
        <x:v>RED-0904</x:v>
      </x:c>
      <x:c r="B905" s="48" t="str">
        <x:v>RED</x:v>
      </x:c>
      <x:c r="C905" s="48" t="str">
        <x:v>English</x:v>
      </x:c>
      <x:c r="D905" s="48" t="n">
        <x:v>54</x:v>
      </x:c>
      <x:c r="E905" s="48" t="str"/>
      <x:c r="F905" s="48" t="str">
        <x:v>Each Provisional Sum shall only be used, in whole or in part, in accordance with the Engineer’s instructions, and the Contract Price shall be adjusted accordingly.</x:v>
      </x:c>
      <x:c r="G905" s="48" t="str">
        <x:v>Obligation</x:v>
      </x:c>
      <x:c r="H905" s="48" t="str">
        <x:v>Shared</x:v>
      </x:c>
      <x:c r="I905" s="48" t="n">
        <x:v>0.88</x:v>
      </x:c>
      <x:c r="J905" s="48" t="n">
        <x:v>0.4</x:v>
      </x:c>
      <x:c r="K905" s="48" t="str">
        <x:v>Yes</x:v>
      </x:c>
      <x:c r="L905" s="48" t="str">
        <x:v>PDF text</x:v>
      </x:c>
    </x:row>
    <x:row r="906">
      <x:c r="A906" s="48" t="str">
        <x:v>RED-0905</x:v>
      </x:c>
      <x:c r="B906" s="48" t="str">
        <x:v>RED</x:v>
      </x:c>
      <x:c r="C906" s="48" t="str">
        <x:v>English</x:v>
      </x:c>
      <x:c r="D906" s="48" t="n">
        <x:v>54</x:v>
      </x:c>
      <x:c r="E906" s="48" t="str"/>
      <x:c r="F906" s="48" t="str">
        <x:v>The total sum paid to the Contractor shall include only such amounts, for the work, supplies or services to which the Provisional Sum relates, as the Engineer shall have instructed.</x:v>
      </x:c>
      <x:c r="G906" s="48" t="str">
        <x:v>Obligation</x:v>
      </x:c>
      <x:c r="H906" s="48" t="str">
        <x:v>Contractor</x:v>
      </x:c>
      <x:c r="I906" s="48" t="n">
        <x:v>0.88</x:v>
      </x:c>
      <x:c r="J906" s="48" t="n">
        <x:v>0.92</x:v>
      </x:c>
      <x:c r="K906" s="48" t="str">
        <x:v>No</x:v>
      </x:c>
      <x:c r="L906" s="48" t="str">
        <x:v>PDF text</x:v>
      </x:c>
    </x:row>
    <x:row r="907">
      <x:c r="A907" s="48" t="str">
        <x:v>RED-0906</x:v>
      </x:c>
      <x:c r="B907" s="48" t="str">
        <x:v>RED</x:v>
      </x:c>
      <x:c r="C907" s="48" t="str">
        <x:v>English</x:v>
      </x:c>
      <x:c r="D907" s="48" t="n">
        <x:v>54</x:v>
      </x:c>
      <x:c r="E907" s="48" t="str"/>
      <x:c r="F907" s="48" t="str">
        <x:v>For each Provisional Sum, the Engineer may instruct: (a) work to be executed (including Plant, Materials or services to be supplied) by the Contractor and valued under Sub-Clause 13.3 [Variation Procedure]; and/or (b)</x:v>
      </x:c>
      <x:c r="G907" s="48" t="str">
        <x:v>Right</x:v>
      </x:c>
      <x:c r="H907" s="48" t="str">
        <x:v>Contractor</x:v>
      </x:c>
      <x:c r="I907" s="48" t="n">
        <x:v>0.78</x:v>
      </x:c>
      <x:c r="J907" s="48" t="n">
        <x:v>0.68</x:v>
      </x:c>
      <x:c r="K907" s="48" t="str">
        <x:v>Yes</x:v>
      </x:c>
      <x:c r="L907" s="48" t="str">
        <x:v>PDF text</x:v>
      </x:c>
    </x:row>
    <x:row r="908">
      <x:c r="A908" s="48" t="str">
        <x:v>RED-0907</x:v>
      </x:c>
      <x:c r="B908" s="48" t="str">
        <x:v>RED</x:v>
      </x:c>
      <x:c r="C908" s="48" t="str">
        <x:v>English</x:v>
      </x:c>
      <x:c r="D908" s="48" t="n">
        <x:v>54</x:v>
      </x:c>
      <x:c r="E908" s="48" t="str"/>
      <x:c r="F908" s="48" t="str">
        <x:v>Plant, Materials or services to be purchased by the Contractor, from a</x:v>
      </x:c>
      <x:c r="G908" s="48" t="str">
        <x:v>Obligation</x:v>
      </x:c>
      <x:c r="H908" s="48" t="str">
        <x:v>Contractor</x:v>
      </x:c>
      <x:c r="I908" s="48" t="n">
        <x:v>0.45</x:v>
      </x:c>
      <x:c r="J908" s="48" t="n">
        <x:v>0.68</x:v>
      </x:c>
      <x:c r="K908" s="48" t="str">
        <x:v>Yes</x:v>
      </x:c>
      <x:c r="L908" s="48" t="str">
        <x:v>PDF text</x:v>
      </x:c>
    </x:row>
    <x:row r="909">
      <x:c r="A909" s="48" t="str">
        <x:v>RED-0908</x:v>
      </x:c>
      <x:c r="B909" s="48" t="str">
        <x:v>RED</x:v>
      </x:c>
      <x:c r="C909" s="48" t="str">
        <x:v>English</x:v>
      </x:c>
      <x:c r="D909" s="48" t="n">
        <x:v>54</x:v>
      </x:c>
      <x:c r="E909" s="48" t="str"/>
      <x:c r="F909" s="48" t="str">
        <x:v>nominated Subcontractor (as defined in Clause 5 [Nominated Subcontractors] or otherwise; and for which there shall be included in the Contract Price: (i) the actual amounts paid (or due to be paid) by the Contractor, and (ii) a sum for overhead charges and profit, calculated as a percentage of these actual amounts by applying the relevant percentage rate (if any) stated in the appropriate Schedule.</x:v>
      </x:c>
      <x:c r="G909" s="48" t="str">
        <x:v>Obligation</x:v>
      </x:c>
      <x:c r="H909" s="48" t="str">
        <x:v>Contractor</x:v>
      </x:c>
      <x:c r="I909" s="48" t="n">
        <x:v>0.88</x:v>
      </x:c>
      <x:c r="J909" s="48" t="n">
        <x:v>0.68</x:v>
      </x:c>
      <x:c r="K909" s="48" t="str">
        <x:v>Yes</x:v>
      </x:c>
      <x:c r="L909" s="48" t="str">
        <x:v>PDF text</x:v>
      </x:c>
    </x:row>
    <x:row r="910">
      <x:c r="A910" s="48" t="str">
        <x:v>RED-0909</x:v>
      </x:c>
      <x:c r="B910" s="48" t="str">
        <x:v>RED</x:v>
      </x:c>
      <x:c r="C910" s="48" t="str">
        <x:v>English</x:v>
      </x:c>
      <x:c r="D910" s="48" t="n">
        <x:v>54</x:v>
      </x:c>
      <x:c r="E910" s="48" t="str"/>
      <x:c r="F910" s="48" t="str">
        <x:v>If there is no such rate, the percentage rate stated in the Contract Data shall be applied.</x:v>
      </x:c>
      <x:c r="G910" s="48" t="str">
        <x:v>Obligation</x:v>
      </x:c>
      <x:c r="H910" s="48" t="str">
        <x:v>Shared</x:v>
      </x:c>
      <x:c r="I910" s="48" t="n">
        <x:v>0.88</x:v>
      </x:c>
      <x:c r="J910" s="48" t="n">
        <x:v>0.4</x:v>
      </x:c>
      <x:c r="K910" s="48" t="str">
        <x:v>Yes</x:v>
      </x:c>
      <x:c r="L910" s="48" t="str">
        <x:v>PDF text</x:v>
      </x:c>
    </x:row>
    <x:row r="911">
      <x:c r="A911" s="48" t="str">
        <x:v>RED-0910</x:v>
      </x:c>
      <x:c r="B911" s="48" t="str">
        <x:v>RED</x:v>
      </x:c>
      <x:c r="C911" s="48" t="str">
        <x:v>English</x:v>
      </x:c>
      <x:c r="D911" s="48" t="n">
        <x:v>54</x:v>
      </x:c>
      <x:c r="E911" s="48" t="str"/>
      <x:c r="F911" s="48" t="str">
        <x:v>The Contractor shall, when required by the Engineer, produce quotations, invoices, vouchers and accounts or receipts in substantiation.</x:v>
      </x:c>
      <x:c r="G911" s="48" t="str">
        <x:v>Obligation</x:v>
      </x:c>
      <x:c r="H911" s="48" t="str">
        <x:v>Contractor</x:v>
      </x:c>
      <x:c r="I911" s="48" t="n">
        <x:v>0.88</x:v>
      </x:c>
      <x:c r="J911" s="48" t="n">
        <x:v>0.92</x:v>
      </x:c>
      <x:c r="K911" s="48" t="str">
        <x:v>No</x:v>
      </x:c>
      <x:c r="L911" s="48" t="str">
        <x:v>PDF text</x:v>
      </x:c>
    </x:row>
    <x:row r="912">
      <x:c r="A912" s="48" t="str">
        <x:v>RED-0911</x:v>
      </x:c>
      <x:c r="B912" s="48" t="str">
        <x:v>RED</x:v>
      </x:c>
      <x:c r="C912" s="48" t="str">
        <x:v>English</x:v>
      </x:c>
      <x:c r="D912" s="48" t="n">
        <x:v>54</x:v>
      </x:c>
      <x:c r="E912" s="48" t="str"/>
      <x:c r="F912" s="48" t="str">
        <x:v>For work of a minor or incidental nature, the Engineer may instruct that a Variation shall be executed on a daywork basis.</x:v>
      </x:c>
      <x:c r="G912" s="48" t="str">
        <x:v>Obligation</x:v>
      </x:c>
      <x:c r="H912" s="48" t="str">
        <x:v>Shared</x:v>
      </x:c>
      <x:c r="I912" s="48" t="n">
        <x:v>0.88</x:v>
      </x:c>
      <x:c r="J912" s="48" t="n">
        <x:v>0.4</x:v>
      </x:c>
      <x:c r="K912" s="48" t="str">
        <x:v>Yes</x:v>
      </x:c>
      <x:c r="L912" s="48" t="str">
        <x:v>PDF text</x:v>
      </x:c>
    </x:row>
    <x:row r="913">
      <x:c r="A913" s="48" t="str">
        <x:v>RED-0912</x:v>
      </x:c>
      <x:c r="B913" s="48" t="str">
        <x:v>RED</x:v>
      </x:c>
      <x:c r="C913" s="48" t="str">
        <x:v>English</x:v>
      </x:c>
      <x:c r="D913" s="48" t="n">
        <x:v>54</x:v>
      </x:c>
      <x:c r="E913" s="48" t="str"/>
      <x:c r="F913" s="48" t="str">
        <x:v>The work shall then be valued in accordance with the Daywork Schedule included in the Contract, and the following procedure shall apply.</x:v>
      </x:c>
      <x:c r="G913" s="48" t="str">
        <x:v>Obligation</x:v>
      </x:c>
      <x:c r="H913" s="48" t="str">
        <x:v>Shared</x:v>
      </x:c>
      <x:c r="I913" s="48" t="n">
        <x:v>0.88</x:v>
      </x:c>
      <x:c r="J913" s="48" t="n">
        <x:v>0.4</x:v>
      </x:c>
      <x:c r="K913" s="48" t="str">
        <x:v>Yes</x:v>
      </x:c>
      <x:c r="L913" s="48" t="str">
        <x:v>PDF text</x:v>
      </x:c>
    </x:row>
    <x:row r="914">
      <x:c r="A914" s="48" t="str">
        <x:v>RED-0913</x:v>
      </x:c>
      <x:c r="B914" s="48" t="str">
        <x:v>RED</x:v>
      </x:c>
      <x:c r="C914" s="48" t="str">
        <x:v>English</x:v>
      </x:c>
      <x:c r="D914" s="48" t="n">
        <x:v>54</x:v>
      </x:c>
      <x:c r="E914" s="48" t="str"/>
      <x:c r="F914" s="48" t="str">
        <x:v>If a Daywork Schedule is not included in the Contract, this Sub-Clause shall not apply.</x:v>
      </x:c>
      <x:c r="G914" s="48" t="str">
        <x:v>Obligation</x:v>
      </x:c>
      <x:c r="H914" s="48" t="str">
        <x:v>Shared</x:v>
      </x:c>
      <x:c r="I914" s="48" t="n">
        <x:v>0.88</x:v>
      </x:c>
      <x:c r="J914" s="48" t="n">
        <x:v>0.4</x:v>
      </x:c>
      <x:c r="K914" s="48" t="str">
        <x:v>Yes</x:v>
      </x:c>
      <x:c r="L914" s="48" t="str">
        <x:v>PDF text</x:v>
      </x:c>
    </x:row>
    <x:row r="915">
      <x:c r="A915" s="48" t="str">
        <x:v>RED-0914</x:v>
      </x:c>
      <x:c r="B915" s="48" t="str">
        <x:v>RED</x:v>
      </x:c>
      <x:c r="C915" s="48" t="str">
        <x:v>English</x:v>
      </x:c>
      <x:c r="D915" s="48" t="n">
        <x:v>54</x:v>
      </x:c>
      <x:c r="E915" s="48" t="str"/>
      <x:c r="F915" s="48" t="str">
        <x:v>Before ordering Goods for the work, the Contractor shall submit quotations to the</x:v>
      </x:c>
      <x:c r="G915" s="48" t="str">
        <x:v>Obligation</x:v>
      </x:c>
      <x:c r="H915" s="48" t="str">
        <x:v>Contractor</x:v>
      </x:c>
      <x:c r="I915" s="48" t="n">
        <x:v>0.88</x:v>
      </x:c>
      <x:c r="J915" s="48" t="n">
        <x:v>0.92</x:v>
      </x:c>
      <x:c r="K915" s="48" t="str">
        <x:v>No</x:v>
      </x:c>
      <x:c r="L915" s="48" t="str">
        <x:v>PDF text</x:v>
      </x:c>
    </x:row>
    <x:row r="916">
      <x:c r="A916" s="48" t="str">
        <x:v>RED-0915</x:v>
      </x:c>
      <x:c r="B916" s="48" t="str">
        <x:v>RED</x:v>
      </x:c>
      <x:c r="C916" s="48" t="str">
        <x:v>English</x:v>
      </x:c>
      <x:c r="D916" s="48" t="n">
        <x:v>54</x:v>
      </x:c>
      <x:c r="E916" s="48" t="str"/>
      <x:c r="F916" s="48" t="str">
        <x:v>When applying for payment, the Contractor shall submit invoices, vouchers and accounts or receipts for any Goods.</x:v>
      </x:c>
      <x:c r="G916" s="48" t="str">
        <x:v>Obligation</x:v>
      </x:c>
      <x:c r="H916" s="48" t="str">
        <x:v>Contractor</x:v>
      </x:c>
      <x:c r="I916" s="48" t="n">
        <x:v>0.88</x:v>
      </x:c>
      <x:c r="J916" s="48" t="n">
        <x:v>0.92</x:v>
      </x:c>
      <x:c r="K916" s="48" t="str">
        <x:v>No</x:v>
      </x:c>
      <x:c r="L916" s="48" t="str">
        <x:v>PDF text</x:v>
      </x:c>
    </x:row>
    <x:row r="917">
      <x:c r="A917" s="48" t="str">
        <x:v>RED-0916</x:v>
      </x:c>
      <x:c r="B917" s="48" t="str">
        <x:v>RED</x:v>
      </x:c>
      <x:c r="C917" s="48" t="str">
        <x:v>English</x:v>
      </x:c>
      <x:c r="D917" s="48" t="n">
        <x:v>54</x:v>
      </x:c>
      <x:c r="E917" s="48" t="str"/>
      <x:c r="F917" s="48" t="str">
        <x:v>Except for any items for which the Daywork Schedule specifies that payment is not</x:v>
      </x:c>
      <x:c r="G917" s="48" t="str">
        <x:v>Obligation</x:v>
      </x:c>
      <x:c r="H917" s="48" t="str">
        <x:v>Shared</x:v>
      </x:c>
      <x:c r="I917" s="48" t="n">
        <x:v>0.55</x:v>
      </x:c>
      <x:c r="J917" s="48" t="n">
        <x:v>0.4</x:v>
      </x:c>
      <x:c r="K917" s="48" t="str">
        <x:v>Yes</x:v>
      </x:c>
      <x:c r="L917" s="48" t="str">
        <x:v>PDF text</x:v>
      </x:c>
    </x:row>
    <x:row r="918">
      <x:c r="A918" s="48" t="str">
        <x:v>RED-0917</x:v>
      </x:c>
      <x:c r="B918" s="48" t="str">
        <x:v>RED</x:v>
      </x:c>
      <x:c r="C918" s="48" t="str">
        <x:v>English</x:v>
      </x:c>
      <x:c r="D918" s="48" t="n">
        <x:v>54</x:v>
      </x:c>
      <x:c r="E918" s="48" t="str"/>
      <x:c r="F918" s="48" t="str">
        <x:v>due, the Contractor shall deliver each day to the Engineer accurate statements in duplicate which shall include the following details of the resources used in executing the previous day’s work: (a) the names, occupations and time of Contractor’s Personnel, 13.4</x:v>
      </x:c>
      <x:c r="G918" s="48" t="str">
        <x:v>Obligation</x:v>
      </x:c>
      <x:c r="H918" s="48" t="str">
        <x:v>Contractor</x:v>
      </x:c>
      <x:c r="I918" s="48" t="n">
        <x:v>0.88</x:v>
      </x:c>
      <x:c r="J918" s="48" t="n">
        <x:v>0.92</x:v>
      </x:c>
      <x:c r="K918" s="48" t="str">
        <x:v>No</x:v>
      </x:c>
      <x:c r="L918" s="48" t="str">
        <x:v>PDF text</x:v>
      </x:c>
    </x:row>
    <x:row r="919">
      <x:c r="A919" s="48" t="str">
        <x:v>RED-0918</x:v>
      </x:c>
      <x:c r="B919" s="48" t="str">
        <x:v>RED</x:v>
      </x:c>
      <x:c r="C919" s="48" t="str">
        <x:v>English</x:v>
      </x:c>
      <x:c r="D919" s="48" t="n">
        <x:v>54</x:v>
      </x:c>
      <x:c r="E919" s="48" t="str"/>
      <x:c r="F919" s="48" t="str">
        <x:v>Payment in Applicable</x:v>
      </x:c>
      <x:c r="G919" s="48" t="str">
        <x:v>Obligation</x:v>
      </x:c>
      <x:c r="H919" s="48" t="str">
        <x:v>Shared</x:v>
      </x:c>
      <x:c r="I919" s="48" t="n">
        <x:v>0.55</x:v>
      </x:c>
      <x:c r="J919" s="48" t="n">
        <x:v>0.4</x:v>
      </x:c>
      <x:c r="K919" s="48" t="str">
        <x:v>Yes</x:v>
      </x:c>
      <x:c r="L919" s="48" t="str">
        <x:v>PDF text</x:v>
      </x:c>
    </x:row>
    <x:row r="920">
      <x:c r="A920" s="48" t="str">
        <x:v>RED-0919</x:v>
      </x:c>
      <x:c r="B920" s="48" t="str">
        <x:v>RED</x:v>
      </x:c>
      <x:c r="C920" s="48" t="str">
        <x:v>English</x:v>
      </x:c>
      <x:c r="D920" s="48" t="n">
        <x:v>54</x:v>
      </x:c>
      <x:c r="E920" s="48" t="str"/>
      <x:c r="F920" s="48" t="str">
        <x:v>Currencies</x:v>
      </x:c>
      <x:c r="G920" s="48" t="str">
        <x:v>Obligation</x:v>
      </x:c>
      <x:c r="H920" s="48" t="str">
        <x:v>Shared</x:v>
      </x:c>
      <x:c r="I920" s="48" t="n">
        <x:v>0.45</x:v>
      </x:c>
      <x:c r="J920" s="48" t="n">
        <x:v>0.4</x:v>
      </x:c>
      <x:c r="K920" s="48" t="str">
        <x:v>Yes</x:v>
      </x:c>
      <x:c r="L920" s="48" t="str">
        <x:v>PDF text</x:v>
      </x:c>
    </x:row>
    <x:row r="921">
      <x:c r="A921" s="48" t="str">
        <x:v>RED-0920</x:v>
      </x:c>
      <x:c r="B921" s="48" t="str">
        <x:v>RED</x:v>
      </x:c>
      <x:c r="C921" s="48" t="str">
        <x:v>English</x:v>
      </x:c>
      <x:c r="D921" s="48" t="n">
        <x:v>54</x:v>
      </x:c>
      <x:c r="E921" s="48" t="str"/>
      <x:c r="F921" s="48" t="str">
        <x:v>Provisional Sums</x:v>
      </x:c>
      <x:c r="G921" s="48" t="str">
        <x:v>Obligation</x:v>
      </x:c>
      <x:c r="H921" s="48" t="str">
        <x:v>Shared</x:v>
      </x:c>
      <x:c r="I921" s="48" t="n">
        <x:v>0.45</x:v>
      </x:c>
      <x:c r="J921" s="48" t="n">
        <x:v>0.4</x:v>
      </x:c>
      <x:c r="K921" s="48" t="str">
        <x:v>Yes</x:v>
      </x:c>
      <x:c r="L921" s="48" t="str">
        <x:v>PDF text</x:v>
      </x:c>
    </x:row>
    <x:row r="922">
      <x:c r="A922" s="48" t="str">
        <x:v>RED-0921</x:v>
      </x:c>
      <x:c r="B922" s="48" t="str">
        <x:v>RED</x:v>
      </x:c>
      <x:c r="C922" s="48" t="str">
        <x:v>English</x:v>
      </x:c>
      <x:c r="D922" s="48" t="n">
        <x:v>55</x:v>
      </x:c>
      <x:c r="E922" s="48" t="str"/>
      <x:c r="F922" s="48" t="str">
        <x:v>(b) the identification, type and time of Contractor’s Equipment and Temporary</x:v>
      </x:c>
      <x:c r="G922" s="48" t="str">
        <x:v>Obligation</x:v>
      </x:c>
      <x:c r="H922" s="48" t="str">
        <x:v>Contractor</x:v>
      </x:c>
      <x:c r="I922" s="48" t="n">
        <x:v>0.45</x:v>
      </x:c>
      <x:c r="J922" s="48" t="n">
        <x:v>0.68</x:v>
      </x:c>
      <x:c r="K922" s="48" t="str">
        <x:v>Yes</x:v>
      </x:c>
      <x:c r="L922" s="48" t="str">
        <x:v>PDF text</x:v>
      </x:c>
    </x:row>
    <x:row r="923">
      <x:c r="A923" s="48" t="str">
        <x:v>RED-0922</x:v>
      </x:c>
      <x:c r="B923" s="48" t="str">
        <x:v>RED</x:v>
      </x:c>
      <x:c r="C923" s="48" t="str">
        <x:v>English</x:v>
      </x:c>
      <x:c r="D923" s="48" t="n">
        <x:v>55</x:v>
      </x:c>
      <x:c r="E923" s="48" t="str"/>
      <x:c r="F923" s="48" t="str">
        <x:v>Works, and</x:v>
      </x:c>
      <x:c r="G923" s="48" t="str">
        <x:v>Obligation</x:v>
      </x:c>
      <x:c r="H923" s="48" t="str">
        <x:v>Shared</x:v>
      </x:c>
      <x:c r="I923" s="48" t="n">
        <x:v>0.45</x:v>
      </x:c>
      <x:c r="J923" s="48" t="n">
        <x:v>0.4</x:v>
      </x:c>
      <x:c r="K923" s="48" t="str">
        <x:v>Yes</x:v>
      </x:c>
      <x:c r="L923" s="48" t="str">
        <x:v>PDF text</x:v>
      </x:c>
    </x:row>
    <x:row r="924">
      <x:c r="A924" s="48" t="str">
        <x:v>RED-0923</x:v>
      </x:c>
      <x:c r="B924" s="48" t="str">
        <x:v>RED</x:v>
      </x:c>
      <x:c r="C924" s="48" t="str">
        <x:v>English</x:v>
      </x:c>
      <x:c r="D924" s="48" t="n">
        <x:v>55</x:v>
      </x:c>
      <x:c r="E924" s="48" t="str"/>
      <x:c r="F924" s="48" t="str">
        <x:v>(c) the quantities and types of Plant and Materials used.</x:v>
      </x:c>
      <x:c r="G924" s="48" t="str">
        <x:v>Obligation</x:v>
      </x:c>
      <x:c r="H924" s="48" t="str">
        <x:v>Shared</x:v>
      </x:c>
      <x:c r="I924" s="48" t="n">
        <x:v>0.45</x:v>
      </x:c>
      <x:c r="J924" s="48" t="n">
        <x:v>0.4</x:v>
      </x:c>
      <x:c r="K924" s="48" t="str">
        <x:v>Yes</x:v>
      </x:c>
      <x:c r="L924" s="48" t="str">
        <x:v>PDF text</x:v>
      </x:c>
    </x:row>
    <x:row r="925">
      <x:c r="A925" s="48" t="str">
        <x:v>RED-0924</x:v>
      </x:c>
      <x:c r="B925" s="48" t="str">
        <x:v>RED</x:v>
      </x:c>
      <x:c r="C925" s="48" t="str">
        <x:v>English</x:v>
      </x:c>
      <x:c r="D925" s="48" t="n">
        <x:v>55</x:v>
      </x:c>
      <x:c r="E925" s="48" t="str"/>
      <x:c r="F925" s="48" t="str">
        <x:v>One copy of each statement will, if correct, or when agreed, be signed by the Engineer and returned to the Contractor.</x:v>
      </x:c>
      <x:c r="G925" s="48" t="str">
        <x:v>Obligation</x:v>
      </x:c>
      <x:c r="H925" s="48" t="str">
        <x:v>Contractor</x:v>
      </x:c>
      <x:c r="I925" s="48" t="n">
        <x:v>0.45</x:v>
      </x:c>
      <x:c r="J925" s="48" t="n">
        <x:v>0.68</x:v>
      </x:c>
      <x:c r="K925" s="48" t="str">
        <x:v>Yes</x:v>
      </x:c>
      <x:c r="L925" s="48" t="str">
        <x:v>PDF text</x:v>
      </x:c>
    </x:row>
    <x:row r="926">
      <x:c r="A926" s="48" t="str">
        <x:v>RED-0925</x:v>
      </x:c>
      <x:c r="B926" s="48" t="str">
        <x:v>RED</x:v>
      </x:c>
      <x:c r="C926" s="48" t="str">
        <x:v>English</x:v>
      </x:c>
      <x:c r="D926" s="48" t="n">
        <x:v>55</x:v>
      </x:c>
      <x:c r="E926" s="48" t="str"/>
      <x:c r="F926" s="48" t="str">
        <x:v>The Contractor shall then submit priced statements of these resources to the Engineer, prior to their inclusion in the next Statement under Sub-Clause 14.3 [Application for Interim Payment Certificates].</x:v>
      </x:c>
      <x:c r="G926" s="48" t="str">
        <x:v>Obligation</x:v>
      </x:c>
      <x:c r="H926" s="48" t="str">
        <x:v>Contractor</x:v>
      </x:c>
      <x:c r="I926" s="48" t="n">
        <x:v>0.88</x:v>
      </x:c>
      <x:c r="J926" s="48" t="n">
        <x:v>0.92</x:v>
      </x:c>
      <x:c r="K926" s="48" t="str">
        <x:v>No</x:v>
      </x:c>
      <x:c r="L926" s="48" t="str">
        <x:v>PDF text</x:v>
      </x:c>
    </x:row>
    <x:row r="927">
      <x:c r="A927" s="48" t="str">
        <x:v>RED-0926</x:v>
      </x:c>
      <x:c r="B927" s="48" t="str">
        <x:v>RED</x:v>
      </x:c>
      <x:c r="C927" s="48" t="str">
        <x:v>English</x:v>
      </x:c>
      <x:c r="D927" s="48" t="n">
        <x:v>55</x:v>
      </x:c>
      <x:c r="E927" s="48" t="str"/>
      <x:c r="F927" s="48" t="str">
        <x:v>The Contract Price shall be adjusted to take account of any increase or decrease in Cost resulting from a change in the Laws of the Country (including the introduction of new Laws and the repeal or modification of existing Laws) or in the judicial or official governmental interpretation of such Laws, made after the Base Date, which affect the Contractor in the performance of obligations under the Contract.</x:v>
      </x:c>
      <x:c r="G927" s="48" t="str">
        <x:v>Obligation</x:v>
      </x:c>
      <x:c r="H927" s="48" t="str">
        <x:v>Contractor</x:v>
      </x:c>
      <x:c r="I927" s="48" t="n">
        <x:v>0.88</x:v>
      </x:c>
      <x:c r="J927" s="48" t="n">
        <x:v>0.68</x:v>
      </x:c>
      <x:c r="K927" s="48" t="str">
        <x:v>Yes</x:v>
      </x:c>
      <x:c r="L927" s="48" t="str">
        <x:v>PDF text</x:v>
      </x:c>
    </x:row>
    <x:row r="928">
      <x:c r="A928" s="48" t="str">
        <x:v>RED-0927</x:v>
      </x:c>
      <x:c r="B928" s="48" t="str">
        <x:v>RED</x:v>
      </x:c>
      <x:c r="C928" s="48" t="str">
        <x:v>English</x:v>
      </x:c>
      <x:c r="D928" s="48" t="n">
        <x:v>55</x:v>
      </x:c>
      <x:c r="E928" s="48" t="str"/>
      <x:c r="F928" s="48" t="str">
        <x:v>If the Contractor suffers (or will suffer) delay and/or incurs (or will incur) additional Cost as a result of these changes in the Laws or in such interpretations, made after the</x:v>
      </x:c>
      <x:c r="G928" s="48" t="str">
        <x:v>Risk</x:v>
      </x:c>
      <x:c r="H928" s="48" t="str">
        <x:v>Contractor</x:v>
      </x:c>
      <x:c r="I928" s="48" t="n">
        <x:v>0.78</x:v>
      </x:c>
      <x:c r="J928" s="48" t="n">
        <x:v>0.68</x:v>
      </x:c>
      <x:c r="K928" s="48" t="str">
        <x:v>Yes</x:v>
      </x:c>
      <x:c r="L928" s="48" t="str">
        <x:v>PDF text</x:v>
      </x:c>
    </x:row>
    <x:row r="929">
      <x:c r="A929" s="48" t="str">
        <x:v>RED-0928</x:v>
      </x:c>
      <x:c r="B929" s="48" t="str">
        <x:v>RED</x:v>
      </x:c>
      <x:c r="C929" s="48" t="str">
        <x:v>English</x:v>
      </x:c>
      <x:c r="D929" s="48" t="n">
        <x:v>55</x:v>
      </x:c>
      <x:c r="E929" s="48" t="str"/>
      <x:c r="F929" s="48" t="str">
        <x:v>Base Date, the Contractor shall give notice to the Engineer and shall be entitled</x:v>
      </x:c>
      <x:c r="G929" s="48" t="str">
        <x:v>Obligation</x:v>
      </x:c>
      <x:c r="H929" s="48" t="str">
        <x:v>Contractor</x:v>
      </x:c>
      <x:c r="I929" s="48" t="n">
        <x:v>0.88</x:v>
      </x:c>
      <x:c r="J929" s="48" t="n">
        <x:v>0.92</x:v>
      </x:c>
      <x:c r="K929" s="48" t="str">
        <x:v>No</x:v>
      </x:c>
      <x:c r="L929" s="48" t="str">
        <x:v>PDF text</x:v>
      </x:c>
    </x:row>
    <x:row r="930">
      <x:c r="A930" s="48" t="str">
        <x:v>RED-0929</x:v>
      </x:c>
      <x:c r="B930" s="48" t="str">
        <x:v>RED</x:v>
      </x:c>
      <x:c r="C930" s="48" t="str">
        <x:v>English</x:v>
      </x:c>
      <x:c r="D930" s="48" t="n">
        <x:v>55</x:v>
      </x:c>
      <x:c r="E930" s="48" t="str"/>
      <x:c r="F930" s="48" t="str">
        <x:v>subject to Sub-Clause 20.1 [Contractor’s Claims] to: (a) an extension of time for any such delay, if completion is or will be delayed, under Sub-Clause 8.4 [Extension of Time for Completion], and (b) payment of any such Cost, which shall be included in the Contract Price.</x:v>
      </x:c>
      <x:c r="G930" s="48" t="str">
        <x:v>Risk</x:v>
      </x:c>
      <x:c r="H930" s="48" t="str">
        <x:v>Contractor</x:v>
      </x:c>
      <x:c r="I930" s="48" t="n">
        <x:v>0.78</x:v>
      </x:c>
      <x:c r="J930" s="48" t="n">
        <x:v>0.68</x:v>
      </x:c>
      <x:c r="K930" s="48" t="str">
        <x:v>Yes</x:v>
      </x:c>
      <x:c r="L930" s="48" t="str">
        <x:v>PDF text</x:v>
      </x:c>
    </x:row>
    <x:row r="931">
      <x:c r="A931" s="48" t="str">
        <x:v>RED-0930</x:v>
      </x:c>
      <x:c r="B931" s="48" t="str">
        <x:v>RED</x:v>
      </x:c>
      <x:c r="C931" s="48" t="str">
        <x:v>English</x:v>
      </x:c>
      <x:c r="D931" s="48" t="n">
        <x:v>55</x:v>
      </x:c>
      <x:c r="E931" s="48" t="str"/>
      <x:c r="F931" s="48" t="str">
        <x:v>Notwithstanding the foregoing, the Contractor shall not be entitled to such an</x:v>
      </x:c>
      <x:c r="G931" s="48" t="str">
        <x:v>Obligation</x:v>
      </x:c>
      <x:c r="H931" s="48" t="str">
        <x:v>Contractor</x:v>
      </x:c>
      <x:c r="I931" s="48" t="n">
        <x:v>0.88</x:v>
      </x:c>
      <x:c r="J931" s="48" t="n">
        <x:v>0.92</x:v>
      </x:c>
      <x:c r="K931" s="48" t="str">
        <x:v>No</x:v>
      </x:c>
      <x:c r="L931" s="48" t="str">
        <x:v>PDF text</x:v>
      </x:c>
    </x:row>
    <x:row r="932">
      <x:c r="A932" s="48" t="str">
        <x:v>RED-0931</x:v>
      </x:c>
      <x:c r="B932" s="48" t="str">
        <x:v>RED</x:v>
      </x:c>
      <x:c r="C932" s="48" t="str">
        <x:v>English</x:v>
      </x:c>
      <x:c r="D932" s="48" t="n">
        <x:v>55</x:v>
      </x:c>
      <x:c r="E932" s="48" t="str"/>
      <x:c r="F932" s="48" t="str">
        <x:v>extension of time if the same shall already have been taken into account in determining an extension and such Cost shall not be separately paid if the same shall already have been taken into account in the indexing of any inputs to the table of adjustment data in accordance with the provisions of Sub-Clause 13.8.</x:v>
      </x:c>
      <x:c r="G932" s="48" t="str">
        <x:v>Obligation</x:v>
      </x:c>
      <x:c r="H932" s="48" t="str">
        <x:v>Shared</x:v>
      </x:c>
      <x:c r="I932" s="48" t="n">
        <x:v>0.88</x:v>
      </x:c>
      <x:c r="J932" s="48" t="n">
        <x:v>0.4</x:v>
      </x:c>
      <x:c r="K932" s="48" t="str">
        <x:v>Yes</x:v>
      </x:c>
      <x:c r="L932" s="48" t="str">
        <x:v>PDF text</x:v>
      </x:c>
    </x:row>
    <x:row r="933">
      <x:c r="A933" s="48" t="str">
        <x:v>RED-0932</x:v>
      </x:c>
      <x:c r="B933" s="48" t="str">
        <x:v>RED</x:v>
      </x:c>
      <x:c r="C933" s="48" t="str">
        <x:v>English</x:v>
      </x:c>
      <x:c r="D933" s="48" t="n">
        <x:v>55</x:v>
      </x:c>
      <x:c r="E933" s="48" t="str"/>
      <x:c r="F933" s="48" t="str">
        <x:v>In this Sub-Clause, “table of adjustment data” means the completed table of adjustment data for local and foreign currencies included in the Schedules.</x:v>
      </x:c>
      <x:c r="G933" s="48" t="str">
        <x:v>Definition</x:v>
      </x:c>
      <x:c r="H933" s="48" t="str"/>
      <x:c r="I933" s="48" t="n">
        <x:v>0.97</x:v>
      </x:c>
      <x:c r="J933" s="48" t="n">
        <x:v>0.99</x:v>
      </x:c>
      <x:c r="K933" s="48" t="str">
        <x:v>No</x:v>
      </x:c>
      <x:c r="L933" s="48" t="str">
        <x:v>PDF text</x:v>
      </x:c>
    </x:row>
    <x:row r="934">
      <x:c r="A934" s="48" t="str">
        <x:v>RED-0933</x:v>
      </x:c>
      <x:c r="B934" s="48" t="str">
        <x:v>RED</x:v>
      </x:c>
      <x:c r="C934" s="48" t="str">
        <x:v>English</x:v>
      </x:c>
      <x:c r="D934" s="48" t="n">
        <x:v>55</x:v>
      </x:c>
      <x:c r="E934" s="48" t="str"/>
      <x:c r="F934" s="48" t="str">
        <x:v>If there is no such table of adjustment data, this Sub-Clause shall not apply.</x:v>
      </x:c>
      <x:c r="G934" s="48" t="str">
        <x:v>Obligation</x:v>
      </x:c>
      <x:c r="H934" s="48" t="str">
        <x:v>Shared</x:v>
      </x:c>
      <x:c r="I934" s="48" t="n">
        <x:v>0.88</x:v>
      </x:c>
      <x:c r="J934" s="48" t="n">
        <x:v>0.4</x:v>
      </x:c>
      <x:c r="K934" s="48" t="str">
        <x:v>Yes</x:v>
      </x:c>
      <x:c r="L934" s="48" t="str">
        <x:v>PDF text</x:v>
      </x:c>
    </x:row>
    <x:row r="935">
      <x:c r="A935" s="48" t="str">
        <x:v>RED-0934</x:v>
      </x:c>
      <x:c r="B935" s="48" t="str">
        <x:v>RED</x:v>
      </x:c>
      <x:c r="C935" s="48" t="str">
        <x:v>English</x:v>
      </x:c>
      <x:c r="D935" s="48" t="n">
        <x:v>55</x:v>
      </x:c>
      <x:c r="E935" s="48" t="str"/>
      <x:c r="F935" s="48" t="str">
        <x:v>If this Sub-Clause applies, the amounts payable to the Contractor shall be adjusted for rises or falls in the cost of labour, Goods and other inputs to the Works, by the addition or deduction of the amounts determined by the formulae prescribed in this Sub-Clause.</x:v>
      </x:c>
      <x:c r="G935" s="48" t="str">
        <x:v>Obligation</x:v>
      </x:c>
      <x:c r="H935" s="48" t="str">
        <x:v>Contractor</x:v>
      </x:c>
      <x:c r="I935" s="48" t="n">
        <x:v>0.88</x:v>
      </x:c>
      <x:c r="J935" s="48" t="n">
        <x:v>0.92</x:v>
      </x:c>
      <x:c r="K935" s="48" t="str">
        <x:v>No</x:v>
      </x:c>
      <x:c r="L935" s="48" t="str">
        <x:v>PDF text</x:v>
      </x:c>
    </x:row>
    <x:row r="936">
      <x:c r="A936" s="48" t="str">
        <x:v>RED-0935</x:v>
      </x:c>
      <x:c r="B936" s="48" t="str">
        <x:v>RED</x:v>
      </x:c>
      <x:c r="C936" s="48" t="str">
        <x:v>English</x:v>
      </x:c>
      <x:c r="D936" s="48" t="n">
        <x:v>55</x:v>
      </x:c>
      <x:c r="E936" s="48" t="str"/>
      <x:c r="F936" s="48" t="str">
        <x:v>To the extent that full compensation for any rise or fall in Costs is not covered by the provisions of this or other Clauses, the Accepted Contract Amount shall be deemed to have included amounts to cover the contingency of other rises and falls in costs.</x:v>
      </x:c>
      <x:c r="G936" s="48" t="str">
        <x:v>Obligation</x:v>
      </x:c>
      <x:c r="H936" s="48" t="str">
        <x:v>Shared</x:v>
      </x:c>
      <x:c r="I936" s="48" t="n">
        <x:v>0.88</x:v>
      </x:c>
      <x:c r="J936" s="48" t="n">
        <x:v>0.4</x:v>
      </x:c>
      <x:c r="K936" s="48" t="str">
        <x:v>Yes</x:v>
      </x:c>
      <x:c r="L936" s="48" t="str">
        <x:v>PDF text</x:v>
      </x:c>
    </x:row>
    <x:row r="937">
      <x:c r="A937" s="48" t="str">
        <x:v>RED-0936</x:v>
      </x:c>
      <x:c r="B937" s="48" t="str">
        <x:v>RED</x:v>
      </x:c>
      <x:c r="C937" s="48" t="str">
        <x:v>English</x:v>
      </x:c>
      <x:c r="D937" s="48" t="n">
        <x:v>55</x:v>
      </x:c>
      <x:c r="E937" s="48" t="str"/>
      <x:c r="F937" s="48" t="str">
        <x:v>The adjustment to be applied to the amount otherwise payable to the Contractor, as valued in accordance with the appropriate Schedule and certified in Payment Certificates, shall be determined from formulae for each of the currencies in which the Contract Price is payable.</x:v>
      </x:c>
      <x:c r="G937" s="48" t="str">
        <x:v>Obligation</x:v>
      </x:c>
      <x:c r="H937" s="48" t="str">
        <x:v>Contractor</x:v>
      </x:c>
      <x:c r="I937" s="48" t="n">
        <x:v>0.88</x:v>
      </x:c>
      <x:c r="J937" s="48" t="n">
        <x:v>0.68</x:v>
      </x:c>
      <x:c r="K937" s="48" t="str">
        <x:v>Yes</x:v>
      </x:c>
      <x:c r="L937" s="48" t="str">
        <x:v>PDF text</x:v>
      </x:c>
    </x:row>
    <x:row r="938">
      <x:c r="A938" s="48" t="str">
        <x:v>RED-0937</x:v>
      </x:c>
      <x:c r="B938" s="48" t="str">
        <x:v>RED</x:v>
      </x:c>
      <x:c r="C938" s="48" t="str">
        <x:v>English</x:v>
      </x:c>
      <x:c r="D938" s="48" t="n">
        <x:v>55</x:v>
      </x:c>
      <x:c r="E938" s="48" t="str"/>
      <x:c r="F938" s="48" t="str">
        <x:v>No adjustment is to be applied to work valued on the basis of Cost or current prices.</x:v>
      </x:c>
      <x:c r="G938" s="48" t="str">
        <x:v>Obligation</x:v>
      </x:c>
      <x:c r="H938" s="48" t="str">
        <x:v>Shared</x:v>
      </x:c>
      <x:c r="I938" s="48" t="n">
        <x:v>0.45</x:v>
      </x:c>
      <x:c r="J938" s="48" t="n">
        <x:v>0.4</x:v>
      </x:c>
      <x:c r="K938" s="48" t="str">
        <x:v>Yes</x:v>
      </x:c>
      <x:c r="L938" s="48" t="str">
        <x:v>PDF text</x:v>
      </x:c>
    </x:row>
    <x:row r="939">
      <x:c r="A939" s="48" t="str">
        <x:v>RED-0938</x:v>
      </x:c>
      <x:c r="B939" s="48" t="str">
        <x:v>RED</x:v>
      </x:c>
      <x:c r="C939" s="48" t="str">
        <x:v>English</x:v>
      </x:c>
      <x:c r="D939" s="48" t="n">
        <x:v>55</x:v>
      </x:c>
      <x:c r="E939" s="48" t="str"/>
      <x:c r="F939" s="48" t="str">
        <x:v>The formulae shall be of the following general type: Pn = a + b Ln + c En + d Mn + ......</x:v>
      </x:c>
      <x:c r="G939" s="48" t="str">
        <x:v>Obligation</x:v>
      </x:c>
      <x:c r="H939" s="48" t="str">
        <x:v>Shared</x:v>
      </x:c>
      <x:c r="I939" s="48" t="n">
        <x:v>0.88</x:v>
      </x:c>
      <x:c r="J939" s="48" t="n">
        <x:v>0.4</x:v>
      </x:c>
      <x:c r="K939" s="48" t="str">
        <x:v>Yes</x:v>
      </x:c>
      <x:c r="L939" s="48" t="str">
        <x:v>PDF text</x:v>
      </x:c>
    </x:row>
    <x:row r="940">
      <x:c r="A940" s="48" t="str">
        <x:v>RED-0939</x:v>
      </x:c>
      <x:c r="B940" s="48" t="str">
        <x:v>RED</x:v>
      </x:c>
      <x:c r="C940" s="48" t="str">
        <x:v>English</x:v>
      </x:c>
      <x:c r="D940" s="48" t="n">
        <x:v>55</x:v>
      </x:c>
      <x:c r="E940" s="48" t="str"/>
      <x:c r="F940" s="48" t="str">
        <x:v>Lo Eo Mo where: 13.7</x:v>
      </x:c>
      <x:c r="G940" s="48" t="str">
        <x:v>Obligation</x:v>
      </x:c>
      <x:c r="H940" s="48" t="str">
        <x:v>Shared</x:v>
      </x:c>
      <x:c r="I940" s="48" t="n">
        <x:v>0.45</x:v>
      </x:c>
      <x:c r="J940" s="48" t="n">
        <x:v>0.4</x:v>
      </x:c>
      <x:c r="K940" s="48" t="str">
        <x:v>Yes</x:v>
      </x:c>
      <x:c r="L940" s="48" t="str">
        <x:v>PDF text</x:v>
      </x:c>
    </x:row>
    <x:row r="941">
      <x:c r="A941" s="48" t="str">
        <x:v>RED-0940</x:v>
      </x:c>
      <x:c r="B941" s="48" t="str">
        <x:v>RED</x:v>
      </x:c>
      <x:c r="C941" s="48" t="str">
        <x:v>English</x:v>
      </x:c>
      <x:c r="D941" s="48" t="n">
        <x:v>55</x:v>
      </x:c>
      <x:c r="E941" s="48" t="str"/>
      <x:c r="F941" s="48" t="str">
        <x:v>Adjustments for</x:v>
      </x:c>
      <x:c r="G941" s="48" t="str">
        <x:v>Obligation</x:v>
      </x:c>
      <x:c r="H941" s="48" t="str">
        <x:v>Shared</x:v>
      </x:c>
      <x:c r="I941" s="48" t="n">
        <x:v>0.45</x:v>
      </x:c>
      <x:c r="J941" s="48" t="n">
        <x:v>0.4</x:v>
      </x:c>
      <x:c r="K941" s="48" t="str">
        <x:v>Yes</x:v>
      </x:c>
      <x:c r="L941" s="48" t="str">
        <x:v>PDF text</x:v>
      </x:c>
    </x:row>
    <x:row r="942">
      <x:c r="A942" s="48" t="str">
        <x:v>RED-0941</x:v>
      </x:c>
      <x:c r="B942" s="48" t="str">
        <x:v>RED</x:v>
      </x:c>
      <x:c r="C942" s="48" t="str">
        <x:v>English</x:v>
      </x:c>
      <x:c r="D942" s="48" t="n">
        <x:v>55</x:v>
      </x:c>
      <x:c r="E942" s="48" t="str"/>
      <x:c r="F942" s="48" t="str">
        <x:v>Changes in Legislation</x:v>
      </x:c>
      <x:c r="G942" s="48" t="str">
        <x:v>Obligation</x:v>
      </x:c>
      <x:c r="H942" s="48" t="str">
        <x:v>Shared</x:v>
      </x:c>
      <x:c r="I942" s="48" t="n">
        <x:v>0.45</x:v>
      </x:c>
      <x:c r="J942" s="48" t="n">
        <x:v>0.4</x:v>
      </x:c>
      <x:c r="K942" s="48" t="str">
        <x:v>Yes</x:v>
      </x:c>
      <x:c r="L942" s="48" t="str">
        <x:v>PDF text</x:v>
      </x:c>
    </x:row>
    <x:row r="943">
      <x:c r="A943" s="48" t="str">
        <x:v>RED-0942</x:v>
      </x:c>
      <x:c r="B943" s="48" t="str">
        <x:v>RED</x:v>
      </x:c>
      <x:c r="C943" s="48" t="str">
        <x:v>English</x:v>
      </x:c>
      <x:c r="D943" s="48" t="n">
        <x:v>55</x:v>
      </x:c>
      <x:c r="E943" s="48" t="str"/>
      <x:c r="F943" s="48" t="str">
        <x:v>Changes in Cost</x:v>
      </x:c>
      <x:c r="G943" s="48" t="str">
        <x:v>Obligation</x:v>
      </x:c>
      <x:c r="H943" s="48" t="str">
        <x:v>Shared</x:v>
      </x:c>
      <x:c r="I943" s="48" t="n">
        <x:v>0.45</x:v>
      </x:c>
      <x:c r="J943" s="48" t="n">
        <x:v>0.4</x:v>
      </x:c>
      <x:c r="K943" s="48" t="str">
        <x:v>Yes</x:v>
      </x:c>
      <x:c r="L943" s="48" t="str">
        <x:v>PDF text</x:v>
      </x:c>
    </x:row>
    <x:row r="944">
      <x:c r="A944" s="48" t="str">
        <x:v>RED-0943</x:v>
      </x:c>
      <x:c r="B944" s="48" t="str">
        <x:v>RED</x:v>
      </x:c>
      <x:c r="C944" s="48" t="str">
        <x:v>English</x:v>
      </x:c>
      <x:c r="D944" s="48" t="n">
        <x:v>56</x:v>
      </x:c>
      <x:c r="E944" s="48" t="str"/>
      <x:c r="F944" s="48" t="str">
        <x:v>“Pn” is the adjustment multiplier to be applied to the estimated contract value in the relevant currency of the work carried out in period “n”, this period being a month unless otherwise stated in the Contract Data; “a” is a fixed coefficient, stated in the relevant table of adjustment data, representing the non-adjustable portion in contractual payments; “b”, “c”, “d”, … are coefficients representing the estimated proportion of each cost element related to the execution of the Works, as stated in the relevant table of adjustment data; such tabulated cost elements may be indicative of resources such as labour, equipment and materials; “Ln”, “En”, “Mn”, … are the current cost indices or reference prices for period “n”, expressed in the relevant currency of payment, each of which is applicable to the relevant tabulated cost element on the date 49 days prior to the last day of the period (to which the particular Payment Certificate relates); and “Lo”, “Eo”, “Mo”, … are the base cost indices or reference prices, expressed in the relevant currency of payment, each of which is applicable to the relevant tabulated cost element on the Base Date.</x:v>
      </x:c>
      <x:c r="G944" s="48" t="str">
        <x:v>Right</x:v>
      </x:c>
      <x:c r="H944" s="48" t="str">
        <x:v>Shared</x:v>
      </x:c>
      <x:c r="I944" s="48" t="n">
        <x:v>0.78</x:v>
      </x:c>
      <x:c r="J944" s="48" t="n">
        <x:v>0.4</x:v>
      </x:c>
      <x:c r="K944" s="48" t="str">
        <x:v>Yes</x:v>
      </x:c>
      <x:c r="L944" s="48" t="str">
        <x:v>PDF text</x:v>
      </x:c>
    </x:row>
    <x:row r="945">
      <x:c r="A945" s="48" t="str">
        <x:v>RED-0944</x:v>
      </x:c>
      <x:c r="B945" s="48" t="str">
        <x:v>RED</x:v>
      </x:c>
      <x:c r="C945" s="48" t="str">
        <x:v>English</x:v>
      </x:c>
      <x:c r="D945" s="48" t="n">
        <x:v>56</x:v>
      </x:c>
      <x:c r="E945" s="48" t="str"/>
      <x:c r="F945" s="48" t="str">
        <x:v>The cost indices or reference prices stated in the table of adjustment data shall be used.</x:v>
      </x:c>
      <x:c r="G945" s="48" t="str">
        <x:v>Obligation</x:v>
      </x:c>
      <x:c r="H945" s="48" t="str">
        <x:v>Shared</x:v>
      </x:c>
      <x:c r="I945" s="48" t="n">
        <x:v>0.88</x:v>
      </x:c>
      <x:c r="J945" s="48" t="n">
        <x:v>0.4</x:v>
      </x:c>
      <x:c r="K945" s="48" t="str">
        <x:v>Yes</x:v>
      </x:c>
      <x:c r="L945" s="48" t="str">
        <x:v>PDF text</x:v>
      </x:c>
    </x:row>
    <x:row r="946">
      <x:c r="A946" s="48" t="str">
        <x:v>RED-0945</x:v>
      </x:c>
      <x:c r="B946" s="48" t="str">
        <x:v>RED</x:v>
      </x:c>
      <x:c r="C946" s="48" t="str">
        <x:v>English</x:v>
      </x:c>
      <x:c r="D946" s="48" t="n">
        <x:v>56</x:v>
      </x:c>
      <x:c r="E946" s="48" t="str"/>
      <x:c r="F946" s="48" t="str">
        <x:v>If their source is in doubt, it shall be determined by the Engineer.</x:v>
      </x:c>
      <x:c r="G946" s="48" t="str">
        <x:v>Obligation</x:v>
      </x:c>
      <x:c r="H946" s="48" t="str">
        <x:v>Shared</x:v>
      </x:c>
      <x:c r="I946" s="48" t="n">
        <x:v>0.88</x:v>
      </x:c>
      <x:c r="J946" s="48" t="n">
        <x:v>0.4</x:v>
      </x:c>
      <x:c r="K946" s="48" t="str">
        <x:v>Yes</x:v>
      </x:c>
      <x:c r="L946" s="48" t="str">
        <x:v>PDF text</x:v>
      </x:c>
    </x:row>
    <x:row r="947">
      <x:c r="A947" s="48" t="str">
        <x:v>RED-0946</x:v>
      </x:c>
      <x:c r="B947" s="48" t="str">
        <x:v>RED</x:v>
      </x:c>
      <x:c r="C947" s="48" t="str">
        <x:v>English</x:v>
      </x:c>
      <x:c r="D947" s="48" t="n">
        <x:v>56</x:v>
      </x:c>
      <x:c r="E947" s="48" t="str"/>
      <x:c r="F947" s="48" t="str">
        <x:v>For this purpose, reference shall be made to the values of the indices at stated dates for the purposes of clarification of the source; although these dates (and thus these values) may not correspond to the base cost indices.</x:v>
      </x:c>
      <x:c r="G947" s="48" t="str">
        <x:v>Obligation</x:v>
      </x:c>
      <x:c r="H947" s="48" t="str">
        <x:v>Shared</x:v>
      </x:c>
      <x:c r="I947" s="48" t="n">
        <x:v>0.88</x:v>
      </x:c>
      <x:c r="J947" s="48" t="n">
        <x:v>0.4</x:v>
      </x:c>
      <x:c r="K947" s="48" t="str">
        <x:v>Yes</x:v>
      </x:c>
      <x:c r="L947" s="48" t="str">
        <x:v>PDF text</x:v>
      </x:c>
    </x:row>
    <x:row r="948">
      <x:c r="A948" s="48" t="str">
        <x:v>RED-0947</x:v>
      </x:c>
      <x:c r="B948" s="48" t="str">
        <x:v>RED</x:v>
      </x:c>
      <x:c r="C948" s="48" t="str">
        <x:v>English</x:v>
      </x:c>
      <x:c r="D948" s="48" t="n">
        <x:v>56</x:v>
      </x:c>
      <x:c r="E948" s="48" t="str"/>
      <x:c r="F948" s="48" t="str">
        <x:v>In cases where the “currency of index” is not the relevant currency of payment, each index shall be converted into the relevant currency of payment at the selling rate, established by the central bank of the Country, of this relevant currency on the above date for which the index is required to be applicable.</x:v>
      </x:c>
      <x:c r="G948" s="48" t="str">
        <x:v>Obligation</x:v>
      </x:c>
      <x:c r="H948" s="48" t="str">
        <x:v>Shared</x:v>
      </x:c>
      <x:c r="I948" s="48" t="n">
        <x:v>0.88</x:v>
      </x:c>
      <x:c r="J948" s="48" t="n">
        <x:v>0.4</x:v>
      </x:c>
      <x:c r="K948" s="48" t="str">
        <x:v>Yes</x:v>
      </x:c>
      <x:c r="L948" s="48" t="str">
        <x:v>PDF text</x:v>
      </x:c>
    </x:row>
    <x:row r="949">
      <x:c r="A949" s="48" t="str">
        <x:v>RED-0948</x:v>
      </x:c>
      <x:c r="B949" s="48" t="str">
        <x:v>RED</x:v>
      </x:c>
      <x:c r="C949" s="48" t="str">
        <x:v>English</x:v>
      </x:c>
      <x:c r="D949" s="48" t="n">
        <x:v>56</x:v>
      </x:c>
      <x:c r="E949" s="48" t="str"/>
      <x:c r="F949" s="48" t="str">
        <x:v>Until such time as each current cost index is available, the Engineer shall determine a provisional index for the issue of Interim Payment Certificates.</x:v>
      </x:c>
      <x:c r="G949" s="48" t="str">
        <x:v>Obligation</x:v>
      </x:c>
      <x:c r="H949" s="48" t="str">
        <x:v>Shared</x:v>
      </x:c>
      <x:c r="I949" s="48" t="n">
        <x:v>0.88</x:v>
      </x:c>
      <x:c r="J949" s="48" t="n">
        <x:v>0.4</x:v>
      </x:c>
      <x:c r="K949" s="48" t="str">
        <x:v>Yes</x:v>
      </x:c>
      <x:c r="L949" s="48" t="str">
        <x:v>PDF text</x:v>
      </x:c>
    </x:row>
    <x:row r="950">
      <x:c r="A950" s="48" t="str">
        <x:v>RED-0949</x:v>
      </x:c>
      <x:c r="B950" s="48" t="str">
        <x:v>RED</x:v>
      </x:c>
      <x:c r="C950" s="48" t="str">
        <x:v>English</x:v>
      </x:c>
      <x:c r="D950" s="48" t="n">
        <x:v>56</x:v>
      </x:c>
      <x:c r="E950" s="48" t="str"/>
      <x:c r="F950" s="48" t="str">
        <x:v>When a current cost index is available, the adjustment shall be recalculated accordingly.</x:v>
      </x:c>
      <x:c r="G950" s="48" t="str">
        <x:v>Obligation</x:v>
      </x:c>
      <x:c r="H950" s="48" t="str">
        <x:v>Shared</x:v>
      </x:c>
      <x:c r="I950" s="48" t="n">
        <x:v>0.88</x:v>
      </x:c>
      <x:c r="J950" s="48" t="n">
        <x:v>0.4</x:v>
      </x:c>
      <x:c r="K950" s="48" t="str">
        <x:v>Yes</x:v>
      </x:c>
      <x:c r="L950" s="48" t="str">
        <x:v>PDF text</x:v>
      </x:c>
    </x:row>
    <x:row r="951">
      <x:c r="A951" s="48" t="str">
        <x:v>RED-0950</x:v>
      </x:c>
      <x:c r="B951" s="48" t="str">
        <x:v>RED</x:v>
      </x:c>
      <x:c r="C951" s="48" t="str">
        <x:v>English</x:v>
      </x:c>
      <x:c r="D951" s="48" t="n">
        <x:v>56</x:v>
      </x:c>
      <x:c r="E951" s="48" t="str"/>
      <x:c r="F951" s="48" t="str">
        <x:v>If the Contractor fails to complete the Works within the Time for Completion,</x:v>
      </x:c>
      <x:c r="G951" s="48" t="str">
        <x:v>Obligation</x:v>
      </x:c>
      <x:c r="H951" s="48" t="str">
        <x:v>Contractor</x:v>
      </x:c>
      <x:c r="I951" s="48" t="n">
        <x:v>0.45</x:v>
      </x:c>
      <x:c r="J951" s="48" t="n">
        <x:v>0.68</x:v>
      </x:c>
      <x:c r="K951" s="48" t="str">
        <x:v>Yes</x:v>
      </x:c>
      <x:c r="L951" s="48" t="str">
        <x:v>PDF text</x:v>
      </x:c>
    </x:row>
    <x:row r="952">
      <x:c r="A952" s="48" t="str">
        <x:v>RED-0951</x:v>
      </x:c>
      <x:c r="B952" s="48" t="str">
        <x:v>RED</x:v>
      </x:c>
      <x:c r="C952" s="48" t="str">
        <x:v>English</x:v>
      </x:c>
      <x:c r="D952" s="48" t="n">
        <x:v>56</x:v>
      </x:c>
      <x:c r="E952" s="48" t="str"/>
      <x:c r="F952" s="48" t="str">
        <x:v>adjustment of prices thereafter shall be made using either (i) each index or price applicable on the date 49 days prior to the expiry of the Time for Completion of the Works, or (ii) the current index or price: whichever is more favourable to the Employer.</x:v>
      </x:c>
      <x:c r="G952" s="48" t="str">
        <x:v>Obligation</x:v>
      </x:c>
      <x:c r="H952" s="48" t="str">
        <x:v>Employer</x:v>
      </x:c>
      <x:c r="I952" s="48" t="n">
        <x:v>0.88</x:v>
      </x:c>
      <x:c r="J952" s="48" t="n">
        <x:v>0.68</x:v>
      </x:c>
      <x:c r="K952" s="48" t="str">
        <x:v>Yes</x:v>
      </x:c>
      <x:c r="L952" s="48" t="str">
        <x:v>PDF text</x:v>
      </x:c>
    </x:row>
    <x:row r="953">
      <x:c r="A953" s="48" t="str">
        <x:v>RED-0952</x:v>
      </x:c>
      <x:c r="B953" s="48" t="str">
        <x:v>RED</x:v>
      </x:c>
      <x:c r="C953" s="48" t="str">
        <x:v>English</x:v>
      </x:c>
      <x:c r="D953" s="48" t="n">
        <x:v>56</x:v>
      </x:c>
      <x:c r="E953" s="48" t="str"/>
      <x:c r="F953" s="48" t="str">
        <x:v>The weightings (coefficients) for each of the factors of cost stated in the table(s) of adjustment data shall only be adjusted if they have been rendered unreasonable, unbalanced or inapplicable, as a result of Variations.</x:v>
      </x:c>
      <x:c r="G953" s="48" t="str">
        <x:v>Obligation</x:v>
      </x:c>
      <x:c r="H953" s="48" t="str">
        <x:v>Shared</x:v>
      </x:c>
      <x:c r="I953" s="48" t="n">
        <x:v>0.88</x:v>
      </x:c>
      <x:c r="J953" s="48" t="n">
        <x:v>0.4</x:v>
      </x:c>
      <x:c r="K953" s="48" t="str">
        <x:v>Yes</x:v>
      </x:c>
      <x:c r="L953" s="48" t="str">
        <x:v>PDF text</x:v>
      </x:c>
    </x:row>
    <x:row r="954">
      <x:c r="A954" s="48" t="str">
        <x:v>RED-0953</x:v>
      </x:c>
      <x:c r="B954" s="48" t="str">
        <x:v>RED</x:v>
      </x:c>
      <x:c r="C954" s="48" t="str">
        <x:v>English</x:v>
      </x:c>
      <x:c r="D954" s="48" t="n">
        <x:v>56</x:v>
      </x:c>
      <x:c r="E954" s="48" t="str"/>
      <x:c r="F954" s="48" t="str">
        <x:v>Unless otherwise stated in the Particular Conditions: (a) the Contract Price shall be agreed or determined under Sub-Clause 12.3 [Evaluation] and be subject to adjustments in accordance with the Contract; (b) the Contractor shall pay all taxes, duties and fees required to be paid by him</x:v>
      </x:c>
      <x:c r="G954" s="48" t="str">
        <x:v>Obligation</x:v>
      </x:c>
      <x:c r="H954" s="48" t="str">
        <x:v>Contractor</x:v>
      </x:c>
      <x:c r="I954" s="48" t="n">
        <x:v>0.88</x:v>
      </x:c>
      <x:c r="J954" s="48" t="n">
        <x:v>0.92</x:v>
      </x:c>
      <x:c r="K954" s="48" t="str">
        <x:v>No</x:v>
      </x:c>
      <x:c r="L954" s="48" t="str">
        <x:v>PDF text</x:v>
      </x:c>
    </x:row>
    <x:row r="955">
      <x:c r="A955" s="48" t="str">
        <x:v>RED-0954</x:v>
      </x:c>
      <x:c r="B955" s="48" t="str">
        <x:v>RED</x:v>
      </x:c>
      <x:c r="C955" s="48" t="str">
        <x:v>English</x:v>
      </x:c>
      <x:c r="D955" s="48" t="n">
        <x:v>56</x:v>
      </x:c>
      <x:c r="E955" s="48" t="str">
        <x:v>14.1</x:v>
      </x:c>
      <x:c r="F955" s="48" t="str">
        <x:v>14.1 The Contract Price14</x:v>
      </x:c>
      <x:c r="G955" s="48" t="str">
        <x:v>Heading</x:v>
      </x:c>
      <x:c r="H955" s="48" t="str"/>
      <x:c r="I955" s="48" t="n">
        <x:v>0.9</x:v>
      </x:c>
      <x:c r="J955" s="48" t="n">
        <x:v>0.99</x:v>
      </x:c>
      <x:c r="K955" s="48" t="str">
        <x:v>No</x:v>
      </x:c>
      <x:c r="L955" s="48" t="str">
        <x:v>PDF text</x:v>
      </x:c>
    </x:row>
    <x:row r="956">
      <x:c r="A956" s="48" t="str">
        <x:v>RED-0955</x:v>
      </x:c>
      <x:c r="B956" s="48" t="str">
        <x:v>RED</x:v>
      </x:c>
      <x:c r="C956" s="48" t="str">
        <x:v>English</x:v>
      </x:c>
      <x:c r="D956" s="48" t="n">
        <x:v>56</x:v>
      </x:c>
      <x:c r="E956" s="48" t="str"/>
      <x:c r="F956" s="48" t="str">
        <x:v>Contract Price and Payment</x:v>
      </x:c>
      <x:c r="G956" s="48" t="str">
        <x:v>Obligation</x:v>
      </x:c>
      <x:c r="H956" s="48" t="str">
        <x:v>Shared</x:v>
      </x:c>
      <x:c r="I956" s="48" t="n">
        <x:v>0.55</x:v>
      </x:c>
      <x:c r="J956" s="48" t="n">
        <x:v>0.4</x:v>
      </x:c>
      <x:c r="K956" s="48" t="str">
        <x:v>Yes</x:v>
      </x:c>
      <x:c r="L956" s="48" t="str">
        <x:v>PDF text</x:v>
      </x:c>
    </x:row>
    <x:row r="957">
      <x:c r="A957" s="48" t="str">
        <x:v>RED-0956</x:v>
      </x:c>
      <x:c r="B957" s="48" t="str">
        <x:v>RED</x:v>
      </x:c>
      <x:c r="C957" s="48" t="str">
        <x:v>English</x:v>
      </x:c>
      <x:c r="D957" s="48" t="n">
        <x:v>57</x:v>
      </x:c>
      <x:c r="E957" s="48" t="str"/>
      <x:c r="F957" s="48" t="str">
        <x:v>under the Contract, and the Contract Price shall not be adjusted for any of these costs except as stated in Sub-Clause 13.7 [Adjustments for Changes in Legislation]; (c) any quantities which may be set out in the Bill of Quantities or other Schedule are estimated quantities and are not to be taken as the actual and correct quantities: (i) of the Works which the Contractor is required to execute, or (ii) for the purposes of Clause 12 [Measurement and Evaluation]; and (d) the Contractor shall submit to the Engineer, within 28 days after the</x:v>
      </x:c>
      <x:c r="G957" s="48" t="str">
        <x:v>Obligation</x:v>
      </x:c>
      <x:c r="H957" s="48" t="str">
        <x:v>Contractor</x:v>
      </x:c>
      <x:c r="I957" s="48" t="n">
        <x:v>0.88</x:v>
      </x:c>
      <x:c r="J957" s="48" t="n">
        <x:v>0.92</x:v>
      </x:c>
      <x:c r="K957" s="48" t="str">
        <x:v>No</x:v>
      </x:c>
      <x:c r="L957" s="48" t="str">
        <x:v>PDF text</x:v>
      </x:c>
    </x:row>
    <x:row r="958">
      <x:c r="A958" s="48" t="str">
        <x:v>RED-0957</x:v>
      </x:c>
      <x:c r="B958" s="48" t="str">
        <x:v>RED</x:v>
      </x:c>
      <x:c r="C958" s="48" t="str">
        <x:v>English</x:v>
      </x:c>
      <x:c r="D958" s="48" t="n">
        <x:v>57</x:v>
      </x:c>
      <x:c r="E958" s="48" t="str"/>
      <x:c r="F958" s="48" t="str">
        <x:v>Commencement Date, a proposed breakdown of each lump sum price in the</x:v>
      </x:c>
      <x:c r="G958" s="48" t="str">
        <x:v>Obligation</x:v>
      </x:c>
      <x:c r="H958" s="48" t="str">
        <x:v>Shared</x:v>
      </x:c>
      <x:c r="I958" s="48" t="n">
        <x:v>0.45</x:v>
      </x:c>
      <x:c r="J958" s="48" t="n">
        <x:v>0.4</x:v>
      </x:c>
      <x:c r="K958" s="48" t="str">
        <x:v>Yes</x:v>
      </x:c>
      <x:c r="L958" s="48" t="str">
        <x:v>PDF text</x:v>
      </x:c>
    </x:row>
    <x:row r="959">
      <x:c r="A959" s="48" t="str">
        <x:v>RED-0958</x:v>
      </x:c>
      <x:c r="B959" s="48" t="str">
        <x:v>RED</x:v>
      </x:c>
      <x:c r="C959" s="48" t="str">
        <x:v>English</x:v>
      </x:c>
      <x:c r="D959" s="48" t="n">
        <x:v>57</x:v>
      </x:c>
      <x:c r="E959" s="48" t="str"/>
      <x:c r="F959" s="48" t="str">
        <x:v>Schedules.</x:v>
      </x:c>
      <x:c r="G959" s="48" t="str">
        <x:v>Obligation</x:v>
      </x:c>
      <x:c r="H959" s="48" t="str">
        <x:v>Shared</x:v>
      </x:c>
      <x:c r="I959" s="48" t="n">
        <x:v>0.45</x:v>
      </x:c>
      <x:c r="J959" s="48" t="n">
        <x:v>0.4</x:v>
      </x:c>
      <x:c r="K959" s="48" t="str">
        <x:v>Yes</x:v>
      </x:c>
      <x:c r="L959" s="48" t="str">
        <x:v>PDF text</x:v>
      </x:c>
    </x:row>
    <x:row r="960">
      <x:c r="A960" s="48" t="str">
        <x:v>RED-0959</x:v>
      </x:c>
      <x:c r="B960" s="48" t="str">
        <x:v>RED</x:v>
      </x:c>
      <x:c r="C960" s="48" t="str">
        <x:v>English</x:v>
      </x:c>
      <x:c r="D960" s="48" t="n">
        <x:v>57</x:v>
      </x:c>
      <x:c r="E960" s="48" t="str"/>
      <x:c r="F960" s="48" t="str">
        <x:v>The Engineer may take account of the breakdown when preparing Payment Certificates, but shall not be bound by it.</x:v>
      </x:c>
      <x:c r="G960" s="48" t="str">
        <x:v>Obligation</x:v>
      </x:c>
      <x:c r="H960" s="48" t="str">
        <x:v>Shared</x:v>
      </x:c>
      <x:c r="I960" s="48" t="n">
        <x:v>0.88</x:v>
      </x:c>
      <x:c r="J960" s="48" t="n">
        <x:v>0.4</x:v>
      </x:c>
      <x:c r="K960" s="48" t="str">
        <x:v>Yes</x:v>
      </x:c>
      <x:c r="L960" s="48" t="str">
        <x:v>PDF text</x:v>
      </x:c>
    </x:row>
    <x:row r="961">
      <x:c r="A961" s="48" t="str">
        <x:v>RED-0960</x:v>
      </x:c>
      <x:c r="B961" s="48" t="str">
        <x:v>RED</x:v>
      </x:c>
      <x:c r="C961" s="48" t="str">
        <x:v>English</x:v>
      </x:c>
      <x:c r="D961" s="48" t="n">
        <x:v>57</x:v>
      </x:c>
      <x:c r="E961" s="48" t="str"/>
      <x:c r="F961" s="48" t="str">
        <x:v>Notwithstanding the provisions of subparagraph (b), Contractor’s Equipment,</x:v>
      </x:c>
      <x:c r="G961" s="48" t="str">
        <x:v>Obligation</x:v>
      </x:c>
      <x:c r="H961" s="48" t="str">
        <x:v>Contractor</x:v>
      </x:c>
      <x:c r="I961" s="48" t="n">
        <x:v>0.45</x:v>
      </x:c>
      <x:c r="J961" s="48" t="n">
        <x:v>0.68</x:v>
      </x:c>
      <x:c r="K961" s="48" t="str">
        <x:v>Yes</x:v>
      </x:c>
      <x:c r="L961" s="48" t="str">
        <x:v>PDF text</x:v>
      </x:c>
    </x:row>
    <x:row r="962">
      <x:c r="A962" s="48" t="str">
        <x:v>RED-0961</x:v>
      </x:c>
      <x:c r="B962" s="48" t="str">
        <x:v>RED</x:v>
      </x:c>
      <x:c r="C962" s="48" t="str">
        <x:v>English</x:v>
      </x:c>
      <x:c r="D962" s="48" t="n">
        <x:v>57</x:v>
      </x:c>
      <x:c r="E962" s="48" t="str"/>
      <x:c r="F962" s="48" t="str">
        <x:v>including essential spare parts therefor, imported by the Contractor for the sole purpose of executing the Contract shall be exempt from the payment of import duties and taxes upon importation.</x:v>
      </x:c>
      <x:c r="G962" s="48" t="str">
        <x:v>Obligation</x:v>
      </x:c>
      <x:c r="H962" s="48" t="str">
        <x:v>Contractor</x:v>
      </x:c>
      <x:c r="I962" s="48" t="n">
        <x:v>0.88</x:v>
      </x:c>
      <x:c r="J962" s="48" t="n">
        <x:v>0.68</x:v>
      </x:c>
      <x:c r="K962" s="48" t="str">
        <x:v>Yes</x:v>
      </x:c>
      <x:c r="L962" s="48" t="str">
        <x:v>PDF text</x:v>
      </x:c>
    </x:row>
    <x:row r="963">
      <x:c r="A963" s="48" t="str">
        <x:v>RED-0962</x:v>
      </x:c>
      <x:c r="B963" s="48" t="str">
        <x:v>RED</x:v>
      </x:c>
      <x:c r="C963" s="48" t="str">
        <x:v>English</x:v>
      </x:c>
      <x:c r="D963" s="48" t="n">
        <x:v>57</x:v>
      </x:c>
      <x:c r="E963" s="48" t="str"/>
      <x:c r="F963" s="48" t="str">
        <x:v>The Employer shall make an advance payment, as an interest-free loan for</x:v>
      </x:c>
      <x:c r="G963" s="48" t="str">
        <x:v>Obligation</x:v>
      </x:c>
      <x:c r="H963" s="48" t="str">
        <x:v>Employer</x:v>
      </x:c>
      <x:c r="I963" s="48" t="n">
        <x:v>0.88</x:v>
      </x:c>
      <x:c r="J963" s="48" t="n">
        <x:v>0.92</x:v>
      </x:c>
      <x:c r="K963" s="48" t="str">
        <x:v>No</x:v>
      </x:c>
      <x:c r="L963" s="48" t="str">
        <x:v>PDF text</x:v>
      </x:c>
    </x:row>
    <x:row r="964">
      <x:c r="A964" s="48" t="str">
        <x:v>RED-0963</x:v>
      </x:c>
      <x:c r="B964" s="48" t="str">
        <x:v>RED</x:v>
      </x:c>
      <x:c r="C964" s="48" t="str">
        <x:v>English</x:v>
      </x:c>
      <x:c r="D964" s="48" t="n">
        <x:v>57</x:v>
      </x:c>
      <x:c r="E964" s="48" t="str"/>
      <x:c r="F964" s="48" t="str">
        <x:v>mobilisation, when the Contractor submits a guarantee in accordance with this SubClause.</x:v>
      </x:c>
      <x:c r="G964" s="48" t="str">
        <x:v>Obligation</x:v>
      </x:c>
      <x:c r="H964" s="48" t="str">
        <x:v>Contractor</x:v>
      </x:c>
      <x:c r="I964" s="48" t="n">
        <x:v>0.45</x:v>
      </x:c>
      <x:c r="J964" s="48" t="n">
        <x:v>0.68</x:v>
      </x:c>
      <x:c r="K964" s="48" t="str">
        <x:v>Yes</x:v>
      </x:c>
      <x:c r="L964" s="48" t="str">
        <x:v>PDF text</x:v>
      </x:c>
    </x:row>
    <x:row r="965">
      <x:c r="A965" s="48" t="str">
        <x:v>RED-0964</x:v>
      </x:c>
      <x:c r="B965" s="48" t="str">
        <x:v>RED</x:v>
      </x:c>
      <x:c r="C965" s="48" t="str">
        <x:v>English</x:v>
      </x:c>
      <x:c r="D965" s="48" t="n">
        <x:v>57</x:v>
      </x:c>
      <x:c r="E965" s="48" t="str"/>
      <x:c r="F965" s="48" t="str">
        <x:v>The total advance payment, the number and timing of instalments (if more than one), and the applicable currencies and proportions, shall be as stated in the Contract Data.</x:v>
      </x:c>
      <x:c r="G965" s="48" t="str">
        <x:v>Obligation</x:v>
      </x:c>
      <x:c r="H965" s="48" t="str">
        <x:v>Shared</x:v>
      </x:c>
      <x:c r="I965" s="48" t="n">
        <x:v>0.88</x:v>
      </x:c>
      <x:c r="J965" s="48" t="n">
        <x:v>0.4</x:v>
      </x:c>
      <x:c r="K965" s="48" t="str">
        <x:v>Yes</x:v>
      </x:c>
      <x:c r="L965" s="48" t="str">
        <x:v>PDF text</x:v>
      </x:c>
    </x:row>
    <x:row r="966">
      <x:c r="A966" s="48" t="str">
        <x:v>RED-0965</x:v>
      </x:c>
      <x:c r="B966" s="48" t="str">
        <x:v>RED</x:v>
      </x:c>
      <x:c r="C966" s="48" t="str">
        <x:v>English</x:v>
      </x:c>
      <x:c r="D966" s="48" t="n">
        <x:v>57</x:v>
      </x:c>
      <x:c r="E966" s="48" t="str"/>
      <x:c r="F966" s="48" t="str">
        <x:v>Unless and until the Employer receives this guarantee, or if the total advance payment is not stated in the Contract Data, this Sub-Clause shall not apply.</x:v>
      </x:c>
      <x:c r="G966" s="48" t="str">
        <x:v>Obligation</x:v>
      </x:c>
      <x:c r="H966" s="48" t="str">
        <x:v>Employer</x:v>
      </x:c>
      <x:c r="I966" s="48" t="n">
        <x:v>0.88</x:v>
      </x:c>
      <x:c r="J966" s="48" t="n">
        <x:v>0.68</x:v>
      </x:c>
      <x:c r="K966" s="48" t="str">
        <x:v>Yes</x:v>
      </x:c>
      <x:c r="L966" s="48" t="str">
        <x:v>PDF text</x:v>
      </x:c>
    </x:row>
    <x:row r="967">
      <x:c r="A967" s="48" t="str">
        <x:v>RED-0966</x:v>
      </x:c>
      <x:c r="B967" s="48" t="str">
        <x:v>RED</x:v>
      </x:c>
      <x:c r="C967" s="48" t="str">
        <x:v>English</x:v>
      </x:c>
      <x:c r="D967" s="48" t="n">
        <x:v>57</x:v>
      </x:c>
      <x:c r="E967" s="48" t="str"/>
      <x:c r="F967" s="48" t="str">
        <x:v>The Engineer shall issue an Interim Payment Certificate for the first instalment after receiving a Statement (under Sub-Clause 14.3 [Application for Interim Payment Certificates]) and after the Employer receives (i) the Performance Security in accordance with Sub-Clause 4.2 [Performance Security] and (ii) a guarantee in amounts and currencies equal to the advance payment.</x:v>
      </x:c>
      <x:c r="G967" s="48" t="str">
        <x:v>Obligation</x:v>
      </x:c>
      <x:c r="H967" s="48" t="str">
        <x:v>Employer</x:v>
      </x:c>
      <x:c r="I967" s="48" t="n">
        <x:v>0.88</x:v>
      </x:c>
      <x:c r="J967" s="48" t="n">
        <x:v>0.68</x:v>
      </x:c>
      <x:c r="K967" s="48" t="str">
        <x:v>Yes</x:v>
      </x:c>
      <x:c r="L967" s="48" t="str">
        <x:v>PDF text</x:v>
      </x:c>
    </x:row>
    <x:row r="968">
      <x:c r="A968" s="48" t="str">
        <x:v>RED-0967</x:v>
      </x:c>
      <x:c r="B968" s="48" t="str">
        <x:v>RED</x:v>
      </x:c>
      <x:c r="C968" s="48" t="str">
        <x:v>English</x:v>
      </x:c>
      <x:c r="D968" s="48" t="n">
        <x:v>57</x:v>
      </x:c>
      <x:c r="E968" s="48" t="str"/>
      <x:c r="F968" s="48" t="str">
        <x:v>This guarantee shall be issued by an entity and from within a country (or other jurisdiction) approved by the Employer, and shall be in the form annexed to the Particular Conditions or in another form approved by the Employer.</x:v>
      </x:c>
      <x:c r="G968" s="48" t="str">
        <x:v>Obligation</x:v>
      </x:c>
      <x:c r="H968" s="48" t="str">
        <x:v>Employer</x:v>
      </x:c>
      <x:c r="I968" s="48" t="n">
        <x:v>0.88</x:v>
      </x:c>
      <x:c r="J968" s="48" t="n">
        <x:v>0.68</x:v>
      </x:c>
      <x:c r="K968" s="48" t="str">
        <x:v>Yes</x:v>
      </x:c>
      <x:c r="L968" s="48" t="str">
        <x:v>PDF text</x:v>
      </x:c>
    </x:row>
    <x:row r="969">
      <x:c r="A969" s="48" t="str">
        <x:v>RED-0968</x:v>
      </x:c>
      <x:c r="B969" s="48" t="str">
        <x:v>RED</x:v>
      </x:c>
      <x:c r="C969" s="48" t="str">
        <x:v>English</x:v>
      </x:c>
      <x:c r="D969" s="48" t="n">
        <x:v>57</x:v>
      </x:c>
      <x:c r="E969" s="48" t="str"/>
      <x:c r="F969" s="48" t="str">
        <x:v>The Contractor shall ensure that the guarantee is valid and enforceable until the</x:v>
      </x:c>
      <x:c r="G969" s="48" t="str">
        <x:v>Obligation</x:v>
      </x:c>
      <x:c r="H969" s="48" t="str">
        <x:v>Contractor</x:v>
      </x:c>
      <x:c r="I969" s="48" t="n">
        <x:v>0.88</x:v>
      </x:c>
      <x:c r="J969" s="48" t="n">
        <x:v>0.92</x:v>
      </x:c>
      <x:c r="K969" s="48" t="str">
        <x:v>No</x:v>
      </x:c>
      <x:c r="L969" s="48" t="str">
        <x:v>PDF text</x:v>
      </x:c>
    </x:row>
    <x:row r="970">
      <x:c r="A970" s="48" t="str">
        <x:v>RED-0969</x:v>
      </x:c>
      <x:c r="B970" s="48" t="str">
        <x:v>RED</x:v>
      </x:c>
      <x:c r="C970" s="48" t="str">
        <x:v>English</x:v>
      </x:c>
      <x:c r="D970" s="48" t="n">
        <x:v>57</x:v>
      </x:c>
      <x:c r="E970" s="48" t="str"/>
      <x:c r="F970" s="48" t="str">
        <x:v>advance payment has been repaid, but its amount may be progressively reduced by the amount repaid by the Contractor as indicated in the Payment Certificates.</x:v>
      </x:c>
      <x:c r="G970" s="48" t="str">
        <x:v>Right</x:v>
      </x:c>
      <x:c r="H970" s="48" t="str">
        <x:v>Contractor</x:v>
      </x:c>
      <x:c r="I970" s="48" t="n">
        <x:v>0.78</x:v>
      </x:c>
      <x:c r="J970" s="48" t="n">
        <x:v>0.68</x:v>
      </x:c>
      <x:c r="K970" s="48" t="str">
        <x:v>Yes</x:v>
      </x:c>
      <x:c r="L970" s="48" t="str">
        <x:v>PDF text</x:v>
      </x:c>
    </x:row>
    <x:row r="971">
      <x:c r="A971" s="48" t="str">
        <x:v>RED-0970</x:v>
      </x:c>
      <x:c r="B971" s="48" t="str">
        <x:v>RED</x:v>
      </x:c>
      <x:c r="C971" s="48" t="str">
        <x:v>English</x:v>
      </x:c>
      <x:c r="D971" s="48" t="n">
        <x:v>57</x:v>
      </x:c>
      <x:c r="E971" s="48" t="str"/>
      <x:c r="F971" s="48" t="str">
        <x:v>If the terms of the guarantee specify its expiry date, and the advance payment has not been repaid by the date 28 days prior to the expiry date, the Contractor shall extend the validity of the guarantee until the advance payment has been repaid.</x:v>
      </x:c>
      <x:c r="G971" s="48" t="str">
        <x:v>Obligation</x:v>
      </x:c>
      <x:c r="H971" s="48" t="str">
        <x:v>Contractor</x:v>
      </x:c>
      <x:c r="I971" s="48" t="n">
        <x:v>0.88</x:v>
      </x:c>
      <x:c r="J971" s="48" t="n">
        <x:v>0.92</x:v>
      </x:c>
      <x:c r="K971" s="48" t="str">
        <x:v>No</x:v>
      </x:c>
      <x:c r="L971" s="48" t="str">
        <x:v>PDF text</x:v>
      </x:c>
    </x:row>
    <x:row r="972">
      <x:c r="A972" s="48" t="str">
        <x:v>RED-0971</x:v>
      </x:c>
      <x:c r="B972" s="48" t="str">
        <x:v>RED</x:v>
      </x:c>
      <x:c r="C972" s="48" t="str">
        <x:v>English</x:v>
      </x:c>
      <x:c r="D972" s="48" t="n">
        <x:v>57</x:v>
      </x:c>
      <x:c r="E972" s="48" t="str"/>
      <x:c r="F972" s="48" t="str">
        <x:v>Unless stated otherwise in the Contract Data, the advance payment shall be repaid</x:v>
      </x:c>
      <x:c r="G972" s="48" t="str">
        <x:v>Obligation</x:v>
      </x:c>
      <x:c r="H972" s="48" t="str">
        <x:v>Shared</x:v>
      </x:c>
      <x:c r="I972" s="48" t="n">
        <x:v>0.88</x:v>
      </x:c>
      <x:c r="J972" s="48" t="n">
        <x:v>0.4</x:v>
      </x:c>
      <x:c r="K972" s="48" t="str">
        <x:v>Yes</x:v>
      </x:c>
      <x:c r="L972" s="48" t="str">
        <x:v>PDF text</x:v>
      </x:c>
    </x:row>
    <x:row r="973">
      <x:c r="A973" s="48" t="str">
        <x:v>RED-0972</x:v>
      </x:c>
      <x:c r="B973" s="48" t="str">
        <x:v>RED</x:v>
      </x:c>
      <x:c r="C973" s="48" t="str">
        <x:v>English</x:v>
      </x:c>
      <x:c r="D973" s="48" t="n">
        <x:v>57</x:v>
      </x:c>
      <x:c r="E973" s="48" t="str"/>
      <x:c r="F973" s="48" t="str">
        <x:v>through percentage deductions from the interim payments determined by the Engineer in accordance with Sub-Clause 14.6 [Issue of Interim Payment Certificates], as follows: (a) deductions shall commence in the next interim Payment Certificate following that in which the total of all certified interim payments (excluding the advance payment and deductions and repayments of retention) exceeds 30 percent of the Accepted Contract Amount less Provisional Sums; and (b) deductions shall be made at the amortisation rate stated in the Contract Data of the amount of each Interim Payment Certificate (excluding the advance payment and deductions and repayments of retention) in the currencies and 14.2</x:v>
      </x:c>
      <x:c r="G973" s="48" t="str">
        <x:v>Obligation</x:v>
      </x:c>
      <x:c r="H973" s="48" t="str">
        <x:v>Shared</x:v>
      </x:c>
      <x:c r="I973" s="48" t="n">
        <x:v>0.88</x:v>
      </x:c>
      <x:c r="J973" s="48" t="n">
        <x:v>0.4</x:v>
      </x:c>
      <x:c r="K973" s="48" t="str">
        <x:v>Yes</x:v>
      </x:c>
      <x:c r="L973" s="48" t="str">
        <x:v>PDF text</x:v>
      </x:c>
    </x:row>
    <x:row r="974">
      <x:c r="A974" s="48" t="str">
        <x:v>RED-0973</x:v>
      </x:c>
      <x:c r="B974" s="48" t="str">
        <x:v>RED</x:v>
      </x:c>
      <x:c r="C974" s="48" t="str">
        <x:v>English</x:v>
      </x:c>
      <x:c r="D974" s="48" t="n">
        <x:v>57</x:v>
      </x:c>
      <x:c r="E974" s="48" t="str"/>
      <x:c r="F974" s="48" t="str">
        <x:v>Advance Payment</x:v>
      </x:c>
      <x:c r="G974" s="48" t="str">
        <x:v>Obligation</x:v>
      </x:c>
      <x:c r="H974" s="48" t="str">
        <x:v>Shared</x:v>
      </x:c>
      <x:c r="I974" s="48" t="n">
        <x:v>0.55</x:v>
      </x:c>
      <x:c r="J974" s="48" t="n">
        <x:v>0.4</x:v>
      </x:c>
      <x:c r="K974" s="48" t="str">
        <x:v>Yes</x:v>
      </x:c>
      <x:c r="L974" s="48" t="str">
        <x:v>PDF text</x:v>
      </x:c>
    </x:row>
    <x:row r="975">
      <x:c r="A975" s="48" t="str">
        <x:v>RED-0974</x:v>
      </x:c>
      <x:c r="B975" s="48" t="str">
        <x:v>RED</x:v>
      </x:c>
      <x:c r="C975" s="48" t="str">
        <x:v>English</x:v>
      </x:c>
      <x:c r="D975" s="48" t="n">
        <x:v>58</x:v>
      </x:c>
      <x:c r="E975" s="48" t="str"/>
      <x:c r="F975" s="48" t="str">
        <x:v>proportions of the advance payment until such time as the advance payment has been repaid; provided that the advance payment shall be completely repaid prior to the time when 80 percent of the Accepted Contract Amount less Provisional Sums has been certified for payment.</x:v>
      </x:c>
      <x:c r="G975" s="48" t="str">
        <x:v>Obligation</x:v>
      </x:c>
      <x:c r="H975" s="48" t="str">
        <x:v>Shared</x:v>
      </x:c>
      <x:c r="I975" s="48" t="n">
        <x:v>0.88</x:v>
      </x:c>
      <x:c r="J975" s="48" t="n">
        <x:v>0.4</x:v>
      </x:c>
      <x:c r="K975" s="48" t="str">
        <x:v>Yes</x:v>
      </x:c>
      <x:c r="L975" s="48" t="str">
        <x:v>PDF text</x:v>
      </x:c>
    </x:row>
    <x:row r="976">
      <x:c r="A976" s="48" t="str">
        <x:v>RED-0975</x:v>
      </x:c>
      <x:c r="B976" s="48" t="str">
        <x:v>RED</x:v>
      </x:c>
      <x:c r="C976" s="48" t="str">
        <x:v>English</x:v>
      </x:c>
      <x:c r="D976" s="48" t="n">
        <x:v>58</x:v>
      </x:c>
      <x:c r="E976" s="48" t="str"/>
      <x:c r="F976" s="48" t="str">
        <x:v>If the advance payment has not been repaid prior to the issue of the Taking-Over</x:v>
      </x:c>
      <x:c r="G976" s="48" t="str">
        <x:v>Obligation</x:v>
      </x:c>
      <x:c r="H976" s="48" t="str">
        <x:v>Shared</x:v>
      </x:c>
      <x:c r="I976" s="48" t="n">
        <x:v>0.55</x:v>
      </x:c>
      <x:c r="J976" s="48" t="n">
        <x:v>0.4</x:v>
      </x:c>
      <x:c r="K976" s="48" t="str">
        <x:v>Yes</x:v>
      </x:c>
      <x:c r="L976" s="48" t="str">
        <x:v>PDF text</x:v>
      </x:c>
    </x:row>
    <x:row r="977">
      <x:c r="A977" s="48" t="str">
        <x:v>RED-0976</x:v>
      </x:c>
      <x:c r="B977" s="48" t="str">
        <x:v>RED</x:v>
      </x:c>
      <x:c r="C977" s="48" t="str">
        <x:v>English</x:v>
      </x:c>
      <x:c r="D977" s="48" t="n">
        <x:v>58</x:v>
      </x:c>
      <x:c r="E977" s="48" t="str"/>
      <x:c r="F977" s="48" t="str">
        <x:v>Certificate for the Works or prior to termination under Clause 15 [Termination by Employer], Clause 16 [Suspension and Termination by Contractor] or Clause 19 [Force Majeure] (as the case may be), the whole of the balance then outstanding shall immediately become due and payable by the Contractor to the Employer.</x:v>
      </x:c>
      <x:c r="G977" s="48" t="str">
        <x:v>Obligation</x:v>
      </x:c>
      <x:c r="H977" s="48" t="str">
        <x:v>Shared</x:v>
      </x:c>
      <x:c r="I977" s="48" t="n">
        <x:v>0.88</x:v>
      </x:c>
      <x:c r="J977" s="48" t="n">
        <x:v>0.6</x:v>
      </x:c>
      <x:c r="K977" s="48" t="str">
        <x:v>Yes</x:v>
      </x:c>
      <x:c r="L977" s="48" t="str">
        <x:v>PDF text</x:v>
      </x:c>
    </x:row>
    <x:row r="978">
      <x:c r="A978" s="48" t="str">
        <x:v>RED-0977</x:v>
      </x:c>
      <x:c r="B978" s="48" t="str">
        <x:v>RED</x:v>
      </x:c>
      <x:c r="C978" s="48" t="str">
        <x:v>English</x:v>
      </x:c>
      <x:c r="D978" s="48" t="n">
        <x:v>58</x:v>
      </x:c>
      <x:c r="E978" s="48" t="str"/>
      <x:c r="F978" s="48" t="str">
        <x:v>The Contractor shall submit a Statement in six copies to the Engineer after the end of each month, in a form approved by the Engineer, showing in detail the amounts to which the Contractor considers himself to be entitled, together with supporting documents which shall include the report on the progress during this month in accordance with Sub-Clause 4.21 [Progress Reports].</x:v>
      </x:c>
      <x:c r="G978" s="48" t="str">
        <x:v>Obligation</x:v>
      </x:c>
      <x:c r="H978" s="48" t="str">
        <x:v>Contractor</x:v>
      </x:c>
      <x:c r="I978" s="48" t="n">
        <x:v>0.88</x:v>
      </x:c>
      <x:c r="J978" s="48" t="n">
        <x:v>0.92</x:v>
      </x:c>
      <x:c r="K978" s="48" t="str">
        <x:v>No</x:v>
      </x:c>
      <x:c r="L978" s="48" t="str">
        <x:v>PDF text</x:v>
      </x:c>
    </x:row>
    <x:row r="979">
      <x:c r="A979" s="48" t="str">
        <x:v>RED-0978</x:v>
      </x:c>
      <x:c r="B979" s="48" t="str">
        <x:v>RED</x:v>
      </x:c>
      <x:c r="C979" s="48" t="str">
        <x:v>English</x:v>
      </x:c>
      <x:c r="D979" s="48" t="n">
        <x:v>58</x:v>
      </x:c>
      <x:c r="E979" s="48" t="str"/>
      <x:c r="F979" s="48" t="str">
        <x:v>The Statement shall include the following items, as applicable, which shall be</x:v>
      </x:c>
      <x:c r="G979" s="48" t="str">
        <x:v>Obligation</x:v>
      </x:c>
      <x:c r="H979" s="48" t="str">
        <x:v>Shared</x:v>
      </x:c>
      <x:c r="I979" s="48" t="n">
        <x:v>0.88</x:v>
      </x:c>
      <x:c r="J979" s="48" t="n">
        <x:v>0.4</x:v>
      </x:c>
      <x:c r="K979" s="48" t="str">
        <x:v>Yes</x:v>
      </x:c>
      <x:c r="L979" s="48" t="str">
        <x:v>PDF text</x:v>
      </x:c>
    </x:row>
    <x:row r="980">
      <x:c r="A980" s="48" t="str">
        <x:v>RED-0979</x:v>
      </x:c>
      <x:c r="B980" s="48" t="str">
        <x:v>RED</x:v>
      </x:c>
      <x:c r="C980" s="48" t="str">
        <x:v>English</x:v>
      </x:c>
      <x:c r="D980" s="48" t="n">
        <x:v>58</x:v>
      </x:c>
      <x:c r="E980" s="48" t="str"/>
      <x:c r="F980" s="48" t="str">
        <x:v>expressed in the various currencies in which the Contract Price is payable, in the sequence listed: (a) the estimated contract value of the Works executed and the Contractor’s</x:v>
      </x:c>
      <x:c r="G980" s="48" t="str">
        <x:v>Obligation</x:v>
      </x:c>
      <x:c r="H980" s="48" t="str">
        <x:v>Contractor</x:v>
      </x:c>
      <x:c r="I980" s="48" t="n">
        <x:v>0.45</x:v>
      </x:c>
      <x:c r="J980" s="48" t="n">
        <x:v>0.68</x:v>
      </x:c>
      <x:c r="K980" s="48" t="str">
        <x:v>Yes</x:v>
      </x:c>
      <x:c r="L980" s="48" t="str">
        <x:v>PDF text</x:v>
      </x:c>
    </x:row>
    <x:row r="981">
      <x:c r="A981" s="48" t="str">
        <x:v>RED-0980</x:v>
      </x:c>
      <x:c r="B981" s="48" t="str">
        <x:v>RED</x:v>
      </x:c>
      <x:c r="C981" s="48" t="str">
        <x:v>English</x:v>
      </x:c>
      <x:c r="D981" s="48" t="n">
        <x:v>58</x:v>
      </x:c>
      <x:c r="E981" s="48" t="str"/>
      <x:c r="F981" s="48" t="str">
        <x:v>Documents produced up to the end of the month (including Variations but</x:v>
      </x:c>
      <x:c r="G981" s="48" t="str">
        <x:v>Obligation</x:v>
      </x:c>
      <x:c r="H981" s="48" t="str">
        <x:v>Shared</x:v>
      </x:c>
      <x:c r="I981" s="48" t="n">
        <x:v>0.45</x:v>
      </x:c>
      <x:c r="J981" s="48" t="n">
        <x:v>0.4</x:v>
      </x:c>
      <x:c r="K981" s="48" t="str">
        <x:v>Yes</x:v>
      </x:c>
      <x:c r="L981" s="48" t="str">
        <x:v>PDF text</x:v>
      </x:c>
    </x:row>
    <x:row r="982">
      <x:c r="A982" s="48" t="str">
        <x:v>RED-0981</x:v>
      </x:c>
      <x:c r="B982" s="48" t="str">
        <x:v>RED</x:v>
      </x:c>
      <x:c r="C982" s="48" t="str">
        <x:v>English</x:v>
      </x:c>
      <x:c r="D982" s="48" t="n">
        <x:v>58</x:v>
      </x:c>
      <x:c r="E982" s="48" t="str"/>
      <x:c r="F982" s="48" t="str">
        <x:v>excluding items described in sub-paragraphs (b) to (g) below); (b) any amounts to be added and deducted for changes in legislation and changes in cost, in accordance with Sub-Clause 13.7 [Adjustments for Changes in Legislation] and Sub-Clause 13.8 [Adjustments for Changes in Cost]; (c) any amount to be deducted for retention, calculated by applying the percentage of retention stated in the Contract Data to the total of the above amounts, until the amount so retained by the Employer reaches the limit of Retention Money (if any) stated in the Contract Data; (d) any amounts to be added and deducted for the advance payment and repayments in accordance with Sub-Clause 14.2 [Advance Payment]; (e) any amounts to be added and deducted for Plant and Materials in accordance with Sub-Clause 14.5 [Plant and Materials intended for the Works]; (f) any other additions or deductions which may have become due under the Contract or otherwise, including those under Clause 20 [Claims, Disputes and Arbitration]; and (g) the deduction of amounts certified in all previous Payment Certificates.</x:v>
      </x:c>
      <x:c r="G982" s="48" t="str">
        <x:v>Right</x:v>
      </x:c>
      <x:c r="H982" s="48" t="str">
        <x:v>Employer</x:v>
      </x:c>
      <x:c r="I982" s="48" t="n">
        <x:v>0.78</x:v>
      </x:c>
      <x:c r="J982" s="48" t="n">
        <x:v>0.68</x:v>
      </x:c>
      <x:c r="K982" s="48" t="str">
        <x:v>Yes</x:v>
      </x:c>
      <x:c r="L982" s="48" t="str">
        <x:v>PDF text</x:v>
      </x:c>
    </x:row>
    <x:row r="983">
      <x:c r="A983" s="48" t="str">
        <x:v>RED-0982</x:v>
      </x:c>
      <x:c r="B983" s="48" t="str">
        <x:v>RED</x:v>
      </x:c>
      <x:c r="C983" s="48" t="str">
        <x:v>English</x:v>
      </x:c>
      <x:c r="D983" s="48" t="n">
        <x:v>58</x:v>
      </x:c>
      <x:c r="E983" s="48" t="str"/>
      <x:c r="F983" s="48" t="str">
        <x:v>If the Contract includes a schedule of payments specifying the instalments in which the Contract Price will be paid, then unless otherwise stated in this schedule: (a) the instalments quoted in this schedule of payments shall be the estimated contract values for the purposes of sub-paragraph (a) of Sub-Clause 14.3 [Application for Interim Payment Certificates]; (b) Sub-Clause 14.5 [Plant and Materials intended for the Works] shall not apply; and (c) if these instalments are not defined by reference to the actual progress achieved in executing the Works, and if actual progress is found to be less than that on which this schedule of payments was based, then the Engineer may proceed in accordance with Sub-Clause 3.5 [Determinations] to agree or determine revised instalments, which shall take account of the extent to which progress is less than that on which the instalments were previously based.</x:v>
      </x:c>
      <x:c r="G983" s="48" t="str">
        <x:v>Obligation</x:v>
      </x:c>
      <x:c r="H983" s="48" t="str">
        <x:v>Shared</x:v>
      </x:c>
      <x:c r="I983" s="48" t="n">
        <x:v>0.88</x:v>
      </x:c>
      <x:c r="J983" s="48" t="n">
        <x:v>0.4</x:v>
      </x:c>
      <x:c r="K983" s="48" t="str">
        <x:v>Yes</x:v>
      </x:c>
      <x:c r="L983" s="48" t="str">
        <x:v>PDF text</x:v>
      </x:c>
    </x:row>
    <x:row r="984">
      <x:c r="A984" s="48" t="str">
        <x:v>RED-0983</x:v>
      </x:c>
      <x:c r="B984" s="48" t="str">
        <x:v>RED</x:v>
      </x:c>
      <x:c r="C984" s="48" t="str">
        <x:v>English</x:v>
      </x:c>
      <x:c r="D984" s="48" t="n">
        <x:v>58</x:v>
      </x:c>
      <x:c r="E984" s="48" t="str"/>
      <x:c r="F984" s="48" t="str">
        <x:v>Application for Interim</x:v>
      </x:c>
      <x:c r="G984" s="48" t="str">
        <x:v>Obligation</x:v>
      </x:c>
      <x:c r="H984" s="48" t="str">
        <x:v>Shared</x:v>
      </x:c>
      <x:c r="I984" s="48" t="n">
        <x:v>0.45</x:v>
      </x:c>
      <x:c r="J984" s="48" t="n">
        <x:v>0.4</x:v>
      </x:c>
      <x:c r="K984" s="48" t="str">
        <x:v>Yes</x:v>
      </x:c>
      <x:c r="L984" s="48" t="str">
        <x:v>PDF text</x:v>
      </x:c>
    </x:row>
    <x:row r="985">
      <x:c r="A985" s="48" t="str">
        <x:v>RED-0984</x:v>
      </x:c>
      <x:c r="B985" s="48" t="str">
        <x:v>RED</x:v>
      </x:c>
      <x:c r="C985" s="48" t="str">
        <x:v>English</x:v>
      </x:c>
      <x:c r="D985" s="48" t="n">
        <x:v>58</x:v>
      </x:c>
      <x:c r="E985" s="48" t="str"/>
      <x:c r="F985" s="48" t="str">
        <x:v>Payment Certificates</x:v>
      </x:c>
      <x:c r="G985" s="48" t="str">
        <x:v>Obligation</x:v>
      </x:c>
      <x:c r="H985" s="48" t="str">
        <x:v>Shared</x:v>
      </x:c>
      <x:c r="I985" s="48" t="n">
        <x:v>0.55</x:v>
      </x:c>
      <x:c r="J985" s="48" t="n">
        <x:v>0.4</x:v>
      </x:c>
      <x:c r="K985" s="48" t="str">
        <x:v>Yes</x:v>
      </x:c>
      <x:c r="L985" s="48" t="str">
        <x:v>PDF text</x:v>
      </x:c>
    </x:row>
    <x:row r="986">
      <x:c r="A986" s="48" t="str">
        <x:v>RED-0985</x:v>
      </x:c>
      <x:c r="B986" s="48" t="str">
        <x:v>RED</x:v>
      </x:c>
      <x:c r="C986" s="48" t="str">
        <x:v>English</x:v>
      </x:c>
      <x:c r="D986" s="48" t="n">
        <x:v>58</x:v>
      </x:c>
      <x:c r="E986" s="48" t="str"/>
      <x:c r="F986" s="48" t="str">
        <x:v>Schedule of Payments</x:v>
      </x:c>
      <x:c r="G986" s="48" t="str">
        <x:v>Obligation</x:v>
      </x:c>
      <x:c r="H986" s="48" t="str">
        <x:v>Shared</x:v>
      </x:c>
      <x:c r="I986" s="48" t="n">
        <x:v>0.45</x:v>
      </x:c>
      <x:c r="J986" s="48" t="n">
        <x:v>0.4</x:v>
      </x:c>
      <x:c r="K986" s="48" t="str">
        <x:v>Yes</x:v>
      </x:c>
      <x:c r="L986" s="48" t="str">
        <x:v>PDF text</x:v>
      </x:c>
    </x:row>
    <x:row r="987">
      <x:c r="A987" s="48" t="str">
        <x:v>RED-0986</x:v>
      </x:c>
      <x:c r="B987" s="48" t="str">
        <x:v>RED</x:v>
      </x:c>
      <x:c r="C987" s="48" t="str">
        <x:v>English</x:v>
      </x:c>
      <x:c r="D987" s="48" t="n">
        <x:v>59</x:v>
      </x:c>
      <x:c r="E987" s="48" t="str"/>
      <x:c r="F987" s="48" t="str">
        <x:v>If the Contract does not include a schedule of payments, the Contractor shall submit non-binding estimates of the payments which he expects to become due during each quarterly period.</x:v>
      </x:c>
      <x:c r="G987" s="48" t="str">
        <x:v>Obligation</x:v>
      </x:c>
      <x:c r="H987" s="48" t="str">
        <x:v>Contractor</x:v>
      </x:c>
      <x:c r="I987" s="48" t="n">
        <x:v>0.88</x:v>
      </x:c>
      <x:c r="J987" s="48" t="n">
        <x:v>0.92</x:v>
      </x:c>
      <x:c r="K987" s="48" t="str">
        <x:v>No</x:v>
      </x:c>
      <x:c r="L987" s="48" t="str">
        <x:v>PDF text</x:v>
      </x:c>
    </x:row>
    <x:row r="988">
      <x:c r="A988" s="48" t="str">
        <x:v>RED-0987</x:v>
      </x:c>
      <x:c r="B988" s="48" t="str">
        <x:v>RED</x:v>
      </x:c>
      <x:c r="C988" s="48" t="str">
        <x:v>English</x:v>
      </x:c>
      <x:c r="D988" s="48" t="n">
        <x:v>59</x:v>
      </x:c>
      <x:c r="E988" s="48" t="str"/>
      <x:c r="F988" s="48" t="str">
        <x:v>The first estimate shall be submitted within 42 days after the Commencement Date.</x:v>
      </x:c>
      <x:c r="G988" s="48" t="str">
        <x:v>Obligation</x:v>
      </x:c>
      <x:c r="H988" s="48" t="str">
        <x:v>Shared</x:v>
      </x:c>
      <x:c r="I988" s="48" t="n">
        <x:v>0.88</x:v>
      </x:c>
      <x:c r="J988" s="48" t="n">
        <x:v>0.4</x:v>
      </x:c>
      <x:c r="K988" s="48" t="str">
        <x:v>Yes</x:v>
      </x:c>
      <x:c r="L988" s="48" t="str">
        <x:v>PDF text</x:v>
      </x:c>
    </x:row>
    <x:row r="989">
      <x:c r="A989" s="48" t="str">
        <x:v>RED-0988</x:v>
      </x:c>
      <x:c r="B989" s="48" t="str">
        <x:v>RED</x:v>
      </x:c>
      <x:c r="C989" s="48" t="str">
        <x:v>English</x:v>
      </x:c>
      <x:c r="D989" s="48" t="n">
        <x:v>59</x:v>
      </x:c>
      <x:c r="E989" s="48" t="str"/>
      <x:c r="F989" s="48" t="str">
        <x:v>Revised estimates shall be submitted at quarterly intervals, until the Taking-Over Certificate has been issued for the Works.</x:v>
      </x:c>
      <x:c r="G989" s="48" t="str">
        <x:v>Obligation</x:v>
      </x:c>
      <x:c r="H989" s="48" t="str">
        <x:v>Shared</x:v>
      </x:c>
      <x:c r="I989" s="48" t="n">
        <x:v>0.88</x:v>
      </x:c>
      <x:c r="J989" s="48" t="n">
        <x:v>0.4</x:v>
      </x:c>
      <x:c r="K989" s="48" t="str">
        <x:v>Yes</x:v>
      </x:c>
      <x:c r="L989" s="48" t="str">
        <x:v>PDF text</x:v>
      </x:c>
    </x:row>
    <x:row r="990">
      <x:c r="A990" s="48" t="str">
        <x:v>RED-0989</x:v>
      </x:c>
      <x:c r="B990" s="48" t="str">
        <x:v>RED</x:v>
      </x:c>
      <x:c r="C990" s="48" t="str">
        <x:v>English</x:v>
      </x:c>
      <x:c r="D990" s="48" t="n">
        <x:v>59</x:v>
      </x:c>
      <x:c r="E990" s="48" t="str"/>
      <x:c r="F990" s="48" t="str">
        <x:v>If this Sub-Clause applies, Interim Payment Certificates shall include, under subparagraph (e) of Sub-Clause 14.3, (i) an amount for Plant and Materials which have been sent to the Site for incorporation in the Permanent Works, and (ii) a reduction when the contract value of such Plant and Materials is included as part of the Permanent Works under sub-paragraph (a) of Sub-Clause 14.3 [Application for Interim Payment Certificates].</x:v>
      </x:c>
      <x:c r="G990" s="48" t="str">
        <x:v>Obligation</x:v>
      </x:c>
      <x:c r="H990" s="48" t="str">
        <x:v>Shared</x:v>
      </x:c>
      <x:c r="I990" s="48" t="n">
        <x:v>0.88</x:v>
      </x:c>
      <x:c r="J990" s="48" t="n">
        <x:v>0.4</x:v>
      </x:c>
      <x:c r="K990" s="48" t="str">
        <x:v>Yes</x:v>
      </x:c>
      <x:c r="L990" s="48" t="str">
        <x:v>PDF text</x:v>
      </x:c>
    </x:row>
    <x:row r="991">
      <x:c r="A991" s="48" t="str">
        <x:v>RED-0990</x:v>
      </x:c>
      <x:c r="B991" s="48" t="str">
        <x:v>RED</x:v>
      </x:c>
      <x:c r="C991" s="48" t="str">
        <x:v>English</x:v>
      </x:c>
      <x:c r="D991" s="48" t="n">
        <x:v>59</x:v>
      </x:c>
      <x:c r="E991" s="48" t="str"/>
      <x:c r="F991" s="48" t="str">
        <x:v>If the lists referred to in sub-paragraphs (b)(i) or (c)(i) below are not included in the Contract Data, this Sub-Clause shall not apply.</x:v>
      </x:c>
      <x:c r="G991" s="48" t="str">
        <x:v>Obligation</x:v>
      </x:c>
      <x:c r="H991" s="48" t="str">
        <x:v>Shared</x:v>
      </x:c>
      <x:c r="I991" s="48" t="n">
        <x:v>0.88</x:v>
      </x:c>
      <x:c r="J991" s="48" t="n">
        <x:v>0.4</x:v>
      </x:c>
      <x:c r="K991" s="48" t="str">
        <x:v>Yes</x:v>
      </x:c>
      <x:c r="L991" s="48" t="str">
        <x:v>PDF text</x:v>
      </x:c>
    </x:row>
    <x:row r="992">
      <x:c r="A992" s="48" t="str">
        <x:v>RED-0991</x:v>
      </x:c>
      <x:c r="B992" s="48" t="str">
        <x:v>RED</x:v>
      </x:c>
      <x:c r="C992" s="48" t="str">
        <x:v>English</x:v>
      </x:c>
      <x:c r="D992" s="48" t="n">
        <x:v>59</x:v>
      </x:c>
      <x:c r="E992" s="48" t="str"/>
      <x:c r="F992" s="48" t="str">
        <x:v>The additional amount to be certified shall be the equivalent of eighty percent of the Engineer’s determination of the cost of the Plant and Materials (including delivery to</x:v>
      </x:c>
      <x:c r="G992" s="48" t="str">
        <x:v>Obligation</x:v>
      </x:c>
      <x:c r="H992" s="48" t="str">
        <x:v>Shared</x:v>
      </x:c>
      <x:c r="I992" s="48" t="n">
        <x:v>0.88</x:v>
      </x:c>
      <x:c r="J992" s="48" t="n">
        <x:v>0.4</x:v>
      </x:c>
      <x:c r="K992" s="48" t="str">
        <x:v>Yes</x:v>
      </x:c>
      <x:c r="L992" s="48" t="str">
        <x:v>PDF text</x:v>
      </x:c>
    </x:row>
    <x:row r="993">
      <x:c r="A993" s="48" t="str">
        <x:v>RED-0992</x:v>
      </x:c>
      <x:c r="B993" s="48" t="str">
        <x:v>RED</x:v>
      </x:c>
      <x:c r="C993" s="48" t="str">
        <x:v>English</x:v>
      </x:c>
      <x:c r="D993" s="48" t="n">
        <x:v>59</x:v>
      </x:c>
      <x:c r="E993" s="48" t="str"/>
      <x:c r="F993" s="48" t="str">
        <x:v>Site), taking account of the documents mentioned in this Sub-Clause and of the</x:v>
      </x:c>
      <x:c r="G993" s="48" t="str">
        <x:v>Obligation</x:v>
      </x:c>
      <x:c r="H993" s="48" t="str">
        <x:v>Shared</x:v>
      </x:c>
      <x:c r="I993" s="48" t="n">
        <x:v>0.45</x:v>
      </x:c>
      <x:c r="J993" s="48" t="n">
        <x:v>0.4</x:v>
      </x:c>
      <x:c r="K993" s="48" t="str">
        <x:v>Yes</x:v>
      </x:c>
      <x:c r="L993" s="48" t="str">
        <x:v>PDF text</x:v>
      </x:c>
    </x:row>
    <x:row r="994">
      <x:c r="A994" s="48" t="str">
        <x:v>RED-0993</x:v>
      </x:c>
      <x:c r="B994" s="48" t="str">
        <x:v>RED</x:v>
      </x:c>
      <x:c r="C994" s="48" t="str">
        <x:v>English</x:v>
      </x:c>
      <x:c r="D994" s="48" t="n">
        <x:v>59</x:v>
      </x:c>
      <x:c r="E994" s="48" t="str"/>
      <x:c r="F994" s="48" t="str">
        <x:v>contract value of the Plant and Materials.</x:v>
      </x:c>
      <x:c r="G994" s="48" t="str">
        <x:v>Obligation</x:v>
      </x:c>
      <x:c r="H994" s="48" t="str">
        <x:v>Shared</x:v>
      </x:c>
      <x:c r="I994" s="48" t="n">
        <x:v>0.45</x:v>
      </x:c>
      <x:c r="J994" s="48" t="n">
        <x:v>0.4</x:v>
      </x:c>
      <x:c r="K994" s="48" t="str">
        <x:v>Yes</x:v>
      </x:c>
      <x:c r="L994" s="48" t="str">
        <x:v>PDF text</x:v>
      </x:c>
    </x:row>
    <x:row r="995">
      <x:c r="A995" s="48" t="str">
        <x:v>RED-0994</x:v>
      </x:c>
      <x:c r="B995" s="48" t="str">
        <x:v>RED</x:v>
      </x:c>
      <x:c r="C995" s="48" t="str">
        <x:v>English</x:v>
      </x:c>
      <x:c r="D995" s="48" t="n">
        <x:v>59</x:v>
      </x:c>
      <x:c r="E995" s="48" t="str"/>
      <x:c r="F995" s="48" t="str">
        <x:v>Plant and Materials</x:v>
      </x:c>
      <x:c r="G995" s="48" t="str">
        <x:v>Obligation</x:v>
      </x:c>
      <x:c r="H995" s="48" t="str">
        <x:v>Shared</x:v>
      </x:c>
      <x:c r="I995" s="48" t="n">
        <x:v>0.45</x:v>
      </x:c>
      <x:c r="J995" s="48" t="n">
        <x:v>0.4</x:v>
      </x:c>
      <x:c r="K995" s="48" t="str">
        <x:v>Yes</x:v>
      </x:c>
      <x:c r="L995" s="48" t="str">
        <x:v>PDF text</x:v>
      </x:c>
    </x:row>
    <x:row r="996">
      <x:c r="A996" s="48" t="str">
        <x:v>RED-0995</x:v>
      </x:c>
      <x:c r="B996" s="48" t="str">
        <x:v>RED</x:v>
      </x:c>
      <x:c r="C996" s="48" t="str">
        <x:v>English</x:v>
      </x:c>
      <x:c r="D996" s="48" t="n">
        <x:v>59</x:v>
      </x:c>
      <x:c r="E996" s="48" t="str"/>
      <x:c r="F996" s="48" t="str">
        <x:v>intended for the Works</x:v>
      </x:c>
      <x:c r="G996" s="48" t="str">
        <x:v>Obligation</x:v>
      </x:c>
      <x:c r="H996" s="48" t="str">
        <x:v>Shared</x:v>
      </x:c>
      <x:c r="I996" s="48" t="n">
        <x:v>0.45</x:v>
      </x:c>
      <x:c r="J996" s="48" t="n">
        <x:v>0.4</x:v>
      </x:c>
      <x:c r="K996" s="48" t="str">
        <x:v>Yes</x:v>
      </x:c>
      <x:c r="L996" s="48" t="str">
        <x:v>PDF text</x:v>
      </x:c>
    </x:row>
    <x:row r="997">
      <x:c r="A997" s="48" t="str">
        <x:v>RED-0996</x:v>
      </x:c>
      <x:c r="B997" s="48" t="str">
        <x:v>RED</x:v>
      </x:c>
      <x:c r="C997" s="48" t="str">
        <x:v>English</x:v>
      </x:c>
      <x:c r="D997" s="48" t="n">
        <x:v>60</x:v>
      </x:c>
      <x:c r="E997" s="48" t="str"/>
      <x:c r="F997" s="48" t="str">
        <x:v>The currencies for this additional amount shall be the same as those in which payment will become due when the contract value is included under sub-paragraph (a) of SubClause 14.3 [Application for Interim Payment Certificates].</x:v>
      </x:c>
      <x:c r="G997" s="48" t="str">
        <x:v>Obligation</x:v>
      </x:c>
      <x:c r="H997" s="48" t="str">
        <x:v>Shared</x:v>
      </x:c>
      <x:c r="I997" s="48" t="n">
        <x:v>0.88</x:v>
      </x:c>
      <x:c r="J997" s="48" t="n">
        <x:v>0.4</x:v>
      </x:c>
      <x:c r="K997" s="48" t="str">
        <x:v>Yes</x:v>
      </x:c>
      <x:c r="L997" s="48" t="str">
        <x:v>PDF text</x:v>
      </x:c>
    </x:row>
    <x:row r="998">
      <x:c r="A998" s="48" t="str">
        <x:v>RED-0997</x:v>
      </x:c>
      <x:c r="B998" s="48" t="str">
        <x:v>RED</x:v>
      </x:c>
      <x:c r="C998" s="48" t="str">
        <x:v>English</x:v>
      </x:c>
      <x:c r="D998" s="48" t="n">
        <x:v>60</x:v>
      </x:c>
      <x:c r="E998" s="48" t="str"/>
      <x:c r="F998" s="48" t="str">
        <x:v>At that time, the Payment Certificate shall include the applicable reduction which shall be equivalent to, and in the same currencies and proportions as, this additional amount for the relevant Plant and Materials.</x:v>
      </x:c>
      <x:c r="G998" s="48" t="str">
        <x:v>Obligation</x:v>
      </x:c>
      <x:c r="H998" s="48" t="str">
        <x:v>Shared</x:v>
      </x:c>
      <x:c r="I998" s="48" t="n">
        <x:v>0.88</x:v>
      </x:c>
      <x:c r="J998" s="48" t="n">
        <x:v>0.4</x:v>
      </x:c>
      <x:c r="K998" s="48" t="str">
        <x:v>Yes</x:v>
      </x:c>
      <x:c r="L998" s="48" t="str">
        <x:v>PDF text</x:v>
      </x:c>
    </x:row>
    <x:row r="999">
      <x:c r="A999" s="48" t="str">
        <x:v>RED-0998</x:v>
      </x:c>
      <x:c r="B999" s="48" t="str">
        <x:v>RED</x:v>
      </x:c>
      <x:c r="C999" s="48" t="str">
        <x:v>English</x:v>
      </x:c>
      <x:c r="D999" s="48" t="n">
        <x:v>60</x:v>
      </x:c>
      <x:c r="E999" s="48" t="str"/>
      <x:c r="F999" s="48" t="str">
        <x:v>No amount will be certified or paid until the Employer has received and approved the Performance Security.</x:v>
      </x:c>
      <x:c r="G999" s="48" t="str">
        <x:v>Obligation</x:v>
      </x:c>
      <x:c r="H999" s="48" t="str">
        <x:v>Employer</x:v>
      </x:c>
      <x:c r="I999" s="48" t="n">
        <x:v>0.45</x:v>
      </x:c>
      <x:c r="J999" s="48" t="n">
        <x:v>0.68</x:v>
      </x:c>
      <x:c r="K999" s="48" t="str">
        <x:v>Yes</x:v>
      </x:c>
      <x:c r="L999" s="48" t="str">
        <x:v>PDF text</x:v>
      </x:c>
    </x:row>
    <x:row r="1000">
      <x:c r="A1000" s="48" t="str">
        <x:v>RED-0999</x:v>
      </x:c>
      <x:c r="B1000" s="48" t="str">
        <x:v>RED</x:v>
      </x:c>
      <x:c r="C1000" s="48" t="str">
        <x:v>English</x:v>
      </x:c>
      <x:c r="D1000" s="48" t="n">
        <x:v>60</x:v>
      </x:c>
      <x:c r="E1000" s="48" t="str"/>
      <x:c r="F1000" s="48" t="str">
        <x:v>Thereafter, the Engineer shall, within 28 days after receiving a</x:v>
      </x:c>
      <x:c r="G1000" s="48" t="str">
        <x:v>Obligation</x:v>
      </x:c>
      <x:c r="H1000" s="48" t="str">
        <x:v>Shared</x:v>
      </x:c>
      <x:c r="I1000" s="48" t="n">
        <x:v>0.88</x:v>
      </x:c>
      <x:c r="J1000" s="48" t="n">
        <x:v>0.4</x:v>
      </x:c>
      <x:c r="K1000" s="48" t="str">
        <x:v>Yes</x:v>
      </x:c>
      <x:c r="L1000" s="48" t="str">
        <x:v>PDF text</x:v>
      </x:c>
    </x:row>
    <x:row r="1001">
      <x:c r="A1001" s="48" t="str">
        <x:v>RED-1000</x:v>
      </x:c>
      <x:c r="B1001" s="48" t="str">
        <x:v>RED</x:v>
      </x:c>
      <x:c r="C1001" s="48" t="str">
        <x:v>English</x:v>
      </x:c>
      <x:c r="D1001" s="48" t="n">
        <x:v>60</x:v>
      </x:c>
      <x:c r="E1001" s="48" t="str"/>
      <x:c r="F1001" s="48" t="str">
        <x:v>Statement and supporting documents, issue to the Employer an Interim Payment</x:v>
      </x:c>
      <x:c r="G1001" s="48" t="str">
        <x:v>Obligation</x:v>
      </x:c>
      <x:c r="H1001" s="48" t="str">
        <x:v>Employer</x:v>
      </x:c>
      <x:c r="I1001" s="48" t="n">
        <x:v>0.55</x:v>
      </x:c>
      <x:c r="J1001" s="48" t="n">
        <x:v>0.68</x:v>
      </x:c>
      <x:c r="K1001" s="48" t="str">
        <x:v>Yes</x:v>
      </x:c>
      <x:c r="L1001" s="48" t="str">
        <x:v>PDF text</x:v>
      </x:c>
    </x:row>
    <x:row r="1002">
      <x:c r="A1002" s="48" t="str">
        <x:v>RED-1001</x:v>
      </x:c>
      <x:c r="B1002" s="48" t="str">
        <x:v>RED</x:v>
      </x:c>
      <x:c r="C1002" s="48" t="str">
        <x:v>English</x:v>
      </x:c>
      <x:c r="D1002" s="48" t="n">
        <x:v>60</x:v>
      </x:c>
      <x:c r="E1002" s="48" t="str"/>
      <x:c r="F1002" s="48" t="str">
        <x:v>Certificate which shall state the amount which the Engineer fairly determines to be due, with supporting particulars.</x:v>
      </x:c>
      <x:c r="G1002" s="48" t="str">
        <x:v>Obligation</x:v>
      </x:c>
      <x:c r="H1002" s="48" t="str">
        <x:v>Shared</x:v>
      </x:c>
      <x:c r="I1002" s="48" t="n">
        <x:v>0.88</x:v>
      </x:c>
      <x:c r="J1002" s="48" t="n">
        <x:v>0.4</x:v>
      </x:c>
      <x:c r="K1002" s="48" t="str">
        <x:v>Yes</x:v>
      </x:c>
      <x:c r="L1002" s="48" t="str">
        <x:v>PDF text</x:v>
      </x:c>
    </x:row>
    <x:row r="1003">
      <x:c r="A1003" s="48" t="str">
        <x:v>RED-1002</x:v>
      </x:c>
      <x:c r="B1003" s="48" t="str">
        <x:v>RED</x:v>
      </x:c>
      <x:c r="C1003" s="48" t="str">
        <x:v>English</x:v>
      </x:c>
      <x:c r="D1003" s="48" t="n">
        <x:v>60</x:v>
      </x:c>
      <x:c r="E1003" s="48" t="str"/>
      <x:c r="F1003" s="48" t="str">
        <x:v>However, prior to issuing the Taking-Over Certificate for the Works, the Engineer shall not be bound to issue an Interim Payment Certificate in an amount which would (after retention and other deductions) be less than the minimum amount of Interim Payment Certificates (if any) stated in the Contract Data.</x:v>
      </x:c>
      <x:c r="G1003" s="48" t="str">
        <x:v>Obligation</x:v>
      </x:c>
      <x:c r="H1003" s="48" t="str">
        <x:v>Shared</x:v>
      </x:c>
      <x:c r="I1003" s="48" t="n">
        <x:v>0.88</x:v>
      </x:c>
      <x:c r="J1003" s="48" t="n">
        <x:v>0.4</x:v>
      </x:c>
      <x:c r="K1003" s="48" t="str">
        <x:v>Yes</x:v>
      </x:c>
      <x:c r="L1003" s="48" t="str">
        <x:v>PDF text</x:v>
      </x:c>
    </x:row>
    <x:row r="1004">
      <x:c r="A1004" s="48" t="str">
        <x:v>RED-1003</x:v>
      </x:c>
      <x:c r="B1004" s="48" t="str">
        <x:v>RED</x:v>
      </x:c>
      <x:c r="C1004" s="48" t="str">
        <x:v>English</x:v>
      </x:c>
      <x:c r="D1004" s="48" t="n">
        <x:v>60</x:v>
      </x:c>
      <x:c r="E1004" s="48" t="str"/>
      <x:c r="F1004" s="48" t="str">
        <x:v>In this event, the Engineer shall give notice to the Contractor accordingly.</x:v>
      </x:c>
      <x:c r="G1004" s="48" t="str">
        <x:v>Obligation</x:v>
      </x:c>
      <x:c r="H1004" s="48" t="str">
        <x:v>Contractor</x:v>
      </x:c>
      <x:c r="I1004" s="48" t="n">
        <x:v>0.88</x:v>
      </x:c>
      <x:c r="J1004" s="48" t="n">
        <x:v>0.68</x:v>
      </x:c>
      <x:c r="K1004" s="48" t="str">
        <x:v>Yes</x:v>
      </x:c>
      <x:c r="L1004" s="48" t="str">
        <x:v>PDF text</x:v>
      </x:c>
    </x:row>
    <x:row r="1005">
      <x:c r="A1005" s="48" t="str">
        <x:v>RED-1004</x:v>
      </x:c>
      <x:c r="B1005" s="48" t="str">
        <x:v>RED</x:v>
      </x:c>
      <x:c r="C1005" s="48" t="str">
        <x:v>English</x:v>
      </x:c>
      <x:c r="D1005" s="48" t="n">
        <x:v>60</x:v>
      </x:c>
      <x:c r="E1005" s="48" t="str"/>
      <x:c r="F1005" s="48" t="str">
        <x:v>An Interim Payment Certificate shall not be withheld for any other reason, although: (a) if any thing supplied or work done by the Contractor is not in accordance with the Contract, the cost of rectification or replacement may be withheld until rectification or replacement has been completed; and/or (b) if the Contractor was or is failing to perform any work or obligation in accordance with the Contract, and had been so notified by the Engineer, the value of this work or obligation may be withheld until the work or obligation has been performed.</x:v>
      </x:c>
      <x:c r="G1005" s="48" t="str">
        <x:v>Obligation</x:v>
      </x:c>
      <x:c r="H1005" s="48" t="str">
        <x:v>Contractor</x:v>
      </x:c>
      <x:c r="I1005" s="48" t="n">
        <x:v>0.88</x:v>
      </x:c>
      <x:c r="J1005" s="48" t="n">
        <x:v>0.68</x:v>
      </x:c>
      <x:c r="K1005" s="48" t="str">
        <x:v>Yes</x:v>
      </x:c>
      <x:c r="L1005" s="48" t="str">
        <x:v>PDF text</x:v>
      </x:c>
    </x:row>
    <x:row r="1006">
      <x:c r="A1006" s="48" t="str">
        <x:v>RED-1005</x:v>
      </x:c>
      <x:c r="B1006" s="48" t="str">
        <x:v>RED</x:v>
      </x:c>
      <x:c r="C1006" s="48" t="str">
        <x:v>English</x:v>
      </x:c>
      <x:c r="D1006" s="48" t="n">
        <x:v>60</x:v>
      </x:c>
      <x:c r="E1006" s="48" t="str"/>
      <x:c r="F1006" s="48" t="str">
        <x:v>The Engineer may in any Payment Certificate make any correction or modification that should properly be made to any previous Payment Certificate.</x:v>
      </x:c>
      <x:c r="G1006" s="48" t="str">
        <x:v>Right</x:v>
      </x:c>
      <x:c r="H1006" s="48" t="str">
        <x:v>Shared</x:v>
      </x:c>
      <x:c r="I1006" s="48" t="n">
        <x:v>0.78</x:v>
      </x:c>
      <x:c r="J1006" s="48" t="n">
        <x:v>0.4</x:v>
      </x:c>
      <x:c r="K1006" s="48" t="str">
        <x:v>Yes</x:v>
      </x:c>
      <x:c r="L1006" s="48" t="str">
        <x:v>PDF text</x:v>
      </x:c>
    </x:row>
    <x:row r="1007">
      <x:c r="A1007" s="48" t="str">
        <x:v>RED-1006</x:v>
      </x:c>
      <x:c r="B1007" s="48" t="str">
        <x:v>RED</x:v>
      </x:c>
      <x:c r="C1007" s="48" t="str">
        <x:v>English</x:v>
      </x:c>
      <x:c r="D1007" s="48" t="n">
        <x:v>60</x:v>
      </x:c>
      <x:c r="E1007" s="48" t="str"/>
      <x:c r="F1007" s="48" t="str">
        <x:v>A Payment Certificate shall not be deemed to indicate the Engineer’s acceptance, approval, consent or satisfaction.</x:v>
      </x:c>
      <x:c r="G1007" s="48" t="str">
        <x:v>Obligation</x:v>
      </x:c>
      <x:c r="H1007" s="48" t="str">
        <x:v>Shared</x:v>
      </x:c>
      <x:c r="I1007" s="48" t="n">
        <x:v>0.88</x:v>
      </x:c>
      <x:c r="J1007" s="48" t="n">
        <x:v>0.4</x:v>
      </x:c>
      <x:c r="K1007" s="48" t="str">
        <x:v>Yes</x:v>
      </x:c>
      <x:c r="L1007" s="48" t="str">
        <x:v>PDF text</x:v>
      </x:c>
    </x:row>
    <x:row r="1008">
      <x:c r="A1008" s="48" t="str">
        <x:v>RED-1007</x:v>
      </x:c>
      <x:c r="B1008" s="48" t="str">
        <x:v>RED</x:v>
      </x:c>
      <x:c r="C1008" s="48" t="str">
        <x:v>English</x:v>
      </x:c>
      <x:c r="D1008" s="48" t="n">
        <x:v>60</x:v>
      </x:c>
      <x:c r="E1008" s="48" t="str"/>
      <x:c r="F1008" s="48" t="str">
        <x:v>The Employer shall pay to the Contractor: (a) the first instalment of the advance payment within 42 days after issuing the Letter of Acceptance or within 21 days after receiving the documents in accordance with Sub-Clause 4.2 [Performance Security] and Sub-Clause 14.2 [Advance Payment], whichever is later; (b) the amount certified in each Interim Payment Certificate within 56 days after the</x:v>
      </x:c>
      <x:c r="G1008" s="48" t="str">
        <x:v>Obligation</x:v>
      </x:c>
      <x:c r="H1008" s="48" t="str">
        <x:v>Employer</x:v>
      </x:c>
      <x:c r="I1008" s="48" t="n">
        <x:v>0.88</x:v>
      </x:c>
      <x:c r="J1008" s="48" t="n">
        <x:v>0.92</x:v>
      </x:c>
      <x:c r="K1008" s="48" t="str">
        <x:v>No</x:v>
      </x:c>
      <x:c r="L1008" s="48" t="str">
        <x:v>PDF text</x:v>
      </x:c>
    </x:row>
    <x:row r="1009">
      <x:c r="A1009" s="48" t="str">
        <x:v>RED-1008</x:v>
      </x:c>
      <x:c r="B1009" s="48" t="str">
        <x:v>RED</x:v>
      </x:c>
      <x:c r="C1009" s="48" t="str">
        <x:v>English</x:v>
      </x:c>
      <x:c r="D1009" s="48" t="n">
        <x:v>60</x:v>
      </x:c>
      <x:c r="E1009" s="48" t="str"/>
      <x:c r="F1009" s="48" t="str">
        <x:v>Engineer receives the Statement and supporting documents or, at a time when</x:v>
      </x:c>
      <x:c r="G1009" s="48" t="str">
        <x:v>Obligation</x:v>
      </x:c>
      <x:c r="H1009" s="48" t="str">
        <x:v>Shared</x:v>
      </x:c>
      <x:c r="I1009" s="48" t="n">
        <x:v>0.45</x:v>
      </x:c>
      <x:c r="J1009" s="48" t="n">
        <x:v>0.4</x:v>
      </x:c>
      <x:c r="K1009" s="48" t="str">
        <x:v>Yes</x:v>
      </x:c>
      <x:c r="L1009" s="48" t="str">
        <x:v>PDF text</x:v>
      </x:c>
    </x:row>
    <x:row r="1010">
      <x:c r="A1010" s="48" t="str">
        <x:v>RED-1009</x:v>
      </x:c>
      <x:c r="B1010" s="48" t="str">
        <x:v>RED</x:v>
      </x:c>
      <x:c r="C1010" s="48" t="str">
        <x:v>English</x:v>
      </x:c>
      <x:c r="D1010" s="48" t="n">
        <x:v>60</x:v>
      </x:c>
      <x:c r="E1010" s="48" t="str"/>
      <x:c r="F1010" s="48" t="str">
        <x:v>the Bank’s loan or credit (from which part of the payments to the Contractor is being made) is suspended, the amount shown on any statement submitted by the Contractor, within 14 days after such statement is submitted.</x:v>
      </x:c>
      <x:c r="G1010" s="48" t="str">
        <x:v>Obligation</x:v>
      </x:c>
      <x:c r="H1010" s="48" t="str">
        <x:v>Contractor</x:v>
      </x:c>
      <x:c r="I1010" s="48" t="n">
        <x:v>0.45</x:v>
      </x:c>
      <x:c r="J1010" s="48" t="n">
        <x:v>0.68</x:v>
      </x:c>
      <x:c r="K1010" s="48" t="str">
        <x:v>Yes</x:v>
      </x:c>
      <x:c r="L1010" s="48" t="str">
        <x:v>PDF text</x:v>
      </x:c>
    </x:row>
    <x:row r="1011">
      <x:c r="A1011" s="48" t="str">
        <x:v>RED-1010</x:v>
      </x:c>
      <x:c r="B1011" s="48" t="str">
        <x:v>RED</x:v>
      </x:c>
      <x:c r="C1011" s="48" t="str">
        <x:v>English</x:v>
      </x:c>
      <x:c r="D1011" s="48" t="n">
        <x:v>60</x:v>
      </x:c>
      <x:c r="E1011" s="48" t="str"/>
      <x:c r="F1011" s="48" t="str">
        <x:v>Any discrepancy shall be rectified in the next payment to the Contractor; and (c) the amount certified in the Final Payment Certificate within 56 days after the</x:v>
      </x:c>
      <x:c r="G1011" s="48" t="str">
        <x:v>Obligation</x:v>
      </x:c>
      <x:c r="H1011" s="48" t="str">
        <x:v>Contractor</x:v>
      </x:c>
      <x:c r="I1011" s="48" t="n">
        <x:v>0.88</x:v>
      </x:c>
      <x:c r="J1011" s="48" t="n">
        <x:v>0.68</x:v>
      </x:c>
      <x:c r="K1011" s="48" t="str">
        <x:v>Yes</x:v>
      </x:c>
      <x:c r="L1011" s="48" t="str">
        <x:v>PDF text</x:v>
      </x:c>
    </x:row>
    <x:row r="1012">
      <x:c r="A1012" s="48" t="str">
        <x:v>RED-1011</x:v>
      </x:c>
      <x:c r="B1012" s="48" t="str">
        <x:v>RED</x:v>
      </x:c>
      <x:c r="C1012" s="48" t="str">
        <x:v>English</x:v>
      </x:c>
      <x:c r="D1012" s="48" t="n">
        <x:v>60</x:v>
      </x:c>
      <x:c r="E1012" s="48" t="str"/>
      <x:c r="F1012" s="48" t="str">
        <x:v>Employer receives this Payment Certificate or, at a time when the Bank’s loan or</x:v>
      </x:c>
      <x:c r="G1012" s="48" t="str">
        <x:v>Obligation</x:v>
      </x:c>
      <x:c r="H1012" s="48" t="str">
        <x:v>Employer</x:v>
      </x:c>
      <x:c r="I1012" s="48" t="n">
        <x:v>0.55</x:v>
      </x:c>
      <x:c r="J1012" s="48" t="n">
        <x:v>0.68</x:v>
      </x:c>
      <x:c r="K1012" s="48" t="str">
        <x:v>Yes</x:v>
      </x:c>
      <x:c r="L1012" s="48" t="str">
        <x:v>PDF text</x:v>
      </x:c>
    </x:row>
    <x:row r="1013">
      <x:c r="A1013" s="48" t="str">
        <x:v>RED-1012</x:v>
      </x:c>
      <x:c r="B1013" s="48" t="str">
        <x:v>RED</x:v>
      </x:c>
      <x:c r="C1013" s="48" t="str">
        <x:v>English</x:v>
      </x:c>
      <x:c r="D1013" s="48" t="n">
        <x:v>60</x:v>
      </x:c>
      <x:c r="E1013" s="48" t="str"/>
      <x:c r="F1013" s="48" t="str">
        <x:v>credit (from which part of the payments to the Contractor is being made) is suspended, the undisputed amount shown in the Final Statement, within 56 days after the date of notification of the suspension in accordance with Sub-Clause 16.2.</x:v>
      </x:c>
      <x:c r="G1013" s="48" t="str">
        <x:v>Obligation</x:v>
      </x:c>
      <x:c r="H1013" s="48" t="str">
        <x:v>Contractor</x:v>
      </x:c>
      <x:c r="I1013" s="48" t="n">
        <x:v>0.45</x:v>
      </x:c>
      <x:c r="J1013" s="48" t="n">
        <x:v>0.68</x:v>
      </x:c>
      <x:c r="K1013" s="48" t="str">
        <x:v>Yes</x:v>
      </x:c>
      <x:c r="L1013" s="48" t="str">
        <x:v>PDF text</x:v>
      </x:c>
    </x:row>
    <x:row r="1014">
      <x:c r="A1014" s="48" t="str">
        <x:v>RED-1013</x:v>
      </x:c>
      <x:c r="B1014" s="48" t="str">
        <x:v>RED</x:v>
      </x:c>
      <x:c r="C1014" s="48" t="str">
        <x:v>English</x:v>
      </x:c>
      <x:c r="D1014" s="48" t="n">
        <x:v>60</x:v>
      </x:c>
      <x:c r="E1014" s="48" t="str"/>
      <x:c r="F1014" s="48" t="str">
        <x:v>Payment of the amount due in each currency shall be made into the bank account,</x:v>
      </x:c>
      <x:c r="G1014" s="48" t="str">
        <x:v>Obligation</x:v>
      </x:c>
      <x:c r="H1014" s="48" t="str">
        <x:v>Shared</x:v>
      </x:c>
      <x:c r="I1014" s="48" t="n">
        <x:v>0.88</x:v>
      </x:c>
      <x:c r="J1014" s="48" t="n">
        <x:v>0.4</x:v>
      </x:c>
      <x:c r="K1014" s="48" t="str">
        <x:v>Yes</x:v>
      </x:c>
      <x:c r="L1014" s="48" t="str">
        <x:v>PDF text</x:v>
      </x:c>
    </x:row>
    <x:row r="1015">
      <x:c r="A1015" s="48" t="str">
        <x:v>RED-1014</x:v>
      </x:c>
      <x:c r="B1015" s="48" t="str">
        <x:v>RED</x:v>
      </x:c>
      <x:c r="C1015" s="48" t="str">
        <x:v>English</x:v>
      </x:c>
      <x:c r="D1015" s="48" t="n">
        <x:v>60</x:v>
      </x:c>
      <x:c r="E1015" s="48" t="str"/>
      <x:c r="F1015" s="48" t="str">
        <x:v>nominated by the Contractor, in the payment country (for this currency) specified in the Contract.</x:v>
      </x:c>
      <x:c r="G1015" s="48" t="str">
        <x:v>Obligation</x:v>
      </x:c>
      <x:c r="H1015" s="48" t="str">
        <x:v>Contractor</x:v>
      </x:c>
      <x:c r="I1015" s="48" t="n">
        <x:v>0.55</x:v>
      </x:c>
      <x:c r="J1015" s="48" t="n">
        <x:v>0.68</x:v>
      </x:c>
      <x:c r="K1015" s="48" t="str">
        <x:v>Yes</x:v>
      </x:c>
      <x:c r="L1015" s="48" t="str">
        <x:v>PDF text</x:v>
      </x:c>
    </x:row>
    <x:row r="1016">
      <x:c r="A1016" s="48" t="str">
        <x:v>RED-1015</x:v>
      </x:c>
      <x:c r="B1016" s="48" t="str">
        <x:v>RED</x:v>
      </x:c>
      <x:c r="C1016" s="48" t="str">
        <x:v>English</x:v>
      </x:c>
      <x:c r="D1016" s="48" t="n">
        <x:v>60</x:v>
      </x:c>
      <x:c r="E1016" s="48" t="str"/>
      <x:c r="F1016" s="48" t="str">
        <x:v>Issue of Interim Payment</x:v>
      </x:c>
      <x:c r="G1016" s="48" t="str">
        <x:v>Obligation</x:v>
      </x:c>
      <x:c r="H1016" s="48" t="str">
        <x:v>Shared</x:v>
      </x:c>
      <x:c r="I1016" s="48" t="n">
        <x:v>0.55</x:v>
      </x:c>
      <x:c r="J1016" s="48" t="n">
        <x:v>0.4</x:v>
      </x:c>
      <x:c r="K1016" s="48" t="str">
        <x:v>Yes</x:v>
      </x:c>
      <x:c r="L1016" s="48" t="str">
        <x:v>PDF text</x:v>
      </x:c>
    </x:row>
    <x:row r="1017">
      <x:c r="A1017" s="48" t="str">
        <x:v>RED-1016</x:v>
      </x:c>
      <x:c r="B1017" s="48" t="str">
        <x:v>RED</x:v>
      </x:c>
      <x:c r="C1017" s="48" t="str">
        <x:v>English</x:v>
      </x:c>
      <x:c r="D1017" s="48" t="n">
        <x:v>61</x:v>
      </x:c>
      <x:c r="E1017" s="48" t="str"/>
      <x:c r="F1017" s="48" t="str">
        <x:v>If the Contractor does not receive payment in accordance with Sub-Clause 14.7 [Payment], the Contractor shall be entitled to receive financing charges compounded monthly on the amount unpaid during the period of delay.</x:v>
      </x:c>
      <x:c r="G1017" s="48" t="str">
        <x:v>Risk</x:v>
      </x:c>
      <x:c r="H1017" s="48" t="str">
        <x:v>Contractor</x:v>
      </x:c>
      <x:c r="I1017" s="48" t="n">
        <x:v>0.78</x:v>
      </x:c>
      <x:c r="J1017" s="48" t="n">
        <x:v>0.92</x:v>
      </x:c>
      <x:c r="K1017" s="48" t="str">
        <x:v>No</x:v>
      </x:c>
      <x:c r="L1017" s="48" t="str">
        <x:v>PDF text</x:v>
      </x:c>
    </x:row>
    <x:row r="1018">
      <x:c r="A1018" s="48" t="str">
        <x:v>RED-1017</x:v>
      </x:c>
      <x:c r="B1018" s="48" t="str">
        <x:v>RED</x:v>
      </x:c>
      <x:c r="C1018" s="48" t="str">
        <x:v>English</x:v>
      </x:c>
      <x:c r="D1018" s="48" t="n">
        <x:v>61</x:v>
      </x:c>
      <x:c r="E1018" s="48" t="str"/>
      <x:c r="F1018" s="48" t="str">
        <x:v>This period shall be deemed to commence on the date for payment specified in Sub-Clause 14.7 [Payment], irrespective (in the case of its sub-paragraph (b)) of the date on which any Interim Payment Certificate is issued.</x:v>
      </x:c>
      <x:c r="G1018" s="48" t="str">
        <x:v>Obligation</x:v>
      </x:c>
      <x:c r="H1018" s="48" t="str">
        <x:v>Shared</x:v>
      </x:c>
      <x:c r="I1018" s="48" t="n">
        <x:v>0.88</x:v>
      </x:c>
      <x:c r="J1018" s="48" t="n">
        <x:v>0.4</x:v>
      </x:c>
      <x:c r="K1018" s="48" t="str">
        <x:v>Yes</x:v>
      </x:c>
      <x:c r="L1018" s="48" t="str">
        <x:v>PDF text</x:v>
      </x:c>
    </x:row>
    <x:row r="1019">
      <x:c r="A1019" s="48" t="str">
        <x:v>RED-1018</x:v>
      </x:c>
      <x:c r="B1019" s="48" t="str">
        <x:v>RED</x:v>
      </x:c>
      <x:c r="C1019" s="48" t="str">
        <x:v>English</x:v>
      </x:c>
      <x:c r="D1019" s="48" t="n">
        <x:v>61</x:v>
      </x:c>
      <x:c r="E1019" s="48" t="str"/>
      <x:c r="F1019" s="48" t="str">
        <x:v>Unless otherwise stated in the Particular Conditions, these financing charges shall be calculated at the annual rate of three percentage points above the discount rate of the central bank in the country of the currency of payment, and shall be paid in such currency.</x:v>
      </x:c>
      <x:c r="G1019" s="48" t="str">
        <x:v>Obligation</x:v>
      </x:c>
      <x:c r="H1019" s="48" t="str">
        <x:v>Shared</x:v>
      </x:c>
      <x:c r="I1019" s="48" t="n">
        <x:v>0.88</x:v>
      </x:c>
      <x:c r="J1019" s="48" t="n">
        <x:v>0.4</x:v>
      </x:c>
      <x:c r="K1019" s="48" t="str">
        <x:v>Yes</x:v>
      </x:c>
      <x:c r="L1019" s="48" t="str">
        <x:v>PDF text</x:v>
      </x:c>
    </x:row>
    <x:row r="1020">
      <x:c r="A1020" s="48" t="str">
        <x:v>RED-1019</x:v>
      </x:c>
      <x:c r="B1020" s="48" t="str">
        <x:v>RED</x:v>
      </x:c>
      <x:c r="C1020" s="48" t="str">
        <x:v>English</x:v>
      </x:c>
      <x:c r="D1020" s="48" t="n">
        <x:v>61</x:v>
      </x:c>
      <x:c r="E1020" s="48" t="str"/>
      <x:c r="F1020" s="48" t="str">
        <x:v>The Contractor shall be entitled to this payment without formal notice or certification, and without prejudice to any other right or remedy.</x:v>
      </x:c>
      <x:c r="G1020" s="48" t="str">
        <x:v>Obligation</x:v>
      </x:c>
      <x:c r="H1020" s="48" t="str">
        <x:v>Contractor</x:v>
      </x:c>
      <x:c r="I1020" s="48" t="n">
        <x:v>0.88</x:v>
      </x:c>
      <x:c r="J1020" s="48" t="n">
        <x:v>0.92</x:v>
      </x:c>
      <x:c r="K1020" s="48" t="str">
        <x:v>No</x:v>
      </x:c>
      <x:c r="L1020" s="48" t="str">
        <x:v>PDF text</x:v>
      </x:c>
    </x:row>
    <x:row r="1021">
      <x:c r="A1021" s="48" t="str">
        <x:v>RED-1020</x:v>
      </x:c>
      <x:c r="B1021" s="48" t="str">
        <x:v>RED</x:v>
      </x:c>
      <x:c r="C1021" s="48" t="str">
        <x:v>English</x:v>
      </x:c>
      <x:c r="D1021" s="48" t="n">
        <x:v>61</x:v>
      </x:c>
      <x:c r="E1021" s="48" t="str"/>
      <x:c r="F1021" s="48" t="str">
        <x:v>When the Taking-Over Certificate has been issued for the Works, the first half of the Retention Money shall be certified by the Engineer for payment to the Contractor.</x:v>
      </x:c>
      <x:c r="G1021" s="48" t="str">
        <x:v>Obligation</x:v>
      </x:c>
      <x:c r="H1021" s="48" t="str">
        <x:v>Contractor</x:v>
      </x:c>
      <x:c r="I1021" s="48" t="n">
        <x:v>0.88</x:v>
      </x:c>
      <x:c r="J1021" s="48" t="n">
        <x:v>0.68</x:v>
      </x:c>
      <x:c r="K1021" s="48" t="str">
        <x:v>Yes</x:v>
      </x:c>
      <x:c r="L1021" s="48" t="str">
        <x:v>PDF text</x:v>
      </x:c>
    </x:row>
    <x:row r="1022">
      <x:c r="A1022" s="48" t="str">
        <x:v>RED-1021</x:v>
      </x:c>
      <x:c r="B1022" s="48" t="str">
        <x:v>RED</x:v>
      </x:c>
      <x:c r="C1022" s="48" t="str">
        <x:v>English</x:v>
      </x:c>
      <x:c r="D1022" s="48" t="n">
        <x:v>61</x:v>
      </x:c>
      <x:c r="E1022" s="48" t="str"/>
      <x:c r="F1022" s="48" t="str">
        <x:v>If a Taking-Over Certificate is issued for a Section or part of the Works, a proportion of the Retention Money shall be certified and paid.</x:v>
      </x:c>
      <x:c r="G1022" s="48" t="str">
        <x:v>Obligation</x:v>
      </x:c>
      <x:c r="H1022" s="48" t="str">
        <x:v>Shared</x:v>
      </x:c>
      <x:c r="I1022" s="48" t="n">
        <x:v>0.88</x:v>
      </x:c>
      <x:c r="J1022" s="48" t="n">
        <x:v>0.4</x:v>
      </x:c>
      <x:c r="K1022" s="48" t="str">
        <x:v>Yes</x:v>
      </x:c>
      <x:c r="L1022" s="48" t="str">
        <x:v>PDF text</x:v>
      </x:c>
    </x:row>
    <x:row r="1023">
      <x:c r="A1023" s="48" t="str">
        <x:v>RED-1022</x:v>
      </x:c>
      <x:c r="B1023" s="48" t="str">
        <x:v>RED</x:v>
      </x:c>
      <x:c r="C1023" s="48" t="str">
        <x:v>English</x:v>
      </x:c>
      <x:c r="D1023" s="48" t="n">
        <x:v>61</x:v>
      </x:c>
      <x:c r="E1023" s="48" t="str"/>
      <x:c r="F1023" s="48" t="str">
        <x:v>This proportion shall be two-fifths (40%) of the proportion calculated by dividing the estimated contract value of the Section or part, by the estimated final Contract Price.</x:v>
      </x:c>
      <x:c r="G1023" s="48" t="str">
        <x:v>Obligation</x:v>
      </x:c>
      <x:c r="H1023" s="48" t="str">
        <x:v>Shared</x:v>
      </x:c>
      <x:c r="I1023" s="48" t="n">
        <x:v>0.88</x:v>
      </x:c>
      <x:c r="J1023" s="48" t="n">
        <x:v>0.4</x:v>
      </x:c>
      <x:c r="K1023" s="48" t="str">
        <x:v>Yes</x:v>
      </x:c>
      <x:c r="L1023" s="48" t="str">
        <x:v>PDF text</x:v>
      </x:c>
    </x:row>
    <x:row r="1024">
      <x:c r="A1024" s="48" t="str">
        <x:v>RED-1023</x:v>
      </x:c>
      <x:c r="B1024" s="48" t="str">
        <x:v>RED</x:v>
      </x:c>
      <x:c r="C1024" s="48" t="str">
        <x:v>English</x:v>
      </x:c>
      <x:c r="D1024" s="48" t="n">
        <x:v>61</x:v>
      </x:c>
      <x:c r="E1024" s="48" t="str"/>
      <x:c r="F1024" s="48" t="str">
        <x:v>Promptly after the latest of the expiry dates of the Defects Notification Periods, the outstanding balance of the Retention Money shall be certified by the Engineer for payment to the Contractor.</x:v>
      </x:c>
      <x:c r="G1024" s="48" t="str">
        <x:v>Obligation</x:v>
      </x:c>
      <x:c r="H1024" s="48" t="str">
        <x:v>Contractor</x:v>
      </x:c>
      <x:c r="I1024" s="48" t="n">
        <x:v>0.88</x:v>
      </x:c>
      <x:c r="J1024" s="48" t="n">
        <x:v>0.68</x:v>
      </x:c>
      <x:c r="K1024" s="48" t="str">
        <x:v>Yes</x:v>
      </x:c>
      <x:c r="L1024" s="48" t="str">
        <x:v>PDF text</x:v>
      </x:c>
    </x:row>
    <x:row r="1025">
      <x:c r="A1025" s="48" t="str">
        <x:v>RED-1024</x:v>
      </x:c>
      <x:c r="B1025" s="48" t="str">
        <x:v>RED</x:v>
      </x:c>
      <x:c r="C1025" s="48" t="str">
        <x:v>English</x:v>
      </x:c>
      <x:c r="D1025" s="48" t="n">
        <x:v>61</x:v>
      </x:c>
      <x:c r="E1025" s="48" t="str"/>
      <x:c r="F1025" s="48" t="str">
        <x:v>If a Taking-Over Certificate was issued for a Section, a proportion of the second half of the Retention Money shall be certified and paid promptly after the expiry date of the Defects Notification Period for the Section.</x:v>
      </x:c>
      <x:c r="G1025" s="48" t="str">
        <x:v>Obligation</x:v>
      </x:c>
      <x:c r="H1025" s="48" t="str">
        <x:v>Shared</x:v>
      </x:c>
      <x:c r="I1025" s="48" t="n">
        <x:v>0.88</x:v>
      </x:c>
      <x:c r="J1025" s="48" t="n">
        <x:v>0.4</x:v>
      </x:c>
      <x:c r="K1025" s="48" t="str">
        <x:v>Yes</x:v>
      </x:c>
      <x:c r="L1025" s="48" t="str">
        <x:v>PDF text</x:v>
      </x:c>
    </x:row>
    <x:row r="1026">
      <x:c r="A1026" s="48" t="str">
        <x:v>RED-1025</x:v>
      </x:c>
      <x:c r="B1026" s="48" t="str">
        <x:v>RED</x:v>
      </x:c>
      <x:c r="C1026" s="48" t="str">
        <x:v>English</x:v>
      </x:c>
      <x:c r="D1026" s="48" t="n">
        <x:v>61</x:v>
      </x:c>
      <x:c r="E1026" s="48" t="str"/>
      <x:c r="F1026" s="48" t="str">
        <x:v>This proportion shall be two-fifths (40%) of the proportion calculated by dividing the estimated contract value of the Section by the estimated final Contract Price.</x:v>
      </x:c>
      <x:c r="G1026" s="48" t="str">
        <x:v>Obligation</x:v>
      </x:c>
      <x:c r="H1026" s="48" t="str">
        <x:v>Shared</x:v>
      </x:c>
      <x:c r="I1026" s="48" t="n">
        <x:v>0.88</x:v>
      </x:c>
      <x:c r="J1026" s="48" t="n">
        <x:v>0.4</x:v>
      </x:c>
      <x:c r="K1026" s="48" t="str">
        <x:v>Yes</x:v>
      </x:c>
      <x:c r="L1026" s="48" t="str">
        <x:v>PDF text</x:v>
      </x:c>
    </x:row>
    <x:row r="1027">
      <x:c r="A1027" s="48" t="str">
        <x:v>RED-1026</x:v>
      </x:c>
      <x:c r="B1027" s="48" t="str">
        <x:v>RED</x:v>
      </x:c>
      <x:c r="C1027" s="48" t="str">
        <x:v>English</x:v>
      </x:c>
      <x:c r="D1027" s="48" t="n">
        <x:v>61</x:v>
      </x:c>
      <x:c r="E1027" s="48" t="str"/>
      <x:c r="F1027" s="48" t="str">
        <x:v>However, if any work remains to be executed under Clause 11 [Defects Liability], the Engineer shall be entitled to withhold certification of the estimated cost of this work until it has been executed.</x:v>
      </x:c>
      <x:c r="G1027" s="48" t="str">
        <x:v>Risk</x:v>
      </x:c>
      <x:c r="H1027" s="48" t="str">
        <x:v>Shared</x:v>
      </x:c>
      <x:c r="I1027" s="48" t="n">
        <x:v>0.78</x:v>
      </x:c>
      <x:c r="J1027" s="48" t="n">
        <x:v>0.4</x:v>
      </x:c>
      <x:c r="K1027" s="48" t="str">
        <x:v>Yes</x:v>
      </x:c>
      <x:c r="L1027" s="48" t="str">
        <x:v>PDF text</x:v>
      </x:c>
    </x:row>
    <x:row r="1028">
      <x:c r="A1028" s="48" t="str">
        <x:v>RED-1027</x:v>
      </x:c>
      <x:c r="B1028" s="48" t="str">
        <x:v>RED</x:v>
      </x:c>
      <x:c r="C1028" s="48" t="str">
        <x:v>English</x:v>
      </x:c>
      <x:c r="D1028" s="48" t="n">
        <x:v>61</x:v>
      </x:c>
      <x:c r="E1028" s="48" t="str"/>
      <x:c r="F1028" s="48" t="str">
        <x:v>When calculating these proportions, no account shall be taken of any adjustments</x:v>
      </x:c>
      <x:c r="G1028" s="48" t="str">
        <x:v>Obligation</x:v>
      </x:c>
      <x:c r="H1028" s="48" t="str">
        <x:v>Shared</x:v>
      </x:c>
      <x:c r="I1028" s="48" t="n">
        <x:v>0.88</x:v>
      </x:c>
      <x:c r="J1028" s="48" t="n">
        <x:v>0.4</x:v>
      </x:c>
      <x:c r="K1028" s="48" t="str">
        <x:v>Yes</x:v>
      </x:c>
      <x:c r="L1028" s="48" t="str">
        <x:v>PDF text</x:v>
      </x:c>
    </x:row>
    <x:row r="1029">
      <x:c r="A1029" s="48" t="str">
        <x:v>RED-1028</x:v>
      </x:c>
      <x:c r="B1029" s="48" t="str">
        <x:v>RED</x:v>
      </x:c>
      <x:c r="C1029" s="48" t="str">
        <x:v>English</x:v>
      </x:c>
      <x:c r="D1029" s="48" t="n">
        <x:v>61</x:v>
      </x:c>
      <x:c r="E1029" s="48" t="str"/>
      <x:c r="F1029" s="48" t="str">
        <x:v>under Sub-Clause 13.7 [Adjustments for Changes in Legislation] and Sub-Clause</x:v>
      </x:c>
      <x:c r="G1029" s="48" t="str">
        <x:v>Obligation</x:v>
      </x:c>
      <x:c r="H1029" s="48" t="str">
        <x:v>Shared</x:v>
      </x:c>
      <x:c r="I1029" s="48" t="n">
        <x:v>0.45</x:v>
      </x:c>
      <x:c r="J1029" s="48" t="n">
        <x:v>0.4</x:v>
      </x:c>
      <x:c r="K1029" s="48" t="str">
        <x:v>Yes</x:v>
      </x:c>
      <x:c r="L1029" s="48" t="str">
        <x:v>PDF text</x:v>
      </x:c>
    </x:row>
    <x:row r="1030">
      <x:c r="A1030" s="48" t="str">
        <x:v>RED-1029</x:v>
      </x:c>
      <x:c r="B1030" s="48" t="str">
        <x:v>RED</x:v>
      </x:c>
      <x:c r="C1030" s="48" t="str">
        <x:v>English</x:v>
      </x:c>
      <x:c r="D1030" s="48" t="n">
        <x:v>61</x:v>
      </x:c>
      <x:c r="E1030" s="48" t="str">
        <x:v>13.8</x:v>
      </x:c>
      <x:c r="F1030" s="48" t="str">
        <x:v>13.8 [Adjustments for Changes in Cost].</x:v>
      </x:c>
      <x:c r="G1030" s="48" t="str">
        <x:v>Obligation</x:v>
      </x:c>
      <x:c r="H1030" s="48" t="str">
        <x:v>Shared</x:v>
      </x:c>
      <x:c r="I1030" s="48" t="n">
        <x:v>0.45</x:v>
      </x:c>
      <x:c r="J1030" s="48" t="n">
        <x:v>0.4</x:v>
      </x:c>
      <x:c r="K1030" s="48" t="str">
        <x:v>Yes</x:v>
      </x:c>
      <x:c r="L1030" s="48" t="str">
        <x:v>PDF text</x:v>
      </x:c>
    </x:row>
    <x:row r="1031">
      <x:c r="A1031" s="48" t="str">
        <x:v>RED-1030</x:v>
      </x:c>
      <x:c r="B1031" s="48" t="str">
        <x:v>RED</x:v>
      </x:c>
      <x:c r="C1031" s="48" t="str">
        <x:v>English</x:v>
      </x:c>
      <x:c r="D1031" s="48" t="n">
        <x:v>61</x:v>
      </x:c>
      <x:c r="E1031" s="48" t="str"/>
      <x:c r="F1031" s="48" t="str">
        <x:v>Unless otherwise stated in the Particular Conditions, when the Taking-Over Certificate has been issued for the Works and the first half of the Retention Money has been certified for payment by the Engineer, the Contractor shall be entitled to substitute a guarantee, in the form annexed to the Particular Conditions or in another form approved by the Employer and provided by an entity approved by the Employer, for the second half of the Retention Money.</x:v>
      </x:c>
      <x:c r="G1031" s="48" t="str">
        <x:v>Obligation</x:v>
      </x:c>
      <x:c r="H1031" s="48" t="str">
        <x:v>Contractor</x:v>
      </x:c>
      <x:c r="I1031" s="48" t="n">
        <x:v>0.88</x:v>
      </x:c>
      <x:c r="J1031" s="48" t="n">
        <x:v>0.92</x:v>
      </x:c>
      <x:c r="K1031" s="48" t="str">
        <x:v>No</x:v>
      </x:c>
      <x:c r="L1031" s="48" t="str">
        <x:v>PDF text</x:v>
      </x:c>
    </x:row>
    <x:row r="1032">
      <x:c r="A1032" s="48" t="str">
        <x:v>RED-1031</x:v>
      </x:c>
      <x:c r="B1032" s="48" t="str">
        <x:v>RED</x:v>
      </x:c>
      <x:c r="C1032" s="48" t="str">
        <x:v>English</x:v>
      </x:c>
      <x:c r="D1032" s="48" t="n">
        <x:v>61</x:v>
      </x:c>
      <x:c r="E1032" s="48" t="str"/>
      <x:c r="F1032" s="48" t="str">
        <x:v>The Contractor shall ensure that the guarantee is in the amounts and currencies of the second half of the Retention Money and is valid and enforceable until the Contractor has executed and completed the Works and remedied any defects, as specified for the Performance Security in Sub-Clause 4.2.</x:v>
      </x:c>
      <x:c r="G1032" s="48" t="str">
        <x:v>Obligation</x:v>
      </x:c>
      <x:c r="H1032" s="48" t="str">
        <x:v>Contractor</x:v>
      </x:c>
      <x:c r="I1032" s="48" t="n">
        <x:v>0.88</x:v>
      </x:c>
      <x:c r="J1032" s="48" t="n">
        <x:v>0.92</x:v>
      </x:c>
      <x:c r="K1032" s="48" t="str">
        <x:v>No</x:v>
      </x:c>
      <x:c r="L1032" s="48" t="str">
        <x:v>PDF text</x:v>
      </x:c>
    </x:row>
    <x:row r="1033">
      <x:c r="A1033" s="48" t="str">
        <x:v>RED-1032</x:v>
      </x:c>
      <x:c r="B1033" s="48" t="str">
        <x:v>RED</x:v>
      </x:c>
      <x:c r="C1033" s="48" t="str">
        <x:v>English</x:v>
      </x:c>
      <x:c r="D1033" s="48" t="n">
        <x:v>61</x:v>
      </x:c>
      <x:c r="E1033" s="48" t="str"/>
      <x:c r="F1033" s="48" t="str">
        <x:v>On receipt by the Employer of the required guarantee, the Engineer shall certify and the Employer shall pay the second half of the Retention Money.</x:v>
      </x:c>
      <x:c r="G1033" s="48" t="str">
        <x:v>Obligation</x:v>
      </x:c>
      <x:c r="H1033" s="48" t="str">
        <x:v>Employer</x:v>
      </x:c>
      <x:c r="I1033" s="48" t="n">
        <x:v>0.88</x:v>
      </x:c>
      <x:c r="J1033" s="48" t="n">
        <x:v>0.92</x:v>
      </x:c>
      <x:c r="K1033" s="48" t="str">
        <x:v>No</x:v>
      </x:c>
      <x:c r="L1033" s="48" t="str">
        <x:v>PDF text</x:v>
      </x:c>
    </x:row>
    <x:row r="1034">
      <x:c r="A1034" s="48" t="str">
        <x:v>RED-1033</x:v>
      </x:c>
      <x:c r="B1034" s="48" t="str">
        <x:v>RED</x:v>
      </x:c>
      <x:c r="C1034" s="48" t="str">
        <x:v>English</x:v>
      </x:c>
      <x:c r="D1034" s="48" t="n">
        <x:v>61</x:v>
      </x:c>
      <x:c r="E1034" s="48" t="str"/>
      <x:c r="F1034" s="48" t="str">
        <x:v>The release of the second half of the Retention Money against a guarantee shall then be in lieu of the release under the second paragraph of this Sub-Clause.</x:v>
      </x:c>
      <x:c r="G1034" s="48" t="str">
        <x:v>Obligation</x:v>
      </x:c>
      <x:c r="H1034" s="48" t="str">
        <x:v>Shared</x:v>
      </x:c>
      <x:c r="I1034" s="48" t="n">
        <x:v>0.88</x:v>
      </x:c>
      <x:c r="J1034" s="48" t="n">
        <x:v>0.4</x:v>
      </x:c>
      <x:c r="K1034" s="48" t="str">
        <x:v>Yes</x:v>
      </x:c>
      <x:c r="L1034" s="48" t="str">
        <x:v>PDF text</x:v>
      </x:c>
    </x:row>
    <x:row r="1035">
      <x:c r="A1035" s="48" t="str">
        <x:v>RED-1034</x:v>
      </x:c>
      <x:c r="B1035" s="48" t="str">
        <x:v>RED</x:v>
      </x:c>
      <x:c r="C1035" s="48" t="str">
        <x:v>English</x:v>
      </x:c>
      <x:c r="D1035" s="48" t="n">
        <x:v>61</x:v>
      </x:c>
      <x:c r="E1035" s="48" t="str"/>
      <x:c r="F1035" s="48" t="str">
        <x:v>The Employer shall return the guarantee to the Contractor within 21 days after receiving a copy of the Performance Certificate.</x:v>
      </x:c>
      <x:c r="G1035" s="48" t="str">
        <x:v>Obligation</x:v>
      </x:c>
      <x:c r="H1035" s="48" t="str">
        <x:v>Employer</x:v>
      </x:c>
      <x:c r="I1035" s="48" t="n">
        <x:v>0.88</x:v>
      </x:c>
      <x:c r="J1035" s="48" t="n">
        <x:v>0.92</x:v>
      </x:c>
      <x:c r="K1035" s="48" t="str">
        <x:v>No</x:v>
      </x:c>
      <x:c r="L1035" s="48" t="str">
        <x:v>PDF text</x:v>
      </x:c>
    </x:row>
    <x:row r="1036">
      <x:c r="A1036" s="48" t="str">
        <x:v>RED-1035</x:v>
      </x:c>
      <x:c r="B1036" s="48" t="str">
        <x:v>RED</x:v>
      </x:c>
      <x:c r="C1036" s="48" t="str">
        <x:v>English</x:v>
      </x:c>
      <x:c r="D1036" s="48" t="n">
        <x:v>61</x:v>
      </x:c>
      <x:c r="E1036" s="48" t="str"/>
      <x:c r="F1036" s="48" t="str">
        <x:v>If the Performance Security required under Sub-Clause 4.2 is in the form of a demand guarantee, and the amount guaranteed under it when the Taking-Over Certificate is issued is more than half of the Retention Money, then the Retention Money guarantee 14.8</x:v>
      </x:c>
      <x:c r="G1036" s="48" t="str">
        <x:v>Obligation</x:v>
      </x:c>
      <x:c r="H1036" s="48" t="str">
        <x:v>Shared</x:v>
      </x:c>
      <x:c r="I1036" s="48" t="n">
        <x:v>0.55</x:v>
      </x:c>
      <x:c r="J1036" s="48" t="n">
        <x:v>0.4</x:v>
      </x:c>
      <x:c r="K1036" s="48" t="str">
        <x:v>Yes</x:v>
      </x:c>
      <x:c r="L1036" s="48" t="str">
        <x:v>PDF text</x:v>
      </x:c>
    </x:row>
    <x:row r="1037">
      <x:c r="A1037" s="48" t="str">
        <x:v>RED-1036</x:v>
      </x:c>
      <x:c r="B1037" s="48" t="str">
        <x:v>RED</x:v>
      </x:c>
      <x:c r="C1037" s="48" t="str">
        <x:v>English</x:v>
      </x:c>
      <x:c r="D1037" s="48" t="n">
        <x:v>61</x:v>
      </x:c>
      <x:c r="E1037" s="48" t="str"/>
      <x:c r="F1037" s="48" t="str">
        <x:v>Delayed Payment</x:v>
      </x:c>
      <x:c r="G1037" s="48" t="str">
        <x:v>Obligation</x:v>
      </x:c>
      <x:c r="H1037" s="48" t="str">
        <x:v>Shared</x:v>
      </x:c>
      <x:c r="I1037" s="48" t="n">
        <x:v>0.55</x:v>
      </x:c>
      <x:c r="J1037" s="48" t="n">
        <x:v>0.4</x:v>
      </x:c>
      <x:c r="K1037" s="48" t="str">
        <x:v>Yes</x:v>
      </x:c>
      <x:c r="L1037" s="48" t="str">
        <x:v>PDF text</x:v>
      </x:c>
    </x:row>
    <x:row r="1038">
      <x:c r="A1038" s="48" t="str">
        <x:v>RED-1037</x:v>
      </x:c>
      <x:c r="B1038" s="48" t="str">
        <x:v>RED</x:v>
      </x:c>
      <x:c r="C1038" s="48" t="str">
        <x:v>English</x:v>
      </x:c>
      <x:c r="D1038" s="48" t="n">
        <x:v>61</x:v>
      </x:c>
      <x:c r="E1038" s="48" t="str"/>
      <x:c r="F1038" s="48" t="str">
        <x:v>Payment of Retention</x:v>
      </x:c>
      <x:c r="G1038" s="48" t="str">
        <x:v>Obligation</x:v>
      </x:c>
      <x:c r="H1038" s="48" t="str">
        <x:v>Shared</x:v>
      </x:c>
      <x:c r="I1038" s="48" t="n">
        <x:v>0.55</x:v>
      </x:c>
      <x:c r="J1038" s="48" t="n">
        <x:v>0.4</x:v>
      </x:c>
      <x:c r="K1038" s="48" t="str">
        <x:v>Yes</x:v>
      </x:c>
      <x:c r="L1038" s="48" t="str">
        <x:v>PDF text</x:v>
      </x:c>
    </x:row>
    <x:row r="1039">
      <x:c r="A1039" s="48" t="str">
        <x:v>RED-1038</x:v>
      </x:c>
      <x:c r="B1039" s="48" t="str">
        <x:v>RED</x:v>
      </x:c>
      <x:c r="C1039" s="48" t="str">
        <x:v>English</x:v>
      </x:c>
      <x:c r="D1039" s="48" t="n">
        <x:v>62</x:v>
      </x:c>
      <x:c r="E1039" s="48" t="str"/>
      <x:c r="F1039" s="48" t="str">
        <x:v>will not be required.</x:v>
      </x:c>
      <x:c r="G1039" s="48" t="str">
        <x:v>Obligation</x:v>
      </x:c>
      <x:c r="H1039" s="48" t="str">
        <x:v>Shared</x:v>
      </x:c>
      <x:c r="I1039" s="48" t="n">
        <x:v>0.45</x:v>
      </x:c>
      <x:c r="J1039" s="48" t="n">
        <x:v>0.4</x:v>
      </x:c>
      <x:c r="K1039" s="48" t="str">
        <x:v>Yes</x:v>
      </x:c>
      <x:c r="L1039" s="48" t="str">
        <x:v>PDF text</x:v>
      </x:c>
    </x:row>
    <x:row r="1040">
      <x:c r="A1040" s="48" t="str">
        <x:v>RED-1039</x:v>
      </x:c>
      <x:c r="B1040" s="48" t="str">
        <x:v>RED</x:v>
      </x:c>
      <x:c r="C1040" s="48" t="str">
        <x:v>English</x:v>
      </x:c>
      <x:c r="D1040" s="48" t="n">
        <x:v>62</x:v>
      </x:c>
      <x:c r="E1040" s="48" t="str"/>
      <x:c r="F1040" s="48" t="str">
        <x:v>If the amount guaranteed under the Performance Security when the Taking-Over Certificate is issued is less than half of the Retention Money, the Retention Money guarantee will only be required for the difference between half of the Retention Money and the amount guaranteed under the Performance Security.</x:v>
      </x:c>
      <x:c r="G1040" s="48" t="str">
        <x:v>Obligation</x:v>
      </x:c>
      <x:c r="H1040" s="48" t="str">
        <x:v>Shared</x:v>
      </x:c>
      <x:c r="I1040" s="48" t="n">
        <x:v>0.55</x:v>
      </x:c>
      <x:c r="J1040" s="48" t="n">
        <x:v>0.4</x:v>
      </x:c>
      <x:c r="K1040" s="48" t="str">
        <x:v>Yes</x:v>
      </x:c>
      <x:c r="L1040" s="48" t="str">
        <x:v>PDF text</x:v>
      </x:c>
    </x:row>
    <x:row r="1041">
      <x:c r="A1041" s="48" t="str">
        <x:v>RED-1040</x:v>
      </x:c>
      <x:c r="B1041" s="48" t="str">
        <x:v>RED</x:v>
      </x:c>
      <x:c r="C1041" s="48" t="str">
        <x:v>English</x:v>
      </x:c>
      <x:c r="D1041" s="48" t="n">
        <x:v>62</x:v>
      </x:c>
      <x:c r="E1041" s="48" t="str"/>
      <x:c r="F1041" s="48" t="str">
        <x:v>Within 84 days after receiving the Taking-Over Certificate for the Works, the Contractor shall submit to the Engineer six copies of a Statement at completion with supporting documents, in accordance with Sub-Clause 14.3 [Application for Interim Payment Certificates], showing: (a) the value of all work done in accordance with the Contract up to the date stated in the Taking-Over Certificate for the Works, (b) any further sums which the Contractor considers to be due, and (c) an estimate of any other amounts which the Contractor considers will become due to him under the Contract.</x:v>
      </x:c>
      <x:c r="G1041" s="48" t="str">
        <x:v>Obligation</x:v>
      </x:c>
      <x:c r="H1041" s="48" t="str">
        <x:v>Contractor</x:v>
      </x:c>
      <x:c r="I1041" s="48" t="n">
        <x:v>0.88</x:v>
      </x:c>
      <x:c r="J1041" s="48" t="n">
        <x:v>0.92</x:v>
      </x:c>
      <x:c r="K1041" s="48" t="str">
        <x:v>No</x:v>
      </x:c>
      <x:c r="L1041" s="48" t="str">
        <x:v>PDF text</x:v>
      </x:c>
    </x:row>
    <x:row r="1042">
      <x:c r="A1042" s="48" t="str">
        <x:v>RED-1041</x:v>
      </x:c>
      <x:c r="B1042" s="48" t="str">
        <x:v>RED</x:v>
      </x:c>
      <x:c r="C1042" s="48" t="str">
        <x:v>English</x:v>
      </x:c>
      <x:c r="D1042" s="48" t="n">
        <x:v>62</x:v>
      </x:c>
      <x:c r="E1042" s="48" t="str"/>
      <x:c r="F1042" s="48" t="str">
        <x:v>Estimated amounts shall be shown separately in this Statement at completion.</x:v>
      </x:c>
      <x:c r="G1042" s="48" t="str">
        <x:v>Obligation</x:v>
      </x:c>
      <x:c r="H1042" s="48" t="str">
        <x:v>Shared</x:v>
      </x:c>
      <x:c r="I1042" s="48" t="n">
        <x:v>0.88</x:v>
      </x:c>
      <x:c r="J1042" s="48" t="n">
        <x:v>0.4</x:v>
      </x:c>
      <x:c r="K1042" s="48" t="str">
        <x:v>Yes</x:v>
      </x:c>
      <x:c r="L1042" s="48" t="str">
        <x:v>PDF text</x:v>
      </x:c>
    </x:row>
    <x:row r="1043">
      <x:c r="A1043" s="48" t="str">
        <x:v>RED-1042</x:v>
      </x:c>
      <x:c r="B1043" s="48" t="str">
        <x:v>RED</x:v>
      </x:c>
      <x:c r="C1043" s="48" t="str">
        <x:v>English</x:v>
      </x:c>
      <x:c r="D1043" s="48" t="n">
        <x:v>62</x:v>
      </x:c>
      <x:c r="E1043" s="48" t="str"/>
      <x:c r="F1043" s="48" t="str">
        <x:v>The Engineer shall then certify in accordance with Sub-Clause 14.6 [Issue of Interim Payment Certificates].</x:v>
      </x:c>
      <x:c r="G1043" s="48" t="str">
        <x:v>Obligation</x:v>
      </x:c>
      <x:c r="H1043" s="48" t="str">
        <x:v>Shared</x:v>
      </x:c>
      <x:c r="I1043" s="48" t="n">
        <x:v>0.88</x:v>
      </x:c>
      <x:c r="J1043" s="48" t="n">
        <x:v>0.4</x:v>
      </x:c>
      <x:c r="K1043" s="48" t="str">
        <x:v>Yes</x:v>
      </x:c>
      <x:c r="L1043" s="48" t="str">
        <x:v>PDF text</x:v>
      </x:c>
    </x:row>
    <x:row r="1044">
      <x:c r="A1044" s="48" t="str">
        <x:v>RED-1043</x:v>
      </x:c>
      <x:c r="B1044" s="48" t="str">
        <x:v>RED</x:v>
      </x:c>
      <x:c r="C1044" s="48" t="str">
        <x:v>English</x:v>
      </x:c>
      <x:c r="D1044" s="48" t="n">
        <x:v>62</x:v>
      </x:c>
      <x:c r="E1044" s="48" t="str"/>
      <x:c r="F1044" s="48" t="str">
        <x:v>Within 56 days after receiving the Performance Certificate, the Contractor shall submit, to the Engineer, six copies of a draft final statement with supporting documents showing in detail in a form approved by the Engineer: (a) the value of all work done in accordance with the Contract, and (b) any further sums which the Contractor considers to be due to him under the Contract or otherwise.</x:v>
      </x:c>
      <x:c r="G1044" s="48" t="str">
        <x:v>Obligation</x:v>
      </x:c>
      <x:c r="H1044" s="48" t="str">
        <x:v>Contractor</x:v>
      </x:c>
      <x:c r="I1044" s="48" t="n">
        <x:v>0.88</x:v>
      </x:c>
      <x:c r="J1044" s="48" t="n">
        <x:v>0.92</x:v>
      </x:c>
      <x:c r="K1044" s="48" t="str">
        <x:v>No</x:v>
      </x:c>
      <x:c r="L1044" s="48" t="str">
        <x:v>PDF text</x:v>
      </x:c>
    </x:row>
    <x:row r="1045">
      <x:c r="A1045" s="48" t="str">
        <x:v>RED-1044</x:v>
      </x:c>
      <x:c r="B1045" s="48" t="str">
        <x:v>RED</x:v>
      </x:c>
      <x:c r="C1045" s="48" t="str">
        <x:v>English</x:v>
      </x:c>
      <x:c r="D1045" s="48" t="n">
        <x:v>62</x:v>
      </x:c>
      <x:c r="E1045" s="48" t="str"/>
      <x:c r="F1045" s="48" t="str">
        <x:v>If the Engineer disagrees with or cannot verify any part of the draft final statement, the</x:v>
      </x:c>
      <x:c r="G1045" s="48" t="str">
        <x:v>Obligation</x:v>
      </x:c>
      <x:c r="H1045" s="48" t="str">
        <x:v>Shared</x:v>
      </x:c>
      <x:c r="I1045" s="48" t="n">
        <x:v>0.45</x:v>
      </x:c>
      <x:c r="J1045" s="48" t="n">
        <x:v>0.4</x:v>
      </x:c>
      <x:c r="K1045" s="48" t="str">
        <x:v>Yes</x:v>
      </x:c>
      <x:c r="L1045" s="48" t="str">
        <x:v>PDF text</x:v>
      </x:c>
    </x:row>
    <x:row r="1046">
      <x:c r="A1046" s="48" t="str">
        <x:v>RED-1045</x:v>
      </x:c>
      <x:c r="B1046" s="48" t="str">
        <x:v>RED</x:v>
      </x:c>
      <x:c r="C1046" s="48" t="str">
        <x:v>English</x:v>
      </x:c>
      <x:c r="D1046" s="48" t="n">
        <x:v>62</x:v>
      </x:c>
      <x:c r="E1046" s="48" t="str"/>
      <x:c r="F1046" s="48" t="str">
        <x:v>Contractor shall submit such further information as the Engineer may reasonably</x:v>
      </x:c>
      <x:c r="G1046" s="48" t="str">
        <x:v>Obligation</x:v>
      </x:c>
      <x:c r="H1046" s="48" t="str">
        <x:v>Contractor</x:v>
      </x:c>
      <x:c r="I1046" s="48" t="n">
        <x:v>0.88</x:v>
      </x:c>
      <x:c r="J1046" s="48" t="n">
        <x:v>0.68</x:v>
      </x:c>
      <x:c r="K1046" s="48" t="str">
        <x:v>Yes</x:v>
      </x:c>
      <x:c r="L1046" s="48" t="str">
        <x:v>PDF text</x:v>
      </x:c>
    </x:row>
    <x:row r="1047">
      <x:c r="A1047" s="48" t="str">
        <x:v>RED-1046</x:v>
      </x:c>
      <x:c r="B1047" s="48" t="str">
        <x:v>RED</x:v>
      </x:c>
      <x:c r="C1047" s="48" t="str">
        <x:v>English</x:v>
      </x:c>
      <x:c r="D1047" s="48" t="n">
        <x:v>62</x:v>
      </x:c>
      <x:c r="E1047" s="48" t="str"/>
      <x:c r="F1047" s="48" t="str">
        <x:v>require and shall make such changes in the draft as may be agreed between them.</x:v>
      </x:c>
      <x:c r="G1047" s="48" t="str">
        <x:v>Obligation</x:v>
      </x:c>
      <x:c r="H1047" s="48" t="str">
        <x:v>Shared</x:v>
      </x:c>
      <x:c r="I1047" s="48" t="n">
        <x:v>0.88</x:v>
      </x:c>
      <x:c r="J1047" s="48" t="n">
        <x:v>0.4</x:v>
      </x:c>
      <x:c r="K1047" s="48" t="str">
        <x:v>Yes</x:v>
      </x:c>
      <x:c r="L1047" s="48" t="str">
        <x:v>PDF text</x:v>
      </x:c>
    </x:row>
    <x:row r="1048">
      <x:c r="A1048" s="48" t="str">
        <x:v>RED-1047</x:v>
      </x:c>
      <x:c r="B1048" s="48" t="str">
        <x:v>RED</x:v>
      </x:c>
      <x:c r="C1048" s="48" t="str">
        <x:v>English</x:v>
      </x:c>
      <x:c r="D1048" s="48" t="n">
        <x:v>62</x:v>
      </x:c>
      <x:c r="E1048" s="48" t="str"/>
      <x:c r="F1048" s="48" t="str">
        <x:v>The Contractor shall then prepare and submit to the Engineer the final statement as agreed.</x:v>
      </x:c>
      <x:c r="G1048" s="48" t="str">
        <x:v>Obligation</x:v>
      </x:c>
      <x:c r="H1048" s="48" t="str">
        <x:v>Contractor</x:v>
      </x:c>
      <x:c r="I1048" s="48" t="n">
        <x:v>0.88</x:v>
      </x:c>
      <x:c r="J1048" s="48" t="n">
        <x:v>0.92</x:v>
      </x:c>
      <x:c r="K1048" s="48" t="str">
        <x:v>No</x:v>
      </x:c>
      <x:c r="L1048" s="48" t="str">
        <x:v>PDF text</x:v>
      </x:c>
    </x:row>
    <x:row r="1049">
      <x:c r="A1049" s="48" t="str">
        <x:v>RED-1048</x:v>
      </x:c>
      <x:c r="B1049" s="48" t="str">
        <x:v>RED</x:v>
      </x:c>
      <x:c r="C1049" s="48" t="str">
        <x:v>English</x:v>
      </x:c>
      <x:c r="D1049" s="48" t="n">
        <x:v>62</x:v>
      </x:c>
      <x:c r="E1049" s="48" t="str"/>
      <x:c r="F1049" s="48" t="str">
        <x:v>This agreed statement is referred to in these Conditions as the “Final Statement".</x:v>
      </x:c>
      <x:c r="G1049" s="48" t="str">
        <x:v>Obligation</x:v>
      </x:c>
      <x:c r="H1049" s="48" t="str">
        <x:v>Shared</x:v>
      </x:c>
      <x:c r="I1049" s="48" t="n">
        <x:v>0.45</x:v>
      </x:c>
      <x:c r="J1049" s="48" t="n">
        <x:v>0.4</x:v>
      </x:c>
      <x:c r="K1049" s="48" t="str">
        <x:v>Yes</x:v>
      </x:c>
      <x:c r="L1049" s="48" t="str">
        <x:v>PDF text</x:v>
      </x:c>
    </x:row>
    <x:row r="1050">
      <x:c r="A1050" s="48" t="str">
        <x:v>RED-1049</x:v>
      </x:c>
      <x:c r="B1050" s="48" t="str">
        <x:v>RED</x:v>
      </x:c>
      <x:c r="C1050" s="48" t="str">
        <x:v>English</x:v>
      </x:c>
      <x:c r="D1050" s="48" t="n">
        <x:v>62</x:v>
      </x:c>
      <x:c r="E1050" s="48" t="str"/>
      <x:c r="F1050" s="48" t="str">
        <x:v>However if, following discussions between the Engineer and the Contractor and any</x:v>
      </x:c>
      <x:c r="G1050" s="48" t="str">
        <x:v>Obligation</x:v>
      </x:c>
      <x:c r="H1050" s="48" t="str">
        <x:v>Contractor</x:v>
      </x:c>
      <x:c r="I1050" s="48" t="n">
        <x:v>0.45</x:v>
      </x:c>
      <x:c r="J1050" s="48" t="n">
        <x:v>0.68</x:v>
      </x:c>
      <x:c r="K1050" s="48" t="str">
        <x:v>Yes</x:v>
      </x:c>
      <x:c r="L1050" s="48" t="str">
        <x:v>PDF text</x:v>
      </x:c>
    </x:row>
    <x:row r="1051">
      <x:c r="A1051" s="48" t="str">
        <x:v>RED-1050</x:v>
      </x:c>
      <x:c r="B1051" s="48" t="str">
        <x:v>RED</x:v>
      </x:c>
      <x:c r="C1051" s="48" t="str">
        <x:v>English</x:v>
      </x:c>
      <x:c r="D1051" s="48" t="n">
        <x:v>62</x:v>
      </x:c>
      <x:c r="E1051" s="48" t="str"/>
      <x:c r="F1051" s="48" t="str">
        <x:v>changes to the draft final statement which are agreed, it becomes evident that a dispute exists, the Engineer shall deliver to the Employer (with a copy to the Contractor) an Interim Payment Certificate for the agreed parts of the draft final statement.</x:v>
      </x:c>
      <x:c r="G1051" s="48" t="str">
        <x:v>Obligation</x:v>
      </x:c>
      <x:c r="H1051" s="48" t="str">
        <x:v>Shared</x:v>
      </x:c>
      <x:c r="I1051" s="48" t="n">
        <x:v>0.88</x:v>
      </x:c>
      <x:c r="J1051" s="48" t="n">
        <x:v>0.6</x:v>
      </x:c>
      <x:c r="K1051" s="48" t="str">
        <x:v>Yes</x:v>
      </x:c>
      <x:c r="L1051" s="48" t="str">
        <x:v>PDF text</x:v>
      </x:c>
    </x:row>
    <x:row r="1052">
      <x:c r="A1052" s="48" t="str">
        <x:v>RED-1051</x:v>
      </x:c>
      <x:c r="B1052" s="48" t="str">
        <x:v>RED</x:v>
      </x:c>
      <x:c r="C1052" s="48" t="str">
        <x:v>English</x:v>
      </x:c>
      <x:c r="D1052" s="48" t="n">
        <x:v>62</x:v>
      </x:c>
      <x:c r="E1052" s="48" t="str"/>
      <x:c r="F1052" s="48" t="str">
        <x:v>Thereafter, if the dispute is finally resolved under Sub-Clause 20.4 [Obtaining Dispute Board’s Decision] or Sub-Clause 20.5 [Amicable Settlement], the</x:v>
      </x:c>
      <x:c r="G1052" s="48" t="str">
        <x:v>Obligation</x:v>
      </x:c>
      <x:c r="H1052" s="48" t="str">
        <x:v>Shared</x:v>
      </x:c>
      <x:c r="I1052" s="48" t="n">
        <x:v>0.55</x:v>
      </x:c>
      <x:c r="J1052" s="48" t="n">
        <x:v>0.4</x:v>
      </x:c>
      <x:c r="K1052" s="48" t="str">
        <x:v>Yes</x:v>
      </x:c>
      <x:c r="L1052" s="48" t="str">
        <x:v>PDF text</x:v>
      </x:c>
    </x:row>
    <x:row r="1053">
      <x:c r="A1053" s="48" t="str">
        <x:v>RED-1052</x:v>
      </x:c>
      <x:c r="B1053" s="48" t="str">
        <x:v>RED</x:v>
      </x:c>
      <x:c r="C1053" s="48" t="str">
        <x:v>English</x:v>
      </x:c>
      <x:c r="D1053" s="48" t="n">
        <x:v>62</x:v>
      </x:c>
      <x:c r="E1053" s="48" t="str"/>
      <x:c r="F1053" s="48" t="str">
        <x:v>Contractor shall then prepare and submit to the Employer (with a copy to the</x:v>
      </x:c>
      <x:c r="G1053" s="48" t="str">
        <x:v>Obligation</x:v>
      </x:c>
      <x:c r="H1053" s="48" t="str">
        <x:v>Shared</x:v>
      </x:c>
      <x:c r="I1053" s="48" t="n">
        <x:v>0.88</x:v>
      </x:c>
      <x:c r="J1053" s="48" t="n">
        <x:v>0.6</x:v>
      </x:c>
      <x:c r="K1053" s="48" t="str">
        <x:v>Yes</x:v>
      </x:c>
      <x:c r="L1053" s="48" t="str">
        <x:v>PDF text</x:v>
      </x:c>
    </x:row>
    <x:row r="1054">
      <x:c r="A1054" s="48" t="str">
        <x:v>RED-1053</x:v>
      </x:c>
      <x:c r="B1054" s="48" t="str">
        <x:v>RED</x:v>
      </x:c>
      <x:c r="C1054" s="48" t="str">
        <x:v>English</x:v>
      </x:c>
      <x:c r="D1054" s="48" t="n">
        <x:v>62</x:v>
      </x:c>
      <x:c r="E1054" s="48" t="str"/>
      <x:c r="F1054" s="48" t="str">
        <x:v>Engineer) a Final Statement.</x:v>
      </x:c>
      <x:c r="G1054" s="48" t="str">
        <x:v>Obligation</x:v>
      </x:c>
      <x:c r="H1054" s="48" t="str">
        <x:v>Shared</x:v>
      </x:c>
      <x:c r="I1054" s="48" t="n">
        <x:v>0.45</x:v>
      </x:c>
      <x:c r="J1054" s="48" t="n">
        <x:v>0.4</x:v>
      </x:c>
      <x:c r="K1054" s="48" t="str">
        <x:v>Yes</x:v>
      </x:c>
      <x:c r="L1054" s="48" t="str">
        <x:v>PDF text</x:v>
      </x:c>
    </x:row>
    <x:row r="1055">
      <x:c r="A1055" s="48" t="str">
        <x:v>RED-1054</x:v>
      </x:c>
      <x:c r="B1055" s="48" t="str">
        <x:v>RED</x:v>
      </x:c>
      <x:c r="C1055" s="48" t="str">
        <x:v>English</x:v>
      </x:c>
      <x:c r="D1055" s="48" t="n">
        <x:v>62</x:v>
      </x:c>
      <x:c r="E1055" s="48" t="str"/>
      <x:c r="F1055" s="48" t="str">
        <x:v>When submitting the Final Statement, the Contractor shall submit a discharge which confirms that the total of the Final Statement represents full and final settlement of all moneys due to the Contractor under or in connection with the Contract.</x:v>
      </x:c>
      <x:c r="G1055" s="48" t="str">
        <x:v>Obligation</x:v>
      </x:c>
      <x:c r="H1055" s="48" t="str">
        <x:v>Contractor</x:v>
      </x:c>
      <x:c r="I1055" s="48" t="n">
        <x:v>0.88</x:v>
      </x:c>
      <x:c r="J1055" s="48" t="n">
        <x:v>0.92</x:v>
      </x:c>
      <x:c r="K1055" s="48" t="str">
        <x:v>No</x:v>
      </x:c>
      <x:c r="L1055" s="48" t="str">
        <x:v>PDF text</x:v>
      </x:c>
    </x:row>
    <x:row r="1056">
      <x:c r="A1056" s="48" t="str">
        <x:v>RED-1055</x:v>
      </x:c>
      <x:c r="B1056" s="48" t="str">
        <x:v>RED</x:v>
      </x:c>
      <x:c r="C1056" s="48" t="str">
        <x:v>English</x:v>
      </x:c>
      <x:c r="D1056" s="48" t="n">
        <x:v>62</x:v>
      </x:c>
      <x:c r="E1056" s="48" t="str"/>
      <x:c r="F1056" s="48" t="str">
        <x:v>This discharge may state that it becomes effective when the Contractor has received the Performance Security and the outstanding balance of this total, in which event the discharge shall be effective on such date.</x:v>
      </x:c>
      <x:c r="G1056" s="48" t="str">
        <x:v>Obligation</x:v>
      </x:c>
      <x:c r="H1056" s="48" t="str">
        <x:v>Contractor</x:v>
      </x:c>
      <x:c r="I1056" s="48" t="n">
        <x:v>0.88</x:v>
      </x:c>
      <x:c r="J1056" s="48" t="n">
        <x:v>0.68</x:v>
      </x:c>
      <x:c r="K1056" s="48" t="str">
        <x:v>Yes</x:v>
      </x:c>
      <x:c r="L1056" s="48" t="str">
        <x:v>PDF text</x:v>
      </x:c>
    </x:row>
    <x:row r="1057">
      <x:c r="A1057" s="48" t="str">
        <x:v>RED-1056</x:v>
      </x:c>
      <x:c r="B1057" s="48" t="str">
        <x:v>RED</x:v>
      </x:c>
      <x:c r="C1057" s="48" t="str">
        <x:v>English</x:v>
      </x:c>
      <x:c r="D1057" s="48" t="n">
        <x:v>62</x:v>
      </x:c>
      <x:c r="E1057" s="48" t="str"/>
      <x:c r="F1057" s="48" t="str">
        <x:v>Within 28 days after receiving the Final Statement and discharge in accordance with Sub-Clause 14.11 [Application for Final Payment Certificate] and Sub-Clause 14.12 14.10</x:v>
      </x:c>
      <x:c r="G1057" s="48" t="str">
        <x:v>Obligation</x:v>
      </x:c>
      <x:c r="H1057" s="48" t="str">
        <x:v>Shared</x:v>
      </x:c>
      <x:c r="I1057" s="48" t="n">
        <x:v>0.55</x:v>
      </x:c>
      <x:c r="J1057" s="48" t="n">
        <x:v>0.4</x:v>
      </x:c>
      <x:c r="K1057" s="48" t="str">
        <x:v>Yes</x:v>
      </x:c>
      <x:c r="L1057" s="48" t="str">
        <x:v>PDF text</x:v>
      </x:c>
    </x:row>
    <x:row r="1058">
      <x:c r="A1058" s="48" t="str">
        <x:v>RED-1057</x:v>
      </x:c>
      <x:c r="B1058" s="48" t="str">
        <x:v>RED</x:v>
      </x:c>
      <x:c r="C1058" s="48" t="str">
        <x:v>English</x:v>
      </x:c>
      <x:c r="D1058" s="48" t="n">
        <x:v>62</x:v>
      </x:c>
      <x:c r="E1058" s="48" t="str"/>
      <x:c r="F1058" s="48" t="str">
        <x:v>Statement at Completion</x:v>
      </x:c>
      <x:c r="G1058" s="48" t="str">
        <x:v>Obligation</x:v>
      </x:c>
      <x:c r="H1058" s="48" t="str">
        <x:v>Shared</x:v>
      </x:c>
      <x:c r="I1058" s="48" t="n">
        <x:v>0.45</x:v>
      </x:c>
      <x:c r="J1058" s="48" t="n">
        <x:v>0.4</x:v>
      </x:c>
      <x:c r="K1058" s="48" t="str">
        <x:v>Yes</x:v>
      </x:c>
      <x:c r="L1058" s="48" t="str">
        <x:v>PDF text</x:v>
      </x:c>
    </x:row>
    <x:row r="1059">
      <x:c r="A1059" s="48" t="str">
        <x:v>RED-1058</x:v>
      </x:c>
      <x:c r="B1059" s="48" t="str">
        <x:v>RED</x:v>
      </x:c>
      <x:c r="C1059" s="48" t="str">
        <x:v>English</x:v>
      </x:c>
      <x:c r="D1059" s="48" t="n">
        <x:v>62</x:v>
      </x:c>
      <x:c r="E1059" s="48" t="str"/>
      <x:c r="F1059" s="48" t="str">
        <x:v>Application for Final</x:v>
      </x:c>
      <x:c r="G1059" s="48" t="str">
        <x:v>Obligation</x:v>
      </x:c>
      <x:c r="H1059" s="48" t="str">
        <x:v>Shared</x:v>
      </x:c>
      <x:c r="I1059" s="48" t="n">
        <x:v>0.45</x:v>
      </x:c>
      <x:c r="J1059" s="48" t="n">
        <x:v>0.4</x:v>
      </x:c>
      <x:c r="K1059" s="48" t="str">
        <x:v>Yes</x:v>
      </x:c>
      <x:c r="L1059" s="48" t="str">
        <x:v>PDF text</x:v>
      </x:c>
    </x:row>
    <x:row r="1060">
      <x:c r="A1060" s="48" t="str">
        <x:v>RED-1059</x:v>
      </x:c>
      <x:c r="B1060" s="48" t="str">
        <x:v>RED</x:v>
      </x:c>
      <x:c r="C1060" s="48" t="str">
        <x:v>English</x:v>
      </x:c>
      <x:c r="D1060" s="48" t="n">
        <x:v>62</x:v>
      </x:c>
      <x:c r="E1060" s="48" t="str"/>
      <x:c r="F1060" s="48" t="str">
        <x:v>Payment Certificate</x:v>
      </x:c>
      <x:c r="G1060" s="48" t="str">
        <x:v>Obligation</x:v>
      </x:c>
      <x:c r="H1060" s="48" t="str">
        <x:v>Shared</x:v>
      </x:c>
      <x:c r="I1060" s="48" t="n">
        <x:v>0.55</x:v>
      </x:c>
      <x:c r="J1060" s="48" t="n">
        <x:v>0.4</x:v>
      </x:c>
      <x:c r="K1060" s="48" t="str">
        <x:v>Yes</x:v>
      </x:c>
      <x:c r="L1060" s="48" t="str">
        <x:v>PDF text</x:v>
      </x:c>
    </x:row>
    <x:row r="1061">
      <x:c r="A1061" s="48" t="str">
        <x:v>RED-1060</x:v>
      </x:c>
      <x:c r="B1061" s="48" t="str">
        <x:v>RED</x:v>
      </x:c>
      <x:c r="C1061" s="48" t="str">
        <x:v>English</x:v>
      </x:c>
      <x:c r="D1061" s="48" t="n">
        <x:v>62</x:v>
      </x:c>
      <x:c r="E1061" s="48" t="str"/>
      <x:c r="F1061" s="48" t="str">
        <x:v>Discharge</x:v>
      </x:c>
      <x:c r="G1061" s="48" t="str">
        <x:v>Obligation</x:v>
      </x:c>
      <x:c r="H1061" s="48" t="str">
        <x:v>Shared</x:v>
      </x:c>
      <x:c r="I1061" s="48" t="n">
        <x:v>0.45</x:v>
      </x:c>
      <x:c r="J1061" s="48" t="n">
        <x:v>0.4</x:v>
      </x:c>
      <x:c r="K1061" s="48" t="str">
        <x:v>Yes</x:v>
      </x:c>
      <x:c r="L1061" s="48" t="str">
        <x:v>PDF text</x:v>
      </x:c>
    </x:row>
    <x:row r="1062">
      <x:c r="A1062" s="48" t="str">
        <x:v>RED-1061</x:v>
      </x:c>
      <x:c r="B1062" s="48" t="str">
        <x:v>RED</x:v>
      </x:c>
      <x:c r="C1062" s="48" t="str">
        <x:v>English</x:v>
      </x:c>
      <x:c r="D1062" s="48" t="n">
        <x:v>62</x:v>
      </x:c>
      <x:c r="E1062" s="48" t="str"/>
      <x:c r="F1062" s="48" t="str">
        <x:v>Issue of Final Payment</x:v>
      </x:c>
      <x:c r="G1062" s="48" t="str">
        <x:v>Obligation</x:v>
      </x:c>
      <x:c r="H1062" s="48" t="str">
        <x:v>Shared</x:v>
      </x:c>
      <x:c r="I1062" s="48" t="n">
        <x:v>0.55</x:v>
      </x:c>
      <x:c r="J1062" s="48" t="n">
        <x:v>0.4</x:v>
      </x:c>
      <x:c r="K1062" s="48" t="str">
        <x:v>Yes</x:v>
      </x:c>
      <x:c r="L1062" s="48" t="str">
        <x:v>PDF text</x:v>
      </x:c>
    </x:row>
    <x:row r="1063">
      <x:c r="A1063" s="48" t="str">
        <x:v>RED-1062</x:v>
      </x:c>
      <x:c r="B1063" s="48" t="str">
        <x:v>RED</x:v>
      </x:c>
      <x:c r="C1063" s="48" t="str">
        <x:v>English</x:v>
      </x:c>
      <x:c r="D1063" s="48" t="n">
        <x:v>62</x:v>
      </x:c>
      <x:c r="E1063" s="48" t="str"/>
      <x:c r="F1063" s="48" t="str">
        <x:v>Certificate</x:v>
      </x:c>
      <x:c r="G1063" s="48" t="str">
        <x:v>Obligation</x:v>
      </x:c>
      <x:c r="H1063" s="48" t="str">
        <x:v>Shared</x:v>
      </x:c>
      <x:c r="I1063" s="48" t="n">
        <x:v>0.55</x:v>
      </x:c>
      <x:c r="J1063" s="48" t="n">
        <x:v>0.4</x:v>
      </x:c>
      <x:c r="K1063" s="48" t="str">
        <x:v>Yes</x:v>
      </x:c>
      <x:c r="L1063" s="48" t="str">
        <x:v>PDF text</x:v>
      </x:c>
    </x:row>
    <x:row r="1064">
      <x:c r="A1064" s="48" t="str">
        <x:v>RED-1063</x:v>
      </x:c>
      <x:c r="B1064" s="48" t="str">
        <x:v>RED</x:v>
      </x:c>
      <x:c r="C1064" s="48" t="str">
        <x:v>English</x:v>
      </x:c>
      <x:c r="D1064" s="48" t="n">
        <x:v>63</x:v>
      </x:c>
      <x:c r="E1064" s="48" t="str"/>
      <x:c r="F1064" s="48" t="str">
        <x:v>[Discharge], the Engineer shall issue, to the Employer, the Final Payment Certificate which shall state: (a) the amount which he fairly determines is finally due, and (b) after giving credit to the Employer for all amounts previously paid by the</x:v>
      </x:c>
      <x:c r="G1064" s="48" t="str">
        <x:v>Obligation</x:v>
      </x:c>
      <x:c r="H1064" s="48" t="str">
        <x:v>Employer</x:v>
      </x:c>
      <x:c r="I1064" s="48" t="n">
        <x:v>0.88</x:v>
      </x:c>
      <x:c r="J1064" s="48" t="n">
        <x:v>0.68</x:v>
      </x:c>
      <x:c r="K1064" s="48" t="str">
        <x:v>Yes</x:v>
      </x:c>
      <x:c r="L1064" s="48" t="str">
        <x:v>PDF text</x:v>
      </x:c>
    </x:row>
    <x:row r="1065">
      <x:c r="A1065" s="48" t="str">
        <x:v>RED-1064</x:v>
      </x:c>
      <x:c r="B1065" s="48" t="str">
        <x:v>RED</x:v>
      </x:c>
      <x:c r="C1065" s="48" t="str">
        <x:v>English</x:v>
      </x:c>
      <x:c r="D1065" s="48" t="n">
        <x:v>63</x:v>
      </x:c>
      <x:c r="E1065" s="48" t="str"/>
      <x:c r="F1065" s="48" t="str">
        <x:v>Employer and for all sums to which the Employer is entitled, the balance (if any)</x:v>
      </x:c>
      <x:c r="G1065" s="48" t="str">
        <x:v>Obligation</x:v>
      </x:c>
      <x:c r="H1065" s="48" t="str">
        <x:v>Employer</x:v>
      </x:c>
      <x:c r="I1065" s="48" t="n">
        <x:v>0.45</x:v>
      </x:c>
      <x:c r="J1065" s="48" t="n">
        <x:v>0.68</x:v>
      </x:c>
      <x:c r="K1065" s="48" t="str">
        <x:v>Yes</x:v>
      </x:c>
      <x:c r="L1065" s="48" t="str">
        <x:v>PDF text</x:v>
      </x:c>
    </x:row>
    <x:row r="1066">
      <x:c r="A1066" s="48" t="str">
        <x:v>RED-1065</x:v>
      </x:c>
      <x:c r="B1066" s="48" t="str">
        <x:v>RED</x:v>
      </x:c>
      <x:c r="C1066" s="48" t="str">
        <x:v>English</x:v>
      </x:c>
      <x:c r="D1066" s="48" t="n">
        <x:v>63</x:v>
      </x:c>
      <x:c r="E1066" s="48" t="str"/>
      <x:c r="F1066" s="48" t="str">
        <x:v>due from the Employer to the Contractor or from the Contractor to the Employer, as the case may be.</x:v>
      </x:c>
      <x:c r="G1066" s="48" t="str">
        <x:v>Right</x:v>
      </x:c>
      <x:c r="H1066" s="48" t="str">
        <x:v>Shared</x:v>
      </x:c>
      <x:c r="I1066" s="48" t="n">
        <x:v>0.78</x:v>
      </x:c>
      <x:c r="J1066" s="48" t="n">
        <x:v>0.6</x:v>
      </x:c>
      <x:c r="K1066" s="48" t="str">
        <x:v>Yes</x:v>
      </x:c>
      <x:c r="L1066" s="48" t="str">
        <x:v>PDF text</x:v>
      </x:c>
    </x:row>
    <x:row r="1067">
      <x:c r="A1067" s="48" t="str">
        <x:v>RED-1066</x:v>
      </x:c>
      <x:c r="B1067" s="48" t="str">
        <x:v>RED</x:v>
      </x:c>
      <x:c r="C1067" s="48" t="str">
        <x:v>English</x:v>
      </x:c>
      <x:c r="D1067" s="48" t="n">
        <x:v>63</x:v>
      </x:c>
      <x:c r="E1067" s="48" t="str"/>
      <x:c r="F1067" s="48" t="str">
        <x:v>If the Contractor has not applied for a Final Payment Certificate in accordance with Sub-Clause 14.11 [Application for Final Payment Certificate] and Sub-Clause 14.12 [Discharge], the Engineer shall request the Contractor to do so.</x:v>
      </x:c>
      <x:c r="G1067" s="48" t="str">
        <x:v>Obligation</x:v>
      </x:c>
      <x:c r="H1067" s="48" t="str">
        <x:v>Contractor</x:v>
      </x:c>
      <x:c r="I1067" s="48" t="n">
        <x:v>0.88</x:v>
      </x:c>
      <x:c r="J1067" s="48" t="n">
        <x:v>0.68</x:v>
      </x:c>
      <x:c r="K1067" s="48" t="str">
        <x:v>Yes</x:v>
      </x:c>
      <x:c r="L1067" s="48" t="str">
        <x:v>PDF text</x:v>
      </x:c>
    </x:row>
    <x:row r="1068">
      <x:c r="A1068" s="48" t="str">
        <x:v>RED-1067</x:v>
      </x:c>
      <x:c r="B1068" s="48" t="str">
        <x:v>RED</x:v>
      </x:c>
      <x:c r="C1068" s="48" t="str">
        <x:v>English</x:v>
      </x:c>
      <x:c r="D1068" s="48" t="n">
        <x:v>63</x:v>
      </x:c>
      <x:c r="E1068" s="48" t="str"/>
      <x:c r="F1068" s="48" t="str">
        <x:v>If the Contractor fails to submit an application within a period of 28 days, the Engineer shall issue the Final Payment Certificate for such amount as he fairly determines to be due.</x:v>
      </x:c>
      <x:c r="G1068" s="48" t="str">
        <x:v>Obligation</x:v>
      </x:c>
      <x:c r="H1068" s="48" t="str">
        <x:v>Contractor</x:v>
      </x:c>
      <x:c r="I1068" s="48" t="n">
        <x:v>0.88</x:v>
      </x:c>
      <x:c r="J1068" s="48" t="n">
        <x:v>0.68</x:v>
      </x:c>
      <x:c r="K1068" s="48" t="str">
        <x:v>Yes</x:v>
      </x:c>
      <x:c r="L1068" s="48" t="str">
        <x:v>PDF text</x:v>
      </x:c>
    </x:row>
    <x:row r="1069">
      <x:c r="A1069" s="48" t="str">
        <x:v>RED-1068</x:v>
      </x:c>
      <x:c r="B1069" s="48" t="str">
        <x:v>RED</x:v>
      </x:c>
      <x:c r="C1069" s="48" t="str">
        <x:v>English</x:v>
      </x:c>
      <x:c r="D1069" s="48" t="n">
        <x:v>63</x:v>
      </x:c>
      <x:c r="E1069" s="48" t="str"/>
      <x:c r="F1069" s="48" t="str">
        <x:v>The Employer shall not be liable to the Contractor for any matter or thing under or in connection with the Contract or execution of the Works, except to the extent that the Contractor shall have included an amount expressly for it: (a) in the Final Statement and also (b) (except for matters or things arising after the issue of the Taking-Over Certificate for the Works) in the Statement at completion described in Sub-Clause 14.10 [Statement at Completion].</x:v>
      </x:c>
      <x:c r="G1069" s="48" t="str">
        <x:v>Risk</x:v>
      </x:c>
      <x:c r="H1069" s="48" t="str">
        <x:v>Contractor</x:v>
      </x:c>
      <x:c r="I1069" s="48" t="n">
        <x:v>0.78</x:v>
      </x:c>
      <x:c r="J1069" s="48" t="n">
        <x:v>0.92</x:v>
      </x:c>
      <x:c r="K1069" s="48" t="str">
        <x:v>No</x:v>
      </x:c>
      <x:c r="L1069" s="48" t="str">
        <x:v>PDF text</x:v>
      </x:c>
    </x:row>
    <x:row r="1070">
      <x:c r="A1070" s="48" t="str">
        <x:v>RED-1069</x:v>
      </x:c>
      <x:c r="B1070" s="48" t="str">
        <x:v>RED</x:v>
      </x:c>
      <x:c r="C1070" s="48" t="str">
        <x:v>English</x:v>
      </x:c>
      <x:c r="D1070" s="48" t="n">
        <x:v>63</x:v>
      </x:c>
      <x:c r="E1070" s="48" t="str"/>
      <x:c r="F1070" s="48" t="str">
        <x:v>However, this Sub-Clause shall not limit the Employer’s liability under his</x:v>
      </x:c>
      <x:c r="G1070" s="48" t="str">
        <x:v>Risk</x:v>
      </x:c>
      <x:c r="H1070" s="48" t="str">
        <x:v>Employer</x:v>
      </x:c>
      <x:c r="I1070" s="48" t="n">
        <x:v>0.78</x:v>
      </x:c>
      <x:c r="J1070" s="48" t="n">
        <x:v>0.68</x:v>
      </x:c>
      <x:c r="K1070" s="48" t="str">
        <x:v>Yes</x:v>
      </x:c>
      <x:c r="L1070" s="48" t="str">
        <x:v>PDF text</x:v>
      </x:c>
    </x:row>
    <x:row r="1071">
      <x:c r="A1071" s="48" t="str">
        <x:v>RED-1070</x:v>
      </x:c>
      <x:c r="B1071" s="48" t="str">
        <x:v>RED</x:v>
      </x:c>
      <x:c r="C1071" s="48" t="str">
        <x:v>English</x:v>
      </x:c>
      <x:c r="D1071" s="48" t="n">
        <x:v>63</x:v>
      </x:c>
      <x:c r="E1071" s="48" t="str"/>
      <x:c r="F1071" s="48" t="str">
        <x:v>indemnification obligations, or the Employer’s liability in any case of fraud, deliberate default or reckless misconduct by the Employer.</x:v>
      </x:c>
      <x:c r="G1071" s="48" t="str">
        <x:v>Risk</x:v>
      </x:c>
      <x:c r="H1071" s="48" t="str">
        <x:v>Employer</x:v>
      </x:c>
      <x:c r="I1071" s="48" t="n">
        <x:v>0.78</x:v>
      </x:c>
      <x:c r="J1071" s="48" t="n">
        <x:v>0.68</x:v>
      </x:c>
      <x:c r="K1071" s="48" t="str">
        <x:v>Yes</x:v>
      </x:c>
      <x:c r="L1071" s="48" t="str">
        <x:v>PDF text</x:v>
      </x:c>
    </x:row>
    <x:row r="1072">
      <x:c r="A1072" s="48" t="str">
        <x:v>RED-1071</x:v>
      </x:c>
      <x:c r="B1072" s="48" t="str">
        <x:v>RED</x:v>
      </x:c>
      <x:c r="C1072" s="48" t="str">
        <x:v>English</x:v>
      </x:c>
      <x:c r="D1072" s="48" t="n">
        <x:v>63</x:v>
      </x:c>
      <x:c r="E1072" s="48" t="str"/>
      <x:c r="F1072" s="48" t="str">
        <x:v>The Contract Price shall be paid in the currency or currencies named in the Schedule of Payment Currencies.</x:v>
      </x:c>
      <x:c r="G1072" s="48" t="str">
        <x:v>Obligation</x:v>
      </x:c>
      <x:c r="H1072" s="48" t="str">
        <x:v>Shared</x:v>
      </x:c>
      <x:c r="I1072" s="48" t="n">
        <x:v>0.88</x:v>
      </x:c>
      <x:c r="J1072" s="48" t="n">
        <x:v>0.4</x:v>
      </x:c>
      <x:c r="K1072" s="48" t="str">
        <x:v>Yes</x:v>
      </x:c>
      <x:c r="L1072" s="48" t="str">
        <x:v>PDF text</x:v>
      </x:c>
    </x:row>
    <x:row r="1073">
      <x:c r="A1073" s="48" t="str">
        <x:v>RED-1072</x:v>
      </x:c>
      <x:c r="B1073" s="48" t="str">
        <x:v>RED</x:v>
      </x:c>
      <x:c r="C1073" s="48" t="str">
        <x:v>English</x:v>
      </x:c>
      <x:c r="D1073" s="48" t="n">
        <x:v>63</x:v>
      </x:c>
      <x:c r="E1073" s="48" t="str"/>
      <x:c r="F1073" s="48" t="str">
        <x:v>Cessation of Employer’s</x:v>
      </x:c>
      <x:c r="G1073" s="48" t="str">
        <x:v>Obligation</x:v>
      </x:c>
      <x:c r="H1073" s="48" t="str">
        <x:v>Employer</x:v>
      </x:c>
      <x:c r="I1073" s="48" t="n">
        <x:v>0.45</x:v>
      </x:c>
      <x:c r="J1073" s="48" t="n">
        <x:v>0.68</x:v>
      </x:c>
      <x:c r="K1073" s="48" t="str">
        <x:v>Yes</x:v>
      </x:c>
      <x:c r="L1073" s="48" t="str">
        <x:v>PDF text</x:v>
      </x:c>
    </x:row>
    <x:row r="1074">
      <x:c r="A1074" s="48" t="str">
        <x:v>RED-1073</x:v>
      </x:c>
      <x:c r="B1074" s="48" t="str">
        <x:v>RED</x:v>
      </x:c>
      <x:c r="C1074" s="48" t="str">
        <x:v>English</x:v>
      </x:c>
      <x:c r="D1074" s="48" t="n">
        <x:v>63</x:v>
      </x:c>
      <x:c r="E1074" s="48" t="str"/>
      <x:c r="F1074" s="48" t="str">
        <x:v>Currencies of Payment</x:v>
      </x:c>
      <x:c r="G1074" s="48" t="str">
        <x:v>Obligation</x:v>
      </x:c>
      <x:c r="H1074" s="48" t="str">
        <x:v>Shared</x:v>
      </x:c>
      <x:c r="I1074" s="48" t="n">
        <x:v>0.55</x:v>
      </x:c>
      <x:c r="J1074" s="48" t="n">
        <x:v>0.4</x:v>
      </x:c>
      <x:c r="K1074" s="48" t="str">
        <x:v>Yes</x:v>
      </x:c>
      <x:c r="L1074" s="48" t="str">
        <x:v>PDF text</x:v>
      </x:c>
    </x:row>
    <x:row r="1075">
      <x:c r="A1075" s="48" t="str">
        <x:v>RED-1074</x:v>
      </x:c>
      <x:c r="B1075" s="48" t="str">
        <x:v>RED</x:v>
      </x:c>
      <x:c r="C1075" s="48" t="str">
        <x:v>English</x:v>
      </x:c>
      <x:c r="D1075" s="48" t="n">
        <x:v>64</x:v>
      </x:c>
      <x:c r="E1075" s="48" t="str"/>
      <x:c r="F1075" s="48" t="str">
        <x:v>(e) if no rates of exchange are stated in the Schedule of Payment Currencies, they shall be those prevailing on the Base Date and determined by the central bank of the Country.</x:v>
      </x:c>
      <x:c r="G1075" s="48" t="str">
        <x:v>Obligation</x:v>
      </x:c>
      <x:c r="H1075" s="48" t="str">
        <x:v>Shared</x:v>
      </x:c>
      <x:c r="I1075" s="48" t="n">
        <x:v>0.88</x:v>
      </x:c>
      <x:c r="J1075" s="48" t="n">
        <x:v>0.4</x:v>
      </x:c>
      <x:c r="K1075" s="48" t="str">
        <x:v>Yes</x:v>
      </x:c>
      <x:c r="L1075" s="48" t="str">
        <x:v>PDF text</x:v>
      </x:c>
    </x:row>
    <x:row r="1076">
      <x:c r="A1076" s="48" t="str">
        <x:v>RED-1075</x:v>
      </x:c>
      <x:c r="B1076" s="48" t="str">
        <x:v>RED</x:v>
      </x:c>
      <x:c r="C1076" s="48" t="str">
        <x:v>English</x:v>
      </x:c>
      <x:c r="D1076" s="48" t="n">
        <x:v>64</x:v>
      </x:c>
      <x:c r="E1076" s="48" t="str"/>
      <x:c r="F1076" s="48" t="str">
        <x:v>If the Contractor fails to carry out any obligation under the Contract, the Engineer may by notice require the Contractor to make good the failure and to remedy it within a specified reasonable time.</x:v>
      </x:c>
      <x:c r="G1076" s="48" t="str">
        <x:v>Risk</x:v>
      </x:c>
      <x:c r="H1076" s="48" t="str">
        <x:v>Contractor</x:v>
      </x:c>
      <x:c r="I1076" s="48" t="n">
        <x:v>0.78</x:v>
      </x:c>
      <x:c r="J1076" s="48" t="n">
        <x:v>0.68</x:v>
      </x:c>
      <x:c r="K1076" s="48" t="str">
        <x:v>Yes</x:v>
      </x:c>
      <x:c r="L1076" s="48" t="str">
        <x:v>PDF text</x:v>
      </x:c>
    </x:row>
    <x:row r="1077">
      <x:c r="A1077" s="48" t="str">
        <x:v>RED-1076</x:v>
      </x:c>
      <x:c r="B1077" s="48" t="str">
        <x:v>RED</x:v>
      </x:c>
      <x:c r="C1077" s="48" t="str">
        <x:v>English</x:v>
      </x:c>
      <x:c r="D1077" s="48" t="n">
        <x:v>64</x:v>
      </x:c>
      <x:c r="E1077" s="48" t="str"/>
      <x:c r="F1077" s="48" t="str">
        <x:v>However, lawful inducements and rewards to Contractor’s Personnel shall not entitle termination.</x:v>
      </x:c>
      <x:c r="G1077" s="48" t="str">
        <x:v>Obligation</x:v>
      </x:c>
      <x:c r="H1077" s="48" t="str">
        <x:v>Contractor</x:v>
      </x:c>
      <x:c r="I1077" s="48" t="n">
        <x:v>0.88</x:v>
      </x:c>
      <x:c r="J1077" s="48" t="n">
        <x:v>0.68</x:v>
      </x:c>
      <x:c r="K1077" s="48" t="str">
        <x:v>Yes</x:v>
      </x:c>
      <x:c r="L1077" s="48" t="str">
        <x:v>PDF text</x:v>
      </x:c>
    </x:row>
    <x:row r="1078">
      <x:c r="A1078" s="48" t="str">
        <x:v>RED-1077</x:v>
      </x:c>
      <x:c r="B1078" s="48" t="str">
        <x:v>RED</x:v>
      </x:c>
      <x:c r="C1078" s="48" t="str">
        <x:v>English</x:v>
      </x:c>
      <x:c r="D1078" s="48" t="n">
        <x:v>64</x:v>
      </x:c>
      <x:c r="E1078" s="48" t="str"/>
      <x:c r="F1078" s="48" t="str">
        <x:v>In any of these events or circumstances, the Employer may, upon giving 14 days’ notice to the Contractor, terminate the Contract and expel the Contractor from the Site.</x:v>
      </x:c>
      <x:c r="G1078" s="48" t="str">
        <x:v>Obligation</x:v>
      </x:c>
      <x:c r="H1078" s="48" t="str">
        <x:v>Shared</x:v>
      </x:c>
      <x:c r="I1078" s="48" t="n">
        <x:v>0.55</x:v>
      </x:c>
      <x:c r="J1078" s="48" t="n">
        <x:v>0.6</x:v>
      </x:c>
      <x:c r="K1078" s="48" t="str">
        <x:v>Yes</x:v>
      </x:c>
      <x:c r="L1078" s="48" t="str">
        <x:v>PDF text</x:v>
      </x:c>
    </x:row>
    <x:row r="1079">
      <x:c r="A1079" s="48" t="str">
        <x:v>RED-1078</x:v>
      </x:c>
      <x:c r="B1079" s="48" t="str">
        <x:v>RED</x:v>
      </x:c>
      <x:c r="C1079" s="48" t="str">
        <x:v>English</x:v>
      </x:c>
      <x:c r="D1079" s="48" t="n">
        <x:v>64</x:v>
      </x:c>
      <x:c r="E1079" s="48" t="str"/>
      <x:c r="F1079" s="48" t="str">
        <x:v>However, in the case of sub-paragraph (e) or (f), the Employer may by notice terminate the Contract immediately.</x:v>
      </x:c>
      <x:c r="G1079" s="48" t="str">
        <x:v>Right</x:v>
      </x:c>
      <x:c r="H1079" s="48" t="str">
        <x:v>Employer</x:v>
      </x:c>
      <x:c r="I1079" s="48" t="n">
        <x:v>0.78</x:v>
      </x:c>
      <x:c r="J1079" s="48" t="n">
        <x:v>0.92</x:v>
      </x:c>
      <x:c r="K1079" s="48" t="str">
        <x:v>No</x:v>
      </x:c>
      <x:c r="L1079" s="48" t="str">
        <x:v>PDF text</x:v>
      </x:c>
    </x:row>
    <x:row r="1080">
      <x:c r="A1080" s="48" t="str">
        <x:v>RED-1079</x:v>
      </x:c>
      <x:c r="B1080" s="48" t="str">
        <x:v>RED</x:v>
      </x:c>
      <x:c r="C1080" s="48" t="str">
        <x:v>English</x:v>
      </x:c>
      <x:c r="D1080" s="48" t="n">
        <x:v>64</x:v>
      </x:c>
      <x:c r="E1080" s="48" t="str"/>
      <x:c r="F1080" s="48" t="str">
        <x:v>The Employer’s election to terminate the Contract shall not prejudice any other rights of the Employer, under the Contract or otherwise.</x:v>
      </x:c>
      <x:c r="G1080" s="48" t="str">
        <x:v>Obligation</x:v>
      </x:c>
      <x:c r="H1080" s="48" t="str">
        <x:v>Employer</x:v>
      </x:c>
      <x:c r="I1080" s="48" t="n">
        <x:v>0.88</x:v>
      </x:c>
      <x:c r="J1080" s="48" t="n">
        <x:v>0.68</x:v>
      </x:c>
      <x:c r="K1080" s="48" t="str">
        <x:v>Yes</x:v>
      </x:c>
      <x:c r="L1080" s="48" t="str">
        <x:v>PDF text</x:v>
      </x:c>
    </x:row>
    <x:row r="1081">
      <x:c r="A1081" s="48" t="str">
        <x:v>RED-1080</x:v>
      </x:c>
      <x:c r="B1081" s="48" t="str">
        <x:v>RED</x:v>
      </x:c>
      <x:c r="C1081" s="48" t="str">
        <x:v>English</x:v>
      </x:c>
      <x:c r="D1081" s="48" t="n">
        <x:v>64</x:v>
      </x:c>
      <x:c r="E1081" s="48" t="str"/>
      <x:c r="F1081" s="48" t="str">
        <x:v>The Contractor shall then leave the Site and deliver any required Goods, all</x:v>
      </x:c>
      <x:c r="G1081" s="48" t="str">
        <x:v>Obligation</x:v>
      </x:c>
      <x:c r="H1081" s="48" t="str">
        <x:v>Contractor</x:v>
      </x:c>
      <x:c r="I1081" s="48" t="n">
        <x:v>0.88</x:v>
      </x:c>
      <x:c r="J1081" s="48" t="n">
        <x:v>0.92</x:v>
      </x:c>
      <x:c r="K1081" s="48" t="str">
        <x:v>No</x:v>
      </x:c>
      <x:c r="L1081" s="48" t="str">
        <x:v>PDF text</x:v>
      </x:c>
    </x:row>
    <x:row r="1082">
      <x:c r="A1082" s="48" t="str">
        <x:v>RED-1081</x:v>
      </x:c>
      <x:c r="B1082" s="48" t="str">
        <x:v>RED</x:v>
      </x:c>
      <x:c r="C1082" s="48" t="str">
        <x:v>English</x:v>
      </x:c>
      <x:c r="D1082" s="48" t="n">
        <x:v>64</x:v>
      </x:c>
      <x:c r="E1082" s="48" t="str"/>
      <x:c r="F1082" s="48" t="str">
        <x:v>Contractor’s Documents, and other design documents made by or for him, to the</x:v>
      </x:c>
      <x:c r="G1082" s="48" t="str">
        <x:v>Obligation</x:v>
      </x:c>
      <x:c r="H1082" s="48" t="str">
        <x:v>Contractor</x:v>
      </x:c>
      <x:c r="I1082" s="48" t="n">
        <x:v>0.45</x:v>
      </x:c>
      <x:c r="J1082" s="48" t="n">
        <x:v>0.68</x:v>
      </x:c>
      <x:c r="K1082" s="48" t="str">
        <x:v>Yes</x:v>
      </x:c>
      <x:c r="L1082" s="48" t="str">
        <x:v>PDF text</x:v>
      </x:c>
    </x:row>
    <x:row r="1083">
      <x:c r="A1083" s="48" t="str">
        <x:v>RED-1082</x:v>
      </x:c>
      <x:c r="B1083" s="48" t="str">
        <x:v>RED</x:v>
      </x:c>
      <x:c r="C1083" s="48" t="str">
        <x:v>English</x:v>
      </x:c>
      <x:c r="D1083" s="48" t="n">
        <x:v>64</x:v>
      </x:c>
      <x:c r="E1083" s="48" t="str"/>
      <x:c r="F1083" s="48" t="str">
        <x:v>Notice to Correct</x:v>
      </x:c>
      <x:c r="G1083" s="48" t="str">
        <x:v>Obligation</x:v>
      </x:c>
      <x:c r="H1083" s="48" t="str">
        <x:v>Shared</x:v>
      </x:c>
      <x:c r="I1083" s="48" t="n">
        <x:v>0.55</x:v>
      </x:c>
      <x:c r="J1083" s="48" t="n">
        <x:v>0.4</x:v>
      </x:c>
      <x:c r="K1083" s="48" t="str">
        <x:v>Yes</x:v>
      </x:c>
      <x:c r="L1083" s="48" t="str">
        <x:v>PDF text</x:v>
      </x:c>
    </x:row>
    <x:row r="1084">
      <x:c r="A1084" s="48" t="str">
        <x:v>RED-1083</x:v>
      </x:c>
      <x:c r="B1084" s="48" t="str">
        <x:v>RED</x:v>
      </x:c>
      <x:c r="C1084" s="48" t="str">
        <x:v>English</x:v>
      </x:c>
      <x:c r="D1084" s="48" t="n">
        <x:v>64</x:v>
      </x:c>
      <x:c r="E1084" s="48" t="str"/>
      <x:c r="F1084" s="48" t="str">
        <x:v>Termination by Employer</x:v>
      </x:c>
      <x:c r="G1084" s="48" t="str">
        <x:v>Obligation</x:v>
      </x:c>
      <x:c r="H1084" s="48" t="str">
        <x:v>Employer</x:v>
      </x:c>
      <x:c r="I1084" s="48" t="n">
        <x:v>0.55</x:v>
      </x:c>
      <x:c r="J1084" s="48" t="n">
        <x:v>0.68</x:v>
      </x:c>
      <x:c r="K1084" s="48" t="str">
        <x:v>Yes</x:v>
      </x:c>
      <x:c r="L1084" s="48" t="str">
        <x:v>PDF text</x:v>
      </x:c>
    </x:row>
    <x:row r="1085">
      <x:c r="A1085" s="48" t="str">
        <x:v>RED-1084</x:v>
      </x:c>
      <x:c r="B1085" s="48" t="str">
        <x:v>RED</x:v>
      </x:c>
      <x:c r="C1085" s="48" t="str">
        <x:v>English</x:v>
      </x:c>
      <x:c r="D1085" s="48" t="n">
        <x:v>65</x:v>
      </x:c>
      <x:c r="E1085" s="48" t="str"/>
      <x:c r="F1085" s="48" t="str">
        <x:v>However, the Contractor shall use his best efforts to comply immediately with any reasonable instructions included in the notice (i) for the assignment of any subcontract, and (ii) for the protection of life or property or for the safety of the Works.</x:v>
      </x:c>
      <x:c r="G1085" s="48" t="str">
        <x:v>Obligation</x:v>
      </x:c>
      <x:c r="H1085" s="48" t="str">
        <x:v>Contractor</x:v>
      </x:c>
      <x:c r="I1085" s="48" t="n">
        <x:v>0.88</x:v>
      </x:c>
      <x:c r="J1085" s="48" t="n">
        <x:v>0.92</x:v>
      </x:c>
      <x:c r="K1085" s="48" t="str">
        <x:v>No</x:v>
      </x:c>
      <x:c r="L1085" s="48" t="str">
        <x:v>PDF text</x:v>
      </x:c>
    </x:row>
    <x:row r="1086">
      <x:c r="A1086" s="48" t="str">
        <x:v>RED-1085</x:v>
      </x:c>
      <x:c r="B1086" s="48" t="str">
        <x:v>RED</x:v>
      </x:c>
      <x:c r="C1086" s="48" t="str">
        <x:v>English</x:v>
      </x:c>
      <x:c r="D1086" s="48" t="n">
        <x:v>65</x:v>
      </x:c>
      <x:c r="E1086" s="48" t="str"/>
      <x:c r="F1086" s="48" t="str">
        <x:v>After termination, the Employer may complete the Works and/or arrange for any other entities to do so.</x:v>
      </x:c>
      <x:c r="G1086" s="48" t="str">
        <x:v>Right</x:v>
      </x:c>
      <x:c r="H1086" s="48" t="str">
        <x:v>Employer</x:v>
      </x:c>
      <x:c r="I1086" s="48" t="n">
        <x:v>0.78</x:v>
      </x:c>
      <x:c r="J1086" s="48" t="n">
        <x:v>0.92</x:v>
      </x:c>
      <x:c r="K1086" s="48" t="str">
        <x:v>No</x:v>
      </x:c>
      <x:c r="L1086" s="48" t="str">
        <x:v>PDF text</x:v>
      </x:c>
    </x:row>
    <x:row r="1087">
      <x:c r="A1087" s="48" t="str">
        <x:v>RED-1086</x:v>
      </x:c>
      <x:c r="B1087" s="48" t="str">
        <x:v>RED</x:v>
      </x:c>
      <x:c r="C1087" s="48" t="str">
        <x:v>English</x:v>
      </x:c>
      <x:c r="D1087" s="48" t="n">
        <x:v>65</x:v>
      </x:c>
      <x:c r="E1087" s="48" t="str"/>
      <x:c r="F1087" s="48" t="str">
        <x:v>The Employer and these entities may then use any Goods,</x:v>
      </x:c>
      <x:c r="G1087" s="48" t="str">
        <x:v>Right</x:v>
      </x:c>
      <x:c r="H1087" s="48" t="str">
        <x:v>Employer</x:v>
      </x:c>
      <x:c r="I1087" s="48" t="n">
        <x:v>0.78</x:v>
      </x:c>
      <x:c r="J1087" s="48" t="n">
        <x:v>0.68</x:v>
      </x:c>
      <x:c r="K1087" s="48" t="str">
        <x:v>Yes</x:v>
      </x:c>
      <x:c r="L1087" s="48" t="str">
        <x:v>PDF text</x:v>
      </x:c>
    </x:row>
    <x:row r="1088">
      <x:c r="A1088" s="48" t="str">
        <x:v>RED-1087</x:v>
      </x:c>
      <x:c r="B1088" s="48" t="str">
        <x:v>RED</x:v>
      </x:c>
      <x:c r="C1088" s="48" t="str">
        <x:v>English</x:v>
      </x:c>
      <x:c r="D1088" s="48" t="n">
        <x:v>65</x:v>
      </x:c>
      <x:c r="E1088" s="48" t="str"/>
      <x:c r="F1088" s="48" t="str">
        <x:v>Contractor’s Documents and other design documents made by or on behalf of the</x:v>
      </x:c>
      <x:c r="G1088" s="48" t="str">
        <x:v>Obligation</x:v>
      </x:c>
      <x:c r="H1088" s="48" t="str">
        <x:v>Contractor</x:v>
      </x:c>
      <x:c r="I1088" s="48" t="n">
        <x:v>0.45</x:v>
      </x:c>
      <x:c r="J1088" s="48" t="n">
        <x:v>0.68</x:v>
      </x:c>
      <x:c r="K1088" s="48" t="str">
        <x:v>Yes</x:v>
      </x:c>
      <x:c r="L1088" s="48" t="str">
        <x:v>PDF text</x:v>
      </x:c>
    </x:row>
    <x:row r="1089">
      <x:c r="A1089" s="48" t="str">
        <x:v>RED-1088</x:v>
      </x:c>
      <x:c r="B1089" s="48" t="str">
        <x:v>RED</x:v>
      </x:c>
      <x:c r="C1089" s="48" t="str">
        <x:v>English</x:v>
      </x:c>
      <x:c r="D1089" s="48" t="n">
        <x:v>65</x:v>
      </x:c>
      <x:c r="E1089" s="48" t="str"/>
      <x:c r="F1089" s="48" t="str">
        <x:v>Contractor.</x:v>
      </x:c>
      <x:c r="G1089" s="48" t="str">
        <x:v>Obligation</x:v>
      </x:c>
      <x:c r="H1089" s="48" t="str">
        <x:v>Contractor</x:v>
      </x:c>
      <x:c r="I1089" s="48" t="n">
        <x:v>0.45</x:v>
      </x:c>
      <x:c r="J1089" s="48" t="n">
        <x:v>0.68</x:v>
      </x:c>
      <x:c r="K1089" s="48" t="str">
        <x:v>Yes</x:v>
      </x:c>
      <x:c r="L1089" s="48" t="str">
        <x:v>PDF text</x:v>
      </x:c>
    </x:row>
    <x:row r="1090">
      <x:c r="A1090" s="48" t="str">
        <x:v>RED-1089</x:v>
      </x:c>
      <x:c r="B1090" s="48" t="str">
        <x:v>RED</x:v>
      </x:c>
      <x:c r="C1090" s="48" t="str">
        <x:v>English</x:v>
      </x:c>
      <x:c r="D1090" s="48" t="n">
        <x:v>65</x:v>
      </x:c>
      <x:c r="E1090" s="48" t="str"/>
      <x:c r="F1090" s="48" t="str">
        <x:v>The Employer shall then give notice that the Contractor’s Equipment and Temporary</x:v>
      </x:c>
      <x:c r="G1090" s="48" t="str">
        <x:v>Obligation</x:v>
      </x:c>
      <x:c r="H1090" s="48" t="str">
        <x:v>Employer</x:v>
      </x:c>
      <x:c r="I1090" s="48" t="n">
        <x:v>0.88</x:v>
      </x:c>
      <x:c r="J1090" s="48" t="n">
        <x:v>0.92</x:v>
      </x:c>
      <x:c r="K1090" s="48" t="str">
        <x:v>No</x:v>
      </x:c>
      <x:c r="L1090" s="48" t="str">
        <x:v>PDF text</x:v>
      </x:c>
    </x:row>
    <x:row r="1091">
      <x:c r="A1091" s="48" t="str">
        <x:v>RED-1090</x:v>
      </x:c>
      <x:c r="B1091" s="48" t="str">
        <x:v>RED</x:v>
      </x:c>
      <x:c r="C1091" s="48" t="str">
        <x:v>English</x:v>
      </x:c>
      <x:c r="D1091" s="48" t="n">
        <x:v>65</x:v>
      </x:c>
      <x:c r="E1091" s="48" t="str"/>
      <x:c r="F1091" s="48" t="str">
        <x:v>Works will be released to the Contractor at or near the Site.</x:v>
      </x:c>
      <x:c r="G1091" s="48" t="str">
        <x:v>Obligation</x:v>
      </x:c>
      <x:c r="H1091" s="48" t="str">
        <x:v>Contractor</x:v>
      </x:c>
      <x:c r="I1091" s="48" t="n">
        <x:v>0.45</x:v>
      </x:c>
      <x:c r="J1091" s="48" t="n">
        <x:v>0.68</x:v>
      </x:c>
      <x:c r="K1091" s="48" t="str">
        <x:v>Yes</x:v>
      </x:c>
      <x:c r="L1091" s="48" t="str">
        <x:v>PDF text</x:v>
      </x:c>
    </x:row>
    <x:row r="1092">
      <x:c r="A1092" s="48" t="str">
        <x:v>RED-1091</x:v>
      </x:c>
      <x:c r="B1092" s="48" t="str">
        <x:v>RED</x:v>
      </x:c>
      <x:c r="C1092" s="48" t="str">
        <x:v>English</x:v>
      </x:c>
      <x:c r="D1092" s="48" t="n">
        <x:v>65</x:v>
      </x:c>
      <x:c r="E1092" s="48" t="str"/>
      <x:c r="F1092" s="48" t="str">
        <x:v>The Contractor shall promptly arrange their removal, at the risk and cost of the Contractor.</x:v>
      </x:c>
      <x:c r="G1092" s="48" t="str">
        <x:v>Risk</x:v>
      </x:c>
      <x:c r="H1092" s="48" t="str">
        <x:v>Contractor</x:v>
      </x:c>
      <x:c r="I1092" s="48" t="n">
        <x:v>0.78</x:v>
      </x:c>
      <x:c r="J1092" s="48" t="n">
        <x:v>0.92</x:v>
      </x:c>
      <x:c r="K1092" s="48" t="str">
        <x:v>No</x:v>
      </x:c>
      <x:c r="L1092" s="48" t="str">
        <x:v>PDF text</x:v>
      </x:c>
    </x:row>
    <x:row r="1093">
      <x:c r="A1093" s="48" t="str">
        <x:v>RED-1092</x:v>
      </x:c>
      <x:c r="B1093" s="48" t="str">
        <x:v>RED</x:v>
      </x:c>
      <x:c r="C1093" s="48" t="str">
        <x:v>English</x:v>
      </x:c>
      <x:c r="D1093" s="48" t="n">
        <x:v>65</x:v>
      </x:c>
      <x:c r="E1093" s="48" t="str"/>
      <x:c r="F1093" s="48" t="str">
        <x:v>However, if by this time the Contractor has failed to make a payment due to the Employer, these items may be sold by the Employer in order to recover this payment.</x:v>
      </x:c>
      <x:c r="G1093" s="48" t="str">
        <x:v>Right</x:v>
      </x:c>
      <x:c r="H1093" s="48" t="str">
        <x:v>Shared</x:v>
      </x:c>
      <x:c r="I1093" s="48" t="n">
        <x:v>0.78</x:v>
      </x:c>
      <x:c r="J1093" s="48" t="n">
        <x:v>0.6</x:v>
      </x:c>
      <x:c r="K1093" s="48" t="str">
        <x:v>Yes</x:v>
      </x:c>
      <x:c r="L1093" s="48" t="str">
        <x:v>PDF text</x:v>
      </x:c>
    </x:row>
    <x:row r="1094">
      <x:c r="A1094" s="48" t="str">
        <x:v>RED-1093</x:v>
      </x:c>
      <x:c r="B1094" s="48" t="str">
        <x:v>RED</x:v>
      </x:c>
      <x:c r="C1094" s="48" t="str">
        <x:v>English</x:v>
      </x:c>
      <x:c r="D1094" s="48" t="n">
        <x:v>65</x:v>
      </x:c>
      <x:c r="E1094" s="48" t="str"/>
      <x:c r="F1094" s="48" t="str">
        <x:v>Any balance of the proceeds shall then be paid to the Contractor.</x:v>
      </x:c>
      <x:c r="G1094" s="48" t="str">
        <x:v>Obligation</x:v>
      </x:c>
      <x:c r="H1094" s="48" t="str">
        <x:v>Contractor</x:v>
      </x:c>
      <x:c r="I1094" s="48" t="n">
        <x:v>0.88</x:v>
      </x:c>
      <x:c r="J1094" s="48" t="n">
        <x:v>0.68</x:v>
      </x:c>
      <x:c r="K1094" s="48" t="str">
        <x:v>Yes</x:v>
      </x:c>
      <x:c r="L1094" s="48" t="str">
        <x:v>PDF text</x:v>
      </x:c>
    </x:row>
    <x:row r="1095">
      <x:c r="A1095" s="48" t="str">
        <x:v>RED-1094</x:v>
      </x:c>
      <x:c r="B1095" s="48" t="str">
        <x:v>RED</x:v>
      </x:c>
      <x:c r="C1095" s="48" t="str">
        <x:v>English</x:v>
      </x:c>
      <x:c r="D1095" s="48" t="n">
        <x:v>65</x:v>
      </x:c>
      <x:c r="E1095" s="48" t="str"/>
      <x:c r="F1095" s="48" t="str">
        <x:v>As soon as practicable after a notice of termination under Sub-Clause 15.2 [Termination by Employer] has taken effect, the Engineer shall proceed in accordance with Sub-Clause 3.5 [Determinations] to agree or determine the value of the Works,</x:v>
      </x:c>
      <x:c r="G1095" s="48" t="str">
        <x:v>Obligation</x:v>
      </x:c>
      <x:c r="H1095" s="48" t="str">
        <x:v>Employer</x:v>
      </x:c>
      <x:c r="I1095" s="48" t="n">
        <x:v>0.88</x:v>
      </x:c>
      <x:c r="J1095" s="48" t="n">
        <x:v>0.68</x:v>
      </x:c>
      <x:c r="K1095" s="48" t="str">
        <x:v>Yes</x:v>
      </x:c>
      <x:c r="L1095" s="48" t="str">
        <x:v>PDF text</x:v>
      </x:c>
    </x:row>
    <x:row r="1096">
      <x:c r="A1096" s="48" t="str">
        <x:v>RED-1095</x:v>
      </x:c>
      <x:c r="B1096" s="48" t="str">
        <x:v>RED</x:v>
      </x:c>
      <x:c r="C1096" s="48" t="str">
        <x:v>English</x:v>
      </x:c>
      <x:c r="D1096" s="48" t="n">
        <x:v>65</x:v>
      </x:c>
      <x:c r="E1096" s="48" t="str"/>
      <x:c r="F1096" s="48" t="str">
        <x:v>Goods and Contractor’s Documents, and any other sums due to the Contractor for</x:v>
      </x:c>
      <x:c r="G1096" s="48" t="str">
        <x:v>Obligation</x:v>
      </x:c>
      <x:c r="H1096" s="48" t="str">
        <x:v>Contractor</x:v>
      </x:c>
      <x:c r="I1096" s="48" t="n">
        <x:v>0.45</x:v>
      </x:c>
      <x:c r="J1096" s="48" t="n">
        <x:v>0.68</x:v>
      </x:c>
      <x:c r="K1096" s="48" t="str">
        <x:v>Yes</x:v>
      </x:c>
      <x:c r="L1096" s="48" t="str">
        <x:v>PDF text</x:v>
      </x:c>
    </x:row>
    <x:row r="1097">
      <x:c r="A1097" s="48" t="str">
        <x:v>RED-1096</x:v>
      </x:c>
      <x:c r="B1097" s="48" t="str">
        <x:v>RED</x:v>
      </x:c>
      <x:c r="C1097" s="48" t="str">
        <x:v>English</x:v>
      </x:c>
      <x:c r="D1097" s="48" t="n">
        <x:v>65</x:v>
      </x:c>
      <x:c r="E1097" s="48" t="str"/>
      <x:c r="F1097" s="48" t="str">
        <x:v>work executed in accordance with the Contract.</x:v>
      </x:c>
      <x:c r="G1097" s="48" t="str">
        <x:v>Obligation</x:v>
      </x:c>
      <x:c r="H1097" s="48" t="str">
        <x:v>Shared</x:v>
      </x:c>
      <x:c r="I1097" s="48" t="n">
        <x:v>0.45</x:v>
      </x:c>
      <x:c r="J1097" s="48" t="n">
        <x:v>0.4</x:v>
      </x:c>
      <x:c r="K1097" s="48" t="str">
        <x:v>Yes</x:v>
      </x:c>
      <x:c r="L1097" s="48" t="str">
        <x:v>PDF text</x:v>
      </x:c>
    </x:row>
    <x:row r="1098">
      <x:c r="A1098" s="48" t="str">
        <x:v>RED-1097</x:v>
      </x:c>
      <x:c r="B1098" s="48" t="str">
        <x:v>RED</x:v>
      </x:c>
      <x:c r="C1098" s="48" t="str">
        <x:v>English</x:v>
      </x:c>
      <x:c r="D1098" s="48" t="n">
        <x:v>65</x:v>
      </x:c>
      <x:c r="E1098" s="48" t="str"/>
      <x:c r="F1098" s="48" t="str">
        <x:v>After a notice of termination under Sub-Clause 15.2 [Termination by Employer] has taken effect, the Employer may: (a) proceed in accordance with Sub-Clause 2.5 [Employer’s Claims], (b) withhold further payments to the Contractor until the costs of execution, completion and remedying of any defects, damages for delay in completion (if any), and all other costs incurred by the Employer, have been established, and/or (c) recover from the Contractor any losses and damages incurred by the Employer and any extra costs of completing the Works, after allowing for any sum due to the Contractor under Sub-Clause 15.3 [Valuation at Date of Termination].</x:v>
      </x:c>
      <x:c r="G1098" s="48" t="str">
        <x:v>Risk</x:v>
      </x:c>
      <x:c r="H1098" s="48" t="str">
        <x:v>Shared</x:v>
      </x:c>
      <x:c r="I1098" s="48" t="n">
        <x:v>0.78</x:v>
      </x:c>
      <x:c r="J1098" s="48" t="n">
        <x:v>0.6</x:v>
      </x:c>
      <x:c r="K1098" s="48" t="str">
        <x:v>Yes</x:v>
      </x:c>
      <x:c r="L1098" s="48" t="str">
        <x:v>PDF text</x:v>
      </x:c>
    </x:row>
    <x:row r="1099">
      <x:c r="A1099" s="48" t="str">
        <x:v>RED-1098</x:v>
      </x:c>
      <x:c r="B1099" s="48" t="str">
        <x:v>RED</x:v>
      </x:c>
      <x:c r="C1099" s="48" t="str">
        <x:v>English</x:v>
      </x:c>
      <x:c r="D1099" s="48" t="n">
        <x:v>65</x:v>
      </x:c>
      <x:c r="E1099" s="48" t="str"/>
      <x:c r="F1099" s="48" t="str">
        <x:v>After recovering any such losses, damages and extra costs, the Employer shall pay any balance to the Contractor.</x:v>
      </x:c>
      <x:c r="G1099" s="48" t="str">
        <x:v>Obligation</x:v>
      </x:c>
      <x:c r="H1099" s="48" t="str">
        <x:v>Employer</x:v>
      </x:c>
      <x:c r="I1099" s="48" t="n">
        <x:v>0.88</x:v>
      </x:c>
      <x:c r="J1099" s="48" t="n">
        <x:v>0.92</x:v>
      </x:c>
      <x:c r="K1099" s="48" t="str">
        <x:v>No</x:v>
      </x:c>
      <x:c r="L1099" s="48" t="str">
        <x:v>PDF text</x:v>
      </x:c>
    </x:row>
    <x:row r="1100">
      <x:c r="A1100" s="48" t="str">
        <x:v>RED-1099</x:v>
      </x:c>
      <x:c r="B1100" s="48" t="str">
        <x:v>RED</x:v>
      </x:c>
      <x:c r="C1100" s="48" t="str">
        <x:v>English</x:v>
      </x:c>
      <x:c r="D1100" s="48" t="n">
        <x:v>65</x:v>
      </x:c>
      <x:c r="E1100" s="48" t="str"/>
      <x:c r="F1100" s="48" t="str">
        <x:v>The Employer shall be entitled to terminate the Contract, at any time for the</x:v>
      </x:c>
      <x:c r="G1100" s="48" t="str">
        <x:v>Obligation</x:v>
      </x:c>
      <x:c r="H1100" s="48" t="str">
        <x:v>Employer</x:v>
      </x:c>
      <x:c r="I1100" s="48" t="n">
        <x:v>0.88</x:v>
      </x:c>
      <x:c r="J1100" s="48" t="n">
        <x:v>0.92</x:v>
      </x:c>
      <x:c r="K1100" s="48" t="str">
        <x:v>No</x:v>
      </x:c>
      <x:c r="L1100" s="48" t="str">
        <x:v>PDF text</x:v>
      </x:c>
    </x:row>
    <x:row r="1101">
      <x:c r="A1101" s="48" t="str">
        <x:v>RED-1100</x:v>
      </x:c>
      <x:c r="B1101" s="48" t="str">
        <x:v>RED</x:v>
      </x:c>
      <x:c r="C1101" s="48" t="str">
        <x:v>English</x:v>
      </x:c>
      <x:c r="D1101" s="48" t="n">
        <x:v>65</x:v>
      </x:c>
      <x:c r="E1101" s="48" t="str"/>
      <x:c r="F1101" s="48" t="str">
        <x:v>Employer’s convenience, by giving notice of such termination to the Contractor.</x:v>
      </x:c>
      <x:c r="G1101" s="48" t="str">
        <x:v>Obligation</x:v>
      </x:c>
      <x:c r="H1101" s="48" t="str">
        <x:v>Shared</x:v>
      </x:c>
      <x:c r="I1101" s="48" t="n">
        <x:v>0.55</x:v>
      </x:c>
      <x:c r="J1101" s="48" t="n">
        <x:v>0.6</x:v>
      </x:c>
      <x:c r="K1101" s="48" t="str">
        <x:v>Yes</x:v>
      </x:c>
      <x:c r="L1101" s="48" t="str">
        <x:v>PDF text</x:v>
      </x:c>
    </x:row>
    <x:row r="1102">
      <x:c r="A1102" s="48" t="str">
        <x:v>RED-1101</x:v>
      </x:c>
      <x:c r="B1102" s="48" t="str">
        <x:v>RED</x:v>
      </x:c>
      <x:c r="C1102" s="48" t="str">
        <x:v>English</x:v>
      </x:c>
      <x:c r="D1102" s="48" t="n">
        <x:v>65</x:v>
      </x:c>
      <x:c r="E1102" s="48" t="str"/>
      <x:c r="F1102" s="48" t="str">
        <x:v>The termination shall take effect 28 days after the later of the dates on which the Contractor receives this notice or the Employer returns the Performance Security.</x:v>
      </x:c>
      <x:c r="G1102" s="48" t="str">
        <x:v>Obligation</x:v>
      </x:c>
      <x:c r="H1102" s="48" t="str">
        <x:v>Shared</x:v>
      </x:c>
      <x:c r="I1102" s="48" t="n">
        <x:v>0.88</x:v>
      </x:c>
      <x:c r="J1102" s="48" t="n">
        <x:v>0.6</x:v>
      </x:c>
      <x:c r="K1102" s="48" t="str">
        <x:v>Yes</x:v>
      </x:c>
      <x:c r="L1102" s="48" t="str">
        <x:v>PDF text</x:v>
      </x:c>
    </x:row>
    <x:row r="1103">
      <x:c r="A1103" s="48" t="str">
        <x:v>RED-1102</x:v>
      </x:c>
      <x:c r="B1103" s="48" t="str">
        <x:v>RED</x:v>
      </x:c>
      <x:c r="C1103" s="48" t="str">
        <x:v>English</x:v>
      </x:c>
      <x:c r="D1103" s="48" t="n">
        <x:v>65</x:v>
      </x:c>
      <x:c r="E1103" s="48" t="str"/>
      <x:c r="F1103" s="48" t="str">
        <x:v>The Employer shall not terminate the Contract under this Sub-Clause in order to execute the Works himself or to arrange for the Works to be executed by another contractor or to avoid a termination of the Contract by the Contractor under Clause 16.2 [Termination by Contractor].</x:v>
      </x:c>
      <x:c r="G1103" s="48" t="str">
        <x:v>Obligation</x:v>
      </x:c>
      <x:c r="H1103" s="48" t="str">
        <x:v>Employer</x:v>
      </x:c>
      <x:c r="I1103" s="48" t="n">
        <x:v>0.88</x:v>
      </x:c>
      <x:c r="J1103" s="48" t="n">
        <x:v>0.92</x:v>
      </x:c>
      <x:c r="K1103" s="48" t="str">
        <x:v>No</x:v>
      </x:c>
      <x:c r="L1103" s="48" t="str">
        <x:v>PDF text</x:v>
      </x:c>
    </x:row>
    <x:row r="1104">
      <x:c r="A1104" s="48" t="str">
        <x:v>RED-1103</x:v>
      </x:c>
      <x:c r="B1104" s="48" t="str">
        <x:v>RED</x:v>
      </x:c>
      <x:c r="C1104" s="48" t="str">
        <x:v>English</x:v>
      </x:c>
      <x:c r="D1104" s="48" t="n">
        <x:v>65</x:v>
      </x:c>
      <x:c r="E1104" s="48" t="str"/>
      <x:c r="F1104" s="48" t="str">
        <x:v>After this termination, the Contractor shall proceed in accordance with Sub-Clause</x:v>
      </x:c>
      <x:c r="G1104" s="48" t="str">
        <x:v>Obligation</x:v>
      </x:c>
      <x:c r="H1104" s="48" t="str">
        <x:v>Contractor</x:v>
      </x:c>
      <x:c r="I1104" s="48" t="n">
        <x:v>0.88</x:v>
      </x:c>
      <x:c r="J1104" s="48" t="n">
        <x:v>0.92</x:v>
      </x:c>
      <x:c r="K1104" s="48" t="str">
        <x:v>No</x:v>
      </x:c>
      <x:c r="L1104" s="48" t="str">
        <x:v>PDF text</x:v>
      </x:c>
    </x:row>
    <x:row r="1105">
      <x:c r="A1105" s="48" t="str">
        <x:v>RED-1104</x:v>
      </x:c>
      <x:c r="B1105" s="48" t="str">
        <x:v>RED</x:v>
      </x:c>
      <x:c r="C1105" s="48" t="str">
        <x:v>English</x:v>
      </x:c>
      <x:c r="D1105" s="48" t="n">
        <x:v>65</x:v>
      </x:c>
      <x:c r="E1105" s="48" t="str">
        <x:v>16.3</x:v>
      </x:c>
      <x:c r="F1105" s="48" t="str">
        <x:v>16.3 [Cessation of Work and Removal of Contractor’s Equipment] and shall be paid</x:v>
      </x:c>
      <x:c r="G1105" s="48" t="str">
        <x:v>Obligation</x:v>
      </x:c>
      <x:c r="H1105" s="48" t="str">
        <x:v>Contractor</x:v>
      </x:c>
      <x:c r="I1105" s="48" t="n">
        <x:v>0.88</x:v>
      </x:c>
      <x:c r="J1105" s="48" t="n">
        <x:v>0.68</x:v>
      </x:c>
      <x:c r="K1105" s="48" t="str">
        <x:v>Yes</x:v>
      </x:c>
      <x:c r="L1105" s="48" t="str">
        <x:v>PDF text</x:v>
      </x:c>
    </x:row>
    <x:row r="1106">
      <x:c r="A1106" s="48" t="str">
        <x:v>RED-1105</x:v>
      </x:c>
      <x:c r="B1106" s="48" t="str">
        <x:v>RED</x:v>
      </x:c>
      <x:c r="C1106" s="48" t="str">
        <x:v>English</x:v>
      </x:c>
      <x:c r="D1106" s="48" t="n">
        <x:v>65</x:v>
      </x:c>
      <x:c r="E1106" s="48" t="str"/>
      <x:c r="F1106" s="48" t="str">
        <x:v>in accordance with Sub-Clause 19.6 [Optional Termination, Payment and Release].</x:v>
      </x:c>
      <x:c r="G1106" s="48" t="str">
        <x:v>Obligation</x:v>
      </x:c>
      <x:c r="H1106" s="48" t="str">
        <x:v>Shared</x:v>
      </x:c>
      <x:c r="I1106" s="48" t="n">
        <x:v>0.55</x:v>
      </x:c>
      <x:c r="J1106" s="48" t="n">
        <x:v>0.4</x:v>
      </x:c>
      <x:c r="K1106" s="48" t="str">
        <x:v>Yes</x:v>
      </x:c>
      <x:c r="L1106" s="48" t="str">
        <x:v>PDF text</x:v>
      </x:c>
    </x:row>
    <x:row r="1107">
      <x:c r="A1107" s="48" t="str">
        <x:v>RED-1106</x:v>
      </x:c>
      <x:c r="B1107" s="48" t="str">
        <x:v>RED</x:v>
      </x:c>
      <x:c r="C1107" s="48" t="str">
        <x:v>English</x:v>
      </x:c>
      <x:c r="D1107" s="48" t="n">
        <x:v>65</x:v>
      </x:c>
      <x:c r="E1107" s="48" t="str"/>
      <x:c r="F1107" s="48" t="str">
        <x:v>If the Employer determines that the Contractor has engaged in corrupt, fraudulent, collusive or coercive practices, in competing for or in executing the Contract, then the Employer may, after giving 14 days notice to the Contractor, terminate the 15.3</x:v>
      </x:c>
      <x:c r="G1107" s="48" t="str">
        <x:v>Obligation</x:v>
      </x:c>
      <x:c r="H1107" s="48" t="str">
        <x:v>Shared</x:v>
      </x:c>
      <x:c r="I1107" s="48" t="n">
        <x:v>0.55</x:v>
      </x:c>
      <x:c r="J1107" s="48" t="n">
        <x:v>0.6</x:v>
      </x:c>
      <x:c r="K1107" s="48" t="str">
        <x:v>Yes</x:v>
      </x:c>
      <x:c r="L1107" s="48" t="str">
        <x:v>PDF text</x:v>
      </x:c>
    </x:row>
    <x:row r="1108">
      <x:c r="A1108" s="48" t="str">
        <x:v>RED-1107</x:v>
      </x:c>
      <x:c r="B1108" s="48" t="str">
        <x:v>RED</x:v>
      </x:c>
      <x:c r="C1108" s="48" t="str">
        <x:v>English</x:v>
      </x:c>
      <x:c r="D1108" s="48" t="n">
        <x:v>65</x:v>
      </x:c>
      <x:c r="E1108" s="48" t="str"/>
      <x:c r="F1108" s="48" t="str">
        <x:v>Valuation at Date of</x:v>
      </x:c>
      <x:c r="G1108" s="48" t="str">
        <x:v>Obligation</x:v>
      </x:c>
      <x:c r="H1108" s="48" t="str">
        <x:v>Shared</x:v>
      </x:c>
      <x:c r="I1108" s="48" t="n">
        <x:v>0.45</x:v>
      </x:c>
      <x:c r="J1108" s="48" t="n">
        <x:v>0.4</x:v>
      </x:c>
      <x:c r="K1108" s="48" t="str">
        <x:v>Yes</x:v>
      </x:c>
      <x:c r="L1108" s="48" t="str">
        <x:v>PDF text</x:v>
      </x:c>
    </x:row>
    <x:row r="1109">
      <x:c r="A1109" s="48" t="str">
        <x:v>RED-1108</x:v>
      </x:c>
      <x:c r="B1109" s="48" t="str">
        <x:v>RED</x:v>
      </x:c>
      <x:c r="C1109" s="48" t="str">
        <x:v>English</x:v>
      </x:c>
      <x:c r="D1109" s="48" t="n">
        <x:v>65</x:v>
      </x:c>
      <x:c r="E1109" s="48" t="str"/>
      <x:c r="F1109" s="48" t="str">
        <x:v>Termination</x:v>
      </x:c>
      <x:c r="G1109" s="48" t="str">
        <x:v>Obligation</x:v>
      </x:c>
      <x:c r="H1109" s="48" t="str">
        <x:v>Shared</x:v>
      </x:c>
      <x:c r="I1109" s="48" t="n">
        <x:v>0.55</x:v>
      </x:c>
      <x:c r="J1109" s="48" t="n">
        <x:v>0.4</x:v>
      </x:c>
      <x:c r="K1109" s="48" t="str">
        <x:v>Yes</x:v>
      </x:c>
      <x:c r="L1109" s="48" t="str">
        <x:v>PDF text</x:v>
      </x:c>
    </x:row>
    <x:row r="1110">
      <x:c r="A1110" s="48" t="str">
        <x:v>RED-1109</x:v>
      </x:c>
      <x:c r="B1110" s="48" t="str">
        <x:v>RED</x:v>
      </x:c>
      <x:c r="C1110" s="48" t="str">
        <x:v>English</x:v>
      </x:c>
      <x:c r="D1110" s="48" t="n">
        <x:v>65</x:v>
      </x:c>
      <x:c r="E1110" s="48" t="str"/>
      <x:c r="F1110" s="48" t="str">
        <x:v>Payment after</x:v>
      </x:c>
      <x:c r="G1110" s="48" t="str">
        <x:v>Obligation</x:v>
      </x:c>
      <x:c r="H1110" s="48" t="str">
        <x:v>Shared</x:v>
      </x:c>
      <x:c r="I1110" s="48" t="n">
        <x:v>0.55</x:v>
      </x:c>
      <x:c r="J1110" s="48" t="n">
        <x:v>0.4</x:v>
      </x:c>
      <x:c r="K1110" s="48" t="str">
        <x:v>Yes</x:v>
      </x:c>
      <x:c r="L1110" s="48" t="str">
        <x:v>PDF text</x:v>
      </x:c>
    </x:row>
    <x:row r="1111">
      <x:c r="A1111" s="48" t="str">
        <x:v>RED-1110</x:v>
      </x:c>
      <x:c r="B1111" s="48" t="str">
        <x:v>RED</x:v>
      </x:c>
      <x:c r="C1111" s="48" t="str">
        <x:v>English</x:v>
      </x:c>
      <x:c r="D1111" s="48" t="n">
        <x:v>65</x:v>
      </x:c>
      <x:c r="E1111" s="48" t="str"/>
      <x:c r="F1111" s="48" t="str">
        <x:v>Employer’s Entitlement</x:v>
      </x:c>
      <x:c r="G1111" s="48" t="str">
        <x:v>Obligation</x:v>
      </x:c>
      <x:c r="H1111" s="48" t="str">
        <x:v>Employer</x:v>
      </x:c>
      <x:c r="I1111" s="48" t="n">
        <x:v>0.45</x:v>
      </x:c>
      <x:c r="J1111" s="48" t="n">
        <x:v>0.68</x:v>
      </x:c>
      <x:c r="K1111" s="48" t="str">
        <x:v>Yes</x:v>
      </x:c>
      <x:c r="L1111" s="48" t="str">
        <x:v>PDF text</x:v>
      </x:c>
    </x:row>
    <x:row r="1112">
      <x:c r="A1112" s="48" t="str">
        <x:v>RED-1111</x:v>
      </x:c>
      <x:c r="B1112" s="48" t="str">
        <x:v>RED</x:v>
      </x:c>
      <x:c r="C1112" s="48" t="str">
        <x:v>English</x:v>
      </x:c>
      <x:c r="D1112" s="48" t="n">
        <x:v>65</x:v>
      </x:c>
      <x:c r="E1112" s="48" t="str"/>
      <x:c r="F1112" s="48" t="str">
        <x:v>to Termination for</x:v>
      </x:c>
      <x:c r="G1112" s="48" t="str">
        <x:v>Obligation</x:v>
      </x:c>
      <x:c r="H1112" s="48" t="str">
        <x:v>Shared</x:v>
      </x:c>
      <x:c r="I1112" s="48" t="n">
        <x:v>0.55</x:v>
      </x:c>
      <x:c r="J1112" s="48" t="n">
        <x:v>0.4</x:v>
      </x:c>
      <x:c r="K1112" s="48" t="str">
        <x:v>Yes</x:v>
      </x:c>
      <x:c r="L1112" s="48" t="str">
        <x:v>PDF text</x:v>
      </x:c>
    </x:row>
    <x:row r="1113">
      <x:c r="A1113" s="48" t="str">
        <x:v>RED-1112</x:v>
      </x:c>
      <x:c r="B1113" s="48" t="str">
        <x:v>RED</x:v>
      </x:c>
      <x:c r="C1113" s="48" t="str">
        <x:v>English</x:v>
      </x:c>
      <x:c r="D1113" s="48" t="n">
        <x:v>65</x:v>
      </x:c>
      <x:c r="E1113" s="48" t="str"/>
      <x:c r="F1113" s="48" t="str">
        <x:v>Convenience</x:v>
      </x:c>
      <x:c r="G1113" s="48" t="str">
        <x:v>Obligation</x:v>
      </x:c>
      <x:c r="H1113" s="48" t="str">
        <x:v>Shared</x:v>
      </x:c>
      <x:c r="I1113" s="48" t="n">
        <x:v>0.45</x:v>
      </x:c>
      <x:c r="J1113" s="48" t="n">
        <x:v>0.4</x:v>
      </x:c>
      <x:c r="K1113" s="48" t="str">
        <x:v>Yes</x:v>
      </x:c>
      <x:c r="L1113" s="48" t="str">
        <x:v>PDF text</x:v>
      </x:c>
    </x:row>
    <x:row r="1114">
      <x:c r="A1114" s="48" t="str">
        <x:v>RED-1113</x:v>
      </x:c>
      <x:c r="B1114" s="48" t="str">
        <x:v>RED</x:v>
      </x:c>
      <x:c r="C1114" s="48" t="str">
        <x:v>English</x:v>
      </x:c>
      <x:c r="D1114" s="48" t="n">
        <x:v>65</x:v>
      </x:c>
      <x:c r="E1114" s="48" t="str"/>
      <x:c r="F1114" s="48" t="str">
        <x:v>Corrupt or Fraudulent</x:v>
      </x:c>
      <x:c r="G1114" s="48" t="str">
        <x:v>Obligation</x:v>
      </x:c>
      <x:c r="H1114" s="48" t="str">
        <x:v>Shared</x:v>
      </x:c>
      <x:c r="I1114" s="48" t="n">
        <x:v>0.45</x:v>
      </x:c>
      <x:c r="J1114" s="48" t="n">
        <x:v>0.4</x:v>
      </x:c>
      <x:c r="K1114" s="48" t="str">
        <x:v>Yes</x:v>
      </x:c>
      <x:c r="L1114" s="48" t="str">
        <x:v>PDF text</x:v>
      </x:c>
    </x:row>
    <x:row r="1115">
      <x:c r="A1115" s="48" t="str">
        <x:v>RED-1114</x:v>
      </x:c>
      <x:c r="B1115" s="48" t="str">
        <x:v>RED</x:v>
      </x:c>
      <x:c r="C1115" s="48" t="str">
        <x:v>English</x:v>
      </x:c>
      <x:c r="D1115" s="48" t="n">
        <x:v>65</x:v>
      </x:c>
      <x:c r="E1115" s="48" t="str"/>
      <x:c r="F1115" s="48" t="str">
        <x:v>Practices</x:v>
      </x:c>
      <x:c r="G1115" s="48" t="str">
        <x:v>Obligation</x:v>
      </x:c>
      <x:c r="H1115" s="48" t="str">
        <x:v>Shared</x:v>
      </x:c>
      <x:c r="I1115" s="48" t="n">
        <x:v>0.45</x:v>
      </x:c>
      <x:c r="J1115" s="48" t="n">
        <x:v>0.4</x:v>
      </x:c>
      <x:c r="K1115" s="48" t="str">
        <x:v>Yes</x:v>
      </x:c>
      <x:c r="L1115" s="48" t="str">
        <x:v>PDF text</x:v>
      </x:c>
    </x:row>
    <x:row r="1116">
      <x:c r="A1116" s="48" t="str">
        <x:v>RED-1115</x:v>
      </x:c>
      <x:c r="B1116" s="48" t="str">
        <x:v>RED</x:v>
      </x:c>
      <x:c r="C1116" s="48" t="str">
        <x:v>English</x:v>
      </x:c>
      <x:c r="D1116" s="48" t="n">
        <x:v>66</x:v>
      </x:c>
      <x:c r="E1116" s="48" t="str"/>
      <x:c r="F1116" s="48" t="str">
        <x:v>Contractor’s employment under the Contract and expel him from the Site, and the</x:v>
      </x:c>
      <x:c r="G1116" s="48" t="str">
        <x:v>Obligation</x:v>
      </x:c>
      <x:c r="H1116" s="48" t="str">
        <x:v>Contractor</x:v>
      </x:c>
      <x:c r="I1116" s="48" t="n">
        <x:v>0.45</x:v>
      </x:c>
      <x:c r="J1116" s="48" t="n">
        <x:v>0.68</x:v>
      </x:c>
      <x:c r="K1116" s="48" t="str">
        <x:v>Yes</x:v>
      </x:c>
      <x:c r="L1116" s="48" t="str">
        <x:v>PDF text</x:v>
      </x:c>
    </x:row>
    <x:row r="1117">
      <x:c r="A1117" s="48" t="str">
        <x:v>RED-1116</x:v>
      </x:c>
      <x:c r="B1117" s="48" t="str">
        <x:v>RED</x:v>
      </x:c>
      <x:c r="C1117" s="48" t="str">
        <x:v>English</x:v>
      </x:c>
      <x:c r="D1117" s="48" t="n">
        <x:v>66</x:v>
      </x:c>
      <x:c r="E1117" s="48" t="str"/>
      <x:c r="F1117" s="48" t="str">
        <x:v>provisions of Clause 15 shall apply as if such expulsion had been made under SubClause 15.2.</x:v>
      </x:c>
      <x:c r="G1117" s="48" t="str">
        <x:v>Obligation</x:v>
      </x:c>
      <x:c r="H1117" s="48" t="str">
        <x:v>Shared</x:v>
      </x:c>
      <x:c r="I1117" s="48" t="n">
        <x:v>0.88</x:v>
      </x:c>
      <x:c r="J1117" s="48" t="n">
        <x:v>0.4</x:v>
      </x:c>
      <x:c r="K1117" s="48" t="str">
        <x:v>Yes</x:v>
      </x:c>
      <x:c r="L1117" s="48" t="str">
        <x:v>PDF text</x:v>
      </x:c>
    </x:row>
    <x:row r="1118">
      <x:c r="A1118" s="48" t="str">
        <x:v>RED-1117</x:v>
      </x:c>
      <x:c r="B1118" s="48" t="str">
        <x:v>RED</x:v>
      </x:c>
      <x:c r="C1118" s="48" t="str">
        <x:v>English</x:v>
      </x:c>
      <x:c r="D1118" s="48" t="n">
        <x:v>66</x:v>
      </x:c>
      <x:c r="E1118" s="48" t="str"/>
      <x:c r="F1118" s="48" t="str">
        <x:v>For the purposes of this Sub-Clause: (a) “corrupt practice” means the offering, giving, receiving or soliciting of any thing of value to influence the action of a public official in the procurement process or in the Contract execution.</x:v>
      </x:c>
      <x:c r="G1118" s="48" t="str">
        <x:v>Definition</x:v>
      </x:c>
      <x:c r="H1118" s="48" t="str"/>
      <x:c r="I1118" s="48" t="n">
        <x:v>0.97</x:v>
      </x:c>
      <x:c r="J1118" s="48" t="n">
        <x:v>0.99</x:v>
      </x:c>
      <x:c r="K1118" s="48" t="str">
        <x:v>No</x:v>
      </x:c>
      <x:c r="L1118" s="48" t="str">
        <x:v>PDF text</x:v>
      </x:c>
    </x:row>
    <x:row r="1119">
      <x:c r="A1119" s="48" t="str">
        <x:v>RED-1118</x:v>
      </x:c>
      <x:c r="B1119" s="48" t="str">
        <x:v>RED</x:v>
      </x:c>
      <x:c r="C1119" s="48" t="str">
        <x:v>English</x:v>
      </x:c>
      <x:c r="D1119" s="48" t="n">
        <x:v>66</x:v>
      </x:c>
      <x:c r="E1119" s="48" t="str"/>
      <x:c r="F1119" s="48" t="str">
        <x:v>(b) “fraudulent practice” means a misrepresentation of facts in order to influence a procurement process or the execution of the Contract to the detriment of the</x:v>
      </x:c>
      <x:c r="G1119" s="48" t="str">
        <x:v>Definition</x:v>
      </x:c>
      <x:c r="H1119" s="48" t="str"/>
      <x:c r="I1119" s="48" t="n">
        <x:v>0.97</x:v>
      </x:c>
      <x:c r="J1119" s="48" t="n">
        <x:v>0.99</x:v>
      </x:c>
      <x:c r="K1119" s="48" t="str">
        <x:v>No</x:v>
      </x:c>
      <x:c r="L1119" s="48" t="str">
        <x:v>PDF text</x:v>
      </x:c>
    </x:row>
    <x:row r="1120">
      <x:c r="A1120" s="48" t="str">
        <x:v>RED-1119</x:v>
      </x:c>
      <x:c r="B1120" s="48" t="str">
        <x:v>RED</x:v>
      </x:c>
      <x:c r="C1120" s="48" t="str">
        <x:v>English</x:v>
      </x:c>
      <x:c r="D1120" s="48" t="n">
        <x:v>66</x:v>
      </x:c>
      <x:c r="E1120" s="48" t="str"/>
      <x:c r="F1120" s="48" t="str">
        <x:v>Borrower, and includes collusive practice among Bidders (prior to or after bid</x:v>
      </x:c>
      <x:c r="G1120" s="48" t="str">
        <x:v>Obligation</x:v>
      </x:c>
      <x:c r="H1120" s="48" t="str">
        <x:v>Shared</x:v>
      </x:c>
      <x:c r="I1120" s="48" t="n">
        <x:v>0.45</x:v>
      </x:c>
      <x:c r="J1120" s="48" t="n">
        <x:v>0.4</x:v>
      </x:c>
      <x:c r="K1120" s="48" t="str">
        <x:v>Yes</x:v>
      </x:c>
      <x:c r="L1120" s="48" t="str">
        <x:v>PDF text</x:v>
      </x:c>
    </x:row>
    <x:row r="1121">
      <x:c r="A1121" s="48" t="str">
        <x:v>RED-1120</x:v>
      </x:c>
      <x:c r="B1121" s="48" t="str">
        <x:v>RED</x:v>
      </x:c>
      <x:c r="C1121" s="48" t="str">
        <x:v>English</x:v>
      </x:c>
      <x:c r="D1121" s="48" t="n">
        <x:v>66</x:v>
      </x:c>
      <x:c r="E1121" s="48" t="str"/>
      <x:c r="F1121" s="48" t="str">
        <x:v>submission) designed to establish bid prices at artificial non-competitive levels and to deprive the Borrower of the benefits of free and open competition.</x:v>
      </x:c>
      <x:c r="G1121" s="48" t="str">
        <x:v>Obligation</x:v>
      </x:c>
      <x:c r="H1121" s="48" t="str">
        <x:v>Shared</x:v>
      </x:c>
      <x:c r="I1121" s="48" t="n">
        <x:v>0.45</x:v>
      </x:c>
      <x:c r="J1121" s="48" t="n">
        <x:v>0.4</x:v>
      </x:c>
      <x:c r="K1121" s="48" t="str">
        <x:v>Yes</x:v>
      </x:c>
      <x:c r="L1121" s="48" t="str">
        <x:v>PDF text</x:v>
      </x:c>
    </x:row>
    <x:row r="1122">
      <x:c r="A1122" s="48" t="str">
        <x:v>RED-1121</x:v>
      </x:c>
      <x:c r="B1122" s="48" t="str">
        <x:v>RED</x:v>
      </x:c>
      <x:c r="C1122" s="48" t="str">
        <x:v>English</x:v>
      </x:c>
      <x:c r="D1122" s="48" t="n">
        <x:v>66</x:v>
      </x:c>
      <x:c r="E1122" s="48" t="str"/>
      <x:c r="F1122" s="48" t="str">
        <x:v>(c) “collusive practice” means a scheme or arrangement between two or more bidders, with or without the knowledge of the Borrower, designed to establish bid prices at artificial, non-competitive levels.</x:v>
      </x:c>
      <x:c r="G1122" s="48" t="str">
        <x:v>Definition</x:v>
      </x:c>
      <x:c r="H1122" s="48" t="str"/>
      <x:c r="I1122" s="48" t="n">
        <x:v>0.97</x:v>
      </x:c>
      <x:c r="J1122" s="48" t="n">
        <x:v>0.99</x:v>
      </x:c>
      <x:c r="K1122" s="48" t="str">
        <x:v>No</x:v>
      </x:c>
      <x:c r="L1122" s="48" t="str">
        <x:v>PDF text</x:v>
      </x:c>
    </x:row>
    <x:row r="1123">
      <x:c r="A1123" s="48" t="str">
        <x:v>RED-1122</x:v>
      </x:c>
      <x:c r="B1123" s="48" t="str">
        <x:v>RED</x:v>
      </x:c>
      <x:c r="C1123" s="48" t="str">
        <x:v>English</x:v>
      </x:c>
      <x:c r="D1123" s="48" t="n">
        <x:v>66</x:v>
      </x:c>
      <x:c r="E1123" s="48" t="str"/>
      <x:c r="F1123" s="48" t="str">
        <x:v>(d) “coercive practice” means harming or threatening to harm, directly or indirectly, persons or their property to influence their participation in the procurement process or affect the execution of a contract.</x:v>
      </x:c>
      <x:c r="G1123" s="48" t="str">
        <x:v>Definition</x:v>
      </x:c>
      <x:c r="H1123" s="48" t="str"/>
      <x:c r="I1123" s="48" t="n">
        <x:v>0.97</x:v>
      </x:c>
      <x:c r="J1123" s="48" t="n">
        <x:v>0.99</x:v>
      </x:c>
      <x:c r="K1123" s="48" t="str">
        <x:v>No</x:v>
      </x:c>
      <x:c r="L1123" s="48" t="str">
        <x:v>PDF text</x:v>
      </x:c>
    </x:row>
    <x:row r="1124">
      <x:c r="A1124" s="48" t="str">
        <x:v>RED-1123</x:v>
      </x:c>
      <x:c r="B1124" s="48" t="str">
        <x:v>RED</x:v>
      </x:c>
      <x:c r="C1124" s="48" t="str">
        <x:v>English</x:v>
      </x:c>
      <x:c r="D1124" s="48" t="n">
        <x:v>66</x:v>
      </x:c>
      <x:c r="E1124" s="48" t="str"/>
      <x:c r="F1124" s="48" t="str">
        <x:v>If the Engineer fails to certify in accordance with Sub-Clause 14.6 [Issue of Interim Payment Certificates] or the Employer fails to comply with Sub-Clause 2.4 [Employer’s Financial Arrangements] or Sub-Clause 14.7 [Payment], the Contractor may, after giving not less than 21 days’ notice to the Employer, suspend work (or reduce the rate of work) unless and until the Contractor has received the Payment Certificate, reasonable evidence or payment, as the case may be and as described in the notice.</x:v>
      </x:c>
      <x:c r="G1124" s="48" t="str">
        <x:v>Right</x:v>
      </x:c>
      <x:c r="H1124" s="48" t="str">
        <x:v>Contractor</x:v>
      </x:c>
      <x:c r="I1124" s="48" t="n">
        <x:v>0.78</x:v>
      </x:c>
      <x:c r="J1124" s="48" t="n">
        <x:v>0.92</x:v>
      </x:c>
      <x:c r="K1124" s="48" t="str">
        <x:v>No</x:v>
      </x:c>
      <x:c r="L1124" s="48" t="str">
        <x:v>PDF text</x:v>
      </x:c>
    </x:row>
    <x:row r="1125">
      <x:c r="A1125" s="48" t="str">
        <x:v>RED-1124</x:v>
      </x:c>
      <x:c r="B1125" s="48" t="str">
        <x:v>RED</x:v>
      </x:c>
      <x:c r="C1125" s="48" t="str">
        <x:v>English</x:v>
      </x:c>
      <x:c r="D1125" s="48" t="n">
        <x:v>66</x:v>
      </x:c>
      <x:c r="E1125" s="48" t="str"/>
      <x:c r="F1125" s="48" t="str">
        <x:v>Notwithstanding the above, if the Bank has suspended disbursements under its loan, which finances in whole or in part the execution of the Works, and no alternative funds are available as provided for in Sub-Clause 2.4 [Employer’s Financial Arrangements], the Contractor may by notice suspend work or reduce the rate of work at any time, but not less than 7 days after the Borrower having received the suspension notification from the Bank.</x:v>
      </x:c>
      <x:c r="G1125" s="48" t="str">
        <x:v>Right</x:v>
      </x:c>
      <x:c r="H1125" s="48" t="str">
        <x:v>Contractor</x:v>
      </x:c>
      <x:c r="I1125" s="48" t="n">
        <x:v>0.78</x:v>
      </x:c>
      <x:c r="J1125" s="48" t="n">
        <x:v>0.92</x:v>
      </x:c>
      <x:c r="K1125" s="48" t="str">
        <x:v>No</x:v>
      </x:c>
      <x:c r="L1125" s="48" t="str">
        <x:v>PDF text</x:v>
      </x:c>
    </x:row>
    <x:row r="1126">
      <x:c r="A1126" s="48" t="str">
        <x:v>RED-1125</x:v>
      </x:c>
      <x:c r="B1126" s="48" t="str">
        <x:v>RED</x:v>
      </x:c>
      <x:c r="C1126" s="48" t="str">
        <x:v>English</x:v>
      </x:c>
      <x:c r="D1126" s="48" t="n">
        <x:v>66</x:v>
      </x:c>
      <x:c r="E1126" s="48" t="str"/>
      <x:c r="F1126" s="48" t="str">
        <x:v>The Contractor’s action shall not prejudice his entitlements to financing charges under Sub-Clause 14.8 [Delayed Payment] and to termination under Sub-Clause 16.2 [Termination by Contractor].</x:v>
      </x:c>
      <x:c r="G1126" s="48" t="str">
        <x:v>Obligation</x:v>
      </x:c>
      <x:c r="H1126" s="48" t="str">
        <x:v>Contractor</x:v>
      </x:c>
      <x:c r="I1126" s="48" t="n">
        <x:v>0.88</x:v>
      </x:c>
      <x:c r="J1126" s="48" t="n">
        <x:v>0.68</x:v>
      </x:c>
      <x:c r="K1126" s="48" t="str">
        <x:v>Yes</x:v>
      </x:c>
      <x:c r="L1126" s="48" t="str">
        <x:v>PDF text</x:v>
      </x:c>
    </x:row>
    <x:row r="1127">
      <x:c r="A1127" s="48" t="str">
        <x:v>RED-1126</x:v>
      </x:c>
      <x:c r="B1127" s="48" t="str">
        <x:v>RED</x:v>
      </x:c>
      <x:c r="C1127" s="48" t="str">
        <x:v>English</x:v>
      </x:c>
      <x:c r="D1127" s="48" t="n">
        <x:v>66</x:v>
      </x:c>
      <x:c r="E1127" s="48" t="str"/>
      <x:c r="F1127" s="48" t="str">
        <x:v>If the Contractor subsequently receives such Payment Certificate, evidence or</x:v>
      </x:c>
      <x:c r="G1127" s="48" t="str">
        <x:v>Obligation</x:v>
      </x:c>
      <x:c r="H1127" s="48" t="str">
        <x:v>Contractor</x:v>
      </x:c>
      <x:c r="I1127" s="48" t="n">
        <x:v>0.55</x:v>
      </x:c>
      <x:c r="J1127" s="48" t="n">
        <x:v>0.68</x:v>
      </x:c>
      <x:c r="K1127" s="48" t="str">
        <x:v>Yes</x:v>
      </x:c>
      <x:c r="L1127" s="48" t="str">
        <x:v>PDF text</x:v>
      </x:c>
    </x:row>
    <x:row r="1128">
      <x:c r="A1128" s="48" t="str">
        <x:v>RED-1127</x:v>
      </x:c>
      <x:c r="B1128" s="48" t="str">
        <x:v>RED</x:v>
      </x:c>
      <x:c r="C1128" s="48" t="str">
        <x:v>English</x:v>
      </x:c>
      <x:c r="D1128" s="48" t="n">
        <x:v>66</x:v>
      </x:c>
      <x:c r="E1128" s="48" t="str"/>
      <x:c r="F1128" s="48" t="str">
        <x:v>payment (as described in the relevant Sub-Clause and in the above notice) before giving a notice of termination, the Contractor shall resume normal working as soon as is reasonably practicable.</x:v>
      </x:c>
      <x:c r="G1128" s="48" t="str">
        <x:v>Obligation</x:v>
      </x:c>
      <x:c r="H1128" s="48" t="str">
        <x:v>Contractor</x:v>
      </x:c>
      <x:c r="I1128" s="48" t="n">
        <x:v>0.88</x:v>
      </x:c>
      <x:c r="J1128" s="48" t="n">
        <x:v>0.92</x:v>
      </x:c>
      <x:c r="K1128" s="48" t="str">
        <x:v>No</x:v>
      </x:c>
      <x:c r="L1128" s="48" t="str">
        <x:v>PDF text</x:v>
      </x:c>
    </x:row>
    <x:row r="1129">
      <x:c r="A1129" s="48" t="str">
        <x:v>RED-1128</x:v>
      </x:c>
      <x:c r="B1129" s="48" t="str">
        <x:v>RED</x:v>
      </x:c>
      <x:c r="C1129" s="48" t="str">
        <x:v>English</x:v>
      </x:c>
      <x:c r="D1129" s="48" t="n">
        <x:v>66</x:v>
      </x:c>
      <x:c r="E1129" s="48" t="str"/>
      <x:c r="F1129" s="48" t="str">
        <x:v>If the Contractor suffers delay and/or incurs Cost as a result of suspending work (or reducing the rate of work) in accordance with this Sub-Clause, the Contractor shall give notice to the Engineer and shall be entitled subject to Sub-Clause 20.1 [Contractor’s Claims] to: (a) an extension of time for any such delay, if completion is or will be delayed, under Sub-Clause 8.4 [Extension of Time for Completion], and 16.1</x:v>
      </x:c>
      <x:c r="G1129" s="48" t="str">
        <x:v>Risk</x:v>
      </x:c>
      <x:c r="H1129" s="48" t="str">
        <x:v>Contractor</x:v>
      </x:c>
      <x:c r="I1129" s="48" t="n">
        <x:v>0.78</x:v>
      </x:c>
      <x:c r="J1129" s="48" t="n">
        <x:v>0.92</x:v>
      </x:c>
      <x:c r="K1129" s="48" t="str">
        <x:v>No</x:v>
      </x:c>
      <x:c r="L1129" s="48" t="str">
        <x:v>PDF text</x:v>
      </x:c>
    </x:row>
    <x:row r="1130">
      <x:c r="A1130" s="48" t="str">
        <x:v>RED-1129</x:v>
      </x:c>
      <x:c r="B1130" s="48" t="str">
        <x:v>RED</x:v>
      </x:c>
      <x:c r="C1130" s="48" t="str">
        <x:v>English</x:v>
      </x:c>
      <x:c r="D1130" s="48" t="n">
        <x:v>66</x:v>
      </x:c>
      <x:c r="E1130" s="48" t="str"/>
      <x:c r="F1130" s="48" t="str">
        <x:v>Contractor’s Entitlement</x:v>
      </x:c>
      <x:c r="G1130" s="48" t="str">
        <x:v>Obligation</x:v>
      </x:c>
      <x:c r="H1130" s="48" t="str">
        <x:v>Contractor</x:v>
      </x:c>
      <x:c r="I1130" s="48" t="n">
        <x:v>0.45</x:v>
      </x:c>
      <x:c r="J1130" s="48" t="n">
        <x:v>0.68</x:v>
      </x:c>
      <x:c r="K1130" s="48" t="str">
        <x:v>Yes</x:v>
      </x:c>
      <x:c r="L1130" s="48" t="str">
        <x:v>PDF text</x:v>
      </x:c>
    </x:row>
    <x:row r="1131">
      <x:c r="A1131" s="48" t="str">
        <x:v>RED-1130</x:v>
      </x:c>
      <x:c r="B1131" s="48" t="str">
        <x:v>RED</x:v>
      </x:c>
      <x:c r="C1131" s="48" t="str">
        <x:v>English</x:v>
      </x:c>
      <x:c r="D1131" s="48" t="n">
        <x:v>66</x:v>
      </x:c>
      <x:c r="E1131" s="48" t="str"/>
      <x:c r="F1131" s="48" t="str">
        <x:v>to Suspend Work16</x:v>
      </x:c>
      <x:c r="G1131" s="48" t="str">
        <x:v>Obligation</x:v>
      </x:c>
      <x:c r="H1131" s="48" t="str">
        <x:v>Shared</x:v>
      </x:c>
      <x:c r="I1131" s="48" t="n">
        <x:v>0.45</x:v>
      </x:c>
      <x:c r="J1131" s="48" t="n">
        <x:v>0.4</x:v>
      </x:c>
      <x:c r="K1131" s="48" t="str">
        <x:v>Yes</x:v>
      </x:c>
      <x:c r="L1131" s="48" t="str">
        <x:v>PDF text</x:v>
      </x:c>
    </x:row>
    <x:row r="1132">
      <x:c r="A1132" s="48" t="str">
        <x:v>RED-1131</x:v>
      </x:c>
      <x:c r="B1132" s="48" t="str">
        <x:v>RED</x:v>
      </x:c>
      <x:c r="C1132" s="48" t="str">
        <x:v>English</x:v>
      </x:c>
      <x:c r="D1132" s="48" t="n">
        <x:v>66</x:v>
      </x:c>
      <x:c r="E1132" s="48" t="str"/>
      <x:c r="F1132" s="48" t="str">
        <x:v>Suspension and Termination by Contractor</x:v>
      </x:c>
      <x:c r="G1132" s="48" t="str">
        <x:v>Obligation</x:v>
      </x:c>
      <x:c r="H1132" s="48" t="str">
        <x:v>Contractor</x:v>
      </x:c>
      <x:c r="I1132" s="48" t="n">
        <x:v>0.55</x:v>
      </x:c>
      <x:c r="J1132" s="48" t="n">
        <x:v>0.68</x:v>
      </x:c>
      <x:c r="K1132" s="48" t="str">
        <x:v>Yes</x:v>
      </x:c>
      <x:c r="L1132" s="48" t="str">
        <x:v>PDF text</x:v>
      </x:c>
    </x:row>
    <x:row r="1133">
      <x:c r="A1133" s="48" t="str">
        <x:v>RED-1132</x:v>
      </x:c>
      <x:c r="B1133" s="48" t="str">
        <x:v>RED</x:v>
      </x:c>
      <x:c r="C1133" s="48" t="str">
        <x:v>English</x:v>
      </x:c>
      <x:c r="D1133" s="48" t="n">
        <x:v>67</x:v>
      </x:c>
      <x:c r="E1133" s="48" t="str"/>
      <x:c r="F1133" s="48" t="str">
        <x:v>(b) payment of any such Cost plus profit, which shall be included in the Contract Price.</x:v>
      </x:c>
      <x:c r="G1133" s="48" t="str">
        <x:v>Obligation</x:v>
      </x:c>
      <x:c r="H1133" s="48" t="str">
        <x:v>Shared</x:v>
      </x:c>
      <x:c r="I1133" s="48" t="n">
        <x:v>0.88</x:v>
      </x:c>
      <x:c r="J1133" s="48" t="n">
        <x:v>0.4</x:v>
      </x:c>
      <x:c r="K1133" s="48" t="str">
        <x:v>Yes</x:v>
      </x:c>
      <x:c r="L1133" s="48" t="str">
        <x:v>PDF text</x:v>
      </x:c>
    </x:row>
    <x:row r="1134">
      <x:c r="A1134" s="48" t="str">
        <x:v>RED-1133</x:v>
      </x:c>
      <x:c r="B1134" s="48" t="str">
        <x:v>RED</x:v>
      </x:c>
      <x:c r="C1134" s="48" t="str">
        <x:v>English</x:v>
      </x:c>
      <x:c r="D1134" s="48" t="n">
        <x:v>67</x:v>
      </x:c>
      <x:c r="E1134" s="48" t="str"/>
      <x:c r="F1134" s="48" t="str">
        <x:v>In the event the Bank suspends the loan or credit from which part of the</x:v>
      </x:c>
      <x:c r="G1134" s="48" t="str">
        <x:v>Obligation</x:v>
      </x:c>
      <x:c r="H1134" s="48" t="str">
        <x:v>Shared</x:v>
      </x:c>
      <x:c r="I1134" s="48" t="n">
        <x:v>0.45</x:v>
      </x:c>
      <x:c r="J1134" s="48" t="n">
        <x:v>0.4</x:v>
      </x:c>
      <x:c r="K1134" s="48" t="str">
        <x:v>Yes</x:v>
      </x:c>
      <x:c r="L1134" s="48" t="str">
        <x:v>PDF text</x:v>
      </x:c>
    </x:row>
    <x:row r="1135">
      <x:c r="A1135" s="48" t="str">
        <x:v>RED-1134</x:v>
      </x:c>
      <x:c r="B1135" s="48" t="str">
        <x:v>RED</x:v>
      </x:c>
      <x:c r="C1135" s="48" t="str">
        <x:v>English</x:v>
      </x:c>
      <x:c r="D1135" s="48" t="n">
        <x:v>67</x:v>
      </x:c>
      <x:c r="E1135" s="48" t="str"/>
      <x:c r="F1135" s="48" t="str">
        <x:v>payments to the Contractor are being made, if the Contractor has not received the sums due to him upon expiration of the 14 days referred to in Sub-Clause</x:v>
      </x:c>
      <x:c r="G1135" s="48" t="str">
        <x:v>Obligation</x:v>
      </x:c>
      <x:c r="H1135" s="48" t="str">
        <x:v>Contractor</x:v>
      </x:c>
      <x:c r="I1135" s="48" t="n">
        <x:v>0.45</x:v>
      </x:c>
      <x:c r="J1135" s="48" t="n">
        <x:v>0.68</x:v>
      </x:c>
      <x:c r="K1135" s="48" t="str">
        <x:v>Yes</x:v>
      </x:c>
      <x:c r="L1135" s="48" t="str">
        <x:v>PDF text</x:v>
      </x:c>
    </x:row>
    <x:row r="1136">
      <x:c r="A1136" s="48" t="str">
        <x:v>RED-1135</x:v>
      </x:c>
      <x:c r="B1136" s="48" t="str">
        <x:v>RED</x:v>
      </x:c>
      <x:c r="C1136" s="48" t="str">
        <x:v>English</x:v>
      </x:c>
      <x:c r="D1136" s="48" t="n">
        <x:v>67</x:v>
      </x:c>
      <x:c r="E1136" s="48" t="str">
        <x:v>14.7</x:v>
      </x:c>
      <x:c r="F1136" s="48" t="str">
        <x:v>14.7 for payments under Interim Payment certificates, the Contractor may,</x:v>
      </x:c>
      <x:c r="G1136" s="48" t="str">
        <x:v>Obligation</x:v>
      </x:c>
      <x:c r="H1136" s="48" t="str">
        <x:v>Contractor</x:v>
      </x:c>
      <x:c r="I1136" s="48" t="n">
        <x:v>0.55</x:v>
      </x:c>
      <x:c r="J1136" s="48" t="n">
        <x:v>0.68</x:v>
      </x:c>
      <x:c r="K1136" s="48" t="str">
        <x:v>Yes</x:v>
      </x:c>
      <x:c r="L1136" s="48" t="str">
        <x:v>PDF text</x:v>
      </x:c>
    </x:row>
    <x:row r="1137">
      <x:c r="A1137" s="48" t="str">
        <x:v>RED-1136</x:v>
      </x:c>
      <x:c r="B1137" s="48" t="str">
        <x:v>RED</x:v>
      </x:c>
      <x:c r="C1137" s="48" t="str">
        <x:v>English</x:v>
      </x:c>
      <x:c r="D1137" s="48" t="n">
        <x:v>67</x:v>
      </x:c>
      <x:c r="E1137" s="48" t="str"/>
      <x:c r="F1137" s="48" t="str">
        <x:v>without prejudice to the Contractor’s entitlement to financing charges under Sub-Clause 14.8, immediately take one or both of the following actions, namely (i) suspend work or reduce the rate of work, and (ii) terminate his employment under the Contract by giving notice to the Employer, with a copy to the Engineer, such termination to take effect 14 days after the giving of the notice.</x:v>
      </x:c>
      <x:c r="G1137" s="48" t="str">
        <x:v>Obligation</x:v>
      </x:c>
      <x:c r="H1137" s="48" t="str">
        <x:v>Shared</x:v>
      </x:c>
      <x:c r="I1137" s="48" t="n">
        <x:v>0.55</x:v>
      </x:c>
      <x:c r="J1137" s="48" t="n">
        <x:v>0.6</x:v>
      </x:c>
      <x:c r="K1137" s="48" t="str">
        <x:v>Yes</x:v>
      </x:c>
      <x:c r="L1137" s="48" t="str">
        <x:v>PDF text</x:v>
      </x:c>
    </x:row>
    <x:row r="1138">
      <x:c r="A1138" s="48" t="str">
        <x:v>RED-1137</x:v>
      </x:c>
      <x:c r="B1138" s="48" t="str">
        <x:v>RED</x:v>
      </x:c>
      <x:c r="C1138" s="48" t="str">
        <x:v>English</x:v>
      </x:c>
      <x:c r="D1138" s="48" t="n">
        <x:v>67</x:v>
      </x:c>
      <x:c r="E1138" s="48" t="str"/>
      <x:c r="F1138" s="48" t="str">
        <x:v>In any of these events or circumstances, the Contractor may, upon giving 14 days’ notice to the Employer, terminate the Contract.</x:v>
      </x:c>
      <x:c r="G1138" s="48" t="str">
        <x:v>Obligation</x:v>
      </x:c>
      <x:c r="H1138" s="48" t="str">
        <x:v>Shared</x:v>
      </x:c>
      <x:c r="I1138" s="48" t="n">
        <x:v>0.55</x:v>
      </x:c>
      <x:c r="J1138" s="48" t="n">
        <x:v>0.6</x:v>
      </x:c>
      <x:c r="K1138" s="48" t="str">
        <x:v>Yes</x:v>
      </x:c>
      <x:c r="L1138" s="48" t="str">
        <x:v>PDF text</x:v>
      </x:c>
    </x:row>
    <x:row r="1139">
      <x:c r="A1139" s="48" t="str">
        <x:v>RED-1138</x:v>
      </x:c>
      <x:c r="B1139" s="48" t="str">
        <x:v>RED</x:v>
      </x:c>
      <x:c r="C1139" s="48" t="str">
        <x:v>English</x:v>
      </x:c>
      <x:c r="D1139" s="48" t="n">
        <x:v>67</x:v>
      </x:c>
      <x:c r="E1139" s="48" t="str"/>
      <x:c r="F1139" s="48" t="str">
        <x:v>However, in the case of subparagraph (f) or (g), the Contractor may by notice terminate the Contract immediately.</x:v>
      </x:c>
      <x:c r="G1139" s="48" t="str">
        <x:v>Right</x:v>
      </x:c>
      <x:c r="H1139" s="48" t="str">
        <x:v>Contractor</x:v>
      </x:c>
      <x:c r="I1139" s="48" t="n">
        <x:v>0.78</x:v>
      </x:c>
      <x:c r="J1139" s="48" t="n">
        <x:v>0.92</x:v>
      </x:c>
      <x:c r="K1139" s="48" t="str">
        <x:v>No</x:v>
      </x:c>
      <x:c r="L1139" s="48" t="str">
        <x:v>PDF text</x:v>
      </x:c>
    </x:row>
    <x:row r="1140">
      <x:c r="A1140" s="48" t="str">
        <x:v>RED-1139</x:v>
      </x:c>
      <x:c r="B1140" s="48" t="str">
        <x:v>RED</x:v>
      </x:c>
      <x:c r="C1140" s="48" t="str">
        <x:v>English</x:v>
      </x:c>
      <x:c r="D1140" s="48" t="n">
        <x:v>67</x:v>
      </x:c>
      <x:c r="E1140" s="48" t="str"/>
      <x:c r="F1140" s="48" t="str">
        <x:v>The Contractor’s election to terminate the Contract shall not prejudice any other rights of the Contractor, under the Contract or otherwise.</x:v>
      </x:c>
      <x:c r="G1140" s="48" t="str">
        <x:v>Obligation</x:v>
      </x:c>
      <x:c r="H1140" s="48" t="str">
        <x:v>Contractor</x:v>
      </x:c>
      <x:c r="I1140" s="48" t="n">
        <x:v>0.88</x:v>
      </x:c>
      <x:c r="J1140" s="48" t="n">
        <x:v>0.68</x:v>
      </x:c>
      <x:c r="K1140" s="48" t="str">
        <x:v>Yes</x:v>
      </x:c>
      <x:c r="L1140" s="48" t="str">
        <x:v>PDF text</x:v>
      </x:c>
    </x:row>
    <x:row r="1141">
      <x:c r="A1141" s="48" t="str">
        <x:v>RED-1140</x:v>
      </x:c>
      <x:c r="B1141" s="48" t="str">
        <x:v>RED</x:v>
      </x:c>
      <x:c r="C1141" s="48" t="str">
        <x:v>English</x:v>
      </x:c>
      <x:c r="D1141" s="48" t="n">
        <x:v>67</x:v>
      </x:c>
      <x:c r="E1141" s="48" t="str"/>
      <x:c r="F1141" s="48" t="str">
        <x:v>After a notice of termination under Sub-Clause 15.5 [Employer’s Entitlement to Termination], Sub-Clause 16.2 [Termination by Contractor] or Sub-Clause 19.6 [Optional Termination, Payment and Release] has taken effect, the Contractor shall promptly: (a) cease all further work, except for such work as may have been instructed by the Engineer for the protection of life or property or for the safety of the Works, 16.2</x:v>
      </x:c>
      <x:c r="G1141" s="48" t="str">
        <x:v>Obligation</x:v>
      </x:c>
      <x:c r="H1141" s="48" t="str">
        <x:v>Contractor</x:v>
      </x:c>
      <x:c r="I1141" s="48" t="n">
        <x:v>0.88</x:v>
      </x:c>
      <x:c r="J1141" s="48" t="n">
        <x:v>0.92</x:v>
      </x:c>
      <x:c r="K1141" s="48" t="str">
        <x:v>No</x:v>
      </x:c>
      <x:c r="L1141" s="48" t="str">
        <x:v>PDF text</x:v>
      </x:c>
    </x:row>
    <x:row r="1142">
      <x:c r="A1142" s="48" t="str">
        <x:v>RED-1141</x:v>
      </x:c>
      <x:c r="B1142" s="48" t="str">
        <x:v>RED</x:v>
      </x:c>
      <x:c r="C1142" s="48" t="str">
        <x:v>English</x:v>
      </x:c>
      <x:c r="D1142" s="48" t="n">
        <x:v>67</x:v>
      </x:c>
      <x:c r="E1142" s="48" t="str"/>
      <x:c r="F1142" s="48" t="str">
        <x:v>Termination by</x:v>
      </x:c>
      <x:c r="G1142" s="48" t="str">
        <x:v>Obligation</x:v>
      </x:c>
      <x:c r="H1142" s="48" t="str">
        <x:v>Shared</x:v>
      </x:c>
      <x:c r="I1142" s="48" t="n">
        <x:v>0.55</x:v>
      </x:c>
      <x:c r="J1142" s="48" t="n">
        <x:v>0.4</x:v>
      </x:c>
      <x:c r="K1142" s="48" t="str">
        <x:v>Yes</x:v>
      </x:c>
      <x:c r="L1142" s="48" t="str">
        <x:v>PDF text</x:v>
      </x:c>
    </x:row>
    <x:row r="1143">
      <x:c r="A1143" s="48" t="str">
        <x:v>RED-1142</x:v>
      </x:c>
      <x:c r="B1143" s="48" t="str">
        <x:v>RED</x:v>
      </x:c>
      <x:c r="C1143" s="48" t="str">
        <x:v>English</x:v>
      </x:c>
      <x:c r="D1143" s="48" t="n">
        <x:v>67</x:v>
      </x:c>
      <x:c r="E1143" s="48" t="str"/>
      <x:c r="F1143" s="48" t="str">
        <x:v>Cessation of Work and</x:v>
      </x:c>
      <x:c r="G1143" s="48" t="str">
        <x:v>Obligation</x:v>
      </x:c>
      <x:c r="H1143" s="48" t="str">
        <x:v>Shared</x:v>
      </x:c>
      <x:c r="I1143" s="48" t="n">
        <x:v>0.45</x:v>
      </x:c>
      <x:c r="J1143" s="48" t="n">
        <x:v>0.4</x:v>
      </x:c>
      <x:c r="K1143" s="48" t="str">
        <x:v>Yes</x:v>
      </x:c>
      <x:c r="L1143" s="48" t="str">
        <x:v>PDF text</x:v>
      </x:c>
    </x:row>
    <x:row r="1144">
      <x:c r="A1144" s="48" t="str">
        <x:v>RED-1143</x:v>
      </x:c>
      <x:c r="B1144" s="48" t="str">
        <x:v>RED</x:v>
      </x:c>
      <x:c r="C1144" s="48" t="str">
        <x:v>English</x:v>
      </x:c>
      <x:c r="D1144" s="48" t="n">
        <x:v>67</x:v>
      </x:c>
      <x:c r="E1144" s="48" t="str"/>
      <x:c r="F1144" s="48" t="str">
        <x:v>Removal of Contractor’s</x:v>
      </x:c>
      <x:c r="G1144" s="48" t="str">
        <x:v>Obligation</x:v>
      </x:c>
      <x:c r="H1144" s="48" t="str">
        <x:v>Contractor</x:v>
      </x:c>
      <x:c r="I1144" s="48" t="n">
        <x:v>0.45</x:v>
      </x:c>
      <x:c r="J1144" s="48" t="n">
        <x:v>0.68</x:v>
      </x:c>
      <x:c r="K1144" s="48" t="str">
        <x:v>Yes</x:v>
      </x:c>
      <x:c r="L1144" s="48" t="str">
        <x:v>PDF text</x:v>
      </x:c>
    </x:row>
    <x:row r="1145">
      <x:c r="A1145" s="48" t="str">
        <x:v>RED-1144</x:v>
      </x:c>
      <x:c r="B1145" s="48" t="str">
        <x:v>RED</x:v>
      </x:c>
      <x:c r="C1145" s="48" t="str">
        <x:v>English</x:v>
      </x:c>
      <x:c r="D1145" s="48" t="n">
        <x:v>68</x:v>
      </x:c>
      <x:c r="E1145" s="48" t="str"/>
      <x:c r="F1145" s="48" t="str">
        <x:v>(b) hand over Contractor’s Documents, Plant, Materials and other work, for which the Contractor has received payment, and (c) remove all other Goods from the Site, except as necessary for safety, and leave the Site.</x:v>
      </x:c>
      <x:c r="G1145" s="48" t="str">
        <x:v>Obligation</x:v>
      </x:c>
      <x:c r="H1145" s="48" t="str">
        <x:v>Contractor</x:v>
      </x:c>
      <x:c r="I1145" s="48" t="n">
        <x:v>0.55</x:v>
      </x:c>
      <x:c r="J1145" s="48" t="n">
        <x:v>0.68</x:v>
      </x:c>
      <x:c r="K1145" s="48" t="str">
        <x:v>Yes</x:v>
      </x:c>
      <x:c r="L1145" s="48" t="str">
        <x:v>PDF text</x:v>
      </x:c>
    </x:row>
    <x:row r="1146">
      <x:c r="A1146" s="48" t="str">
        <x:v>RED-1145</x:v>
      </x:c>
      <x:c r="B1146" s="48" t="str">
        <x:v>RED</x:v>
      </x:c>
      <x:c r="C1146" s="48" t="str">
        <x:v>English</x:v>
      </x:c>
      <x:c r="D1146" s="48" t="n">
        <x:v>68</x:v>
      </x:c>
      <x:c r="E1146" s="48" t="str"/>
      <x:c r="F1146" s="48" t="str">
        <x:v>After a notice of termination under Sub-Clause 16.2 [Termination by Contractor] has taken effect, the Employer shall promptly: (a) return the Performance Security to the Contractor, (b) pay the Contractor in accordance with Sub-Clause 19.6 [Optional Termination, Payment and Release], and (c) pay to the Contractor the amount of any loss or damage sustained by the Contractor as a result of this termination.</x:v>
      </x:c>
      <x:c r="G1146" s="48" t="str">
        <x:v>Risk</x:v>
      </x:c>
      <x:c r="H1146" s="48" t="str">
        <x:v>Employer</x:v>
      </x:c>
      <x:c r="I1146" s="48" t="n">
        <x:v>0.78</x:v>
      </x:c>
      <x:c r="J1146" s="48" t="n">
        <x:v>0.92</x:v>
      </x:c>
      <x:c r="K1146" s="48" t="str">
        <x:v>No</x:v>
      </x:c>
      <x:c r="L1146" s="48" t="str">
        <x:v>PDF text</x:v>
      </x:c>
    </x:row>
    <x:row r="1147">
      <x:c r="A1147" s="48" t="str">
        <x:v>RED-1146</x:v>
      </x:c>
      <x:c r="B1147" s="48" t="str">
        <x:v>RED</x:v>
      </x:c>
      <x:c r="C1147" s="48" t="str">
        <x:v>English</x:v>
      </x:c>
      <x:c r="D1147" s="48" t="n">
        <x:v>68</x:v>
      </x:c>
      <x:c r="E1147" s="48" t="str"/>
      <x:c r="F1147" s="48" t="str">
        <x:v>The Contractor shall indemnify and hold harmless the Employer, the Employer’s</x:v>
      </x:c>
      <x:c r="G1147" s="48" t="str">
        <x:v>Obligation</x:v>
      </x:c>
      <x:c r="H1147" s="48" t="str">
        <x:v>Contractor</x:v>
      </x:c>
      <x:c r="I1147" s="48" t="n">
        <x:v>0.88</x:v>
      </x:c>
      <x:c r="J1147" s="48" t="n">
        <x:v>0.92</x:v>
      </x:c>
      <x:c r="K1147" s="48" t="str">
        <x:v>No</x:v>
      </x:c>
      <x:c r="L1147" s="48" t="str">
        <x:v>PDF text</x:v>
      </x:c>
    </x:row>
    <x:row r="1148">
      <x:c r="A1148" s="48" t="str">
        <x:v>RED-1147</x:v>
      </x:c>
      <x:c r="B1148" s="48" t="str">
        <x:v>RED</x:v>
      </x:c>
      <x:c r="C1148" s="48" t="str">
        <x:v>English</x:v>
      </x:c>
      <x:c r="D1148" s="48" t="n">
        <x:v>68</x:v>
      </x:c>
      <x:c r="E1148" s="48" t="str"/>
      <x:c r="F1148" s="48" t="str">
        <x:v>Personnel, and their respective agents, against and from all claims, damages, losses and expenses (including legal fees and expenses) in respect of: (a) bodily injury, sickness, disease or death, of any person whatsoever arising out of or in the course of or by reason of the Contractor’s design (if any), the execution and completion of the Works and the remedying of any defects, unless attributable to any negligence, wilful act or breach of the Contract by the</x:v>
      </x:c>
      <x:c r="G1148" s="48" t="str">
        <x:v>Risk</x:v>
      </x:c>
      <x:c r="H1148" s="48" t="str">
        <x:v>Contractor</x:v>
      </x:c>
      <x:c r="I1148" s="48" t="n">
        <x:v>0.78</x:v>
      </x:c>
      <x:c r="J1148" s="48" t="n">
        <x:v>0.68</x:v>
      </x:c>
      <x:c r="K1148" s="48" t="str">
        <x:v>Yes</x:v>
      </x:c>
      <x:c r="L1148" s="48" t="str">
        <x:v>PDF text</x:v>
      </x:c>
    </x:row>
    <x:row r="1149">
      <x:c r="A1149" s="48" t="str">
        <x:v>RED-1148</x:v>
      </x:c>
      <x:c r="B1149" s="48" t="str">
        <x:v>RED</x:v>
      </x:c>
      <x:c r="C1149" s="48" t="str">
        <x:v>English</x:v>
      </x:c>
      <x:c r="D1149" s="48" t="n">
        <x:v>68</x:v>
      </x:c>
      <x:c r="E1149" s="48" t="str"/>
      <x:c r="F1149" s="48" t="str">
        <x:v>Employer, the Employer’s Personnel, or any of their respective agents, and</x:v>
      </x:c>
      <x:c r="G1149" s="48" t="str">
        <x:v>Obligation</x:v>
      </x:c>
      <x:c r="H1149" s="48" t="str">
        <x:v>Employer</x:v>
      </x:c>
      <x:c r="I1149" s="48" t="n">
        <x:v>0.45</x:v>
      </x:c>
      <x:c r="J1149" s="48" t="n">
        <x:v>0.68</x:v>
      </x:c>
      <x:c r="K1149" s="48" t="str">
        <x:v>Yes</x:v>
      </x:c>
      <x:c r="L1149" s="48" t="str">
        <x:v>PDF text</x:v>
      </x:c>
    </x:row>
    <x:row r="1150">
      <x:c r="A1150" s="48" t="str">
        <x:v>RED-1149</x:v>
      </x:c>
      <x:c r="B1150" s="48" t="str">
        <x:v>RED</x:v>
      </x:c>
      <x:c r="C1150" s="48" t="str">
        <x:v>English</x:v>
      </x:c>
      <x:c r="D1150" s="48" t="n">
        <x:v>68</x:v>
      </x:c>
      <x:c r="E1150" s="48" t="str"/>
      <x:c r="F1150" s="48" t="str">
        <x:v>(b) damage to or loss of any property, real or personal (other than the Works), to the extent that such damage or loss arises out of or in the course of or by reason of the Contractor’s design (if any), the execution and completion of the</x:v>
      </x:c>
      <x:c r="G1150" s="48" t="str">
        <x:v>Risk</x:v>
      </x:c>
      <x:c r="H1150" s="48" t="str">
        <x:v>Contractor</x:v>
      </x:c>
      <x:c r="I1150" s="48" t="n">
        <x:v>0.78</x:v>
      </x:c>
      <x:c r="J1150" s="48" t="n">
        <x:v>0.68</x:v>
      </x:c>
      <x:c r="K1150" s="48" t="str">
        <x:v>Yes</x:v>
      </x:c>
      <x:c r="L1150" s="48" t="str">
        <x:v>PDF text</x:v>
      </x:c>
    </x:row>
    <x:row r="1151">
      <x:c r="A1151" s="48" t="str">
        <x:v>RED-1150</x:v>
      </x:c>
      <x:c r="B1151" s="48" t="str">
        <x:v>RED</x:v>
      </x:c>
      <x:c r="C1151" s="48" t="str">
        <x:v>English</x:v>
      </x:c>
      <x:c r="D1151" s="48" t="n">
        <x:v>68</x:v>
      </x:c>
      <x:c r="E1151" s="48" t="str"/>
      <x:c r="F1151" s="48" t="str">
        <x:v>Works and the remedying of any defects, unless and to the extent that any</x:v>
      </x:c>
      <x:c r="G1151" s="48" t="str">
        <x:v>Obligation</x:v>
      </x:c>
      <x:c r="H1151" s="48" t="str">
        <x:v>Shared</x:v>
      </x:c>
      <x:c r="I1151" s="48" t="n">
        <x:v>0.45</x:v>
      </x:c>
      <x:c r="J1151" s="48" t="n">
        <x:v>0.4</x:v>
      </x:c>
      <x:c r="K1151" s="48" t="str">
        <x:v>Yes</x:v>
      </x:c>
      <x:c r="L1151" s="48" t="str">
        <x:v>PDF text</x:v>
      </x:c>
    </x:row>
    <x:row r="1152">
      <x:c r="A1152" s="48" t="str">
        <x:v>RED-1151</x:v>
      </x:c>
      <x:c r="B1152" s="48" t="str">
        <x:v>RED</x:v>
      </x:c>
      <x:c r="C1152" s="48" t="str">
        <x:v>English</x:v>
      </x:c>
      <x:c r="D1152" s="48" t="n">
        <x:v>68</x:v>
      </x:c>
      <x:c r="E1152" s="48" t="str"/>
      <x:c r="F1152" s="48" t="str">
        <x:v>such damage or loss is attributable to any negligence, wilful act or breach of the Contract by the Employer, the Employer’s Personnel,, their respective agents, or anyone directly or indirectly employed by any of them.</x:v>
      </x:c>
      <x:c r="G1152" s="48" t="str">
        <x:v>Obligation</x:v>
      </x:c>
      <x:c r="H1152" s="48" t="str">
        <x:v>Employer</x:v>
      </x:c>
      <x:c r="I1152" s="48" t="n">
        <x:v>0.45</x:v>
      </x:c>
      <x:c r="J1152" s="48" t="n">
        <x:v>0.68</x:v>
      </x:c>
      <x:c r="K1152" s="48" t="str">
        <x:v>Yes</x:v>
      </x:c>
      <x:c r="L1152" s="48" t="str">
        <x:v>PDF text</x:v>
      </x:c>
    </x:row>
    <x:row r="1153">
      <x:c r="A1153" s="48" t="str">
        <x:v>RED-1152</x:v>
      </x:c>
      <x:c r="B1153" s="48" t="str">
        <x:v>RED</x:v>
      </x:c>
      <x:c r="C1153" s="48" t="str">
        <x:v>English</x:v>
      </x:c>
      <x:c r="D1153" s="48" t="n">
        <x:v>68</x:v>
      </x:c>
      <x:c r="E1153" s="48" t="str"/>
      <x:c r="F1153" s="48" t="str">
        <x:v>The Employer shall indemnify and hold harmless the Contractor, the Contractor’s</x:v>
      </x:c>
      <x:c r="G1153" s="48" t="str">
        <x:v>Obligation</x:v>
      </x:c>
      <x:c r="H1153" s="48" t="str">
        <x:v>Employer</x:v>
      </x:c>
      <x:c r="I1153" s="48" t="n">
        <x:v>0.88</x:v>
      </x:c>
      <x:c r="J1153" s="48" t="n">
        <x:v>0.92</x:v>
      </x:c>
      <x:c r="K1153" s="48" t="str">
        <x:v>No</x:v>
      </x:c>
      <x:c r="L1153" s="48" t="str">
        <x:v>PDF text</x:v>
      </x:c>
    </x:row>
    <x:row r="1154">
      <x:c r="A1154" s="48" t="str">
        <x:v>RED-1153</x:v>
      </x:c>
      <x:c r="B1154" s="48" t="str">
        <x:v>RED</x:v>
      </x:c>
      <x:c r="C1154" s="48" t="str">
        <x:v>English</x:v>
      </x:c>
      <x:c r="D1154" s="48" t="n">
        <x:v>68</x:v>
      </x:c>
      <x:c r="E1154" s="48" t="str"/>
      <x:c r="F1154" s="48" t="str">
        <x:v>Personnel, and their respective agents, against and from all claims, damages, losses and expenses (including legal fees and expenses) in respect of (1) bodily injury, sickness, disease or death, which is attributable to any negligence, wilful act or breach of the Contract by the Employer, the Employer’s Personnel, or any of their respective agents, and (2) the matters for which liability may be excluded from insurance cover, as described in sub-paragraphs (d)(i), (ii) and (iii) of Sub-Clause 18.3 [Insurance Against Injury to Persons and Damage to Property].</x:v>
      </x:c>
      <x:c r="G1154" s="48" t="str">
        <x:v>Risk</x:v>
      </x:c>
      <x:c r="H1154" s="48" t="str">
        <x:v>Employer</x:v>
      </x:c>
      <x:c r="I1154" s="48" t="n">
        <x:v>0.78</x:v>
      </x:c>
      <x:c r="J1154" s="48" t="n">
        <x:v>0.68</x:v>
      </x:c>
      <x:c r="K1154" s="48" t="str">
        <x:v>Yes</x:v>
      </x:c>
      <x:c r="L1154" s="48" t="str">
        <x:v>PDF text</x:v>
      </x:c>
    </x:row>
    <x:row r="1155">
      <x:c r="A1155" s="48" t="str">
        <x:v>RED-1154</x:v>
      </x:c>
      <x:c r="B1155" s="48" t="str">
        <x:v>RED</x:v>
      </x:c>
      <x:c r="C1155" s="48" t="str">
        <x:v>English</x:v>
      </x:c>
      <x:c r="D1155" s="48" t="n">
        <x:v>68</x:v>
      </x:c>
      <x:c r="E1155" s="48" t="str"/>
      <x:c r="F1155" s="48" t="str">
        <x:v>The Contractor shall take full responsibility for the care of the Works and Goods from the</x:v>
      </x:c>
      <x:c r="G1155" s="48" t="str">
        <x:v>Obligation</x:v>
      </x:c>
      <x:c r="H1155" s="48" t="str">
        <x:v>Contractor</x:v>
      </x:c>
      <x:c r="I1155" s="48" t="n">
        <x:v>0.88</x:v>
      </x:c>
      <x:c r="J1155" s="48" t="n">
        <x:v>0.92</x:v>
      </x:c>
      <x:c r="K1155" s="48" t="str">
        <x:v>No</x:v>
      </x:c>
      <x:c r="L1155" s="48" t="str">
        <x:v>PDF text</x:v>
      </x:c>
    </x:row>
    <x:row r="1156">
      <x:c r="A1156" s="48" t="str">
        <x:v>RED-1155</x:v>
      </x:c>
      <x:c r="B1156" s="48" t="str">
        <x:v>RED</x:v>
      </x:c>
      <x:c r="C1156" s="48" t="str">
        <x:v>English</x:v>
      </x:c>
      <x:c r="D1156" s="48" t="n">
        <x:v>68</x:v>
      </x:c>
      <x:c r="E1156" s="48" t="str"/>
      <x:c r="F1156" s="48" t="str">
        <x:v>Commencement Date until the Taking-Over Certificate is issued (or is deemed to be</x:v>
      </x:c>
      <x:c r="G1156" s="48" t="str">
        <x:v>Obligation</x:v>
      </x:c>
      <x:c r="H1156" s="48" t="str">
        <x:v>Shared</x:v>
      </x:c>
      <x:c r="I1156" s="48" t="n">
        <x:v>0.55</x:v>
      </x:c>
      <x:c r="J1156" s="48" t="n">
        <x:v>0.4</x:v>
      </x:c>
      <x:c r="K1156" s="48" t="str">
        <x:v>Yes</x:v>
      </x:c>
      <x:c r="L1156" s="48" t="str">
        <x:v>PDF text</x:v>
      </x:c>
    </x:row>
    <x:row r="1157">
      <x:c r="A1157" s="48" t="str">
        <x:v>RED-1156</x:v>
      </x:c>
      <x:c r="B1157" s="48" t="str">
        <x:v>RED</x:v>
      </x:c>
      <x:c r="C1157" s="48" t="str">
        <x:v>English</x:v>
      </x:c>
      <x:c r="D1157" s="48" t="n">
        <x:v>68</x:v>
      </x:c>
      <x:c r="E1157" s="48" t="str"/>
      <x:c r="F1157" s="48" t="str">
        <x:v>issued under Sub-Clause 10.1 [Taking Over of the Works and Sections]) for the Works, when responsibility for the care of the Works shall pass to the Employer.</x:v>
      </x:c>
      <x:c r="G1157" s="48" t="str">
        <x:v>Obligation</x:v>
      </x:c>
      <x:c r="H1157" s="48" t="str">
        <x:v>Employer</x:v>
      </x:c>
      <x:c r="I1157" s="48" t="n">
        <x:v>0.88</x:v>
      </x:c>
      <x:c r="J1157" s="48" t="n">
        <x:v>0.68</x:v>
      </x:c>
      <x:c r="K1157" s="48" t="str">
        <x:v>Yes</x:v>
      </x:c>
      <x:c r="L1157" s="48" t="str">
        <x:v>PDF text</x:v>
      </x:c>
    </x:row>
    <x:row r="1158">
      <x:c r="A1158" s="48" t="str">
        <x:v>RED-1157</x:v>
      </x:c>
      <x:c r="B1158" s="48" t="str">
        <x:v>RED</x:v>
      </x:c>
      <x:c r="C1158" s="48" t="str">
        <x:v>English</x:v>
      </x:c>
      <x:c r="D1158" s="48" t="n">
        <x:v>68</x:v>
      </x:c>
      <x:c r="E1158" s="48" t="str"/>
      <x:c r="F1158" s="48" t="str">
        <x:v>If a Taking-Over Certificate is issued (or is so deemed to be issued) for any Section or part of the Works, responsibility for the care of the Section or part shall then pass to the Employer.</x:v>
      </x:c>
      <x:c r="G1158" s="48" t="str">
        <x:v>Obligation</x:v>
      </x:c>
      <x:c r="H1158" s="48" t="str">
        <x:v>Employer</x:v>
      </x:c>
      <x:c r="I1158" s="48" t="n">
        <x:v>0.88</x:v>
      </x:c>
      <x:c r="J1158" s="48" t="n">
        <x:v>0.68</x:v>
      </x:c>
      <x:c r="K1158" s="48" t="str">
        <x:v>Yes</x:v>
      </x:c>
      <x:c r="L1158" s="48" t="str">
        <x:v>PDF text</x:v>
      </x:c>
    </x:row>
    <x:row r="1159">
      <x:c r="A1159" s="48" t="str">
        <x:v>RED-1158</x:v>
      </x:c>
      <x:c r="B1159" s="48" t="str">
        <x:v>RED</x:v>
      </x:c>
      <x:c r="C1159" s="48" t="str">
        <x:v>English</x:v>
      </x:c>
      <x:c r="D1159" s="48" t="n">
        <x:v>68</x:v>
      </x:c>
      <x:c r="E1159" s="48" t="str"/>
      <x:c r="F1159" s="48" t="str">
        <x:v>After responsibility has accordingly passed to the Employer, the Contractor shall take responsibility for the care of any work which is outstanding on the date stated in a 16.4</x:v>
      </x:c>
      <x:c r="G1159" s="48" t="str">
        <x:v>Obligation</x:v>
      </x:c>
      <x:c r="H1159" s="48" t="str">
        <x:v>Contractor</x:v>
      </x:c>
      <x:c r="I1159" s="48" t="n">
        <x:v>0.88</x:v>
      </x:c>
      <x:c r="J1159" s="48" t="n">
        <x:v>0.92</x:v>
      </x:c>
      <x:c r="K1159" s="48" t="str">
        <x:v>No</x:v>
      </x:c>
      <x:c r="L1159" s="48" t="str">
        <x:v>PDF text</x:v>
      </x:c>
    </x:row>
    <x:row r="1160">
      <x:c r="A1160" s="48" t="str">
        <x:v>RED-1159</x:v>
      </x:c>
      <x:c r="B1160" s="48" t="str">
        <x:v>RED</x:v>
      </x:c>
      <x:c r="C1160" s="48" t="str">
        <x:v>English</x:v>
      </x:c>
      <x:c r="D1160" s="48" t="n">
        <x:v>68</x:v>
      </x:c>
      <x:c r="E1160" s="48" t="str"/>
      <x:c r="F1160" s="48" t="str">
        <x:v>Payment on Termination</x:v>
      </x:c>
      <x:c r="G1160" s="48" t="str">
        <x:v>Obligation</x:v>
      </x:c>
      <x:c r="H1160" s="48" t="str">
        <x:v>Shared</x:v>
      </x:c>
      <x:c r="I1160" s="48" t="n">
        <x:v>0.55</x:v>
      </x:c>
      <x:c r="J1160" s="48" t="n">
        <x:v>0.4</x:v>
      </x:c>
      <x:c r="K1160" s="48" t="str">
        <x:v>Yes</x:v>
      </x:c>
      <x:c r="L1160" s="48" t="str">
        <x:v>PDF text</x:v>
      </x:c>
    </x:row>
    <x:row r="1161">
      <x:c r="A1161" s="48" t="str">
        <x:v>RED-1160</x:v>
      </x:c>
      <x:c r="B1161" s="48" t="str">
        <x:v>RED</x:v>
      </x:c>
      <x:c r="C1161" s="48" t="str">
        <x:v>English</x:v>
      </x:c>
      <x:c r="D1161" s="48" t="n">
        <x:v>68</x:v>
      </x:c>
      <x:c r="E1161" s="48" t="str"/>
      <x:c r="F1161" s="48" t="str">
        <x:v>Indemnities</x:v>
      </x:c>
      <x:c r="G1161" s="48" t="str">
        <x:v>Obligation</x:v>
      </x:c>
      <x:c r="H1161" s="48" t="str">
        <x:v>Shared</x:v>
      </x:c>
      <x:c r="I1161" s="48" t="n">
        <x:v>0.45</x:v>
      </x:c>
      <x:c r="J1161" s="48" t="n">
        <x:v>0.4</x:v>
      </x:c>
      <x:c r="K1161" s="48" t="str">
        <x:v>Yes</x:v>
      </x:c>
      <x:c r="L1161" s="48" t="str">
        <x:v>PDF text</x:v>
      </x:c>
    </x:row>
    <x:row r="1162">
      <x:c r="A1162" s="48" t="str">
        <x:v>RED-1161</x:v>
      </x:c>
      <x:c r="B1162" s="48" t="str">
        <x:v>RED</x:v>
      </x:c>
      <x:c r="C1162" s="48" t="str">
        <x:v>English</x:v>
      </x:c>
      <x:c r="D1162" s="48" t="n">
        <x:v>68</x:v>
      </x:c>
      <x:c r="E1162" s="48" t="str"/>
      <x:c r="F1162" s="48" t="str">
        <x:v>Contractor’s Care</x:v>
      </x:c>
      <x:c r="G1162" s="48" t="str">
        <x:v>Obligation</x:v>
      </x:c>
      <x:c r="H1162" s="48" t="str">
        <x:v>Contractor</x:v>
      </x:c>
      <x:c r="I1162" s="48" t="n">
        <x:v>0.45</x:v>
      </x:c>
      <x:c r="J1162" s="48" t="n">
        <x:v>0.68</x:v>
      </x:c>
      <x:c r="K1162" s="48" t="str">
        <x:v>Yes</x:v>
      </x:c>
      <x:c r="L1162" s="48" t="str">
        <x:v>PDF text</x:v>
      </x:c>
    </x:row>
    <x:row r="1163">
      <x:c r="A1163" s="48" t="str">
        <x:v>RED-1162</x:v>
      </x:c>
      <x:c r="B1163" s="48" t="str">
        <x:v>RED</x:v>
      </x:c>
      <x:c r="C1163" s="48" t="str">
        <x:v>English</x:v>
      </x:c>
      <x:c r="D1163" s="48" t="n">
        <x:v>68</x:v>
      </x:c>
      <x:c r="E1163" s="48" t="str"/>
      <x:c r="F1163" s="48" t="str">
        <x:v>of the Works</x:v>
      </x:c>
      <x:c r="G1163" s="48" t="str">
        <x:v>Obligation</x:v>
      </x:c>
      <x:c r="H1163" s="48" t="str">
        <x:v>Shared</x:v>
      </x:c>
      <x:c r="I1163" s="48" t="n">
        <x:v>0.45</x:v>
      </x:c>
      <x:c r="J1163" s="48" t="n">
        <x:v>0.4</x:v>
      </x:c>
      <x:c r="K1163" s="48" t="str">
        <x:v>Yes</x:v>
      </x:c>
      <x:c r="L1163" s="48" t="str">
        <x:v>PDF text</x:v>
      </x:c>
    </x:row>
    <x:row r="1164">
      <x:c r="A1164" s="48" t="str">
        <x:v>RED-1163</x:v>
      </x:c>
      <x:c r="B1164" s="48" t="str">
        <x:v>RED</x:v>
      </x:c>
      <x:c r="C1164" s="48" t="str">
        <x:v>English</x:v>
      </x:c>
      <x:c r="D1164" s="48" t="n">
        <x:v>68</x:v>
      </x:c>
      <x:c r="E1164" s="48" t="str"/>
      <x:c r="F1164" s="48" t="str">
        <x:v>Risk and Responsibility</x:v>
      </x:c>
      <x:c r="G1164" s="48" t="str">
        <x:v>Obligation</x:v>
      </x:c>
      <x:c r="H1164" s="48" t="str">
        <x:v>Shared</x:v>
      </x:c>
      <x:c r="I1164" s="48" t="n">
        <x:v>0.45</x:v>
      </x:c>
      <x:c r="J1164" s="48" t="n">
        <x:v>0.4</x:v>
      </x:c>
      <x:c r="K1164" s="48" t="str">
        <x:v>Yes</x:v>
      </x:c>
      <x:c r="L1164" s="48" t="str">
        <x:v>PDF text</x:v>
      </x:c>
    </x:row>
    <x:row r="1165">
      <x:c r="A1165" s="48" t="str">
        <x:v>RED-1164</x:v>
      </x:c>
      <x:c r="B1165" s="48" t="str">
        <x:v>RED</x:v>
      </x:c>
      <x:c r="C1165" s="48" t="str">
        <x:v>English</x:v>
      </x:c>
      <x:c r="D1165" s="48" t="n">
        <x:v>69</x:v>
      </x:c>
      <x:c r="E1165" s="48" t="str"/>
      <x:c r="F1165" s="48" t="str">
        <x:v>Taking-Over Certificate, until this outstanding work has been completed.</x:v>
      </x:c>
      <x:c r="G1165" s="48" t="str">
        <x:v>Obligation</x:v>
      </x:c>
      <x:c r="H1165" s="48" t="str">
        <x:v>Shared</x:v>
      </x:c>
      <x:c r="I1165" s="48" t="n">
        <x:v>0.55</x:v>
      </x:c>
      <x:c r="J1165" s="48" t="n">
        <x:v>0.4</x:v>
      </x:c>
      <x:c r="K1165" s="48" t="str">
        <x:v>Yes</x:v>
      </x:c>
      <x:c r="L1165" s="48" t="str">
        <x:v>PDF text</x:v>
      </x:c>
    </x:row>
    <x:row r="1166">
      <x:c r="A1166" s="48" t="str">
        <x:v>RED-1165</x:v>
      </x:c>
      <x:c r="B1166" s="48" t="str">
        <x:v>RED</x:v>
      </x:c>
      <x:c r="C1166" s="48" t="str">
        <x:v>English</x:v>
      </x:c>
      <x:c r="D1166" s="48" t="n">
        <x:v>69</x:v>
      </x:c>
      <x:c r="E1166" s="48" t="str"/>
      <x:c r="F1166" s="48" t="str">
        <x:v>If any loss or damage happens to the Works, Goods or Contractor’s Documents</x:v>
      </x:c>
      <x:c r="G1166" s="48" t="str">
        <x:v>Risk</x:v>
      </x:c>
      <x:c r="H1166" s="48" t="str">
        <x:v>Contractor</x:v>
      </x:c>
      <x:c r="I1166" s="48" t="n">
        <x:v>0.78</x:v>
      </x:c>
      <x:c r="J1166" s="48" t="n">
        <x:v>0.68</x:v>
      </x:c>
      <x:c r="K1166" s="48" t="str">
        <x:v>Yes</x:v>
      </x:c>
      <x:c r="L1166" s="48" t="str">
        <x:v>PDF text</x:v>
      </x:c>
    </x:row>
    <x:row r="1167">
      <x:c r="A1167" s="48" t="str">
        <x:v>RED-1166</x:v>
      </x:c>
      <x:c r="B1167" s="48" t="str">
        <x:v>RED</x:v>
      </x:c>
      <x:c r="C1167" s="48" t="str">
        <x:v>English</x:v>
      </x:c>
      <x:c r="D1167" s="48" t="n">
        <x:v>69</x:v>
      </x:c>
      <x:c r="E1167" s="48" t="str"/>
      <x:c r="F1167" s="48" t="str">
        <x:v>during the period when the Contractor is responsible for their care, from any cause not listed in Sub-Clause 17.3 [Employer’s Risks], the Contractor shall rectify the loss or damage at the Contractor’s risk and cost, so that the Works, Goods and Contractor’s Documents conform with the Contract.</x:v>
      </x:c>
      <x:c r="G1167" s="48" t="str">
        <x:v>Risk</x:v>
      </x:c>
      <x:c r="H1167" s="48" t="str">
        <x:v>Employer</x:v>
      </x:c>
      <x:c r="I1167" s="48" t="n">
        <x:v>0.78</x:v>
      </x:c>
      <x:c r="J1167" s="48" t="n">
        <x:v>0.9</x:v>
      </x:c>
      <x:c r="K1167" s="48" t="str">
        <x:v>No</x:v>
      </x:c>
      <x:c r="L1167" s="48" t="str">
        <x:v>PDF text</x:v>
      </x:c>
    </x:row>
    <x:row r="1168">
      <x:c r="A1168" s="48" t="str">
        <x:v>RED-1167</x:v>
      </x:c>
      <x:c r="B1168" s="48" t="str">
        <x:v>RED</x:v>
      </x:c>
      <x:c r="C1168" s="48" t="str">
        <x:v>English</x:v>
      </x:c>
      <x:c r="D1168" s="48" t="n">
        <x:v>69</x:v>
      </x:c>
      <x:c r="E1168" s="48" t="str"/>
      <x:c r="F1168" s="48" t="str">
        <x:v>The Contractor shall be liable for any loss or damage caused by any actions</x:v>
      </x:c>
      <x:c r="G1168" s="48" t="str">
        <x:v>Risk</x:v>
      </x:c>
      <x:c r="H1168" s="48" t="str">
        <x:v>Contractor</x:v>
      </x:c>
      <x:c r="I1168" s="48" t="n">
        <x:v>0.78</x:v>
      </x:c>
      <x:c r="J1168" s="48" t="n">
        <x:v>0.92</x:v>
      </x:c>
      <x:c r="K1168" s="48" t="str">
        <x:v>No</x:v>
      </x:c>
      <x:c r="L1168" s="48" t="str">
        <x:v>PDF text</x:v>
      </x:c>
    </x:row>
    <x:row r="1169">
      <x:c r="A1169" s="48" t="str">
        <x:v>RED-1168</x:v>
      </x:c>
      <x:c r="B1169" s="48" t="str">
        <x:v>RED</x:v>
      </x:c>
      <x:c r="C1169" s="48" t="str">
        <x:v>English</x:v>
      </x:c>
      <x:c r="D1169" s="48" t="n">
        <x:v>69</x:v>
      </x:c>
      <x:c r="E1169" s="48" t="str"/>
      <x:c r="F1169" s="48" t="str">
        <x:v>performed by the Contractor after a Taking-Over Certificate has been issued.</x:v>
      </x:c>
      <x:c r="G1169" s="48" t="str">
        <x:v>Obligation</x:v>
      </x:c>
      <x:c r="H1169" s="48" t="str">
        <x:v>Contractor</x:v>
      </x:c>
      <x:c r="I1169" s="48" t="n">
        <x:v>0.55</x:v>
      </x:c>
      <x:c r="J1169" s="48" t="n">
        <x:v>0.68</x:v>
      </x:c>
      <x:c r="K1169" s="48" t="str">
        <x:v>Yes</x:v>
      </x:c>
      <x:c r="L1169" s="48" t="str">
        <x:v>PDF text</x:v>
      </x:c>
    </x:row>
    <x:row r="1170">
      <x:c r="A1170" s="48" t="str">
        <x:v>RED-1169</x:v>
      </x:c>
      <x:c r="B1170" s="48" t="str">
        <x:v>RED</x:v>
      </x:c>
      <x:c r="C1170" s="48" t="str">
        <x:v>English</x:v>
      </x:c>
      <x:c r="D1170" s="48" t="n">
        <x:v>69</x:v>
      </x:c>
      <x:c r="E1170" s="48" t="str"/>
      <x:c r="F1170" s="48" t="str">
        <x:v>The Contractor shall also be liable for any loss or damage which occurs after a TakingOver Certificate has been issued and which arose from a previous event for which the Contractor was liable.</x:v>
      </x:c>
      <x:c r="G1170" s="48" t="str">
        <x:v>Risk</x:v>
      </x:c>
      <x:c r="H1170" s="48" t="str">
        <x:v>Contractor</x:v>
      </x:c>
      <x:c r="I1170" s="48" t="n">
        <x:v>0.78</x:v>
      </x:c>
      <x:c r="J1170" s="48" t="n">
        <x:v>0.92</x:v>
      </x:c>
      <x:c r="K1170" s="48" t="str">
        <x:v>No</x:v>
      </x:c>
      <x:c r="L1170" s="48" t="str">
        <x:v>PDF text</x:v>
      </x:c>
    </x:row>
    <x:row r="1171">
      <x:c r="A1171" s="48" t="str">
        <x:v>RED-1170</x:v>
      </x:c>
      <x:c r="B1171" s="48" t="str">
        <x:v>RED</x:v>
      </x:c>
      <x:c r="C1171" s="48" t="str">
        <x:v>English</x:v>
      </x:c>
      <x:c r="D1171" s="48" t="n">
        <x:v>69</x:v>
      </x:c>
      <x:c r="E1171" s="48" t="str"/>
      <x:c r="F1171" s="48" t="str">
        <x:v>The risks referred to in Sub-Clause 17.4 below, insofar as they directly affect the execution of the Works in the Country, are: (a) war, hostilities (whether war be declared or not), invasion, act of foreign enemies, (b) rebellion, terrorism, sabotage by persons other than the Contractor’s Personnel, revolution, insurrection, military or usurped power, or civil war, within the Country, (c) riot, commotion or disorder within the Country by persons other than the</x:v>
      </x:c>
      <x:c r="G1171" s="48" t="str">
        <x:v>Obligation</x:v>
      </x:c>
      <x:c r="H1171" s="48" t="str">
        <x:v>Contractor</x:v>
      </x:c>
      <x:c r="I1171" s="48" t="n">
        <x:v>0.45</x:v>
      </x:c>
      <x:c r="J1171" s="48" t="n">
        <x:v>0.68</x:v>
      </x:c>
      <x:c r="K1171" s="48" t="str">
        <x:v>Yes</x:v>
      </x:c>
      <x:c r="L1171" s="48" t="str">
        <x:v>PDF text</x:v>
      </x:c>
    </x:row>
    <x:row r="1172">
      <x:c r="A1172" s="48" t="str">
        <x:v>RED-1171</x:v>
      </x:c>
      <x:c r="B1172" s="48" t="str">
        <x:v>RED</x:v>
      </x:c>
      <x:c r="C1172" s="48" t="str">
        <x:v>English</x:v>
      </x:c>
      <x:c r="D1172" s="48" t="n">
        <x:v>69</x:v>
      </x:c>
      <x:c r="E1172" s="48" t="str"/>
      <x:c r="F1172" s="48" t="str">
        <x:v>Contractor’s Personnel,</x:v>
      </x:c>
      <x:c r="G1172" s="48" t="str">
        <x:v>Obligation</x:v>
      </x:c>
      <x:c r="H1172" s="48" t="str">
        <x:v>Contractor</x:v>
      </x:c>
      <x:c r="I1172" s="48" t="n">
        <x:v>0.45</x:v>
      </x:c>
      <x:c r="J1172" s="48" t="n">
        <x:v>0.68</x:v>
      </x:c>
      <x:c r="K1172" s="48" t="str">
        <x:v>Yes</x:v>
      </x:c>
      <x:c r="L1172" s="48" t="str">
        <x:v>PDF text</x:v>
      </x:c>
    </x:row>
    <x:row r="1173">
      <x:c r="A1173" s="48" t="str">
        <x:v>RED-1172</x:v>
      </x:c>
      <x:c r="B1173" s="48" t="str">
        <x:v>RED</x:v>
      </x:c>
      <x:c r="C1173" s="48" t="str">
        <x:v>English</x:v>
      </x:c>
      <x:c r="D1173" s="48" t="n">
        <x:v>69</x:v>
      </x:c>
      <x:c r="E1173" s="48" t="str"/>
      <x:c r="F1173" s="48" t="str">
        <x:v>(d) munitions of war, explosive materials, ionising radiation or contamination by radio-activity, within the Country, except as may be attributable to the</x:v>
      </x:c>
      <x:c r="G1173" s="48" t="str">
        <x:v>Right</x:v>
      </x:c>
      <x:c r="H1173" s="48" t="str">
        <x:v>Shared</x:v>
      </x:c>
      <x:c r="I1173" s="48" t="n">
        <x:v>0.78</x:v>
      </x:c>
      <x:c r="J1173" s="48" t="n">
        <x:v>0.4</x:v>
      </x:c>
      <x:c r="K1173" s="48" t="str">
        <x:v>Yes</x:v>
      </x:c>
      <x:c r="L1173" s="48" t="str">
        <x:v>PDF text</x:v>
      </x:c>
    </x:row>
    <x:row r="1174">
      <x:c r="A1174" s="48" t="str">
        <x:v>RED-1173</x:v>
      </x:c>
      <x:c r="B1174" s="48" t="str">
        <x:v>RED</x:v>
      </x:c>
      <x:c r="C1174" s="48" t="str">
        <x:v>English</x:v>
      </x:c>
      <x:c r="D1174" s="48" t="n">
        <x:v>69</x:v>
      </x:c>
      <x:c r="E1174" s="48" t="str"/>
      <x:c r="F1174" s="48" t="str">
        <x:v>Contractor’s use of such munitions, explosives, radiation or radio-activity,</x:v>
      </x:c>
      <x:c r="G1174" s="48" t="str">
        <x:v>Obligation</x:v>
      </x:c>
      <x:c r="H1174" s="48" t="str">
        <x:v>Contractor</x:v>
      </x:c>
      <x:c r="I1174" s="48" t="n">
        <x:v>0.45</x:v>
      </x:c>
      <x:c r="J1174" s="48" t="n">
        <x:v>0.68</x:v>
      </x:c>
      <x:c r="K1174" s="48" t="str">
        <x:v>Yes</x:v>
      </x:c>
      <x:c r="L1174" s="48" t="str">
        <x:v>PDF text</x:v>
      </x:c>
    </x:row>
    <x:row r="1175">
      <x:c r="A1175" s="48" t="str">
        <x:v>RED-1174</x:v>
      </x:c>
      <x:c r="B1175" s="48" t="str">
        <x:v>RED</x:v>
      </x:c>
      <x:c r="C1175" s="48" t="str">
        <x:v>English</x:v>
      </x:c>
      <x:c r="D1175" s="48" t="n">
        <x:v>69</x:v>
      </x:c>
      <x:c r="E1175" s="48" t="str"/>
      <x:c r="F1175" s="48" t="str">
        <x:v>(e) pressure waves caused by aircraft or other aerial devices travelling at sonic or supersonic speeds, (f) use or occupation by the Employer of any part of the Permanent Works, except as may be specified in the Contract, (g) design of any part of the Works by the Employer’s Personnel or by others for whom the Employer is responsible, and (h) any operation of the forces of nature which is Unforeseeable or against which an experienced contractor could not reasonably have been expected to have taken adequate preventative precautions.</x:v>
      </x:c>
      <x:c r="G1175" s="48" t="str">
        <x:v>Right</x:v>
      </x:c>
      <x:c r="H1175" s="48" t="str">
        <x:v>Shared</x:v>
      </x:c>
      <x:c r="I1175" s="48" t="n">
        <x:v>0.78</x:v>
      </x:c>
      <x:c r="J1175" s="48" t="n">
        <x:v>0.6</x:v>
      </x:c>
      <x:c r="K1175" s="48" t="str">
        <x:v>Yes</x:v>
      </x:c>
      <x:c r="L1175" s="48" t="str">
        <x:v>PDF text</x:v>
      </x:c>
    </x:row>
    <x:row r="1176">
      <x:c r="A1176" s="48" t="str">
        <x:v>RED-1175</x:v>
      </x:c>
      <x:c r="B1176" s="48" t="str">
        <x:v>RED</x:v>
      </x:c>
      <x:c r="C1176" s="48" t="str">
        <x:v>English</x:v>
      </x:c>
      <x:c r="D1176" s="48" t="n">
        <x:v>69</x:v>
      </x:c>
      <x:c r="E1176" s="48" t="str"/>
      <x:c r="F1176" s="48" t="str">
        <x:v>If and to the extent that any of the risks listed in Sub-Clause 17.3 above results in loss or damage to the Works, Goods or Contractor’s Documents, the Contractor shall promptly give notice to the Engineer and shall rectify this loss or damage to the extent required by the Engineer.</x:v>
      </x:c>
      <x:c r="G1176" s="48" t="str">
        <x:v>Risk</x:v>
      </x:c>
      <x:c r="H1176" s="48" t="str">
        <x:v>Contractor</x:v>
      </x:c>
      <x:c r="I1176" s="48" t="n">
        <x:v>0.78</x:v>
      </x:c>
      <x:c r="J1176" s="48" t="n">
        <x:v>0.92</x:v>
      </x:c>
      <x:c r="K1176" s="48" t="str">
        <x:v>No</x:v>
      </x:c>
      <x:c r="L1176" s="48" t="str">
        <x:v>PDF text</x:v>
      </x:c>
    </x:row>
    <x:row r="1177">
      <x:c r="A1177" s="48" t="str">
        <x:v>RED-1176</x:v>
      </x:c>
      <x:c r="B1177" s="48" t="str">
        <x:v>RED</x:v>
      </x:c>
      <x:c r="C1177" s="48" t="str">
        <x:v>English</x:v>
      </x:c>
      <x:c r="D1177" s="48" t="n">
        <x:v>69</x:v>
      </x:c>
      <x:c r="E1177" s="48" t="str"/>
      <x:c r="F1177" s="48" t="str">
        <x:v>If the Contractor suffers delay and/or incurs Cost from rectifying this loss or damage, the Contractor shall give a further notice to the Engineer and shall be entitled subject to Sub-Clause 20.1 [Contractor’s Claims] to: (a) an extension of time for any such delay, if completion is or will be delayed, under Sub-Clause 8.4 [Extension of Time for Completion], and (b) payment of any such Cost, which shall be included in the Contract Price.</x:v>
      </x:c>
      <x:c r="G1177" s="48" t="str">
        <x:v>Risk</x:v>
      </x:c>
      <x:c r="H1177" s="48" t="str">
        <x:v>Contractor</x:v>
      </x:c>
      <x:c r="I1177" s="48" t="n">
        <x:v>0.78</x:v>
      </x:c>
      <x:c r="J1177" s="48" t="n">
        <x:v>0.92</x:v>
      </x:c>
      <x:c r="K1177" s="48" t="str">
        <x:v>No</x:v>
      </x:c>
      <x:c r="L1177" s="48" t="str">
        <x:v>PDF text</x:v>
      </x:c>
    </x:row>
    <x:row r="1178">
      <x:c r="A1178" s="48" t="str">
        <x:v>RED-1177</x:v>
      </x:c>
      <x:c r="B1178" s="48" t="str">
        <x:v>RED</x:v>
      </x:c>
      <x:c r="C1178" s="48" t="str">
        <x:v>English</x:v>
      </x:c>
      <x:c r="D1178" s="48" t="n">
        <x:v>69</x:v>
      </x:c>
      <x:c r="E1178" s="48" t="str"/>
      <x:c r="F1178" s="48" t="str">
        <x:v>In the case of sub-paragraphs (f) and (g) of Sub-Clause 17.3 [Employer’s Risks], Cost plus profit shall be payable.</x:v>
      </x:c>
      <x:c r="G1178" s="48" t="str">
        <x:v>Obligation</x:v>
      </x:c>
      <x:c r="H1178" s="48" t="str">
        <x:v>Employer</x:v>
      </x:c>
      <x:c r="I1178" s="48" t="n">
        <x:v>0.88</x:v>
      </x:c>
      <x:c r="J1178" s="48" t="n">
        <x:v>0.68</x:v>
      </x:c>
      <x:c r="K1178" s="48" t="str">
        <x:v>Yes</x:v>
      </x:c>
      <x:c r="L1178" s="48" t="str">
        <x:v>PDF text</x:v>
      </x:c>
    </x:row>
    <x:row r="1179">
      <x:c r="A1179" s="48" t="str">
        <x:v>RED-1178</x:v>
      </x:c>
      <x:c r="B1179" s="48" t="str">
        <x:v>RED</x:v>
      </x:c>
      <x:c r="C1179" s="48" t="str">
        <x:v>English</x:v>
      </x:c>
      <x:c r="D1179" s="48" t="n">
        <x:v>69</x:v>
      </x:c>
      <x:c r="E1179" s="48" t="str"/>
      <x:c r="F1179" s="48" t="str">
        <x:v>Employer’s Risks</x:v>
      </x:c>
      <x:c r="G1179" s="48" t="str">
        <x:v>Obligation</x:v>
      </x:c>
      <x:c r="H1179" s="48" t="str">
        <x:v>Employer</x:v>
      </x:c>
      <x:c r="I1179" s="48" t="n">
        <x:v>0.45</x:v>
      </x:c>
      <x:c r="J1179" s="48" t="n">
        <x:v>0.68</x:v>
      </x:c>
      <x:c r="K1179" s="48" t="str">
        <x:v>Yes</x:v>
      </x:c>
      <x:c r="L1179" s="48" t="str">
        <x:v>PDF text</x:v>
      </x:c>
    </x:row>
    <x:row r="1180">
      <x:c r="A1180" s="48" t="str">
        <x:v>RED-1179</x:v>
      </x:c>
      <x:c r="B1180" s="48" t="str">
        <x:v>RED</x:v>
      </x:c>
      <x:c r="C1180" s="48" t="str">
        <x:v>English</x:v>
      </x:c>
      <x:c r="D1180" s="48" t="n">
        <x:v>70</x:v>
      </x:c>
      <x:c r="E1180" s="48" t="str"/>
      <x:c r="F1180" s="48" t="str">
        <x:v>Whenever a Party does not give notice to the other Party of any claim within 28 days of receiving the claim, the first Party shall be deemed to have waived any right to indemnity under this Sub-Clause.</x:v>
      </x:c>
      <x:c r="G1180" s="48" t="str">
        <x:v>Obligation</x:v>
      </x:c>
      <x:c r="H1180" s="48" t="str">
        <x:v>Shared</x:v>
      </x:c>
      <x:c r="I1180" s="48" t="n">
        <x:v>0.88</x:v>
      </x:c>
      <x:c r="J1180" s="48" t="n">
        <x:v>0.4</x:v>
      </x:c>
      <x:c r="K1180" s="48" t="str">
        <x:v>Yes</x:v>
      </x:c>
      <x:c r="L1180" s="48" t="str">
        <x:v>PDF text</x:v>
      </x:c>
    </x:row>
    <x:row r="1181">
      <x:c r="A1181" s="48" t="str">
        <x:v>RED-1180</x:v>
      </x:c>
      <x:c r="B1181" s="48" t="str">
        <x:v>RED</x:v>
      </x:c>
      <x:c r="C1181" s="48" t="str">
        <x:v>English</x:v>
      </x:c>
      <x:c r="D1181" s="48" t="n">
        <x:v>70</x:v>
      </x:c>
      <x:c r="E1181" s="48" t="str"/>
      <x:c r="F1181" s="48" t="str">
        <x:v>The Employer shall indemnify and hold the Contractor harmless against and from any claim alleging an infringement which is or was: (a) an unavoidable result of the Contractor’s compliance with the Contract, or (b) a result of any Works being used by the Employer: (i) for a purpose other than that indicated by, or reasonably to be inferred from, the Contract, or (ii) in conjunction with any thing not supplied by the Contractor, unless such use was disclosed to the Contractor prior to the Base Date or is stated in the Contract.</x:v>
      </x:c>
      <x:c r="G1181" s="48" t="str">
        <x:v>Obligation</x:v>
      </x:c>
      <x:c r="H1181" s="48" t="str">
        <x:v>Employer</x:v>
      </x:c>
      <x:c r="I1181" s="48" t="n">
        <x:v>0.88</x:v>
      </x:c>
      <x:c r="J1181" s="48" t="n">
        <x:v>0.92</x:v>
      </x:c>
      <x:c r="K1181" s="48" t="str">
        <x:v>No</x:v>
      </x:c>
      <x:c r="L1181" s="48" t="str">
        <x:v>PDF text</x:v>
      </x:c>
    </x:row>
    <x:row r="1182">
      <x:c r="A1182" s="48" t="str">
        <x:v>RED-1181</x:v>
      </x:c>
      <x:c r="B1182" s="48" t="str">
        <x:v>RED</x:v>
      </x:c>
      <x:c r="C1182" s="48" t="str">
        <x:v>English</x:v>
      </x:c>
      <x:c r="D1182" s="48" t="n">
        <x:v>70</x:v>
      </x:c>
      <x:c r="E1182" s="48" t="str"/>
      <x:c r="F1182" s="48" t="str">
        <x:v>The Contractor shall indemnify and hold the Employer harmless against and from any other claim which arises out of or in relation to (i) the manufacture, use, sale or import of any Goods, or (ii) any design for which the Contractor is responsible.</x:v>
      </x:c>
      <x:c r="G1182" s="48" t="str">
        <x:v>Obligation</x:v>
      </x:c>
      <x:c r="H1182" s="48" t="str">
        <x:v>Contractor</x:v>
      </x:c>
      <x:c r="I1182" s="48" t="n">
        <x:v>0.88</x:v>
      </x:c>
      <x:c r="J1182" s="48" t="n">
        <x:v>0.92</x:v>
      </x:c>
      <x:c r="K1182" s="48" t="str">
        <x:v>No</x:v>
      </x:c>
      <x:c r="L1182" s="48" t="str">
        <x:v>PDF text</x:v>
      </x:c>
    </x:row>
    <x:row r="1183">
      <x:c r="A1183" s="48" t="str">
        <x:v>RED-1182</x:v>
      </x:c>
      <x:c r="B1183" s="48" t="str">
        <x:v>RED</x:v>
      </x:c>
      <x:c r="C1183" s="48" t="str">
        <x:v>English</x:v>
      </x:c>
      <x:c r="D1183" s="48" t="n">
        <x:v>70</x:v>
      </x:c>
      <x:c r="E1183" s="48" t="str"/>
      <x:c r="F1183" s="48" t="str">
        <x:v>If a Party is entitled to be indemnified under this Sub-Clause, the indemnifying Party may (at its cost) conduct negotiations for the settlement of the claim, and any litigation or arbitration which may arise from it.</x:v>
      </x:c>
      <x:c r="G1183" s="48" t="str">
        <x:v>Right</x:v>
      </x:c>
      <x:c r="H1183" s="48" t="str">
        <x:v>Shared</x:v>
      </x:c>
      <x:c r="I1183" s="48" t="n">
        <x:v>0.78</x:v>
      </x:c>
      <x:c r="J1183" s="48" t="n">
        <x:v>0.4</x:v>
      </x:c>
      <x:c r="K1183" s="48" t="str">
        <x:v>Yes</x:v>
      </x:c>
      <x:c r="L1183" s="48" t="str">
        <x:v>PDF text</x:v>
      </x:c>
    </x:row>
    <x:row r="1184">
      <x:c r="A1184" s="48" t="str">
        <x:v>RED-1183</x:v>
      </x:c>
      <x:c r="B1184" s="48" t="str">
        <x:v>RED</x:v>
      </x:c>
      <x:c r="C1184" s="48" t="str">
        <x:v>English</x:v>
      </x:c>
      <x:c r="D1184" s="48" t="n">
        <x:v>70</x:v>
      </x:c>
      <x:c r="E1184" s="48" t="str"/>
      <x:c r="F1184" s="48" t="str">
        <x:v>The other Party shall, at the request and cost of the indemnifying Party, assist in contesting the claim.</x:v>
      </x:c>
      <x:c r="G1184" s="48" t="str">
        <x:v>Obligation</x:v>
      </x:c>
      <x:c r="H1184" s="48" t="str">
        <x:v>Shared</x:v>
      </x:c>
      <x:c r="I1184" s="48" t="n">
        <x:v>0.88</x:v>
      </x:c>
      <x:c r="J1184" s="48" t="n">
        <x:v>0.4</x:v>
      </x:c>
      <x:c r="K1184" s="48" t="str">
        <x:v>Yes</x:v>
      </x:c>
      <x:c r="L1184" s="48" t="str">
        <x:v>PDF text</x:v>
      </x:c>
    </x:row>
    <x:row r="1185">
      <x:c r="A1185" s="48" t="str">
        <x:v>RED-1184</x:v>
      </x:c>
      <x:c r="B1185" s="48" t="str">
        <x:v>RED</x:v>
      </x:c>
      <x:c r="C1185" s="48" t="str">
        <x:v>English</x:v>
      </x:c>
      <x:c r="D1185" s="48" t="n">
        <x:v>70</x:v>
      </x:c>
      <x:c r="E1185" s="48" t="str"/>
      <x:c r="F1185" s="48" t="str">
        <x:v>This other Party (and its</x:v>
      </x:c>
      <x:c r="G1185" s="48" t="str">
        <x:v>Obligation</x:v>
      </x:c>
      <x:c r="H1185" s="48" t="str">
        <x:v>Shared</x:v>
      </x:c>
      <x:c r="I1185" s="48" t="n">
        <x:v>0.45</x:v>
      </x:c>
      <x:c r="J1185" s="48" t="n">
        <x:v>0.4</x:v>
      </x:c>
      <x:c r="K1185" s="48" t="str">
        <x:v>Yes</x:v>
      </x:c>
      <x:c r="L1185" s="48" t="str">
        <x:v>PDF text</x:v>
      </x:c>
    </x:row>
    <x:row r="1186">
      <x:c r="A1186" s="48" t="str">
        <x:v>RED-1185</x:v>
      </x:c>
      <x:c r="B1186" s="48" t="str">
        <x:v>RED</x:v>
      </x:c>
      <x:c r="C1186" s="48" t="str">
        <x:v>English</x:v>
      </x:c>
      <x:c r="D1186" s="48" t="n">
        <x:v>70</x:v>
      </x:c>
      <x:c r="E1186" s="48" t="str"/>
      <x:c r="F1186" s="48" t="str">
        <x:v>Personnel) shall not make any admission which might be prejudicial to the</x:v>
      </x:c>
      <x:c r="G1186" s="48" t="str">
        <x:v>Obligation</x:v>
      </x:c>
      <x:c r="H1186" s="48" t="str">
        <x:v>Shared</x:v>
      </x:c>
      <x:c r="I1186" s="48" t="n">
        <x:v>0.88</x:v>
      </x:c>
      <x:c r="J1186" s="48" t="n">
        <x:v>0.4</x:v>
      </x:c>
      <x:c r="K1186" s="48" t="str">
        <x:v>Yes</x:v>
      </x:c>
      <x:c r="L1186" s="48" t="str">
        <x:v>PDF text</x:v>
      </x:c>
    </x:row>
    <x:row r="1187">
      <x:c r="A1187" s="48" t="str">
        <x:v>RED-1186</x:v>
      </x:c>
      <x:c r="B1187" s="48" t="str">
        <x:v>RED</x:v>
      </x:c>
      <x:c r="C1187" s="48" t="str">
        <x:v>English</x:v>
      </x:c>
      <x:c r="D1187" s="48" t="n">
        <x:v>70</x:v>
      </x:c>
      <x:c r="E1187" s="48" t="str"/>
      <x:c r="F1187" s="48" t="str">
        <x:v>indemnifying Party, unless the indemnifying Party failed to take over the conduct of any negotiations, litigation or arbitration upon being requested to do so by such other Party.</x:v>
      </x:c>
      <x:c r="G1187" s="48" t="str">
        <x:v>Obligation</x:v>
      </x:c>
      <x:c r="H1187" s="48" t="str">
        <x:v>Shared</x:v>
      </x:c>
      <x:c r="I1187" s="48" t="n">
        <x:v>0.45</x:v>
      </x:c>
      <x:c r="J1187" s="48" t="n">
        <x:v>0.4</x:v>
      </x:c>
      <x:c r="K1187" s="48" t="str">
        <x:v>Yes</x:v>
      </x:c>
      <x:c r="L1187" s="48" t="str">
        <x:v>PDF text</x:v>
      </x:c>
    </x:row>
    <x:row r="1188">
      <x:c r="A1188" s="48" t="str">
        <x:v>RED-1187</x:v>
      </x:c>
      <x:c r="B1188" s="48" t="str">
        <x:v>RED</x:v>
      </x:c>
      <x:c r="C1188" s="48" t="str">
        <x:v>English</x:v>
      </x:c>
      <x:c r="D1188" s="48" t="n">
        <x:v>70</x:v>
      </x:c>
      <x:c r="E1188" s="48" t="str"/>
      <x:c r="F1188" s="48" t="str">
        <x:v>Neither Party shall be liable to the other Party for loss of use of any Works, loss of profit, loss of any contract or for any indirect or consequential loss or damage which may be suffered by the other Party in connection with the Contract, provided that this exclusion shall not apply to any obligation of the Contractor to pay Delay Damages to the Employer under Sub-Clause 8.7 [Delay Damages].</x:v>
      </x:c>
      <x:c r="G1188" s="48" t="str">
        <x:v>Risk</x:v>
      </x:c>
      <x:c r="H1188" s="48" t="str">
        <x:v>Shared</x:v>
      </x:c>
      <x:c r="I1188" s="48" t="n">
        <x:v>0.78</x:v>
      </x:c>
      <x:c r="J1188" s="48" t="n">
        <x:v>0.6</x:v>
      </x:c>
      <x:c r="K1188" s="48" t="str">
        <x:v>Yes</x:v>
      </x:c>
      <x:c r="L1188" s="48" t="str">
        <x:v>PDF text</x:v>
      </x:c>
    </x:row>
    <x:row r="1189">
      <x:c r="A1189" s="48" t="str">
        <x:v>RED-1188</x:v>
      </x:c>
      <x:c r="B1189" s="48" t="str">
        <x:v>RED</x:v>
      </x:c>
      <x:c r="C1189" s="48" t="str">
        <x:v>English</x:v>
      </x:c>
      <x:c r="D1189" s="48" t="n">
        <x:v>70</x:v>
      </x:c>
      <x:c r="E1189" s="48" t="str"/>
      <x:c r="F1189" s="48" t="str">
        <x:v>The total liability of the Contractor to the Employer, under or in connection with the Contract other than under Sub-Clause 4.19 [Electricity, Water and Gas], Sub-Clause</x:v>
      </x:c>
      <x:c r="G1189" s="48" t="str">
        <x:v>Risk</x:v>
      </x:c>
      <x:c r="H1189" s="48" t="str">
        <x:v>Shared</x:v>
      </x:c>
      <x:c r="I1189" s="48" t="n">
        <x:v>0.78</x:v>
      </x:c>
      <x:c r="J1189" s="48" t="n">
        <x:v>0.6</x:v>
      </x:c>
      <x:c r="K1189" s="48" t="str">
        <x:v>Yes</x:v>
      </x:c>
      <x:c r="L1189" s="48" t="str">
        <x:v>PDF text</x:v>
      </x:c>
    </x:row>
    <x:row r="1190">
      <x:c r="A1190" s="48" t="str">
        <x:v>RED-1189</x:v>
      </x:c>
      <x:c r="B1190" s="48" t="str">
        <x:v>RED</x:v>
      </x:c>
      <x:c r="C1190" s="48" t="str">
        <x:v>English</x:v>
      </x:c>
      <x:c r="D1190" s="48" t="n">
        <x:v>70</x:v>
      </x:c>
      <x:c r="E1190" s="48" t="str">
        <x:v>4.20</x:v>
      </x:c>
      <x:c r="F1190" s="48" t="str">
        <x:v>4.20 [Employer’s Equipment and Free-Issue Material], Sub-Clause 17.1 [Indemnities]</x:v>
      </x:c>
      <x:c r="G1190" s="48" t="str">
        <x:v>Obligation</x:v>
      </x:c>
      <x:c r="H1190" s="48" t="str">
        <x:v>Employer</x:v>
      </x:c>
      <x:c r="I1190" s="48" t="n">
        <x:v>0.45</x:v>
      </x:c>
      <x:c r="J1190" s="48" t="n">
        <x:v>0.68</x:v>
      </x:c>
      <x:c r="K1190" s="48" t="str">
        <x:v>Yes</x:v>
      </x:c>
      <x:c r="L1190" s="48" t="str">
        <x:v>PDF text</x:v>
      </x:c>
    </x:row>
    <x:row r="1191">
      <x:c r="A1191" s="48" t="str">
        <x:v>RED-1190</x:v>
      </x:c>
      <x:c r="B1191" s="48" t="str">
        <x:v>RED</x:v>
      </x:c>
      <x:c r="C1191" s="48" t="str">
        <x:v>English</x:v>
      </x:c>
      <x:c r="D1191" s="48" t="n">
        <x:v>70</x:v>
      </x:c>
      <x:c r="E1191" s="48" t="str"/>
      <x:c r="F1191" s="48" t="str">
        <x:v>and Sub-Clause 17.5 [Intellectual and Industrial Property Rights], shall not exceed the sum resulting from the application of a multiplier (less or greater than one) to the Accepted Contract Amount, as stated in the Contract Data, or (if such multiplier or other sum is not so stated), the Accepted Contract Amount.</x:v>
      </x:c>
      <x:c r="G1191" s="48" t="str">
        <x:v>Obligation</x:v>
      </x:c>
      <x:c r="H1191" s="48" t="str">
        <x:v>Shared</x:v>
      </x:c>
      <x:c r="I1191" s="48" t="n">
        <x:v>0.88</x:v>
      </x:c>
      <x:c r="J1191" s="48" t="n">
        <x:v>0.4</x:v>
      </x:c>
      <x:c r="K1191" s="48" t="str">
        <x:v>Yes</x:v>
      </x:c>
      <x:c r="L1191" s="48" t="str">
        <x:v>PDF text</x:v>
      </x:c>
    </x:row>
    <x:row r="1192">
      <x:c r="A1192" s="48" t="str">
        <x:v>RED-1191</x:v>
      </x:c>
      <x:c r="B1192" s="48" t="str">
        <x:v>RED</x:v>
      </x:c>
      <x:c r="C1192" s="48" t="str">
        <x:v>English</x:v>
      </x:c>
      <x:c r="D1192" s="48" t="n">
        <x:v>70</x:v>
      </x:c>
      <x:c r="E1192" s="48" t="str"/>
      <x:c r="F1192" s="48" t="str">
        <x:v>This Sub-Clause shall not limit liability in any case of fraud, deliberate default or reckless misconduct by the defaulting Party.</x:v>
      </x:c>
      <x:c r="G1192" s="48" t="str">
        <x:v>Risk</x:v>
      </x:c>
      <x:c r="H1192" s="48" t="str">
        <x:v>Shared</x:v>
      </x:c>
      <x:c r="I1192" s="48" t="n">
        <x:v>0.78</x:v>
      </x:c>
      <x:c r="J1192" s="48" t="n">
        <x:v>0.4</x:v>
      </x:c>
      <x:c r="K1192" s="48" t="str">
        <x:v>Yes</x:v>
      </x:c>
      <x:c r="L1192" s="48" t="str">
        <x:v>PDF text</x:v>
      </x:c>
    </x:row>
    <x:row r="1193">
      <x:c r="A1193" s="48" t="str">
        <x:v>RED-1192</x:v>
      </x:c>
      <x:c r="B1193" s="48" t="str">
        <x:v>RED</x:v>
      </x:c>
      <x:c r="C1193" s="48" t="str">
        <x:v>English</x:v>
      </x:c>
      <x:c r="D1193" s="48" t="n">
        <x:v>70</x:v>
      </x:c>
      <x:c r="E1193" s="48" t="str"/>
      <x:c r="F1193" s="48" t="str">
        <x:v>The Contractor shall take full responsibility for the care of the Employer provided accommodation and facilities, if any, as detailed in the Specification, from the respective dates of hand-over to the Contractor until cessation of occupation (where 17.5</x:v>
      </x:c>
      <x:c r="G1193" s="48" t="str">
        <x:v>Obligation</x:v>
      </x:c>
      <x:c r="H1193" s="48" t="str">
        <x:v>Contractor</x:v>
      </x:c>
      <x:c r="I1193" s="48" t="n">
        <x:v>0.88</x:v>
      </x:c>
      <x:c r="J1193" s="48" t="n">
        <x:v>0.92</x:v>
      </x:c>
      <x:c r="K1193" s="48" t="str">
        <x:v>No</x:v>
      </x:c>
      <x:c r="L1193" s="48" t="str">
        <x:v>PDF text</x:v>
      </x:c>
    </x:row>
    <x:row r="1194">
      <x:c r="A1194" s="48" t="str">
        <x:v>RED-1193</x:v>
      </x:c>
      <x:c r="B1194" s="48" t="str">
        <x:v>RED</x:v>
      </x:c>
      <x:c r="C1194" s="48" t="str">
        <x:v>English</x:v>
      </x:c>
      <x:c r="D1194" s="48" t="n">
        <x:v>70</x:v>
      </x:c>
      <x:c r="E1194" s="48" t="str"/>
      <x:c r="F1194" s="48" t="str">
        <x:v>Intellectual and Industrial</x:v>
      </x:c>
      <x:c r="G1194" s="48" t="str">
        <x:v>Obligation</x:v>
      </x:c>
      <x:c r="H1194" s="48" t="str">
        <x:v>Shared</x:v>
      </x:c>
      <x:c r="I1194" s="48" t="n">
        <x:v>0.45</x:v>
      </x:c>
      <x:c r="J1194" s="48" t="n">
        <x:v>0.4</x:v>
      </x:c>
      <x:c r="K1194" s="48" t="str">
        <x:v>Yes</x:v>
      </x:c>
      <x:c r="L1194" s="48" t="str">
        <x:v>PDF text</x:v>
      </x:c>
    </x:row>
    <x:row r="1195">
      <x:c r="A1195" s="48" t="str">
        <x:v>RED-1194</x:v>
      </x:c>
      <x:c r="B1195" s="48" t="str">
        <x:v>RED</x:v>
      </x:c>
      <x:c r="C1195" s="48" t="str">
        <x:v>English</x:v>
      </x:c>
      <x:c r="D1195" s="48" t="n">
        <x:v>70</x:v>
      </x:c>
      <x:c r="E1195" s="48" t="str"/>
      <x:c r="F1195" s="48" t="str">
        <x:v>Property Rights</x:v>
      </x:c>
      <x:c r="G1195" s="48" t="str">
        <x:v>Obligation</x:v>
      </x:c>
      <x:c r="H1195" s="48" t="str">
        <x:v>Shared</x:v>
      </x:c>
      <x:c r="I1195" s="48" t="n">
        <x:v>0.45</x:v>
      </x:c>
      <x:c r="J1195" s="48" t="n">
        <x:v>0.4</x:v>
      </x:c>
      <x:c r="K1195" s="48" t="str">
        <x:v>Yes</x:v>
      </x:c>
      <x:c r="L1195" s="48" t="str">
        <x:v>PDF text</x:v>
      </x:c>
    </x:row>
    <x:row r="1196">
      <x:c r="A1196" s="48" t="str">
        <x:v>RED-1195</x:v>
      </x:c>
      <x:c r="B1196" s="48" t="str">
        <x:v>RED</x:v>
      </x:c>
      <x:c r="C1196" s="48" t="str">
        <x:v>English</x:v>
      </x:c>
      <x:c r="D1196" s="48" t="n">
        <x:v>70</x:v>
      </x:c>
      <x:c r="E1196" s="48" t="str"/>
      <x:c r="F1196" s="48" t="str">
        <x:v>Limitation of Liability</x:v>
      </x:c>
      <x:c r="G1196" s="48" t="str">
        <x:v>Risk</x:v>
      </x:c>
      <x:c r="H1196" s="48" t="str">
        <x:v>Shared</x:v>
      </x:c>
      <x:c r="I1196" s="48" t="n">
        <x:v>0.78</x:v>
      </x:c>
      <x:c r="J1196" s="48" t="n">
        <x:v>0.4</x:v>
      </x:c>
      <x:c r="K1196" s="48" t="str">
        <x:v>Yes</x:v>
      </x:c>
      <x:c r="L1196" s="48" t="str">
        <x:v>PDF text</x:v>
      </x:c>
    </x:row>
    <x:row r="1197">
      <x:c r="A1197" s="48" t="str">
        <x:v>RED-1196</x:v>
      </x:c>
      <x:c r="B1197" s="48" t="str">
        <x:v>RED</x:v>
      </x:c>
      <x:c r="C1197" s="48" t="str">
        <x:v>English</x:v>
      </x:c>
      <x:c r="D1197" s="48" t="n">
        <x:v>70</x:v>
      </x:c>
      <x:c r="E1197" s="48" t="str"/>
      <x:c r="F1197" s="48" t="str">
        <x:v>Use of Employer’s</x:v>
      </x:c>
      <x:c r="G1197" s="48" t="str">
        <x:v>Obligation</x:v>
      </x:c>
      <x:c r="H1197" s="48" t="str">
        <x:v>Employer</x:v>
      </x:c>
      <x:c r="I1197" s="48" t="n">
        <x:v>0.45</x:v>
      </x:c>
      <x:c r="J1197" s="48" t="n">
        <x:v>0.68</x:v>
      </x:c>
      <x:c r="K1197" s="48" t="str">
        <x:v>Yes</x:v>
      </x:c>
      <x:c r="L1197" s="48" t="str">
        <x:v>PDF text</x:v>
      </x:c>
    </x:row>
    <x:row r="1198">
      <x:c r="A1198" s="48" t="str">
        <x:v>RED-1197</x:v>
      </x:c>
      <x:c r="B1198" s="48" t="str">
        <x:v>RED</x:v>
      </x:c>
      <x:c r="C1198" s="48" t="str">
        <x:v>English</x:v>
      </x:c>
      <x:c r="D1198" s="48" t="n">
        <x:v>70</x:v>
      </x:c>
      <x:c r="E1198" s="48" t="str"/>
      <x:c r="F1198" s="48" t="str">
        <x:v>Accommodation/Facilities</x:v>
      </x:c>
      <x:c r="G1198" s="48" t="str">
        <x:v>Obligation</x:v>
      </x:c>
      <x:c r="H1198" s="48" t="str">
        <x:v>Shared</x:v>
      </x:c>
      <x:c r="I1198" s="48" t="n">
        <x:v>0.45</x:v>
      </x:c>
      <x:c r="J1198" s="48" t="n">
        <x:v>0.4</x:v>
      </x:c>
      <x:c r="K1198" s="48" t="str">
        <x:v>Yes</x:v>
      </x:c>
      <x:c r="L1198" s="48" t="str">
        <x:v>PDF text</x:v>
      </x:c>
    </x:row>
    <x:row r="1199">
      <x:c r="A1199" s="48" t="str">
        <x:v>RED-1198</x:v>
      </x:c>
      <x:c r="B1199" s="48" t="str">
        <x:v>RED</x:v>
      </x:c>
      <x:c r="C1199" s="48" t="str">
        <x:v>English</x:v>
      </x:c>
      <x:c r="D1199" s="48" t="n">
        <x:v>71</x:v>
      </x:c>
      <x:c r="E1199" s="48" t="str"/>
      <x:c r="F1199" s="48" t="str">
        <x:v>hand-over or cessation of occupation may take place after the date stated in the Taking-Over Certificate for the Works).</x:v>
      </x:c>
      <x:c r="G1199" s="48" t="str">
        <x:v>Right</x:v>
      </x:c>
      <x:c r="H1199" s="48" t="str">
        <x:v>Shared</x:v>
      </x:c>
      <x:c r="I1199" s="48" t="n">
        <x:v>0.78</x:v>
      </x:c>
      <x:c r="J1199" s="48" t="n">
        <x:v>0.4</x:v>
      </x:c>
      <x:c r="K1199" s="48" t="str">
        <x:v>Yes</x:v>
      </x:c>
      <x:c r="L1199" s="48" t="str">
        <x:v>PDF text</x:v>
      </x:c>
    </x:row>
    <x:row r="1200">
      <x:c r="A1200" s="48" t="str">
        <x:v>RED-1199</x:v>
      </x:c>
      <x:c r="B1200" s="48" t="str">
        <x:v>RED</x:v>
      </x:c>
      <x:c r="C1200" s="48" t="str">
        <x:v>English</x:v>
      </x:c>
      <x:c r="D1200" s="48" t="n">
        <x:v>71</x:v>
      </x:c>
      <x:c r="E1200" s="48" t="str"/>
      <x:c r="F1200" s="48" t="str">
        <x:v>If any loss or damage happens to any of the above items while the Contractor is</x:v>
      </x:c>
      <x:c r="G1200" s="48" t="str">
        <x:v>Risk</x:v>
      </x:c>
      <x:c r="H1200" s="48" t="str">
        <x:v>Contractor</x:v>
      </x:c>
      <x:c r="I1200" s="48" t="n">
        <x:v>0.78</x:v>
      </x:c>
      <x:c r="J1200" s="48" t="n">
        <x:v>0.68</x:v>
      </x:c>
      <x:c r="K1200" s="48" t="str">
        <x:v>Yes</x:v>
      </x:c>
      <x:c r="L1200" s="48" t="str">
        <x:v>PDF text</x:v>
      </x:c>
    </x:row>
    <x:row r="1201">
      <x:c r="A1201" s="48" t="str">
        <x:v>RED-1200</x:v>
      </x:c>
      <x:c r="B1201" s="48" t="str">
        <x:v>RED</x:v>
      </x:c>
      <x:c r="C1201" s="48" t="str">
        <x:v>English</x:v>
      </x:c>
      <x:c r="D1201" s="48" t="n">
        <x:v>71</x:v>
      </x:c>
      <x:c r="E1201" s="48" t="str"/>
      <x:c r="F1201" s="48" t="str">
        <x:v>responsible for their care arising from any cause whatsoever other than those for which the Employer is liable, the Contractor shall, at his own cost, rectify the loss or damage to the satisfaction of the Engineer.</x:v>
      </x:c>
      <x:c r="G1201" s="48" t="str">
        <x:v>Risk</x:v>
      </x:c>
      <x:c r="H1201" s="48" t="str">
        <x:v>Contractor</x:v>
      </x:c>
      <x:c r="I1201" s="48" t="n">
        <x:v>0.78</x:v>
      </x:c>
      <x:c r="J1201" s="48" t="n">
        <x:v>0.92</x:v>
      </x:c>
      <x:c r="K1201" s="48" t="str">
        <x:v>No</x:v>
      </x:c>
      <x:c r="L1201" s="48" t="str">
        <x:v>PDF text</x:v>
      </x:c>
    </x:row>
    <x:row r="1202">
      <x:c r="A1202" s="48" t="str">
        <x:v>RED-1201</x:v>
      </x:c>
      <x:c r="B1202" s="48" t="str">
        <x:v>RED</x:v>
      </x:c>
      <x:c r="C1202" s="48" t="str">
        <x:v>English</x:v>
      </x:c>
      <x:c r="D1202" s="48" t="n">
        <x:v>71</x:v>
      </x:c>
      <x:c r="E1202" s="48" t="str"/>
      <x:c r="F1202" s="48" t="str">
        <x:v>In this Clause, “insuring Party” means, for each type of insurance, the Party responsible for effecting and maintaining the insurance specified in the relevant Sub-Clause.</x:v>
      </x:c>
      <x:c r="G1202" s="48" t="str">
        <x:v>Definition</x:v>
      </x:c>
      <x:c r="H1202" s="48" t="str"/>
      <x:c r="I1202" s="48" t="n">
        <x:v>0.97</x:v>
      </x:c>
      <x:c r="J1202" s="48" t="n">
        <x:v>0.99</x:v>
      </x:c>
      <x:c r="K1202" s="48" t="str">
        <x:v>No</x:v>
      </x:c>
      <x:c r="L1202" s="48" t="str">
        <x:v>PDF text</x:v>
      </x:c>
    </x:row>
    <x:row r="1203">
      <x:c r="A1203" s="48" t="str">
        <x:v>RED-1202</x:v>
      </x:c>
      <x:c r="B1203" s="48" t="str">
        <x:v>RED</x:v>
      </x:c>
      <x:c r="C1203" s="48" t="str">
        <x:v>English</x:v>
      </x:c>
      <x:c r="D1203" s="48" t="n">
        <x:v>71</x:v>
      </x:c>
      <x:c r="E1203" s="48" t="str"/>
      <x:c r="F1203" s="48" t="str">
        <x:v>Wherever the Contractor is the insuring Party, each insurance shall be effected with insurers and in terms approved by the Employer.</x:v>
      </x:c>
      <x:c r="G1203" s="48" t="str">
        <x:v>Obligation</x:v>
      </x:c>
      <x:c r="H1203" s="48" t="str">
        <x:v>Shared</x:v>
      </x:c>
      <x:c r="I1203" s="48" t="n">
        <x:v>0.88</x:v>
      </x:c>
      <x:c r="J1203" s="48" t="n">
        <x:v>0.6</x:v>
      </x:c>
      <x:c r="K1203" s="48" t="str">
        <x:v>Yes</x:v>
      </x:c>
      <x:c r="L1203" s="48" t="str">
        <x:v>PDF text</x:v>
      </x:c>
    </x:row>
    <x:row r="1204">
      <x:c r="A1204" s="48" t="str">
        <x:v>RED-1203</x:v>
      </x:c>
      <x:c r="B1204" s="48" t="str">
        <x:v>RED</x:v>
      </x:c>
      <x:c r="C1204" s="48" t="str">
        <x:v>English</x:v>
      </x:c>
      <x:c r="D1204" s="48" t="n">
        <x:v>71</x:v>
      </x:c>
      <x:c r="E1204" s="48" t="str"/>
      <x:c r="F1204" s="48" t="str">
        <x:v>These terms shall be consistent with any terms agreed by both Parties before the date of the Letter of Acceptance.</x:v>
      </x:c>
      <x:c r="G1204" s="48" t="str">
        <x:v>Obligation</x:v>
      </x:c>
      <x:c r="H1204" s="48" t="str">
        <x:v>Shared</x:v>
      </x:c>
      <x:c r="I1204" s="48" t="n">
        <x:v>0.88</x:v>
      </x:c>
      <x:c r="J1204" s="48" t="n">
        <x:v>0.93</x:v>
      </x:c>
      <x:c r="K1204" s="48" t="str">
        <x:v>No</x:v>
      </x:c>
      <x:c r="L1204" s="48" t="str">
        <x:v>PDF text</x:v>
      </x:c>
    </x:row>
    <x:row r="1205">
      <x:c r="A1205" s="48" t="str">
        <x:v>RED-1204</x:v>
      </x:c>
      <x:c r="B1205" s="48" t="str">
        <x:v>RED</x:v>
      </x:c>
      <x:c r="C1205" s="48" t="str">
        <x:v>English</x:v>
      </x:c>
      <x:c r="D1205" s="48" t="n">
        <x:v>71</x:v>
      </x:c>
      <x:c r="E1205" s="48" t="str"/>
      <x:c r="F1205" s="48" t="str">
        <x:v>This agreement of terms shall take precedence over the provisions of this Clause.</x:v>
      </x:c>
      <x:c r="G1205" s="48" t="str">
        <x:v>Obligation</x:v>
      </x:c>
      <x:c r="H1205" s="48" t="str">
        <x:v>Shared</x:v>
      </x:c>
      <x:c r="I1205" s="48" t="n">
        <x:v>0.88</x:v>
      </x:c>
      <x:c r="J1205" s="48" t="n">
        <x:v>0.4</x:v>
      </x:c>
      <x:c r="K1205" s="48" t="str">
        <x:v>Yes</x:v>
      </x:c>
      <x:c r="L1205" s="48" t="str">
        <x:v>PDF text</x:v>
      </x:c>
    </x:row>
    <x:row r="1206">
      <x:c r="A1206" s="48" t="str">
        <x:v>RED-1205</x:v>
      </x:c>
      <x:c r="B1206" s="48" t="str">
        <x:v>RED</x:v>
      </x:c>
      <x:c r="C1206" s="48" t="str">
        <x:v>English</x:v>
      </x:c>
      <x:c r="D1206" s="48" t="n">
        <x:v>71</x:v>
      </x:c>
      <x:c r="E1206" s="48" t="str"/>
      <x:c r="F1206" s="48" t="str">
        <x:v>Wherever the Employer is the insuring Party, each insurance shall be effected with insurers and in terms consistent with the details annexed to the Particular Conditions.</x:v>
      </x:c>
      <x:c r="G1206" s="48" t="str">
        <x:v>Obligation</x:v>
      </x:c>
      <x:c r="H1206" s="48" t="str">
        <x:v>Employer</x:v>
      </x:c>
      <x:c r="I1206" s="48" t="n">
        <x:v>0.88</x:v>
      </x:c>
      <x:c r="J1206" s="48" t="n">
        <x:v>0.68</x:v>
      </x:c>
      <x:c r="K1206" s="48" t="str">
        <x:v>Yes</x:v>
      </x:c>
      <x:c r="L1206" s="48" t="str">
        <x:v>PDF text</x:v>
      </x:c>
    </x:row>
    <x:row r="1207">
      <x:c r="A1207" s="48" t="str">
        <x:v>RED-1206</x:v>
      </x:c>
      <x:c r="B1207" s="48" t="str">
        <x:v>RED</x:v>
      </x:c>
      <x:c r="C1207" s="48" t="str">
        <x:v>English</x:v>
      </x:c>
      <x:c r="D1207" s="48" t="n">
        <x:v>71</x:v>
      </x:c>
      <x:c r="E1207" s="48" t="str"/>
      <x:c r="F1207" s="48" t="str">
        <x:v>If a policy is required to indemnify joint insured, the cover shall apply separately to each insured as though a separate policy had been issued for each of the joint insured.</x:v>
      </x:c>
      <x:c r="G1207" s="48" t="str">
        <x:v>Obligation</x:v>
      </x:c>
      <x:c r="H1207" s="48" t="str">
        <x:v>Shared</x:v>
      </x:c>
      <x:c r="I1207" s="48" t="n">
        <x:v>0.88</x:v>
      </x:c>
      <x:c r="J1207" s="48" t="n">
        <x:v>0.4</x:v>
      </x:c>
      <x:c r="K1207" s="48" t="str">
        <x:v>Yes</x:v>
      </x:c>
      <x:c r="L1207" s="48" t="str">
        <x:v>PDF text</x:v>
      </x:c>
    </x:row>
    <x:row r="1208">
      <x:c r="A1208" s="48" t="str">
        <x:v>RED-1207</x:v>
      </x:c>
      <x:c r="B1208" s="48" t="str">
        <x:v>RED</x:v>
      </x:c>
      <x:c r="C1208" s="48" t="str">
        <x:v>English</x:v>
      </x:c>
      <x:c r="D1208" s="48" t="n">
        <x:v>71</x:v>
      </x:c>
      <x:c r="E1208" s="48" t="str"/>
      <x:c r="F1208" s="48" t="str">
        <x:v>If a policy indemnifies additional joint insured, namely in addition to the insured specified in this Clause, (i) the Contractor shall act under the policy on behalf of these additional joint insured except that the Employer shall act for Employer’s Personnel, (ii) additional joint insured shall not be entitled to receive payments directly from the insurer or to have any other direct dealings with the insurer, and (iii) the insuring Party shall require all additional joint insured to comply with the conditions stipulated in the policy.</x:v>
      </x:c>
      <x:c r="G1208" s="48" t="str">
        <x:v>Obligation</x:v>
      </x:c>
      <x:c r="H1208" s="48" t="str">
        <x:v>Contractor</x:v>
      </x:c>
      <x:c r="I1208" s="48" t="n">
        <x:v>0.88</x:v>
      </x:c>
      <x:c r="J1208" s="48" t="n">
        <x:v>0.92</x:v>
      </x:c>
      <x:c r="K1208" s="48" t="str">
        <x:v>No</x:v>
      </x:c>
      <x:c r="L1208" s="48" t="str">
        <x:v>PDF text</x:v>
      </x:c>
    </x:row>
    <x:row r="1209">
      <x:c r="A1209" s="48" t="str">
        <x:v>RED-1208</x:v>
      </x:c>
      <x:c r="B1209" s="48" t="str">
        <x:v>RED</x:v>
      </x:c>
      <x:c r="C1209" s="48" t="str">
        <x:v>English</x:v>
      </x:c>
      <x:c r="D1209" s="48" t="n">
        <x:v>71</x:v>
      </x:c>
      <x:c r="E1209" s="48" t="str"/>
      <x:c r="F1209" s="48" t="str">
        <x:v>Each policy insuring against loss or damage shall provide for payments to be made in the currencies required to rectify the loss or damage.</x:v>
      </x:c>
      <x:c r="G1209" s="48" t="str">
        <x:v>Obligation</x:v>
      </x:c>
      <x:c r="H1209" s="48" t="str">
        <x:v>Shared</x:v>
      </x:c>
      <x:c r="I1209" s="48" t="n">
        <x:v>0.88</x:v>
      </x:c>
      <x:c r="J1209" s="48" t="n">
        <x:v>0.4</x:v>
      </x:c>
      <x:c r="K1209" s="48" t="str">
        <x:v>Yes</x:v>
      </x:c>
      <x:c r="L1209" s="48" t="str">
        <x:v>PDF text</x:v>
      </x:c>
    </x:row>
    <x:row r="1210">
      <x:c r="A1210" s="48" t="str">
        <x:v>RED-1209</x:v>
      </x:c>
      <x:c r="B1210" s="48" t="str">
        <x:v>RED</x:v>
      </x:c>
      <x:c r="C1210" s="48" t="str">
        <x:v>English</x:v>
      </x:c>
      <x:c r="D1210" s="48" t="n">
        <x:v>71</x:v>
      </x:c>
      <x:c r="E1210" s="48" t="str"/>
      <x:c r="F1210" s="48" t="str">
        <x:v>Payments received from insurers shall be used for the rectification of the loss or damage.</x:v>
      </x:c>
      <x:c r="G1210" s="48" t="str">
        <x:v>Obligation</x:v>
      </x:c>
      <x:c r="H1210" s="48" t="str">
        <x:v>Shared</x:v>
      </x:c>
      <x:c r="I1210" s="48" t="n">
        <x:v>0.88</x:v>
      </x:c>
      <x:c r="J1210" s="48" t="n">
        <x:v>0.4</x:v>
      </x:c>
      <x:c r="K1210" s="48" t="str">
        <x:v>Yes</x:v>
      </x:c>
      <x:c r="L1210" s="48" t="str">
        <x:v>PDF text</x:v>
      </x:c>
    </x:row>
    <x:row r="1211">
      <x:c r="A1211" s="48" t="str">
        <x:v>RED-1210</x:v>
      </x:c>
      <x:c r="B1211" s="48" t="str">
        <x:v>RED</x:v>
      </x:c>
      <x:c r="C1211" s="48" t="str">
        <x:v>English</x:v>
      </x:c>
      <x:c r="D1211" s="48" t="n">
        <x:v>71</x:v>
      </x:c>
      <x:c r="E1211" s="48" t="str"/>
      <x:c r="F1211" s="48" t="str">
        <x:v>The relevant insuring Party shall, within the respective periods stated in the Contract Data (calculated from the Commencement Date), submit to the other Party: (a) evidence that the insurances described in this Clause have been effected, and (b) copies of the policies for the insurances described in Sub-Clause 18.2 [Insurance for Works and Contractor’s Equipment] and Sub-Clause 18.3 [Insurance against Injury to Persons and Damage to Property].</x:v>
      </x:c>
      <x:c r="G1211" s="48" t="str">
        <x:v>Obligation</x:v>
      </x:c>
      <x:c r="H1211" s="48" t="str">
        <x:v>Contractor</x:v>
      </x:c>
      <x:c r="I1211" s="48" t="n">
        <x:v>0.88</x:v>
      </x:c>
      <x:c r="J1211" s="48" t="n">
        <x:v>0.68</x:v>
      </x:c>
      <x:c r="K1211" s="48" t="str">
        <x:v>Yes</x:v>
      </x:c>
      <x:c r="L1211" s="48" t="str">
        <x:v>PDF text</x:v>
      </x:c>
    </x:row>
    <x:row r="1212">
      <x:c r="A1212" s="48" t="str">
        <x:v>RED-1211</x:v>
      </x:c>
      <x:c r="B1212" s="48" t="str">
        <x:v>RED</x:v>
      </x:c>
      <x:c r="C1212" s="48" t="str">
        <x:v>English</x:v>
      </x:c>
      <x:c r="D1212" s="48" t="n">
        <x:v>71</x:v>
      </x:c>
      <x:c r="E1212" s="48" t="str"/>
      <x:c r="F1212" s="48" t="str">
        <x:v>When each premium is paid, the insuring Party shall submit evidence of payment to</x:v>
      </x:c>
      <x:c r="G1212" s="48" t="str">
        <x:v>Obligation</x:v>
      </x:c>
      <x:c r="H1212" s="48" t="str">
        <x:v>Shared</x:v>
      </x:c>
      <x:c r="I1212" s="48" t="n">
        <x:v>0.88</x:v>
      </x:c>
      <x:c r="J1212" s="48" t="n">
        <x:v>0.4</x:v>
      </x:c>
      <x:c r="K1212" s="48" t="str">
        <x:v>Yes</x:v>
      </x:c>
      <x:c r="L1212" s="48" t="str">
        <x:v>PDF text</x:v>
      </x:c>
    </x:row>
    <x:row r="1213">
      <x:c r="A1213" s="48" t="str">
        <x:v>RED-1212</x:v>
      </x:c>
      <x:c r="B1213" s="48" t="str">
        <x:v>RED</x:v>
      </x:c>
      <x:c r="C1213" s="48" t="str">
        <x:v>English</x:v>
      </x:c>
      <x:c r="D1213" s="48" t="n">
        <x:v>71</x:v>
      </x:c>
      <x:c r="E1213" s="48" t="str"/>
      <x:c r="F1213" s="48" t="str">
        <x:v>the other Party.</x:v>
      </x:c>
      <x:c r="G1213" s="48" t="str">
        <x:v>Obligation</x:v>
      </x:c>
      <x:c r="H1213" s="48" t="str">
        <x:v>Shared</x:v>
      </x:c>
      <x:c r="I1213" s="48" t="n">
        <x:v>0.45</x:v>
      </x:c>
      <x:c r="J1213" s="48" t="n">
        <x:v>0.4</x:v>
      </x:c>
      <x:c r="K1213" s="48" t="str">
        <x:v>Yes</x:v>
      </x:c>
      <x:c r="L1213" s="48" t="str">
        <x:v>PDF text</x:v>
      </x:c>
    </x:row>
    <x:row r="1214">
      <x:c r="A1214" s="48" t="str">
        <x:v>RED-1213</x:v>
      </x:c>
      <x:c r="B1214" s="48" t="str">
        <x:v>RED</x:v>
      </x:c>
      <x:c r="C1214" s="48" t="str">
        <x:v>English</x:v>
      </x:c>
      <x:c r="D1214" s="48" t="n">
        <x:v>71</x:v>
      </x:c>
      <x:c r="E1214" s="48" t="str"/>
      <x:c r="F1214" s="48" t="str">
        <x:v>Whenever evidence or policies are submitted, the insuring Party shall also give notice to the Engineer.</x:v>
      </x:c>
      <x:c r="G1214" s="48" t="str">
        <x:v>Obligation</x:v>
      </x:c>
      <x:c r="H1214" s="48" t="str">
        <x:v>Shared</x:v>
      </x:c>
      <x:c r="I1214" s="48" t="n">
        <x:v>0.88</x:v>
      </x:c>
      <x:c r="J1214" s="48" t="n">
        <x:v>0.4</x:v>
      </x:c>
      <x:c r="K1214" s="48" t="str">
        <x:v>Yes</x:v>
      </x:c>
      <x:c r="L1214" s="48" t="str">
        <x:v>PDF text</x:v>
      </x:c>
    </x:row>
    <x:row r="1215">
      <x:c r="A1215" s="48" t="str">
        <x:v>RED-1214</x:v>
      </x:c>
      <x:c r="B1215" s="48" t="str">
        <x:v>RED</x:v>
      </x:c>
      <x:c r="C1215" s="48" t="str">
        <x:v>English</x:v>
      </x:c>
      <x:c r="D1215" s="48" t="n">
        <x:v>71</x:v>
      </x:c>
      <x:c r="E1215" s="48" t="str"/>
      <x:c r="F1215" s="48" t="str">
        <x:v>Each Party shall comply with the conditions stipulated in each of the insurance</x:v>
      </x:c>
      <x:c r="G1215" s="48" t="str">
        <x:v>Obligation</x:v>
      </x:c>
      <x:c r="H1215" s="48" t="str">
        <x:v>Shared</x:v>
      </x:c>
      <x:c r="I1215" s="48" t="n">
        <x:v>0.88</x:v>
      </x:c>
      <x:c r="J1215" s="48" t="n">
        <x:v>0.93</x:v>
      </x:c>
      <x:c r="K1215" s="48" t="str">
        <x:v>No</x:v>
      </x:c>
      <x:c r="L1215" s="48" t="str">
        <x:v>PDF text</x:v>
      </x:c>
    </x:row>
    <x:row r="1216">
      <x:c r="A1216" s="48" t="str">
        <x:v>RED-1215</x:v>
      </x:c>
      <x:c r="B1216" s="48" t="str">
        <x:v>RED</x:v>
      </x:c>
      <x:c r="C1216" s="48" t="str">
        <x:v>English</x:v>
      </x:c>
      <x:c r="D1216" s="48" t="n">
        <x:v>71</x:v>
      </x:c>
      <x:c r="E1216" s="48" t="str"/>
      <x:c r="F1216" s="48" t="str">
        <x:v>policies.</x:v>
      </x:c>
      <x:c r="G1216" s="48" t="str">
        <x:v>Obligation</x:v>
      </x:c>
      <x:c r="H1216" s="48" t="str">
        <x:v>Shared</x:v>
      </x:c>
      <x:c r="I1216" s="48" t="n">
        <x:v>0.45</x:v>
      </x:c>
      <x:c r="J1216" s="48" t="n">
        <x:v>0.4</x:v>
      </x:c>
      <x:c r="K1216" s="48" t="str">
        <x:v>Yes</x:v>
      </x:c>
      <x:c r="L1216" s="48" t="str">
        <x:v>PDF text</x:v>
      </x:c>
    </x:row>
    <x:row r="1217">
      <x:c r="A1217" s="48" t="str">
        <x:v>RED-1216</x:v>
      </x:c>
      <x:c r="B1217" s="48" t="str">
        <x:v>RED</x:v>
      </x:c>
      <x:c r="C1217" s="48" t="str">
        <x:v>English</x:v>
      </x:c>
      <x:c r="D1217" s="48" t="n">
        <x:v>71</x:v>
      </x:c>
      <x:c r="E1217" s="48" t="str"/>
      <x:c r="F1217" s="48" t="str">
        <x:v>The insuring Party shall keep the insurers informed of any relevant changes to the execution of the Works and ensure that insurance is maintained in accordance with this Clause.</x:v>
      </x:c>
      <x:c r="G1217" s="48" t="str">
        <x:v>Obligation</x:v>
      </x:c>
      <x:c r="H1217" s="48" t="str">
        <x:v>Shared</x:v>
      </x:c>
      <x:c r="I1217" s="48" t="n">
        <x:v>0.88</x:v>
      </x:c>
      <x:c r="J1217" s="48" t="n">
        <x:v>0.4</x:v>
      </x:c>
      <x:c r="K1217" s="48" t="str">
        <x:v>Yes</x:v>
      </x:c>
      <x:c r="L1217" s="48" t="str">
        <x:v>PDF text</x:v>
      </x:c>
    </x:row>
    <x:row r="1218">
      <x:c r="A1218" s="48" t="str">
        <x:v>RED-1217</x:v>
      </x:c>
      <x:c r="B1218" s="48" t="str">
        <x:v>RED</x:v>
      </x:c>
      <x:c r="C1218" s="48" t="str">
        <x:v>English</x:v>
      </x:c>
      <x:c r="D1218" s="48" t="n">
        <x:v>71</x:v>
      </x:c>
      <x:c r="E1218" s="48" t="str"/>
      <x:c r="F1218" s="48" t="str">
        <x:v>Neither Party shall make any material alteration to the terms of any insurance without the 18.1</x:v>
      </x:c>
      <x:c r="G1218" s="48" t="str">
        <x:v>Obligation</x:v>
      </x:c>
      <x:c r="H1218" s="48" t="str">
        <x:v>Shared</x:v>
      </x:c>
      <x:c r="I1218" s="48" t="n">
        <x:v>0.88</x:v>
      </x:c>
      <x:c r="J1218" s="48" t="n">
        <x:v>0.4</x:v>
      </x:c>
      <x:c r="K1218" s="48" t="str">
        <x:v>Yes</x:v>
      </x:c>
      <x:c r="L1218" s="48" t="str">
        <x:v>PDF text</x:v>
      </x:c>
    </x:row>
    <x:row r="1219">
      <x:c r="A1219" s="48" t="str">
        <x:v>RED-1218</x:v>
      </x:c>
      <x:c r="B1219" s="48" t="str">
        <x:v>RED</x:v>
      </x:c>
      <x:c r="C1219" s="48" t="str">
        <x:v>English</x:v>
      </x:c>
      <x:c r="D1219" s="48" t="n">
        <x:v>71</x:v>
      </x:c>
      <x:c r="E1219" s="48" t="str"/>
      <x:c r="F1219" s="48" t="str">
        <x:v>General Requirements</x:v>
      </x:c>
      <x:c r="G1219" s="48" t="str">
        <x:v>Obligation</x:v>
      </x:c>
      <x:c r="H1219" s="48" t="str">
        <x:v>Shared</x:v>
      </x:c>
      <x:c r="I1219" s="48" t="n">
        <x:v>0.45</x:v>
      </x:c>
      <x:c r="J1219" s="48" t="n">
        <x:v>0.4</x:v>
      </x:c>
      <x:c r="K1219" s="48" t="str">
        <x:v>Yes</x:v>
      </x:c>
      <x:c r="L1219" s="48" t="str">
        <x:v>PDF text</x:v>
      </x:c>
    </x:row>
    <x:row r="1220">
      <x:c r="A1220" s="48" t="str">
        <x:v>RED-1219</x:v>
      </x:c>
      <x:c r="B1220" s="48" t="str">
        <x:v>RED</x:v>
      </x:c>
      <x:c r="C1220" s="48" t="str">
        <x:v>English</x:v>
      </x:c>
      <x:c r="D1220" s="48" t="n">
        <x:v>71</x:v>
      </x:c>
      <x:c r="E1220" s="48" t="str"/>
      <x:c r="F1220" s="48" t="str">
        <x:v>for Insurances18</x:v>
      </x:c>
      <x:c r="G1220" s="48" t="str">
        <x:v>Obligation</x:v>
      </x:c>
      <x:c r="H1220" s="48" t="str">
        <x:v>Shared</x:v>
      </x:c>
      <x:c r="I1220" s="48" t="n">
        <x:v>0.45</x:v>
      </x:c>
      <x:c r="J1220" s="48" t="n">
        <x:v>0.4</x:v>
      </x:c>
      <x:c r="K1220" s="48" t="str">
        <x:v>Yes</x:v>
      </x:c>
      <x:c r="L1220" s="48" t="str">
        <x:v>PDF text</x:v>
      </x:c>
    </x:row>
    <x:row r="1221">
      <x:c r="A1221" s="48" t="str">
        <x:v>RED-1220</x:v>
      </x:c>
      <x:c r="B1221" s="48" t="str">
        <x:v>RED</x:v>
      </x:c>
      <x:c r="C1221" s="48" t="str">
        <x:v>English</x:v>
      </x:c>
      <x:c r="D1221" s="48" t="n">
        <x:v>71</x:v>
      </x:c>
      <x:c r="E1221" s="48" t="str"/>
      <x:c r="F1221" s="48" t="str">
        <x:v>Insurance</x:v>
      </x:c>
      <x:c r="G1221" s="48" t="str">
        <x:v>Obligation</x:v>
      </x:c>
      <x:c r="H1221" s="48" t="str">
        <x:v>Shared</x:v>
      </x:c>
      <x:c r="I1221" s="48" t="n">
        <x:v>0.45</x:v>
      </x:c>
      <x:c r="J1221" s="48" t="n">
        <x:v>0.4</x:v>
      </x:c>
      <x:c r="K1221" s="48" t="str">
        <x:v>Yes</x:v>
      </x:c>
      <x:c r="L1221" s="48" t="str">
        <x:v>PDF text</x:v>
      </x:c>
    </x:row>
    <x:row r="1222">
      <x:c r="A1222" s="48" t="str">
        <x:v>RED-1221</x:v>
      </x:c>
      <x:c r="B1222" s="48" t="str">
        <x:v>RED</x:v>
      </x:c>
      <x:c r="C1222" s="48" t="str">
        <x:v>English</x:v>
      </x:c>
      <x:c r="D1222" s="48" t="n">
        <x:v>72</x:v>
      </x:c>
      <x:c r="E1222" s="48" t="str"/>
      <x:c r="F1222" s="48" t="str">
        <x:v>prior approval of the other Party.</x:v>
      </x:c>
      <x:c r="G1222" s="48" t="str">
        <x:v>Obligation</x:v>
      </x:c>
      <x:c r="H1222" s="48" t="str">
        <x:v>Shared</x:v>
      </x:c>
      <x:c r="I1222" s="48" t="n">
        <x:v>0.45</x:v>
      </x:c>
      <x:c r="J1222" s="48" t="n">
        <x:v>0.4</x:v>
      </x:c>
      <x:c r="K1222" s="48" t="str">
        <x:v>Yes</x:v>
      </x:c>
      <x:c r="L1222" s="48" t="str">
        <x:v>PDF text</x:v>
      </x:c>
    </x:row>
    <x:row r="1223">
      <x:c r="A1223" s="48" t="str">
        <x:v>RED-1222</x:v>
      </x:c>
      <x:c r="B1223" s="48" t="str">
        <x:v>RED</x:v>
      </x:c>
      <x:c r="C1223" s="48" t="str">
        <x:v>English</x:v>
      </x:c>
      <x:c r="D1223" s="48" t="n">
        <x:v>72</x:v>
      </x:c>
      <x:c r="E1223" s="48" t="str"/>
      <x:c r="F1223" s="48" t="str">
        <x:v>If an insurer makes (or attempts to make) any alteration, the Party first notified by the insurer shall promptly give notice to the other Party.</x:v>
      </x:c>
      <x:c r="G1223" s="48" t="str">
        <x:v>Obligation</x:v>
      </x:c>
      <x:c r="H1223" s="48" t="str">
        <x:v>Shared</x:v>
      </x:c>
      <x:c r="I1223" s="48" t="n">
        <x:v>0.88</x:v>
      </x:c>
      <x:c r="J1223" s="48" t="n">
        <x:v>0.4</x:v>
      </x:c>
      <x:c r="K1223" s="48" t="str">
        <x:v>Yes</x:v>
      </x:c>
      <x:c r="L1223" s="48" t="str">
        <x:v>PDF text</x:v>
      </x:c>
    </x:row>
    <x:row r="1224">
      <x:c r="A1224" s="48" t="str">
        <x:v>RED-1223</x:v>
      </x:c>
      <x:c r="B1224" s="48" t="str">
        <x:v>RED</x:v>
      </x:c>
      <x:c r="C1224" s="48" t="str">
        <x:v>English</x:v>
      </x:c>
      <x:c r="D1224" s="48" t="n">
        <x:v>72</x:v>
      </x:c>
      <x:c r="E1224" s="48" t="str"/>
      <x:c r="F1224" s="48" t="str">
        <x:v>If the insuring Party fails to effect and keep in force any of the insurances it is required to effect and maintain under the Contract, or fails to provide satisfactory evidence and copies of policies in accordance with this Sub-Clause, the other Party may (at its option and without prejudice to any other right or remedy) effect insurance for the relevant coverage and pay the premiums due.</x:v>
      </x:c>
      <x:c r="G1224" s="48" t="str">
        <x:v>Risk</x:v>
      </x:c>
      <x:c r="H1224" s="48" t="str">
        <x:v>Shared</x:v>
      </x:c>
      <x:c r="I1224" s="48" t="n">
        <x:v>0.78</x:v>
      </x:c>
      <x:c r="J1224" s="48" t="n">
        <x:v>0.4</x:v>
      </x:c>
      <x:c r="K1224" s="48" t="str">
        <x:v>Yes</x:v>
      </x:c>
      <x:c r="L1224" s="48" t="str">
        <x:v>PDF text</x:v>
      </x:c>
    </x:row>
    <x:row r="1225">
      <x:c r="A1225" s="48" t="str">
        <x:v>RED-1224</x:v>
      </x:c>
      <x:c r="B1225" s="48" t="str">
        <x:v>RED</x:v>
      </x:c>
      <x:c r="C1225" s="48" t="str">
        <x:v>English</x:v>
      </x:c>
      <x:c r="D1225" s="48" t="n">
        <x:v>72</x:v>
      </x:c>
      <x:c r="E1225" s="48" t="str"/>
      <x:c r="F1225" s="48" t="str">
        <x:v>The insuring Party shall pay the amount of these premiums to the other Party, and the Contract Price shall be adjusted accordingly.</x:v>
      </x:c>
      <x:c r="G1225" s="48" t="str">
        <x:v>Obligation</x:v>
      </x:c>
      <x:c r="H1225" s="48" t="str">
        <x:v>Shared</x:v>
      </x:c>
      <x:c r="I1225" s="48" t="n">
        <x:v>0.88</x:v>
      </x:c>
      <x:c r="J1225" s="48" t="n">
        <x:v>0.4</x:v>
      </x:c>
      <x:c r="K1225" s="48" t="str">
        <x:v>Yes</x:v>
      </x:c>
      <x:c r="L1225" s="48" t="str">
        <x:v>PDF text</x:v>
      </x:c>
    </x:row>
    <x:row r="1226">
      <x:c r="A1226" s="48" t="str">
        <x:v>RED-1225</x:v>
      </x:c>
      <x:c r="B1226" s="48" t="str">
        <x:v>RED</x:v>
      </x:c>
      <x:c r="C1226" s="48" t="str">
        <x:v>English</x:v>
      </x:c>
      <x:c r="D1226" s="48" t="n">
        <x:v>72</x:v>
      </x:c>
      <x:c r="E1226" s="48" t="str"/>
      <x:c r="F1226" s="48" t="str">
        <x:v>Nothing in this Clause limits the obligations, liabilities or responsibilities of the Contractor or the Employer, under the other terms of the Contract or otherwise.</x:v>
      </x:c>
      <x:c r="G1226" s="48" t="str">
        <x:v>Obligation</x:v>
      </x:c>
      <x:c r="H1226" s="48" t="str">
        <x:v>Shared</x:v>
      </x:c>
      <x:c r="I1226" s="48" t="n">
        <x:v>0.45</x:v>
      </x:c>
      <x:c r="J1226" s="48" t="n">
        <x:v>0.6</x:v>
      </x:c>
      <x:c r="K1226" s="48" t="str">
        <x:v>Yes</x:v>
      </x:c>
      <x:c r="L1226" s="48" t="str">
        <x:v>PDF text</x:v>
      </x:c>
    </x:row>
    <x:row r="1227">
      <x:c r="A1227" s="48" t="str">
        <x:v>RED-1226</x:v>
      </x:c>
      <x:c r="B1227" s="48" t="str">
        <x:v>RED</x:v>
      </x:c>
      <x:c r="C1227" s="48" t="str">
        <x:v>English</x:v>
      </x:c>
      <x:c r="D1227" s="48" t="n">
        <x:v>72</x:v>
      </x:c>
      <x:c r="E1227" s="48" t="str"/>
      <x:c r="F1227" s="48" t="str">
        <x:v>Any amounts not insured or not recovered from the insurers shall be borne by the Contractor and/or the Employer in accordance with these obligations, liabilities or responsibilities.</x:v>
      </x:c>
      <x:c r="G1227" s="48" t="str">
        <x:v>Obligation</x:v>
      </x:c>
      <x:c r="H1227" s="48" t="str">
        <x:v>Shared</x:v>
      </x:c>
      <x:c r="I1227" s="48" t="n">
        <x:v>0.88</x:v>
      </x:c>
      <x:c r="J1227" s="48" t="n">
        <x:v>0.6</x:v>
      </x:c>
      <x:c r="K1227" s="48" t="str">
        <x:v>Yes</x:v>
      </x:c>
      <x:c r="L1227" s="48" t="str">
        <x:v>PDF text</x:v>
      </x:c>
    </x:row>
    <x:row r="1228">
      <x:c r="A1228" s="48" t="str">
        <x:v>RED-1227</x:v>
      </x:c>
      <x:c r="B1228" s="48" t="str">
        <x:v>RED</x:v>
      </x:c>
      <x:c r="C1228" s="48" t="str">
        <x:v>English</x:v>
      </x:c>
      <x:c r="D1228" s="48" t="n">
        <x:v>72</x:v>
      </x:c>
      <x:c r="E1228" s="48" t="str"/>
      <x:c r="F1228" s="48" t="str">
        <x:v>However, if the insuring Party fails to effect and keep in force an insurance which is available and which it is required to effect and maintain under the Contract, and the other Party neither approves the omission nor effects insurance for the coverage relevant to this default, any moneys which should have been recoverable under this insurance shall be paid by the insuring Party.</x:v>
      </x:c>
      <x:c r="G1228" s="48" t="str">
        <x:v>Risk</x:v>
      </x:c>
      <x:c r="H1228" s="48" t="str">
        <x:v>Shared</x:v>
      </x:c>
      <x:c r="I1228" s="48" t="n">
        <x:v>0.78</x:v>
      </x:c>
      <x:c r="J1228" s="48" t="n">
        <x:v>0.4</x:v>
      </x:c>
      <x:c r="K1228" s="48" t="str">
        <x:v>Yes</x:v>
      </x:c>
      <x:c r="L1228" s="48" t="str">
        <x:v>PDF text</x:v>
      </x:c>
    </x:row>
    <x:row r="1229">
      <x:c r="A1229" s="48" t="str">
        <x:v>RED-1228</x:v>
      </x:c>
      <x:c r="B1229" s="48" t="str">
        <x:v>RED</x:v>
      </x:c>
      <x:c r="C1229" s="48" t="str">
        <x:v>English</x:v>
      </x:c>
      <x:c r="D1229" s="48" t="n">
        <x:v>72</x:v>
      </x:c>
      <x:c r="E1229" s="48" t="str"/>
      <x:c r="F1229" s="48" t="str">
        <x:v>Payments by one Party to the other Party shall be subject to Sub-Clause 2.5 [Employer’s Claims] or Sub-Clause 20.1 [Contractor’s Claims], as applicable.</x:v>
      </x:c>
      <x:c r="G1229" s="48" t="str">
        <x:v>Obligation</x:v>
      </x:c>
      <x:c r="H1229" s="48" t="str">
        <x:v>Shared</x:v>
      </x:c>
      <x:c r="I1229" s="48" t="n">
        <x:v>0.88</x:v>
      </x:c>
      <x:c r="J1229" s="48" t="n">
        <x:v>0.6</x:v>
      </x:c>
      <x:c r="K1229" s="48" t="str">
        <x:v>Yes</x:v>
      </x:c>
      <x:c r="L1229" s="48" t="str">
        <x:v>PDF text</x:v>
      </x:c>
    </x:row>
    <x:row r="1230">
      <x:c r="A1230" s="48" t="str">
        <x:v>RED-1229</x:v>
      </x:c>
      <x:c r="B1230" s="48" t="str">
        <x:v>RED</x:v>
      </x:c>
      <x:c r="C1230" s="48" t="str">
        <x:v>English</x:v>
      </x:c>
      <x:c r="D1230" s="48" t="n">
        <x:v>72</x:v>
      </x:c>
      <x:c r="E1230" s="48" t="str"/>
      <x:c r="F1230" s="48" t="str">
        <x:v>The Contractor shall be entitled to place all insurance relating to the Contract</x:v>
      </x:c>
      <x:c r="G1230" s="48" t="str">
        <x:v>Obligation</x:v>
      </x:c>
      <x:c r="H1230" s="48" t="str">
        <x:v>Contractor</x:v>
      </x:c>
      <x:c r="I1230" s="48" t="n">
        <x:v>0.88</x:v>
      </x:c>
      <x:c r="J1230" s="48" t="n">
        <x:v>0.92</x:v>
      </x:c>
      <x:c r="K1230" s="48" t="str">
        <x:v>No</x:v>
      </x:c>
      <x:c r="L1230" s="48" t="str">
        <x:v>PDF text</x:v>
      </x:c>
    </x:row>
    <x:row r="1231">
      <x:c r="A1231" s="48" t="str">
        <x:v>RED-1230</x:v>
      </x:c>
      <x:c r="B1231" s="48" t="str">
        <x:v>RED</x:v>
      </x:c>
      <x:c r="C1231" s="48" t="str">
        <x:v>English</x:v>
      </x:c>
      <x:c r="D1231" s="48" t="n">
        <x:v>72</x:v>
      </x:c>
      <x:c r="E1231" s="48" t="str"/>
      <x:c r="F1231" s="48" t="str">
        <x:v>(including, but not limited to the insurance referred to Clause 18) with insurers from any eligible source country.</x:v>
      </x:c>
      <x:c r="G1231" s="48" t="str">
        <x:v>Obligation</x:v>
      </x:c>
      <x:c r="H1231" s="48" t="str">
        <x:v>Shared</x:v>
      </x:c>
      <x:c r="I1231" s="48" t="n">
        <x:v>0.45</x:v>
      </x:c>
      <x:c r="J1231" s="48" t="n">
        <x:v>0.4</x:v>
      </x:c>
      <x:c r="K1231" s="48" t="str">
        <x:v>Yes</x:v>
      </x:c>
      <x:c r="L1231" s="48" t="str">
        <x:v>PDF text</x:v>
      </x:c>
    </x:row>
    <x:row r="1232">
      <x:c r="A1232" s="48" t="str">
        <x:v>RED-1231</x:v>
      </x:c>
      <x:c r="B1232" s="48" t="str">
        <x:v>RED</x:v>
      </x:c>
      <x:c r="C1232" s="48" t="str">
        <x:v>English</x:v>
      </x:c>
      <x:c r="D1232" s="48" t="n">
        <x:v>72</x:v>
      </x:c>
      <x:c r="E1232" s="48" t="str"/>
      <x:c r="F1232" s="48" t="str">
        <x:v>The insuring Party shall insure the Works, Plant, Materials and Contractor’s</x:v>
      </x:c>
      <x:c r="G1232" s="48" t="str">
        <x:v>Obligation</x:v>
      </x:c>
      <x:c r="H1232" s="48" t="str">
        <x:v>Contractor</x:v>
      </x:c>
      <x:c r="I1232" s="48" t="n">
        <x:v>0.88</x:v>
      </x:c>
      <x:c r="J1232" s="48" t="n">
        <x:v>0.68</x:v>
      </x:c>
      <x:c r="K1232" s="48" t="str">
        <x:v>Yes</x:v>
      </x:c>
      <x:c r="L1232" s="48" t="str">
        <x:v>PDF text</x:v>
      </x:c>
    </x:row>
    <x:row r="1233">
      <x:c r="A1233" s="48" t="str">
        <x:v>RED-1232</x:v>
      </x:c>
      <x:c r="B1233" s="48" t="str">
        <x:v>RED</x:v>
      </x:c>
      <x:c r="C1233" s="48" t="str">
        <x:v>English</x:v>
      </x:c>
      <x:c r="D1233" s="48" t="n">
        <x:v>72</x:v>
      </x:c>
      <x:c r="E1233" s="48" t="str"/>
      <x:c r="F1233" s="48" t="str">
        <x:v>Documents for not less than the full reinstatement cost including the costs of</x:v>
      </x:c>
      <x:c r="G1233" s="48" t="str">
        <x:v>Obligation</x:v>
      </x:c>
      <x:c r="H1233" s="48" t="str">
        <x:v>Shared</x:v>
      </x:c>
      <x:c r="I1233" s="48" t="n">
        <x:v>0.45</x:v>
      </x:c>
      <x:c r="J1233" s="48" t="n">
        <x:v>0.4</x:v>
      </x:c>
      <x:c r="K1233" s="48" t="str">
        <x:v>Yes</x:v>
      </x:c>
      <x:c r="L1233" s="48" t="str">
        <x:v>PDF text</x:v>
      </x:c>
    </x:row>
    <x:row r="1234">
      <x:c r="A1234" s="48" t="str">
        <x:v>RED-1233</x:v>
      </x:c>
      <x:c r="B1234" s="48" t="str">
        <x:v>RED</x:v>
      </x:c>
      <x:c r="C1234" s="48" t="str">
        <x:v>English</x:v>
      </x:c>
      <x:c r="D1234" s="48" t="n">
        <x:v>72</x:v>
      </x:c>
      <x:c r="E1234" s="48" t="str"/>
      <x:c r="F1234" s="48" t="str">
        <x:v>demolition, removal of debris and professional fees and profit.</x:v>
      </x:c>
      <x:c r="G1234" s="48" t="str">
        <x:v>Obligation</x:v>
      </x:c>
      <x:c r="H1234" s="48" t="str">
        <x:v>Shared</x:v>
      </x:c>
      <x:c r="I1234" s="48" t="n">
        <x:v>0.45</x:v>
      </x:c>
      <x:c r="J1234" s="48" t="n">
        <x:v>0.4</x:v>
      </x:c>
      <x:c r="K1234" s="48" t="str">
        <x:v>Yes</x:v>
      </x:c>
      <x:c r="L1234" s="48" t="str">
        <x:v>PDF text</x:v>
      </x:c>
    </x:row>
    <x:row r="1235">
      <x:c r="A1235" s="48" t="str">
        <x:v>RED-1234</x:v>
      </x:c>
      <x:c r="B1235" s="48" t="str">
        <x:v>RED</x:v>
      </x:c>
      <x:c r="C1235" s="48" t="str">
        <x:v>English</x:v>
      </x:c>
      <x:c r="D1235" s="48" t="n">
        <x:v>72</x:v>
      </x:c>
      <x:c r="E1235" s="48" t="str"/>
      <x:c r="F1235" s="48" t="str">
        <x:v>This insurance shall be effective from the date by which the evidence is to be submitted under sub-paragraph (a) of Sub-Clause 18.1 [General Requirements for Insurances], until the date of issue of the Taking-Over Certificate for the Works.</x:v>
      </x:c>
      <x:c r="G1235" s="48" t="str">
        <x:v>Obligation</x:v>
      </x:c>
      <x:c r="H1235" s="48" t="str">
        <x:v>Shared</x:v>
      </x:c>
      <x:c r="I1235" s="48" t="n">
        <x:v>0.88</x:v>
      </x:c>
      <x:c r="J1235" s="48" t="n">
        <x:v>0.4</x:v>
      </x:c>
      <x:c r="K1235" s="48" t="str">
        <x:v>Yes</x:v>
      </x:c>
      <x:c r="L1235" s="48" t="str">
        <x:v>PDF text</x:v>
      </x:c>
    </x:row>
    <x:row r="1236">
      <x:c r="A1236" s="48" t="str">
        <x:v>RED-1235</x:v>
      </x:c>
      <x:c r="B1236" s="48" t="str">
        <x:v>RED</x:v>
      </x:c>
      <x:c r="C1236" s="48" t="str">
        <x:v>English</x:v>
      </x:c>
      <x:c r="D1236" s="48" t="n">
        <x:v>72</x:v>
      </x:c>
      <x:c r="E1236" s="48" t="str"/>
      <x:c r="F1236" s="48" t="str">
        <x:v>The insuring Party shall maintain this insurance to provide cover until the date of issue of the Performance Certificate, for loss or damage for which the Contractor is liable arising from a cause occurring prior to the issue of the Taking-Over Certificate, and for loss or damage caused by the Contractor in the course of any other operations (including those under Clause 11 [Defects Liability]).</x:v>
      </x:c>
      <x:c r="G1236" s="48" t="str">
        <x:v>Risk</x:v>
      </x:c>
      <x:c r="H1236" s="48" t="str">
        <x:v>Contractor</x:v>
      </x:c>
      <x:c r="I1236" s="48" t="n">
        <x:v>0.78</x:v>
      </x:c>
      <x:c r="J1236" s="48" t="n">
        <x:v>0.68</x:v>
      </x:c>
      <x:c r="K1236" s="48" t="str">
        <x:v>Yes</x:v>
      </x:c>
      <x:c r="L1236" s="48" t="str">
        <x:v>PDF text</x:v>
      </x:c>
    </x:row>
    <x:row r="1237">
      <x:c r="A1237" s="48" t="str">
        <x:v>RED-1236</x:v>
      </x:c>
      <x:c r="B1237" s="48" t="str">
        <x:v>RED</x:v>
      </x:c>
      <x:c r="C1237" s="48" t="str">
        <x:v>English</x:v>
      </x:c>
      <x:c r="D1237" s="48" t="n">
        <x:v>72</x:v>
      </x:c>
      <x:c r="E1237" s="48" t="str"/>
      <x:c r="F1237" s="48" t="str">
        <x:v>The insuring Party shall insure the Contractor’s Equipment for not less than the full replacement value, including delivery to Site.</x:v>
      </x:c>
      <x:c r="G1237" s="48" t="str">
        <x:v>Obligation</x:v>
      </x:c>
      <x:c r="H1237" s="48" t="str">
        <x:v>Contractor</x:v>
      </x:c>
      <x:c r="I1237" s="48" t="n">
        <x:v>0.88</x:v>
      </x:c>
      <x:c r="J1237" s="48" t="n">
        <x:v>0.68</x:v>
      </x:c>
      <x:c r="K1237" s="48" t="str">
        <x:v>Yes</x:v>
      </x:c>
      <x:c r="L1237" s="48" t="str">
        <x:v>PDF text</x:v>
      </x:c>
    </x:row>
    <x:row r="1238">
      <x:c r="A1238" s="48" t="str">
        <x:v>RED-1237</x:v>
      </x:c>
      <x:c r="B1238" s="48" t="str">
        <x:v>RED</x:v>
      </x:c>
      <x:c r="C1238" s="48" t="str">
        <x:v>English</x:v>
      </x:c>
      <x:c r="D1238" s="48" t="n">
        <x:v>72</x:v>
      </x:c>
      <x:c r="E1238" s="48" t="str"/>
      <x:c r="F1238" s="48" t="str">
        <x:v>For each item of Contractor’s Equipment, the insurance shall be effective while it is being transported to the Site and until it is no longer required as Contractor’s Equipment.</x:v>
      </x:c>
      <x:c r="G1238" s="48" t="str">
        <x:v>Obligation</x:v>
      </x:c>
      <x:c r="H1238" s="48" t="str">
        <x:v>Contractor</x:v>
      </x:c>
      <x:c r="I1238" s="48" t="n">
        <x:v>0.88</x:v>
      </x:c>
      <x:c r="J1238" s="48" t="n">
        <x:v>0.68</x:v>
      </x:c>
      <x:c r="K1238" s="48" t="str">
        <x:v>Yes</x:v>
      </x:c>
      <x:c r="L1238" s="48" t="str">
        <x:v>PDF text</x:v>
      </x:c>
    </x:row>
    <x:row r="1239">
      <x:c r="A1239" s="48" t="str">
        <x:v>RED-1238</x:v>
      </x:c>
      <x:c r="B1239" s="48" t="str">
        <x:v>RED</x:v>
      </x:c>
      <x:c r="C1239" s="48" t="str">
        <x:v>English</x:v>
      </x:c>
      <x:c r="D1239" s="48" t="n">
        <x:v>72</x:v>
      </x:c>
      <x:c r="E1239" s="48" t="str"/>
      <x:c r="F1239" s="48" t="str">
        <x:v>Unless otherwise stated in the Particular Conditions, insurances under this Sub-Clause: (a) shall be effected and maintained by the Contractor as insuring Party, (b) shall be in the joint names of the Parties, who shall be jointly entitled to receive payments from the insurers, payments being held or allocated between the</x:v>
      </x:c>
      <x:c r="G1239" s="48" t="str">
        <x:v>Obligation</x:v>
      </x:c>
      <x:c r="H1239" s="48" t="str">
        <x:v>Shared</x:v>
      </x:c>
      <x:c r="I1239" s="48" t="n">
        <x:v>0.88</x:v>
      </x:c>
      <x:c r="J1239" s="48" t="n">
        <x:v>0.93</x:v>
      </x:c>
      <x:c r="K1239" s="48" t="str">
        <x:v>No</x:v>
      </x:c>
      <x:c r="L1239" s="48" t="str">
        <x:v>PDF text</x:v>
      </x:c>
    </x:row>
    <x:row r="1240">
      <x:c r="A1240" s="48" t="str">
        <x:v>RED-1239</x:v>
      </x:c>
      <x:c r="B1240" s="48" t="str">
        <x:v>RED</x:v>
      </x:c>
      <x:c r="C1240" s="48" t="str">
        <x:v>English</x:v>
      </x:c>
      <x:c r="D1240" s="48" t="n">
        <x:v>72</x:v>
      </x:c>
      <x:c r="E1240" s="48" t="str"/>
      <x:c r="F1240" s="48" t="str">
        <x:v>Parties for the sole purpose of rectifying the loss or damage,</x:v>
      </x:c>
      <x:c r="G1240" s="48" t="str">
        <x:v>Obligation</x:v>
      </x:c>
      <x:c r="H1240" s="48" t="str">
        <x:v>Shared</x:v>
      </x:c>
      <x:c r="I1240" s="48" t="n">
        <x:v>0.45</x:v>
      </x:c>
      <x:c r="J1240" s="48" t="n">
        <x:v>0.4</x:v>
      </x:c>
      <x:c r="K1240" s="48" t="str">
        <x:v>Yes</x:v>
      </x:c>
      <x:c r="L1240" s="48" t="str">
        <x:v>PDF text</x:v>
      </x:c>
    </x:row>
    <x:row r="1241">
      <x:c r="A1241" s="48" t="str">
        <x:v>RED-1240</x:v>
      </x:c>
      <x:c r="B1241" s="48" t="str">
        <x:v>RED</x:v>
      </x:c>
      <x:c r="C1241" s="48" t="str">
        <x:v>English</x:v>
      </x:c>
      <x:c r="D1241" s="48" t="n">
        <x:v>72</x:v>
      </x:c>
      <x:c r="E1241" s="48" t="str"/>
      <x:c r="F1241" s="48" t="str">
        <x:v>(c) shall cover all loss and damage from any cause not listed in Sub-Clause 17.3 [Employer’s Risks], (d) shall also cover loss or damage to a part of the Works which is attributable to the use or occupation by the Employer of another part of the Works, and loss 18.2</x:v>
      </x:c>
      <x:c r="G1241" s="48" t="str">
        <x:v>Obligation</x:v>
      </x:c>
      <x:c r="H1241" s="48" t="str">
        <x:v>Employer</x:v>
      </x:c>
      <x:c r="I1241" s="48" t="n">
        <x:v>0.88</x:v>
      </x:c>
      <x:c r="J1241" s="48" t="n">
        <x:v>0.68</x:v>
      </x:c>
      <x:c r="K1241" s="48" t="str">
        <x:v>Yes</x:v>
      </x:c>
      <x:c r="L1241" s="48" t="str">
        <x:v>PDF text</x:v>
      </x:c>
    </x:row>
    <x:row r="1242">
      <x:c r="A1242" s="48" t="str">
        <x:v>RED-1241</x:v>
      </x:c>
      <x:c r="B1242" s="48" t="str">
        <x:v>RED</x:v>
      </x:c>
      <x:c r="C1242" s="48" t="str">
        <x:v>English</x:v>
      </x:c>
      <x:c r="D1242" s="48" t="n">
        <x:v>72</x:v>
      </x:c>
      <x:c r="E1242" s="48" t="str"/>
      <x:c r="F1242" s="48" t="str">
        <x:v>Insurance for Works and</x:v>
      </x:c>
      <x:c r="G1242" s="48" t="str">
        <x:v>Obligation</x:v>
      </x:c>
      <x:c r="H1242" s="48" t="str">
        <x:v>Shared</x:v>
      </x:c>
      <x:c r="I1242" s="48" t="n">
        <x:v>0.45</x:v>
      </x:c>
      <x:c r="J1242" s="48" t="n">
        <x:v>0.4</x:v>
      </x:c>
      <x:c r="K1242" s="48" t="str">
        <x:v>Yes</x:v>
      </x:c>
      <x:c r="L1242" s="48" t="str">
        <x:v>PDF text</x:v>
      </x:c>
    </x:row>
    <x:row r="1243">
      <x:c r="A1243" s="48" t="str">
        <x:v>RED-1242</x:v>
      </x:c>
      <x:c r="B1243" s="48" t="str">
        <x:v>RED</x:v>
      </x:c>
      <x:c r="C1243" s="48" t="str">
        <x:v>English</x:v>
      </x:c>
      <x:c r="D1243" s="48" t="n">
        <x:v>72</x:v>
      </x:c>
      <x:c r="E1243" s="48" t="str"/>
      <x:c r="F1243" s="48" t="str">
        <x:v>Contractor’s Equipment</x:v>
      </x:c>
      <x:c r="G1243" s="48" t="str">
        <x:v>Obligation</x:v>
      </x:c>
      <x:c r="H1243" s="48" t="str">
        <x:v>Contractor</x:v>
      </x:c>
      <x:c r="I1243" s="48" t="n">
        <x:v>0.45</x:v>
      </x:c>
      <x:c r="J1243" s="48" t="n">
        <x:v>0.68</x:v>
      </x:c>
      <x:c r="K1243" s="48" t="str">
        <x:v>Yes</x:v>
      </x:c>
      <x:c r="L1243" s="48" t="str">
        <x:v>PDF text</x:v>
      </x:c>
    </x:row>
    <x:row r="1244">
      <x:c r="A1244" s="48" t="str">
        <x:v>RED-1243</x:v>
      </x:c>
      <x:c r="B1244" s="48" t="str">
        <x:v>RED</x:v>
      </x:c>
      <x:c r="C1244" s="48" t="str">
        <x:v>English</x:v>
      </x:c>
      <x:c r="D1244" s="48" t="n">
        <x:v>73</x:v>
      </x:c>
      <x:c r="E1244" s="48" t="str"/>
      <x:c r="F1244" s="48" t="str">
        <x:v>or damage from the risks listed in sub-paragraphs (c), (g) and (h) of Sub-Clause</x:v>
      </x:c>
      <x:c r="G1244" s="48" t="str">
        <x:v>Obligation</x:v>
      </x:c>
      <x:c r="H1244" s="48" t="str">
        <x:v>Shared</x:v>
      </x:c>
      <x:c r="I1244" s="48" t="n">
        <x:v>0.45</x:v>
      </x:c>
      <x:c r="J1244" s="48" t="n">
        <x:v>0.4</x:v>
      </x:c>
      <x:c r="K1244" s="48" t="str">
        <x:v>Yes</x:v>
      </x:c>
      <x:c r="L1244" s="48" t="str">
        <x:v>PDF text</x:v>
      </x:c>
    </x:row>
    <x:row r="1245">
      <x:c r="A1245" s="48" t="str">
        <x:v>RED-1244</x:v>
      </x:c>
      <x:c r="B1245" s="48" t="str">
        <x:v>RED</x:v>
      </x:c>
      <x:c r="C1245" s="48" t="str">
        <x:v>English</x:v>
      </x:c>
      <x:c r="D1245" s="48" t="n">
        <x:v>73</x:v>
      </x:c>
      <x:c r="E1245" s="48" t="str">
        <x:v>17.3</x:v>
      </x:c>
      <x:c r="F1245" s="48" t="str">
        <x:v>17.3 [Employer’s Risks], excluding (in each case) risks which are not insurable</x:v>
      </x:c>
      <x:c r="G1245" s="48" t="str">
        <x:v>Obligation</x:v>
      </x:c>
      <x:c r="H1245" s="48" t="str">
        <x:v>Employer</x:v>
      </x:c>
      <x:c r="I1245" s="48" t="n">
        <x:v>0.45</x:v>
      </x:c>
      <x:c r="J1245" s="48" t="n">
        <x:v>0.68</x:v>
      </x:c>
      <x:c r="K1245" s="48" t="str">
        <x:v>Yes</x:v>
      </x:c>
      <x:c r="L1245" s="48" t="str">
        <x:v>PDF text</x:v>
      </x:c>
    </x:row>
    <x:row r="1246">
      <x:c r="A1246" s="48" t="str">
        <x:v>RED-1245</x:v>
      </x:c>
      <x:c r="B1246" s="48" t="str">
        <x:v>RED</x:v>
      </x:c>
      <x:c r="C1246" s="48" t="str">
        <x:v>English</x:v>
      </x:c>
      <x:c r="D1246" s="48" t="n">
        <x:v>73</x:v>
      </x:c>
      <x:c r="E1246" s="48" t="str"/>
      <x:c r="F1246" s="48" t="str">
        <x:v>at commercially reasonable terms, with deductibles per occurrence of not more than the amount stated in the Contract Data (if an amount is not so stated, this sub-paragraph (d) shall not apply), and (e) may however exclude loss of, damage to, and reinstatement of: (i) a part of the Works which is in a defective condition due to a defect in its design, materials or workmanship (but cover shall include any other parts which are lost or damaged as a direct result of this defective condition and not as described in sub-paragraph (ii) below), (ii) a part of the Works which is lost or damaged in order to reinstate any other part of the Works if this other part is in a defective condition due to a defect in its design, materials or workmanship, (iii) a part of the Works which has been taken over by the Employer, except to the extent that the Contractor is liable for the loss or damage, and (iv) Goods while they are not in the Country, subject to Sub-Clause 14.5 [Plant and Materials intended for the Works].</x:v>
      </x:c>
      <x:c r="G1246" s="48" t="str">
        <x:v>Risk</x:v>
      </x:c>
      <x:c r="H1246" s="48" t="str">
        <x:v>Shared</x:v>
      </x:c>
      <x:c r="I1246" s="48" t="n">
        <x:v>0.78</x:v>
      </x:c>
      <x:c r="J1246" s="48" t="n">
        <x:v>0.6</x:v>
      </x:c>
      <x:c r="K1246" s="48" t="str">
        <x:v>Yes</x:v>
      </x:c>
      <x:c r="L1246" s="48" t="str">
        <x:v>PDF text</x:v>
      </x:c>
    </x:row>
    <x:row r="1247">
      <x:c r="A1247" s="48" t="str">
        <x:v>RED-1246</x:v>
      </x:c>
      <x:c r="B1247" s="48" t="str">
        <x:v>RED</x:v>
      </x:c>
      <x:c r="C1247" s="48" t="str">
        <x:v>English</x:v>
      </x:c>
      <x:c r="D1247" s="48" t="n">
        <x:v>73</x:v>
      </x:c>
      <x:c r="E1247" s="48" t="str"/>
      <x:c r="F1247" s="48" t="str">
        <x:v>If, more than one year after the Base Date, the cover described in sub-paragraph (d) above ceases to be available at commercially reasonable terms, the Contractor shall (as insuring Party) give notice to the Employer, with supporting particulars.</x:v>
      </x:c>
      <x:c r="G1247" s="48" t="str">
        <x:v>Obligation</x:v>
      </x:c>
      <x:c r="H1247" s="48" t="str">
        <x:v>Contractor</x:v>
      </x:c>
      <x:c r="I1247" s="48" t="n">
        <x:v>0.88</x:v>
      </x:c>
      <x:c r="J1247" s="48" t="n">
        <x:v>0.92</x:v>
      </x:c>
      <x:c r="K1247" s="48" t="str">
        <x:v>No</x:v>
      </x:c>
      <x:c r="L1247" s="48" t="str">
        <x:v>PDF text</x:v>
      </x:c>
    </x:row>
    <x:row r="1248">
      <x:c r="A1248" s="48" t="str">
        <x:v>RED-1247</x:v>
      </x:c>
      <x:c r="B1248" s="48" t="str">
        <x:v>RED</x:v>
      </x:c>
      <x:c r="C1248" s="48" t="str">
        <x:v>English</x:v>
      </x:c>
      <x:c r="D1248" s="48" t="n">
        <x:v>73</x:v>
      </x:c>
      <x:c r="E1248" s="48" t="str"/>
      <x:c r="F1248" s="48" t="str">
        <x:v>The Employer shall then (i) be entitled subject to Sub-Clause 2.5 [Employer’s Claims] to payment of an amount equivalent to such commercially reasonable terms as the</x:v>
      </x:c>
      <x:c r="G1248" s="48" t="str">
        <x:v>Obligation</x:v>
      </x:c>
      <x:c r="H1248" s="48" t="str">
        <x:v>Employer</x:v>
      </x:c>
      <x:c r="I1248" s="48" t="n">
        <x:v>0.88</x:v>
      </x:c>
      <x:c r="J1248" s="48" t="n">
        <x:v>0.92</x:v>
      </x:c>
      <x:c r="K1248" s="48" t="str">
        <x:v>No</x:v>
      </x:c>
      <x:c r="L1248" s="48" t="str">
        <x:v>PDF text</x:v>
      </x:c>
    </x:row>
    <x:row r="1249">
      <x:c r="A1249" s="48" t="str">
        <x:v>RED-1248</x:v>
      </x:c>
      <x:c r="B1249" s="48" t="str">
        <x:v>RED</x:v>
      </x:c>
      <x:c r="C1249" s="48" t="str">
        <x:v>English</x:v>
      </x:c>
      <x:c r="D1249" s="48" t="n">
        <x:v>73</x:v>
      </x:c>
      <x:c r="E1249" s="48" t="str"/>
      <x:c r="F1249" s="48" t="str">
        <x:v>Contractor should have expected to have paid for such cover, and (ii) be deemed,</x:v>
      </x:c>
      <x:c r="G1249" s="48" t="str">
        <x:v>Obligation</x:v>
      </x:c>
      <x:c r="H1249" s="48" t="str">
        <x:v>Contractor</x:v>
      </x:c>
      <x:c r="I1249" s="48" t="n">
        <x:v>0.45</x:v>
      </x:c>
      <x:c r="J1249" s="48" t="n">
        <x:v>0.68</x:v>
      </x:c>
      <x:c r="K1249" s="48" t="str">
        <x:v>Yes</x:v>
      </x:c>
      <x:c r="L1249" s="48" t="str">
        <x:v>PDF text</x:v>
      </x:c>
    </x:row>
    <x:row r="1250">
      <x:c r="A1250" s="48" t="str">
        <x:v>RED-1249</x:v>
      </x:c>
      <x:c r="B1250" s="48" t="str">
        <x:v>RED</x:v>
      </x:c>
      <x:c r="C1250" s="48" t="str">
        <x:v>English</x:v>
      </x:c>
      <x:c r="D1250" s="48" t="n">
        <x:v>73</x:v>
      </x:c>
      <x:c r="E1250" s="48" t="str"/>
      <x:c r="F1250" s="48" t="str">
        <x:v>unless he obtains the cover at commercially reasonable terms, to have approved the omission under Sub-Clause 18.1 [General Requirements for Insurances].</x:v>
      </x:c>
      <x:c r="G1250" s="48" t="str">
        <x:v>Obligation</x:v>
      </x:c>
      <x:c r="H1250" s="48" t="str">
        <x:v>Shared</x:v>
      </x:c>
      <x:c r="I1250" s="48" t="n">
        <x:v>0.45</x:v>
      </x:c>
      <x:c r="J1250" s="48" t="n">
        <x:v>0.4</x:v>
      </x:c>
      <x:c r="K1250" s="48" t="str">
        <x:v>Yes</x:v>
      </x:c>
      <x:c r="L1250" s="48" t="str">
        <x:v>PDF text</x:v>
      </x:c>
    </x:row>
    <x:row r="1251">
      <x:c r="A1251" s="48" t="str">
        <x:v>RED-1250</x:v>
      </x:c>
      <x:c r="B1251" s="48" t="str">
        <x:v>RED</x:v>
      </x:c>
      <x:c r="C1251" s="48" t="str">
        <x:v>English</x:v>
      </x:c>
      <x:c r="D1251" s="48" t="n">
        <x:v>73</x:v>
      </x:c>
      <x:c r="E1251" s="48" t="str"/>
      <x:c r="F1251" s="48" t="str">
        <x:v>The insuring Party shall insure against each Party’s liability for any loss, damage, death or bodily injury which may occur to any physical property (except things insured under Sub-Clause 18.2 [Insurance for Works and Contractor’s Equipment]) or to any person (except persons insured under Sub-Clause 18.4 [Insurance for Contractor’s Personnel]), which may arise out of the Contractor’s performance of the Contract and occurring before the issue of the Performance Certificate.</x:v>
      </x:c>
      <x:c r="G1251" s="48" t="str">
        <x:v>Risk</x:v>
      </x:c>
      <x:c r="H1251" s="48" t="str">
        <x:v>Shared</x:v>
      </x:c>
      <x:c r="I1251" s="48" t="n">
        <x:v>0.78</x:v>
      </x:c>
      <x:c r="J1251" s="48" t="n">
        <x:v>0.93</x:v>
      </x:c>
      <x:c r="K1251" s="48" t="str">
        <x:v>No</x:v>
      </x:c>
      <x:c r="L1251" s="48" t="str">
        <x:v>PDF text</x:v>
      </x:c>
    </x:row>
    <x:row r="1252">
      <x:c r="A1252" s="48" t="str">
        <x:v>RED-1251</x:v>
      </x:c>
      <x:c r="B1252" s="48" t="str">
        <x:v>RED</x:v>
      </x:c>
      <x:c r="C1252" s="48" t="str">
        <x:v>English</x:v>
      </x:c>
      <x:c r="D1252" s="48" t="n">
        <x:v>73</x:v>
      </x:c>
      <x:c r="E1252" s="48" t="str"/>
      <x:c r="F1252" s="48" t="str">
        <x:v>This insurance shall be for a limit per occurrence of not less than the amount stated in the Contract Data, with no limit on the number of occurrences.</x:v>
      </x:c>
      <x:c r="G1252" s="48" t="str">
        <x:v>Obligation</x:v>
      </x:c>
      <x:c r="H1252" s="48" t="str">
        <x:v>Shared</x:v>
      </x:c>
      <x:c r="I1252" s="48" t="n">
        <x:v>0.88</x:v>
      </x:c>
      <x:c r="J1252" s="48" t="n">
        <x:v>0.4</x:v>
      </x:c>
      <x:c r="K1252" s="48" t="str">
        <x:v>Yes</x:v>
      </x:c>
      <x:c r="L1252" s="48" t="str">
        <x:v>PDF text</x:v>
      </x:c>
    </x:row>
    <x:row r="1253">
      <x:c r="A1253" s="48" t="str">
        <x:v>RED-1252</x:v>
      </x:c>
      <x:c r="B1253" s="48" t="str">
        <x:v>RED</x:v>
      </x:c>
      <x:c r="C1253" s="48" t="str">
        <x:v>English</x:v>
      </x:c>
      <x:c r="D1253" s="48" t="n">
        <x:v>73</x:v>
      </x:c>
      <x:c r="E1253" s="48" t="str"/>
      <x:c r="F1253" s="48" t="str">
        <x:v>Unless otherwise stated in the Particular Conditions, the insurances specified in this Sub-Clause: (a) shall be effected and maintained by the Contractor as insuring Party, (b) shall be in the joint names of the Parties, (c) shall be extended to cover liability for all loss and damage to the Employer’s property (except things insured under Sub-Clause 18.2) arising out of the</x:v>
      </x:c>
      <x:c r="G1253" s="48" t="str">
        <x:v>Risk</x:v>
      </x:c>
      <x:c r="H1253" s="48" t="str">
        <x:v>Shared</x:v>
      </x:c>
      <x:c r="I1253" s="48" t="n">
        <x:v>0.78</x:v>
      </x:c>
      <x:c r="J1253" s="48" t="n">
        <x:v>0.93</x:v>
      </x:c>
      <x:c r="K1253" s="48" t="str">
        <x:v>No</x:v>
      </x:c>
      <x:c r="L1253" s="48" t="str">
        <x:v>PDF text</x:v>
      </x:c>
    </x:row>
    <x:row r="1254">
      <x:c r="A1254" s="48" t="str">
        <x:v>RED-1253</x:v>
      </x:c>
      <x:c r="B1254" s="48" t="str">
        <x:v>RED</x:v>
      </x:c>
      <x:c r="C1254" s="48" t="str">
        <x:v>English</x:v>
      </x:c>
      <x:c r="D1254" s="48" t="n">
        <x:v>73</x:v>
      </x:c>
      <x:c r="E1254" s="48" t="str"/>
      <x:c r="F1254" s="48" t="str">
        <x:v>Contractor’s performance of the Contract, and</x:v>
      </x:c>
      <x:c r="G1254" s="48" t="str">
        <x:v>Obligation</x:v>
      </x:c>
      <x:c r="H1254" s="48" t="str">
        <x:v>Contractor</x:v>
      </x:c>
      <x:c r="I1254" s="48" t="n">
        <x:v>0.45</x:v>
      </x:c>
      <x:c r="J1254" s="48" t="n">
        <x:v>0.68</x:v>
      </x:c>
      <x:c r="K1254" s="48" t="str">
        <x:v>Yes</x:v>
      </x:c>
      <x:c r="L1254" s="48" t="str">
        <x:v>PDF text</x:v>
      </x:c>
    </x:row>
    <x:row r="1255">
      <x:c r="A1255" s="48" t="str">
        <x:v>RED-1254</x:v>
      </x:c>
      <x:c r="B1255" s="48" t="str">
        <x:v>RED</x:v>
      </x:c>
      <x:c r="C1255" s="48" t="str">
        <x:v>English</x:v>
      </x:c>
      <x:c r="D1255" s="48" t="n">
        <x:v>73</x:v>
      </x:c>
      <x:c r="E1255" s="48" t="str"/>
      <x:c r="F1255" s="48" t="str">
        <x:v>(d) may however exclude liability to the extent that it arises from: (i) the Employer’s right to have the Permanent Works executed on, over, under, in or through any land, and to occupy this land for the Permanent Works, (ii) damage which is an unavoidable result of the Contractor’s obligations to execute the Works and remedy any defects, and (iii) a cause listed in Sub-Clause 17.3 [Employer’s Risks], except to the extent that cover is available at commercially reasonable terms.</x:v>
      </x:c>
      <x:c r="G1255" s="48" t="str">
        <x:v>Risk</x:v>
      </x:c>
      <x:c r="H1255" s="48" t="str">
        <x:v>Employer</x:v>
      </x:c>
      <x:c r="I1255" s="48" t="n">
        <x:v>0.78</x:v>
      </x:c>
      <x:c r="J1255" s="48" t="n">
        <x:v>0.9</x:v>
      </x:c>
      <x:c r="K1255" s="48" t="str">
        <x:v>No</x:v>
      </x:c>
      <x:c r="L1255" s="48" t="str">
        <x:v>PDF text</x:v>
      </x:c>
    </x:row>
    <x:row r="1256">
      <x:c r="A1256" s="48" t="str">
        <x:v>RED-1255</x:v>
      </x:c>
      <x:c r="B1256" s="48" t="str">
        <x:v>RED</x:v>
      </x:c>
      <x:c r="C1256" s="48" t="str">
        <x:v>English</x:v>
      </x:c>
      <x:c r="D1256" s="48" t="n">
        <x:v>73</x:v>
      </x:c>
      <x:c r="E1256" s="48" t="str"/>
      <x:c r="F1256" s="48" t="str">
        <x:v>Insurance against Injury</x:v>
      </x:c>
      <x:c r="G1256" s="48" t="str">
        <x:v>Obligation</x:v>
      </x:c>
      <x:c r="H1256" s="48" t="str">
        <x:v>Shared</x:v>
      </x:c>
      <x:c r="I1256" s="48" t="n">
        <x:v>0.45</x:v>
      </x:c>
      <x:c r="J1256" s="48" t="n">
        <x:v>0.4</x:v>
      </x:c>
      <x:c r="K1256" s="48" t="str">
        <x:v>Yes</x:v>
      </x:c>
      <x:c r="L1256" s="48" t="str">
        <x:v>PDF text</x:v>
      </x:c>
    </x:row>
    <x:row r="1257">
      <x:c r="A1257" s="48" t="str">
        <x:v>RED-1256</x:v>
      </x:c>
      <x:c r="B1257" s="48" t="str">
        <x:v>RED</x:v>
      </x:c>
      <x:c r="C1257" s="48" t="str">
        <x:v>English</x:v>
      </x:c>
      <x:c r="D1257" s="48" t="n">
        <x:v>73</x:v>
      </x:c>
      <x:c r="E1257" s="48" t="str"/>
      <x:c r="F1257" s="48" t="str">
        <x:v>to Persons and Damage to Property</x:v>
      </x:c>
      <x:c r="G1257" s="48" t="str">
        <x:v>Obligation</x:v>
      </x:c>
      <x:c r="H1257" s="48" t="str">
        <x:v>Shared</x:v>
      </x:c>
      <x:c r="I1257" s="48" t="n">
        <x:v>0.45</x:v>
      </x:c>
      <x:c r="J1257" s="48" t="n">
        <x:v>0.4</x:v>
      </x:c>
      <x:c r="K1257" s="48" t="str">
        <x:v>Yes</x:v>
      </x:c>
      <x:c r="L1257" s="48" t="str">
        <x:v>PDF text</x:v>
      </x:c>
    </x:row>
    <x:row r="1258">
      <x:c r="A1258" s="48" t="str">
        <x:v>RED-1257</x:v>
      </x:c>
      <x:c r="B1258" s="48" t="str">
        <x:v>RED</x:v>
      </x:c>
      <x:c r="C1258" s="48" t="str">
        <x:v>English</x:v>
      </x:c>
      <x:c r="D1258" s="48" t="n">
        <x:v>74</x:v>
      </x:c>
      <x:c r="E1258" s="48" t="str"/>
      <x:c r="F1258" s="48" t="str">
        <x:v>The Contractor shall effect and maintain insurance against liability for claims,</x:v>
      </x:c>
      <x:c r="G1258" s="48" t="str">
        <x:v>Risk</x:v>
      </x:c>
      <x:c r="H1258" s="48" t="str">
        <x:v>Contractor</x:v>
      </x:c>
      <x:c r="I1258" s="48" t="n">
        <x:v>0.78</x:v>
      </x:c>
      <x:c r="J1258" s="48" t="n">
        <x:v>0.92</x:v>
      </x:c>
      <x:c r="K1258" s="48" t="str">
        <x:v>No</x:v>
      </x:c>
      <x:c r="L1258" s="48" t="str">
        <x:v>PDF text</x:v>
      </x:c>
    </x:row>
    <x:row r="1259">
      <x:c r="A1259" s="48" t="str">
        <x:v>RED-1258</x:v>
      </x:c>
      <x:c r="B1259" s="48" t="str">
        <x:v>RED</x:v>
      </x:c>
      <x:c r="C1259" s="48" t="str">
        <x:v>English</x:v>
      </x:c>
      <x:c r="D1259" s="48" t="n">
        <x:v>74</x:v>
      </x:c>
      <x:c r="E1259" s="48" t="str"/>
      <x:c r="F1259" s="48" t="str">
        <x:v>damages, losses and expenses (including legal fees and expenses) arising from injury, sickness, disease or death of any person employed by the Contractor or any other of the Contractor’s Personnel.</x:v>
      </x:c>
      <x:c r="G1259" s="48" t="str">
        <x:v>Obligation</x:v>
      </x:c>
      <x:c r="H1259" s="48" t="str">
        <x:v>Contractor</x:v>
      </x:c>
      <x:c r="I1259" s="48" t="n">
        <x:v>0.45</x:v>
      </x:c>
      <x:c r="J1259" s="48" t="n">
        <x:v>0.68</x:v>
      </x:c>
      <x:c r="K1259" s="48" t="str">
        <x:v>Yes</x:v>
      </x:c>
      <x:c r="L1259" s="48" t="str">
        <x:v>PDF text</x:v>
      </x:c>
    </x:row>
    <x:row r="1260">
      <x:c r="A1260" s="48" t="str">
        <x:v>RED-1259</x:v>
      </x:c>
      <x:c r="B1260" s="48" t="str">
        <x:v>RED</x:v>
      </x:c>
      <x:c r="C1260" s="48" t="str">
        <x:v>English</x:v>
      </x:c>
      <x:c r="D1260" s="48" t="n">
        <x:v>74</x:v>
      </x:c>
      <x:c r="E1260" s="48" t="str"/>
      <x:c r="F1260" s="48" t="str">
        <x:v>The Employer and the Engineer shall also be indemnified under the policy of</x:v>
      </x:c>
      <x:c r="G1260" s="48" t="str">
        <x:v>Obligation</x:v>
      </x:c>
      <x:c r="H1260" s="48" t="str">
        <x:v>Employer</x:v>
      </x:c>
      <x:c r="I1260" s="48" t="n">
        <x:v>0.88</x:v>
      </x:c>
      <x:c r="J1260" s="48" t="n">
        <x:v>0.68</x:v>
      </x:c>
      <x:c r="K1260" s="48" t="str">
        <x:v>Yes</x:v>
      </x:c>
      <x:c r="L1260" s="48" t="str">
        <x:v>PDF text</x:v>
      </x:c>
    </x:row>
    <x:row r="1261">
      <x:c r="A1261" s="48" t="str">
        <x:v>RED-1260</x:v>
      </x:c>
      <x:c r="B1261" s="48" t="str">
        <x:v>RED</x:v>
      </x:c>
      <x:c r="C1261" s="48" t="str">
        <x:v>English</x:v>
      </x:c>
      <x:c r="D1261" s="48" t="n">
        <x:v>74</x:v>
      </x:c>
      <x:c r="E1261" s="48" t="str"/>
      <x:c r="F1261" s="48" t="str">
        <x:v>insurance, except that this insurance may exclude losses and claims to the extent that they arise from any act or neglect of the Employer or of the Employer’s Personnel.</x:v>
      </x:c>
      <x:c r="G1261" s="48" t="str">
        <x:v>Right</x:v>
      </x:c>
      <x:c r="H1261" s="48" t="str">
        <x:v>Employer</x:v>
      </x:c>
      <x:c r="I1261" s="48" t="n">
        <x:v>0.78</x:v>
      </x:c>
      <x:c r="J1261" s="48" t="n">
        <x:v>0.68</x:v>
      </x:c>
      <x:c r="K1261" s="48" t="str">
        <x:v>Yes</x:v>
      </x:c>
      <x:c r="L1261" s="48" t="str">
        <x:v>PDF text</x:v>
      </x:c>
    </x:row>
    <x:row r="1262">
      <x:c r="A1262" s="48" t="str">
        <x:v>RED-1261</x:v>
      </x:c>
      <x:c r="B1262" s="48" t="str">
        <x:v>RED</x:v>
      </x:c>
      <x:c r="C1262" s="48" t="str">
        <x:v>English</x:v>
      </x:c>
      <x:c r="D1262" s="48" t="n">
        <x:v>74</x:v>
      </x:c>
      <x:c r="E1262" s="48" t="str"/>
      <x:c r="F1262" s="48" t="str">
        <x:v>The insurance shall be maintained in full force and effect during the whole time that these personnel are assisting in the execution of the Works.</x:v>
      </x:c>
      <x:c r="G1262" s="48" t="str">
        <x:v>Obligation</x:v>
      </x:c>
      <x:c r="H1262" s="48" t="str">
        <x:v>Shared</x:v>
      </x:c>
      <x:c r="I1262" s="48" t="n">
        <x:v>0.88</x:v>
      </x:c>
      <x:c r="J1262" s="48" t="n">
        <x:v>0.4</x:v>
      </x:c>
      <x:c r="K1262" s="48" t="str">
        <x:v>Yes</x:v>
      </x:c>
      <x:c r="L1262" s="48" t="str">
        <x:v>PDF text</x:v>
      </x:c>
    </x:row>
    <x:row r="1263">
      <x:c r="A1263" s="48" t="str">
        <x:v>RED-1262</x:v>
      </x:c>
      <x:c r="B1263" s="48" t="str">
        <x:v>RED</x:v>
      </x:c>
      <x:c r="C1263" s="48" t="str">
        <x:v>English</x:v>
      </x:c>
      <x:c r="D1263" s="48" t="n">
        <x:v>74</x:v>
      </x:c>
      <x:c r="E1263" s="48" t="str"/>
      <x:c r="F1263" s="48" t="str">
        <x:v>For a Subcontractor’s employees, the insurance may be effected by the Subcontractor, but the Contractor shall be responsible for compliance with this Clause.</x:v>
      </x:c>
      <x:c r="G1263" s="48" t="str">
        <x:v>Obligation</x:v>
      </x:c>
      <x:c r="H1263" s="48" t="str">
        <x:v>Contractor</x:v>
      </x:c>
      <x:c r="I1263" s="48" t="n">
        <x:v>0.88</x:v>
      </x:c>
      <x:c r="J1263" s="48" t="n">
        <x:v>0.92</x:v>
      </x:c>
      <x:c r="K1263" s="48" t="str">
        <x:v>No</x:v>
      </x:c>
      <x:c r="L1263" s="48" t="str">
        <x:v>PDF text</x:v>
      </x:c>
    </x:row>
    <x:row r="1264">
      <x:c r="A1264" s="48" t="str">
        <x:v>RED-1263</x:v>
      </x:c>
      <x:c r="B1264" s="48" t="str">
        <x:v>RED</x:v>
      </x:c>
      <x:c r="C1264" s="48" t="str">
        <x:v>English</x:v>
      </x:c>
      <x:c r="D1264" s="48" t="n">
        <x:v>74</x:v>
      </x:c>
      <x:c r="E1264" s="48" t="str"/>
      <x:c r="F1264" s="48" t="str">
        <x:v>In this Clause, “Force Majeure” means an exceptional event or circumstance: (a) which is beyond a Party’s control, (b) which such Party could not reasonably have provided against before entering into the Contract, (c) which, having arisen, such Party could not reasonably have avoided or overcome, and (d) which is not substantially attributable to the other Party.</x:v>
      </x:c>
      <x:c r="G1264" s="48" t="str">
        <x:v>Definition</x:v>
      </x:c>
      <x:c r="H1264" s="48" t="str"/>
      <x:c r="I1264" s="48" t="n">
        <x:v>0.97</x:v>
      </x:c>
      <x:c r="J1264" s="48" t="n">
        <x:v>0.99</x:v>
      </x:c>
      <x:c r="K1264" s="48" t="str">
        <x:v>No</x:v>
      </x:c>
      <x:c r="L1264" s="48" t="str">
        <x:v>PDF text</x:v>
      </x:c>
    </x:row>
    <x:row r="1265">
      <x:c r="A1265" s="48" t="str">
        <x:v>RED-1264</x:v>
      </x:c>
      <x:c r="B1265" s="48" t="str">
        <x:v>RED</x:v>
      </x:c>
      <x:c r="C1265" s="48" t="str">
        <x:v>English</x:v>
      </x:c>
      <x:c r="D1265" s="48" t="n">
        <x:v>74</x:v>
      </x:c>
      <x:c r="E1265" s="48" t="str"/>
      <x:c r="F1265" s="48" t="str">
        <x:v>Force Majeure may include, but is not limited to, exceptional events or circumstances of the kind listed below, so long as conditions (a) to (d) above are satisfied: (i) war, hostilities (whether war be declared or not), invasion, act of foreign enemies, (ii) rebellion, terrorism, sabotage by persons other than the Contractor’s</x:v>
      </x:c>
      <x:c r="G1265" s="48" t="str">
        <x:v>Right</x:v>
      </x:c>
      <x:c r="H1265" s="48" t="str">
        <x:v>Contractor</x:v>
      </x:c>
      <x:c r="I1265" s="48" t="n">
        <x:v>0.78</x:v>
      </x:c>
      <x:c r="J1265" s="48" t="n">
        <x:v>0.68</x:v>
      </x:c>
      <x:c r="K1265" s="48" t="str">
        <x:v>Yes</x:v>
      </x:c>
      <x:c r="L1265" s="48" t="str">
        <x:v>PDF text</x:v>
      </x:c>
    </x:row>
    <x:row r="1266">
      <x:c r="A1266" s="48" t="str">
        <x:v>RED-1265</x:v>
      </x:c>
      <x:c r="B1266" s="48" t="str">
        <x:v>RED</x:v>
      </x:c>
      <x:c r="C1266" s="48" t="str">
        <x:v>English</x:v>
      </x:c>
      <x:c r="D1266" s="48" t="n">
        <x:v>74</x:v>
      </x:c>
      <x:c r="E1266" s="48" t="str"/>
      <x:c r="F1266" s="48" t="str">
        <x:v>Personnel, revolution, insurrection, military or usurped power, or civil war,</x:v>
      </x:c>
      <x:c r="G1266" s="48" t="str">
        <x:v>Obligation</x:v>
      </x:c>
      <x:c r="H1266" s="48" t="str">
        <x:v>Shared</x:v>
      </x:c>
      <x:c r="I1266" s="48" t="n">
        <x:v>0.45</x:v>
      </x:c>
      <x:c r="J1266" s="48" t="n">
        <x:v>0.4</x:v>
      </x:c>
      <x:c r="K1266" s="48" t="str">
        <x:v>Yes</x:v>
      </x:c>
      <x:c r="L1266" s="48" t="str">
        <x:v>PDF text</x:v>
      </x:c>
    </x:row>
    <x:row r="1267">
      <x:c r="A1267" s="48" t="str">
        <x:v>RED-1266</x:v>
      </x:c>
      <x:c r="B1267" s="48" t="str">
        <x:v>RED</x:v>
      </x:c>
      <x:c r="C1267" s="48" t="str">
        <x:v>English</x:v>
      </x:c>
      <x:c r="D1267" s="48" t="n">
        <x:v>74</x:v>
      </x:c>
      <x:c r="E1267" s="48" t="str"/>
      <x:c r="F1267" s="48" t="str">
        <x:v>(iii) riot, commotion, disorder, strike or lockout by persons other than the</x:v>
      </x:c>
      <x:c r="G1267" s="48" t="str">
        <x:v>Obligation</x:v>
      </x:c>
      <x:c r="H1267" s="48" t="str">
        <x:v>Shared</x:v>
      </x:c>
      <x:c r="I1267" s="48" t="n">
        <x:v>0.45</x:v>
      </x:c>
      <x:c r="J1267" s="48" t="n">
        <x:v>0.4</x:v>
      </x:c>
      <x:c r="K1267" s="48" t="str">
        <x:v>Yes</x:v>
      </x:c>
      <x:c r="L1267" s="48" t="str">
        <x:v>PDF text</x:v>
      </x:c>
    </x:row>
    <x:row r="1268">
      <x:c r="A1268" s="48" t="str">
        <x:v>RED-1267</x:v>
      </x:c>
      <x:c r="B1268" s="48" t="str">
        <x:v>RED</x:v>
      </x:c>
      <x:c r="C1268" s="48" t="str">
        <x:v>English</x:v>
      </x:c>
      <x:c r="D1268" s="48" t="n">
        <x:v>74</x:v>
      </x:c>
      <x:c r="E1268" s="48" t="str"/>
      <x:c r="F1268" s="48" t="str">
        <x:v>(iv) munitions of war, explosive materials, ionising radiation or contamination by radio-activity, except as may be attributable to the Contractor’s use of such munitions, explosives, radiation or radio-activity, and (v) natural catastrophes such as earthquake, hurricane, typhoon or volcanic activity.</x:v>
      </x:c>
      <x:c r="G1268" s="48" t="str">
        <x:v>Right</x:v>
      </x:c>
      <x:c r="H1268" s="48" t="str">
        <x:v>Contractor</x:v>
      </x:c>
      <x:c r="I1268" s="48" t="n">
        <x:v>0.78</x:v>
      </x:c>
      <x:c r="J1268" s="48" t="n">
        <x:v>0.68</x:v>
      </x:c>
      <x:c r="K1268" s="48" t="str">
        <x:v>Yes</x:v>
      </x:c>
      <x:c r="L1268" s="48" t="str">
        <x:v>PDF text</x:v>
      </x:c>
    </x:row>
    <x:row r="1269">
      <x:c r="A1269" s="48" t="str">
        <x:v>RED-1268</x:v>
      </x:c>
      <x:c r="B1269" s="48" t="str">
        <x:v>RED</x:v>
      </x:c>
      <x:c r="C1269" s="48" t="str">
        <x:v>English</x:v>
      </x:c>
      <x:c r="D1269" s="48" t="n">
        <x:v>74</x:v>
      </x:c>
      <x:c r="E1269" s="48" t="str"/>
      <x:c r="F1269" s="48" t="str">
        <x:v>If a Party is or will be prevented from performing its substantial obligations under the Contract by Force Majeure, then it shall give notice to the other Party of the event or circumstances constituting the Force Majeure and shall specify the obligations, the performance of which is or will be prevented.</x:v>
      </x:c>
      <x:c r="G1269" s="48" t="str">
        <x:v>Risk</x:v>
      </x:c>
      <x:c r="H1269" s="48" t="str">
        <x:v>Shared</x:v>
      </x:c>
      <x:c r="I1269" s="48" t="n">
        <x:v>0.78</x:v>
      </x:c>
      <x:c r="J1269" s="48" t="n">
        <x:v>0.4</x:v>
      </x:c>
      <x:c r="K1269" s="48" t="str">
        <x:v>Yes</x:v>
      </x:c>
      <x:c r="L1269" s="48" t="str">
        <x:v>PDF text</x:v>
      </x:c>
    </x:row>
    <x:row r="1270">
      <x:c r="A1270" s="48" t="str">
        <x:v>RED-1269</x:v>
      </x:c>
      <x:c r="B1270" s="48" t="str">
        <x:v>RED</x:v>
      </x:c>
      <x:c r="C1270" s="48" t="str">
        <x:v>English</x:v>
      </x:c>
      <x:c r="D1270" s="48" t="n">
        <x:v>74</x:v>
      </x:c>
      <x:c r="E1270" s="48" t="str"/>
      <x:c r="F1270" s="48" t="str">
        <x:v>The notice shall be given within 14 days after the Party became aware, or should have become aware, of the relevant event or circumstance constituting Force Majeure.</x:v>
      </x:c>
      <x:c r="G1270" s="48" t="str">
        <x:v>Obligation</x:v>
      </x:c>
      <x:c r="H1270" s="48" t="str">
        <x:v>Shared</x:v>
      </x:c>
      <x:c r="I1270" s="48" t="n">
        <x:v>0.88</x:v>
      </x:c>
      <x:c r="J1270" s="48" t="n">
        <x:v>0.4</x:v>
      </x:c>
      <x:c r="K1270" s="48" t="str">
        <x:v>Yes</x:v>
      </x:c>
      <x:c r="L1270" s="48" t="str">
        <x:v>PDF text</x:v>
      </x:c>
    </x:row>
    <x:row r="1271">
      <x:c r="A1271" s="48" t="str">
        <x:v>RED-1270</x:v>
      </x:c>
      <x:c r="B1271" s="48" t="str">
        <x:v>RED</x:v>
      </x:c>
      <x:c r="C1271" s="48" t="str">
        <x:v>English</x:v>
      </x:c>
      <x:c r="D1271" s="48" t="n">
        <x:v>74</x:v>
      </x:c>
      <x:c r="E1271" s="48" t="str"/>
      <x:c r="F1271" s="48" t="str">
        <x:v>The Party shall, having given notice, be excused performance of its obligations for so long as such Force Majeure prevents it from performing them.</x:v>
      </x:c>
      <x:c r="G1271" s="48" t="str">
        <x:v>Obligation</x:v>
      </x:c>
      <x:c r="H1271" s="48" t="str">
        <x:v>Shared</x:v>
      </x:c>
      <x:c r="I1271" s="48" t="n">
        <x:v>0.88</x:v>
      </x:c>
      <x:c r="J1271" s="48" t="n">
        <x:v>0.4</x:v>
      </x:c>
      <x:c r="K1271" s="48" t="str">
        <x:v>Yes</x:v>
      </x:c>
      <x:c r="L1271" s="48" t="str">
        <x:v>PDF text</x:v>
      </x:c>
    </x:row>
    <x:row r="1272">
      <x:c r="A1272" s="48" t="str">
        <x:v>RED-1271</x:v>
      </x:c>
      <x:c r="B1272" s="48" t="str">
        <x:v>RED</x:v>
      </x:c>
      <x:c r="C1272" s="48" t="str">
        <x:v>English</x:v>
      </x:c>
      <x:c r="D1272" s="48" t="n">
        <x:v>74</x:v>
      </x:c>
      <x:c r="E1272" s="48" t="str"/>
      <x:c r="F1272" s="48" t="str">
        <x:v>Notwithstanding any other provision of this Clause, Force Majeure shall not apply to obligations of either Party to make payments to the other Party under the Contract.</x:v>
      </x:c>
      <x:c r="G1272" s="48" t="str">
        <x:v>Obligation</x:v>
      </x:c>
      <x:c r="H1272" s="48" t="str">
        <x:v>Shared</x:v>
      </x:c>
      <x:c r="I1272" s="48" t="n">
        <x:v>0.88</x:v>
      </x:c>
      <x:c r="J1272" s="48" t="n">
        <x:v>0.93</x:v>
      </x:c>
      <x:c r="K1272" s="48" t="str">
        <x:v>No</x:v>
      </x:c>
      <x:c r="L1272" s="48" t="str">
        <x:v>PDF text</x:v>
      </x:c>
    </x:row>
    <x:row r="1273">
      <x:c r="A1273" s="48" t="str">
        <x:v>RED-1272</x:v>
      </x:c>
      <x:c r="B1273" s="48" t="str">
        <x:v>RED</x:v>
      </x:c>
      <x:c r="C1273" s="48" t="str">
        <x:v>English</x:v>
      </x:c>
      <x:c r="D1273" s="48" t="n">
        <x:v>74</x:v>
      </x:c>
      <x:c r="E1273" s="48" t="str"/>
      <x:c r="F1273" s="48" t="str">
        <x:v>Insurance for</x:v>
      </x:c>
      <x:c r="G1273" s="48" t="str">
        <x:v>Obligation</x:v>
      </x:c>
      <x:c r="H1273" s="48" t="str">
        <x:v>Shared</x:v>
      </x:c>
      <x:c r="I1273" s="48" t="n">
        <x:v>0.45</x:v>
      </x:c>
      <x:c r="J1273" s="48" t="n">
        <x:v>0.4</x:v>
      </x:c>
      <x:c r="K1273" s="48" t="str">
        <x:v>Yes</x:v>
      </x:c>
      <x:c r="L1273" s="48" t="str">
        <x:v>PDF text</x:v>
      </x:c>
    </x:row>
    <x:row r="1274">
      <x:c r="A1274" s="48" t="str">
        <x:v>RED-1273</x:v>
      </x:c>
      <x:c r="B1274" s="48" t="str">
        <x:v>RED</x:v>
      </x:c>
      <x:c r="C1274" s="48" t="str">
        <x:v>English</x:v>
      </x:c>
      <x:c r="D1274" s="48" t="n">
        <x:v>74</x:v>
      </x:c>
      <x:c r="E1274" s="48" t="str"/>
      <x:c r="F1274" s="48" t="str">
        <x:v>Definition of Force</x:v>
      </x:c>
      <x:c r="G1274" s="48" t="str">
        <x:v>Obligation</x:v>
      </x:c>
      <x:c r="H1274" s="48" t="str">
        <x:v>Shared</x:v>
      </x:c>
      <x:c r="I1274" s="48" t="n">
        <x:v>0.45</x:v>
      </x:c>
      <x:c r="J1274" s="48" t="n">
        <x:v>0.4</x:v>
      </x:c>
      <x:c r="K1274" s="48" t="str">
        <x:v>Yes</x:v>
      </x:c>
      <x:c r="L1274" s="48" t="str">
        <x:v>PDF text</x:v>
      </x:c>
    </x:row>
    <x:row r="1275">
      <x:c r="A1275" s="48" t="str">
        <x:v>RED-1274</x:v>
      </x:c>
      <x:c r="B1275" s="48" t="str">
        <x:v>RED</x:v>
      </x:c>
      <x:c r="C1275" s="48" t="str">
        <x:v>English</x:v>
      </x:c>
      <x:c r="D1275" s="48" t="n">
        <x:v>74</x:v>
      </x:c>
      <x:c r="E1275" s="48" t="str"/>
      <x:c r="F1275" s="48" t="str">
        <x:v>Notice of Force Majeure</x:v>
      </x:c>
      <x:c r="G1275" s="48" t="str">
        <x:v>Obligation</x:v>
      </x:c>
      <x:c r="H1275" s="48" t="str">
        <x:v>Shared</x:v>
      </x:c>
      <x:c r="I1275" s="48" t="n">
        <x:v>0.55</x:v>
      </x:c>
      <x:c r="J1275" s="48" t="n">
        <x:v>0.4</x:v>
      </x:c>
      <x:c r="K1275" s="48" t="str">
        <x:v>Yes</x:v>
      </x:c>
      <x:c r="L1275" s="48" t="str">
        <x:v>PDF text</x:v>
      </x:c>
    </x:row>
    <x:row r="1276">
      <x:c r="A1276" s="48" t="str">
        <x:v>RED-1275</x:v>
      </x:c>
      <x:c r="B1276" s="48" t="str">
        <x:v>RED</x:v>
      </x:c>
      <x:c r="C1276" s="48" t="str">
        <x:v>English</x:v>
      </x:c>
      <x:c r="D1276" s="48" t="n">
        <x:v>74</x:v>
      </x:c>
      <x:c r="E1276" s="48" t="str"/>
      <x:c r="F1276" s="48" t="str">
        <x:v>Force Majeure</x:v>
      </x:c>
      <x:c r="G1276" s="48" t="str">
        <x:v>Obligation</x:v>
      </x:c>
      <x:c r="H1276" s="48" t="str">
        <x:v>Shared</x:v>
      </x:c>
      <x:c r="I1276" s="48" t="n">
        <x:v>0.45</x:v>
      </x:c>
      <x:c r="J1276" s="48" t="n">
        <x:v>0.4</x:v>
      </x:c>
      <x:c r="K1276" s="48" t="str">
        <x:v>Yes</x:v>
      </x:c>
      <x:c r="L1276" s="48" t="str">
        <x:v>PDF text</x:v>
      </x:c>
    </x:row>
    <x:row r="1277">
      <x:c r="A1277" s="48" t="str">
        <x:v>RED-1276</x:v>
      </x:c>
      <x:c r="B1277" s="48" t="str">
        <x:v>RED</x:v>
      </x:c>
      <x:c r="C1277" s="48" t="str">
        <x:v>English</x:v>
      </x:c>
      <x:c r="D1277" s="48" t="n">
        <x:v>75</x:v>
      </x:c>
      <x:c r="E1277" s="48" t="str"/>
      <x:c r="F1277" s="48" t="str">
        <x:v>Each Party shall at all times use all reasonable endeavours to minimise any delay in the performance of the Contract as a result of Force Majeure.</x:v>
      </x:c>
      <x:c r="G1277" s="48" t="str">
        <x:v>Risk</x:v>
      </x:c>
      <x:c r="H1277" s="48" t="str">
        <x:v>Shared</x:v>
      </x:c>
      <x:c r="I1277" s="48" t="n">
        <x:v>0.78</x:v>
      </x:c>
      <x:c r="J1277" s="48" t="n">
        <x:v>0.93</x:v>
      </x:c>
      <x:c r="K1277" s="48" t="str">
        <x:v>No</x:v>
      </x:c>
      <x:c r="L1277" s="48" t="str">
        <x:v>PDF text</x:v>
      </x:c>
    </x:row>
    <x:row r="1278">
      <x:c r="A1278" s="48" t="str">
        <x:v>RED-1277</x:v>
      </x:c>
      <x:c r="B1278" s="48" t="str">
        <x:v>RED</x:v>
      </x:c>
      <x:c r="C1278" s="48" t="str">
        <x:v>English</x:v>
      </x:c>
      <x:c r="D1278" s="48" t="n">
        <x:v>75</x:v>
      </x:c>
      <x:c r="E1278" s="48" t="str"/>
      <x:c r="F1278" s="48" t="str">
        <x:v>A Party shall give notice to the other Party when it ceases to be affected by the Force Majeure.</x:v>
      </x:c>
      <x:c r="G1278" s="48" t="str">
        <x:v>Risk</x:v>
      </x:c>
      <x:c r="H1278" s="48" t="str">
        <x:v>Shared</x:v>
      </x:c>
      <x:c r="I1278" s="48" t="n">
        <x:v>0.78</x:v>
      </x:c>
      <x:c r="J1278" s="48" t="n">
        <x:v>0.4</x:v>
      </x:c>
      <x:c r="K1278" s="48" t="str">
        <x:v>Yes</x:v>
      </x:c>
      <x:c r="L1278" s="48" t="str">
        <x:v>PDF text</x:v>
      </x:c>
    </x:row>
    <x:row r="1279">
      <x:c r="A1279" s="48" t="str">
        <x:v>RED-1278</x:v>
      </x:c>
      <x:c r="B1279" s="48" t="str">
        <x:v>RED</x:v>
      </x:c>
      <x:c r="C1279" s="48" t="str">
        <x:v>English</x:v>
      </x:c>
      <x:c r="D1279" s="48" t="n">
        <x:v>75</x:v>
      </x:c>
      <x:c r="E1279" s="48" t="str"/>
      <x:c r="F1279" s="48" t="str">
        <x:v>If the Contractor is prevented from performing his substantial obligations under the Contract by Force Majeure of which notice has been given under Sub-Clause 19.2 [Notice of Force Majeure], and suffers delay and/or incurs Cost by reason of such Force Majeure, the Contractor shall be entitled subject to Sub-Clause 20.1 [Contractor’s Claims] to: (a) an extension of time for any such delay, if completion is or will be delayed, under Sub-Clause 8.4 [Extension of Time for Completion], and (b) if the event or circumstance is of the kind described in sub-paragraphs (i) to (iv) of Sub-Clause 19.1 [Definition of Force Majeure] and, in the case of subparagraphs (ii) to (iv), occurs in the Country, payment of any such Cost.</x:v>
      </x:c>
      <x:c r="G1279" s="48" t="str">
        <x:v>Risk</x:v>
      </x:c>
      <x:c r="H1279" s="48" t="str">
        <x:v>Contractor</x:v>
      </x:c>
      <x:c r="I1279" s="48" t="n">
        <x:v>0.78</x:v>
      </x:c>
      <x:c r="J1279" s="48" t="n">
        <x:v>0.92</x:v>
      </x:c>
      <x:c r="K1279" s="48" t="str">
        <x:v>No</x:v>
      </x:c>
      <x:c r="L1279" s="48" t="str">
        <x:v>PDF text</x:v>
      </x:c>
    </x:row>
    <x:row r="1280">
      <x:c r="A1280" s="48" t="str">
        <x:v>RED-1279</x:v>
      </x:c>
      <x:c r="B1280" s="48" t="str">
        <x:v>RED</x:v>
      </x:c>
      <x:c r="C1280" s="48" t="str">
        <x:v>English</x:v>
      </x:c>
      <x:c r="D1280" s="48" t="n">
        <x:v>75</x:v>
      </x:c>
      <x:c r="E1280" s="48" t="str"/>
      <x:c r="F1280" s="48" t="str">
        <x:v>If any Subcontractor is entitled under any contract or agreement relating to the Works to relief from force majeure on terms additional to or broader than those specified in this Clause, such additional or broader force majeure events or circumstances shall not excuse the Contractor’s non-performance or entitle him to relief under this Clause.</x:v>
      </x:c>
      <x:c r="G1280" s="48" t="str">
        <x:v>Risk</x:v>
      </x:c>
      <x:c r="H1280" s="48" t="str">
        <x:v>Contractor</x:v>
      </x:c>
      <x:c r="I1280" s="48" t="n">
        <x:v>0.78</x:v>
      </x:c>
      <x:c r="J1280" s="48" t="n">
        <x:v>0.68</x:v>
      </x:c>
      <x:c r="K1280" s="48" t="str">
        <x:v>Yes</x:v>
      </x:c>
      <x:c r="L1280" s="48" t="str">
        <x:v>PDF text</x:v>
      </x:c>
    </x:row>
    <x:row r="1281">
      <x:c r="A1281" s="48" t="str">
        <x:v>RED-1280</x:v>
      </x:c>
      <x:c r="B1281" s="48" t="str">
        <x:v>RED</x:v>
      </x:c>
      <x:c r="C1281" s="48" t="str">
        <x:v>English</x:v>
      </x:c>
      <x:c r="D1281" s="48" t="n">
        <x:v>75</x:v>
      </x:c>
      <x:c r="E1281" s="48" t="str"/>
      <x:c r="F1281" s="48" t="str">
        <x:v>If the execution of substantially all the Works in progress is prevented for a continuous period of 84 days by reason of Force Majeure of which notice has been given under Sub-Clause 19.2 [Notice of Force Majeure], or for multiple periods which total more than 140 days due to the same notified Force Majeure, then either Party may give to the other Party a notice of termination of the Contract.</x:v>
      </x:c>
      <x:c r="G1281" s="48" t="str">
        <x:v>Risk</x:v>
      </x:c>
      <x:c r="H1281" s="48" t="str">
        <x:v>Shared</x:v>
      </x:c>
      <x:c r="I1281" s="48" t="n">
        <x:v>0.78</x:v>
      </x:c>
      <x:c r="J1281" s="48" t="n">
        <x:v>0.93</x:v>
      </x:c>
      <x:c r="K1281" s="48" t="str">
        <x:v>No</x:v>
      </x:c>
      <x:c r="L1281" s="48" t="str">
        <x:v>PDF text</x:v>
      </x:c>
    </x:row>
    <x:row r="1282">
      <x:c r="A1282" s="48" t="str">
        <x:v>RED-1281</x:v>
      </x:c>
      <x:c r="B1282" s="48" t="str">
        <x:v>RED</x:v>
      </x:c>
      <x:c r="C1282" s="48" t="str">
        <x:v>English</x:v>
      </x:c>
      <x:c r="D1282" s="48" t="n">
        <x:v>75</x:v>
      </x:c>
      <x:c r="E1282" s="48" t="str"/>
      <x:c r="F1282" s="48" t="str">
        <x:v>In this event, the termination shall take effect 7 days after the notice is given, and the Contractor shall proceed in accordance with Sub-Clause 16.3 [Cessation of Work and Removal of Contractor’s Equipment].</x:v>
      </x:c>
      <x:c r="G1282" s="48" t="str">
        <x:v>Obligation</x:v>
      </x:c>
      <x:c r="H1282" s="48" t="str">
        <x:v>Contractor</x:v>
      </x:c>
      <x:c r="I1282" s="48" t="n">
        <x:v>0.88</x:v>
      </x:c>
      <x:c r="J1282" s="48" t="n">
        <x:v>0.92</x:v>
      </x:c>
      <x:c r="K1282" s="48" t="str">
        <x:v>No</x:v>
      </x:c>
      <x:c r="L1282" s="48" t="str">
        <x:v>PDF text</x:v>
      </x:c>
    </x:row>
    <x:row r="1283">
      <x:c r="A1283" s="48" t="str">
        <x:v>RED-1282</x:v>
      </x:c>
      <x:c r="B1283" s="48" t="str">
        <x:v>RED</x:v>
      </x:c>
      <x:c r="C1283" s="48" t="str">
        <x:v>English</x:v>
      </x:c>
      <x:c r="D1283" s="48" t="n">
        <x:v>75</x:v>
      </x:c>
      <x:c r="E1283" s="48" t="str"/>
      <x:c r="F1283" s="48" t="str">
        <x:v>Upon such termination, the Engineer shall determine the value of the work done and issue a Payment Certificate which shall include: (a) the amounts payable for any work carried out for which a price is stated in the Contract; (b) the Cost of Plant and Materials ordered for the Works which have been delivered to the Contractor, or of which the Contractor is liable to accept delivery: this Plant and Materials shall become the property of (and be at the risk of) the Employer when paid for by the Employer, and the Contractor shall place the same at the Employer’s disposal; (c) other Costs or liabilities which in the circumstances were reasonably and necessarily incurred by the Contractor in the expectation of completing the Works; (d) the Cost of removal of Temporary Works and Contractor’s Equipment from the</x:v>
      </x:c>
      <x:c r="G1283" s="48" t="str">
        <x:v>Risk</x:v>
      </x:c>
      <x:c r="H1283" s="48" t="str">
        <x:v>Contractor</x:v>
      </x:c>
      <x:c r="I1283" s="48" t="n">
        <x:v>0.78</x:v>
      </x:c>
      <x:c r="J1283" s="48" t="n">
        <x:v>0.92</x:v>
      </x:c>
      <x:c r="K1283" s="48" t="str">
        <x:v>No</x:v>
      </x:c>
      <x:c r="L1283" s="48" t="str">
        <x:v>PDF text</x:v>
      </x:c>
    </x:row>
    <x:row r="1284">
      <x:c r="A1284" s="48" t="str">
        <x:v>RED-1283</x:v>
      </x:c>
      <x:c r="B1284" s="48" t="str">
        <x:v>RED</x:v>
      </x:c>
      <x:c r="C1284" s="48" t="str">
        <x:v>English</x:v>
      </x:c>
      <x:c r="D1284" s="48" t="n">
        <x:v>75</x:v>
      </x:c>
      <x:c r="E1284" s="48" t="str"/>
      <x:c r="F1284" s="48" t="str">
        <x:v>Site and the return of these items to the Contractor’s works in his country (or</x:v>
      </x:c>
      <x:c r="G1284" s="48" t="str">
        <x:v>Obligation</x:v>
      </x:c>
      <x:c r="H1284" s="48" t="str">
        <x:v>Contractor</x:v>
      </x:c>
      <x:c r="I1284" s="48" t="n">
        <x:v>0.45</x:v>
      </x:c>
      <x:c r="J1284" s="48" t="n">
        <x:v>0.68</x:v>
      </x:c>
      <x:c r="K1284" s="48" t="str">
        <x:v>Yes</x:v>
      </x:c>
      <x:c r="L1284" s="48" t="str">
        <x:v>PDF text</x:v>
      </x:c>
    </x:row>
    <x:row r="1285">
      <x:c r="A1285" s="48" t="str">
        <x:v>RED-1284</x:v>
      </x:c>
      <x:c r="B1285" s="48" t="str">
        <x:v>RED</x:v>
      </x:c>
      <x:c r="C1285" s="48" t="str">
        <x:v>English</x:v>
      </x:c>
      <x:c r="D1285" s="48" t="n">
        <x:v>75</x:v>
      </x:c>
      <x:c r="E1285" s="48" t="str"/>
      <x:c r="F1285" s="48" t="str">
        <x:v>to any other destination at no greater cost); and (e) the Cost of repatriation of the Contractor’s staff and labour employed wholly in connection with the Works at the date of termination.</x:v>
      </x:c>
      <x:c r="G1285" s="48" t="str">
        <x:v>Obligation</x:v>
      </x:c>
      <x:c r="H1285" s="48" t="str">
        <x:v>Contractor</x:v>
      </x:c>
      <x:c r="I1285" s="48" t="n">
        <x:v>0.55</x:v>
      </x:c>
      <x:c r="J1285" s="48" t="n">
        <x:v>0.68</x:v>
      </x:c>
      <x:c r="K1285" s="48" t="str">
        <x:v>Yes</x:v>
      </x:c>
      <x:c r="L1285" s="48" t="str">
        <x:v>PDF text</x:v>
      </x:c>
    </x:row>
    <x:row r="1286">
      <x:c r="A1286" s="48" t="str">
        <x:v>RED-1285</x:v>
      </x:c>
      <x:c r="B1286" s="48" t="str">
        <x:v>RED</x:v>
      </x:c>
      <x:c r="C1286" s="48" t="str">
        <x:v>English</x:v>
      </x:c>
      <x:c r="D1286" s="48" t="n">
        <x:v>75</x:v>
      </x:c>
      <x:c r="E1286" s="48" t="str"/>
      <x:c r="F1286" s="48" t="str">
        <x:v>Duty to Minimise Delay</x:v>
      </x:c>
      <x:c r="G1286" s="48" t="str">
        <x:v>Obligation</x:v>
      </x:c>
      <x:c r="H1286" s="48" t="str">
        <x:v>Shared</x:v>
      </x:c>
      <x:c r="I1286" s="48" t="n">
        <x:v>0.88</x:v>
      </x:c>
      <x:c r="J1286" s="48" t="n">
        <x:v>0.4</x:v>
      </x:c>
      <x:c r="K1286" s="48" t="str">
        <x:v>Yes</x:v>
      </x:c>
      <x:c r="L1286" s="48" t="str">
        <x:v>PDF text</x:v>
      </x:c>
    </x:row>
    <x:row r="1287">
      <x:c r="A1287" s="48" t="str">
        <x:v>RED-1286</x:v>
      </x:c>
      <x:c r="B1287" s="48" t="str">
        <x:v>RED</x:v>
      </x:c>
      <x:c r="C1287" s="48" t="str">
        <x:v>English</x:v>
      </x:c>
      <x:c r="D1287" s="48" t="n">
        <x:v>75</x:v>
      </x:c>
      <x:c r="E1287" s="48" t="str"/>
      <x:c r="F1287" s="48" t="str">
        <x:v>Consequences of Force</x:v>
      </x:c>
      <x:c r="G1287" s="48" t="str">
        <x:v>Obligation</x:v>
      </x:c>
      <x:c r="H1287" s="48" t="str">
        <x:v>Shared</x:v>
      </x:c>
      <x:c r="I1287" s="48" t="n">
        <x:v>0.45</x:v>
      </x:c>
      <x:c r="J1287" s="48" t="n">
        <x:v>0.4</x:v>
      </x:c>
      <x:c r="K1287" s="48" t="str">
        <x:v>Yes</x:v>
      </x:c>
      <x:c r="L1287" s="48" t="str">
        <x:v>PDF text</x:v>
      </x:c>
    </x:row>
    <x:row r="1288">
      <x:c r="A1288" s="48" t="str">
        <x:v>RED-1287</x:v>
      </x:c>
      <x:c r="B1288" s="48" t="str">
        <x:v>RED</x:v>
      </x:c>
      <x:c r="C1288" s="48" t="str">
        <x:v>English</x:v>
      </x:c>
      <x:c r="D1288" s="48" t="n">
        <x:v>75</x:v>
      </x:c>
      <x:c r="E1288" s="48" t="str"/>
      <x:c r="F1288" s="48" t="str">
        <x:v>Force Majeure Affecting</x:v>
      </x:c>
      <x:c r="G1288" s="48" t="str">
        <x:v>Obligation</x:v>
      </x:c>
      <x:c r="H1288" s="48" t="str">
        <x:v>Shared</x:v>
      </x:c>
      <x:c r="I1288" s="48" t="n">
        <x:v>0.45</x:v>
      </x:c>
      <x:c r="J1288" s="48" t="n">
        <x:v>0.4</x:v>
      </x:c>
      <x:c r="K1288" s="48" t="str">
        <x:v>Yes</x:v>
      </x:c>
      <x:c r="L1288" s="48" t="str">
        <x:v>PDF text</x:v>
      </x:c>
    </x:row>
    <x:row r="1289">
      <x:c r="A1289" s="48" t="str">
        <x:v>RED-1288</x:v>
      </x:c>
      <x:c r="B1289" s="48" t="str">
        <x:v>RED</x:v>
      </x:c>
      <x:c r="C1289" s="48" t="str">
        <x:v>English</x:v>
      </x:c>
      <x:c r="D1289" s="48" t="n">
        <x:v>75</x:v>
      </x:c>
      <x:c r="E1289" s="48" t="str"/>
      <x:c r="F1289" s="48" t="str">
        <x:v>Subcontractor</x:v>
      </x:c>
      <x:c r="G1289" s="48" t="str">
        <x:v>Obligation</x:v>
      </x:c>
      <x:c r="H1289" s="48" t="str">
        <x:v>Shared</x:v>
      </x:c>
      <x:c r="I1289" s="48" t="n">
        <x:v>0.45</x:v>
      </x:c>
      <x:c r="J1289" s="48" t="n">
        <x:v>0.4</x:v>
      </x:c>
      <x:c r="K1289" s="48" t="str">
        <x:v>Yes</x:v>
      </x:c>
      <x:c r="L1289" s="48" t="str">
        <x:v>PDF text</x:v>
      </x:c>
    </x:row>
    <x:row r="1290">
      <x:c r="A1290" s="48" t="str">
        <x:v>RED-1289</x:v>
      </x:c>
      <x:c r="B1290" s="48" t="str">
        <x:v>RED</x:v>
      </x:c>
      <x:c r="C1290" s="48" t="str">
        <x:v>English</x:v>
      </x:c>
      <x:c r="D1290" s="48" t="n">
        <x:v>75</x:v>
      </x:c>
      <x:c r="E1290" s="48" t="str"/>
      <x:c r="F1290" s="48" t="str">
        <x:v>Optional Termination,</x:v>
      </x:c>
      <x:c r="G1290" s="48" t="str">
        <x:v>Obligation</x:v>
      </x:c>
      <x:c r="H1290" s="48" t="str">
        <x:v>Shared</x:v>
      </x:c>
      <x:c r="I1290" s="48" t="n">
        <x:v>0.55</x:v>
      </x:c>
      <x:c r="J1290" s="48" t="n">
        <x:v>0.4</x:v>
      </x:c>
      <x:c r="K1290" s="48" t="str">
        <x:v>Yes</x:v>
      </x:c>
      <x:c r="L1290" s="48" t="str">
        <x:v>PDF text</x:v>
      </x:c>
    </x:row>
    <x:row r="1291">
      <x:c r="A1291" s="48" t="str">
        <x:v>RED-1290</x:v>
      </x:c>
      <x:c r="B1291" s="48" t="str">
        <x:v>RED</x:v>
      </x:c>
      <x:c r="C1291" s="48" t="str">
        <x:v>English</x:v>
      </x:c>
      <x:c r="D1291" s="48" t="n">
        <x:v>75</x:v>
      </x:c>
      <x:c r="E1291" s="48" t="str"/>
      <x:c r="F1291" s="48" t="str">
        <x:v>Payment and Release</x:v>
      </x:c>
      <x:c r="G1291" s="48" t="str">
        <x:v>Obligation</x:v>
      </x:c>
      <x:c r="H1291" s="48" t="str">
        <x:v>Shared</x:v>
      </x:c>
      <x:c r="I1291" s="48" t="n">
        <x:v>0.55</x:v>
      </x:c>
      <x:c r="J1291" s="48" t="n">
        <x:v>0.4</x:v>
      </x:c>
      <x:c r="K1291" s="48" t="str">
        <x:v>Yes</x:v>
      </x:c>
      <x:c r="L1291" s="48" t="str">
        <x:v>PDF text</x:v>
      </x:c>
    </x:row>
    <x:row r="1292">
      <x:c r="A1292" s="48" t="str">
        <x:v>RED-1291</x:v>
      </x:c>
      <x:c r="B1292" s="48" t="str">
        <x:v>RED</x:v>
      </x:c>
      <x:c r="C1292" s="48" t="str">
        <x:v>English</x:v>
      </x:c>
      <x:c r="D1292" s="48" t="n">
        <x:v>76</x:v>
      </x:c>
      <x:c r="E1292" s="48" t="str"/>
      <x:c r="F1292" s="48" t="str">
        <x:v>Notwithstanding any other provision of this Clause, if any event or circumstance</x:v>
      </x:c>
      <x:c r="G1292" s="48" t="str">
        <x:v>Obligation</x:v>
      </x:c>
      <x:c r="H1292" s="48" t="str">
        <x:v>Shared</x:v>
      </x:c>
      <x:c r="I1292" s="48" t="n">
        <x:v>0.45</x:v>
      </x:c>
      <x:c r="J1292" s="48" t="n">
        <x:v>0.4</x:v>
      </x:c>
      <x:c r="K1292" s="48" t="str">
        <x:v>Yes</x:v>
      </x:c>
      <x:c r="L1292" s="48" t="str">
        <x:v>PDF text</x:v>
      </x:c>
    </x:row>
    <x:row r="1293">
      <x:c r="A1293" s="48" t="str">
        <x:v>RED-1292</x:v>
      </x:c>
      <x:c r="B1293" s="48" t="str">
        <x:v>RED</x:v>
      </x:c>
      <x:c r="C1293" s="48" t="str">
        <x:v>English</x:v>
      </x:c>
      <x:c r="D1293" s="48" t="n">
        <x:v>76</x:v>
      </x:c>
      <x:c r="E1293" s="48" t="str"/>
      <x:c r="F1293" s="48" t="str">
        <x:v>outside the control of the Parties (including, but not limited to, Force Majeure) arises which makes it impossible or unlawful for either or both Parties to fulfil its or their contractual obligations or which, under the law governing the Contract, entitles the Parties to be released from further performance of the Contract, then upon notice by either Party to the other Party of such event or circumstance: (a) the Parties shall be discharged from further performance, without prejudice to the rights of either Party in respect of any previous breach of the Contract, and (b) the sum payable by the Employer to the Contractor shall be the same as would have been payable under Sub-Clause 19.6 [Optional Termination, Payment and Release] if the Contract had been terminated under Sub-Clause 19.6.</x:v>
      </x:c>
      <x:c r="G1293" s="48" t="str">
        <x:v>Risk</x:v>
      </x:c>
      <x:c r="H1293" s="48" t="str">
        <x:v>Shared</x:v>
      </x:c>
      <x:c r="I1293" s="48" t="n">
        <x:v>0.78</x:v>
      </x:c>
      <x:c r="J1293" s="48" t="n">
        <x:v>0.93</x:v>
      </x:c>
      <x:c r="K1293" s="48" t="str">
        <x:v>No</x:v>
      </x:c>
      <x:c r="L1293" s="48" t="str">
        <x:v>PDF text</x:v>
      </x:c>
    </x:row>
    <x:row r="1294">
      <x:c r="A1294" s="48" t="str">
        <x:v>RED-1293</x:v>
      </x:c>
      <x:c r="B1294" s="48" t="str">
        <x:v>RED</x:v>
      </x:c>
      <x:c r="C1294" s="48" t="str">
        <x:v>English</x:v>
      </x:c>
      <x:c r="D1294" s="48" t="n">
        <x:v>76</x:v>
      </x:c>
      <x:c r="E1294" s="48" t="str"/>
      <x:c r="F1294" s="48" t="str">
        <x:v>If the Contractor considers himself to be entitled to any extension of the Time for</x:v>
      </x:c>
      <x:c r="G1294" s="48" t="str">
        <x:v>Right</x:v>
      </x:c>
      <x:c r="H1294" s="48" t="str">
        <x:v>Contractor</x:v>
      </x:c>
      <x:c r="I1294" s="48" t="n">
        <x:v>0.78</x:v>
      </x:c>
      <x:c r="J1294" s="48" t="n">
        <x:v>0.68</x:v>
      </x:c>
      <x:c r="K1294" s="48" t="str">
        <x:v>Yes</x:v>
      </x:c>
      <x:c r="L1294" s="48" t="str">
        <x:v>PDF text</x:v>
      </x:c>
    </x:row>
    <x:row r="1295">
      <x:c r="A1295" s="48" t="str">
        <x:v>RED-1294</x:v>
      </x:c>
      <x:c r="B1295" s="48" t="str">
        <x:v>RED</x:v>
      </x:c>
      <x:c r="C1295" s="48" t="str">
        <x:v>English</x:v>
      </x:c>
      <x:c r="D1295" s="48" t="n">
        <x:v>76</x:v>
      </x:c>
      <x:c r="E1295" s="48" t="str"/>
      <x:c r="F1295" s="48" t="str">
        <x:v>Completion and/or any additional payment, under any Clause of these Conditions</x:v>
      </x:c>
      <x:c r="G1295" s="48" t="str">
        <x:v>Obligation</x:v>
      </x:c>
      <x:c r="H1295" s="48" t="str">
        <x:v>Shared</x:v>
      </x:c>
      <x:c r="I1295" s="48" t="n">
        <x:v>0.55</x:v>
      </x:c>
      <x:c r="J1295" s="48" t="n">
        <x:v>0.4</x:v>
      </x:c>
      <x:c r="K1295" s="48" t="str">
        <x:v>Yes</x:v>
      </x:c>
      <x:c r="L1295" s="48" t="str">
        <x:v>PDF text</x:v>
      </x:c>
    </x:row>
    <x:row r="1296">
      <x:c r="A1296" s="48" t="str">
        <x:v>RED-1295</x:v>
      </x:c>
      <x:c r="B1296" s="48" t="str">
        <x:v>RED</x:v>
      </x:c>
      <x:c r="C1296" s="48" t="str">
        <x:v>English</x:v>
      </x:c>
      <x:c r="D1296" s="48" t="n">
        <x:v>76</x:v>
      </x:c>
      <x:c r="E1296" s="48" t="str"/>
      <x:c r="F1296" s="48" t="str">
        <x:v>or otherwise in connection with the Contract, the Contractor shall give notice to the Engineer, describing the event or circumstance giving rise to the claim.</x:v>
      </x:c>
      <x:c r="G1296" s="48" t="str">
        <x:v>Obligation</x:v>
      </x:c>
      <x:c r="H1296" s="48" t="str">
        <x:v>Contractor</x:v>
      </x:c>
      <x:c r="I1296" s="48" t="n">
        <x:v>0.88</x:v>
      </x:c>
      <x:c r="J1296" s="48" t="n">
        <x:v>0.92</x:v>
      </x:c>
      <x:c r="K1296" s="48" t="str">
        <x:v>No</x:v>
      </x:c>
      <x:c r="L1296" s="48" t="str">
        <x:v>PDF text</x:v>
      </x:c>
    </x:row>
    <x:row r="1297">
      <x:c r="A1297" s="48" t="str">
        <x:v>RED-1296</x:v>
      </x:c>
      <x:c r="B1297" s="48" t="str">
        <x:v>RED</x:v>
      </x:c>
      <x:c r="C1297" s="48" t="str">
        <x:v>English</x:v>
      </x:c>
      <x:c r="D1297" s="48" t="n">
        <x:v>76</x:v>
      </x:c>
      <x:c r="E1297" s="48" t="str"/>
      <x:c r="F1297" s="48" t="str">
        <x:v>The notice shall be given as soon as practicable, and not later than 28 days after the</x:v>
      </x:c>
      <x:c r="G1297" s="48" t="str">
        <x:v>Obligation</x:v>
      </x:c>
      <x:c r="H1297" s="48" t="str">
        <x:v>Shared</x:v>
      </x:c>
      <x:c r="I1297" s="48" t="n">
        <x:v>0.88</x:v>
      </x:c>
      <x:c r="J1297" s="48" t="n">
        <x:v>0.4</x:v>
      </x:c>
      <x:c r="K1297" s="48" t="str">
        <x:v>Yes</x:v>
      </x:c>
      <x:c r="L1297" s="48" t="str">
        <x:v>PDF text</x:v>
      </x:c>
    </x:row>
    <x:row r="1298">
      <x:c r="A1298" s="48" t="str">
        <x:v>RED-1297</x:v>
      </x:c>
      <x:c r="B1298" s="48" t="str">
        <x:v>RED</x:v>
      </x:c>
      <x:c r="C1298" s="48" t="str">
        <x:v>English</x:v>
      </x:c>
      <x:c r="D1298" s="48" t="n">
        <x:v>76</x:v>
      </x:c>
      <x:c r="E1298" s="48" t="str"/>
      <x:c r="F1298" s="48" t="str">
        <x:v>Contractor became aware, or should have become aware, of the event or</x:v>
      </x:c>
      <x:c r="G1298" s="48" t="str">
        <x:v>Obligation</x:v>
      </x:c>
      <x:c r="H1298" s="48" t="str">
        <x:v>Contractor</x:v>
      </x:c>
      <x:c r="I1298" s="48" t="n">
        <x:v>0.45</x:v>
      </x:c>
      <x:c r="J1298" s="48" t="n">
        <x:v>0.68</x:v>
      </x:c>
      <x:c r="K1298" s="48" t="str">
        <x:v>Yes</x:v>
      </x:c>
      <x:c r="L1298" s="48" t="str">
        <x:v>PDF text</x:v>
      </x:c>
    </x:row>
    <x:row r="1299">
      <x:c r="A1299" s="48" t="str">
        <x:v>RED-1298</x:v>
      </x:c>
      <x:c r="B1299" s="48" t="str">
        <x:v>RED</x:v>
      </x:c>
      <x:c r="C1299" s="48" t="str">
        <x:v>English</x:v>
      </x:c>
      <x:c r="D1299" s="48" t="n">
        <x:v>76</x:v>
      </x:c>
      <x:c r="E1299" s="48" t="str"/>
      <x:c r="F1299" s="48" t="str">
        <x:v>circumstance.</x:v>
      </x:c>
      <x:c r="G1299" s="48" t="str">
        <x:v>Obligation</x:v>
      </x:c>
      <x:c r="H1299" s="48" t="str">
        <x:v>Shared</x:v>
      </x:c>
      <x:c r="I1299" s="48" t="n">
        <x:v>0.45</x:v>
      </x:c>
      <x:c r="J1299" s="48" t="n">
        <x:v>0.4</x:v>
      </x:c>
      <x:c r="K1299" s="48" t="str">
        <x:v>Yes</x:v>
      </x:c>
      <x:c r="L1299" s="48" t="str">
        <x:v>PDF text</x:v>
      </x:c>
    </x:row>
    <x:row r="1300">
      <x:c r="A1300" s="48" t="str">
        <x:v>RED-1299</x:v>
      </x:c>
      <x:c r="B1300" s="48" t="str">
        <x:v>RED</x:v>
      </x:c>
      <x:c r="C1300" s="48" t="str">
        <x:v>English</x:v>
      </x:c>
      <x:c r="D1300" s="48" t="n">
        <x:v>76</x:v>
      </x:c>
      <x:c r="E1300" s="48" t="str"/>
      <x:c r="F1300" s="48" t="str">
        <x:v>If the Contractor fails to give notice of a claim within such period of 28 days, the Time for Completion shall not be extended, the Contractor shall not be entitled to additional payment, and the Employer shall be discharged from all liability in connection with the claim.</x:v>
      </x:c>
      <x:c r="G1300" s="48" t="str">
        <x:v>Risk</x:v>
      </x:c>
      <x:c r="H1300" s="48" t="str">
        <x:v>Contractor</x:v>
      </x:c>
      <x:c r="I1300" s="48" t="n">
        <x:v>0.78</x:v>
      </x:c>
      <x:c r="J1300" s="48" t="n">
        <x:v>0.92</x:v>
      </x:c>
      <x:c r="K1300" s="48" t="str">
        <x:v>No</x:v>
      </x:c>
      <x:c r="L1300" s="48" t="str">
        <x:v>PDF text</x:v>
      </x:c>
    </x:row>
    <x:row r="1301">
      <x:c r="A1301" s="48" t="str">
        <x:v>RED-1300</x:v>
      </x:c>
      <x:c r="B1301" s="48" t="str">
        <x:v>RED</x:v>
      </x:c>
      <x:c r="C1301" s="48" t="str">
        <x:v>English</x:v>
      </x:c>
      <x:c r="D1301" s="48" t="n">
        <x:v>76</x:v>
      </x:c>
      <x:c r="E1301" s="48" t="str"/>
      <x:c r="F1301" s="48" t="str">
        <x:v>Otherwise, the following provisions of this Sub-Clause shall apply.</x:v>
      </x:c>
      <x:c r="G1301" s="48" t="str">
        <x:v>Obligation</x:v>
      </x:c>
      <x:c r="H1301" s="48" t="str">
        <x:v>Shared</x:v>
      </x:c>
      <x:c r="I1301" s="48" t="n">
        <x:v>0.88</x:v>
      </x:c>
      <x:c r="J1301" s="48" t="n">
        <x:v>0.4</x:v>
      </x:c>
      <x:c r="K1301" s="48" t="str">
        <x:v>Yes</x:v>
      </x:c>
      <x:c r="L1301" s="48" t="str">
        <x:v>PDF text</x:v>
      </x:c>
    </x:row>
    <x:row r="1302">
      <x:c r="A1302" s="48" t="str">
        <x:v>RED-1301</x:v>
      </x:c>
      <x:c r="B1302" s="48" t="str">
        <x:v>RED</x:v>
      </x:c>
      <x:c r="C1302" s="48" t="str">
        <x:v>English</x:v>
      </x:c>
      <x:c r="D1302" s="48" t="n">
        <x:v>76</x:v>
      </x:c>
      <x:c r="E1302" s="48" t="str"/>
      <x:c r="F1302" s="48" t="str">
        <x:v>The Contractor shall also submit any other notices which are required by the Contract, and supporting particulars for the claim, all as relevant to such event or circumstance.</x:v>
      </x:c>
      <x:c r="G1302" s="48" t="str">
        <x:v>Obligation</x:v>
      </x:c>
      <x:c r="H1302" s="48" t="str">
        <x:v>Contractor</x:v>
      </x:c>
      <x:c r="I1302" s="48" t="n">
        <x:v>0.88</x:v>
      </x:c>
      <x:c r="J1302" s="48" t="n">
        <x:v>0.92</x:v>
      </x:c>
      <x:c r="K1302" s="48" t="str">
        <x:v>No</x:v>
      </x:c>
      <x:c r="L1302" s="48" t="str">
        <x:v>PDF text</x:v>
      </x:c>
    </x:row>
    <x:row r="1303">
      <x:c r="A1303" s="48" t="str">
        <x:v>RED-1302</x:v>
      </x:c>
      <x:c r="B1303" s="48" t="str">
        <x:v>RED</x:v>
      </x:c>
      <x:c r="C1303" s="48" t="str">
        <x:v>English</x:v>
      </x:c>
      <x:c r="D1303" s="48" t="n">
        <x:v>76</x:v>
      </x:c>
      <x:c r="E1303" s="48" t="str"/>
      <x:c r="F1303" s="48" t="str">
        <x:v>The Contractor shall keep such contemporary records as may be necessary to</x:v>
      </x:c>
      <x:c r="G1303" s="48" t="str">
        <x:v>Obligation</x:v>
      </x:c>
      <x:c r="H1303" s="48" t="str">
        <x:v>Contractor</x:v>
      </x:c>
      <x:c r="I1303" s="48" t="n">
        <x:v>0.88</x:v>
      </x:c>
      <x:c r="J1303" s="48" t="n">
        <x:v>0.92</x:v>
      </x:c>
      <x:c r="K1303" s="48" t="str">
        <x:v>No</x:v>
      </x:c>
      <x:c r="L1303" s="48" t="str">
        <x:v>PDF text</x:v>
      </x:c>
    </x:row>
    <x:row r="1304">
      <x:c r="A1304" s="48" t="str">
        <x:v>RED-1303</x:v>
      </x:c>
      <x:c r="B1304" s="48" t="str">
        <x:v>RED</x:v>
      </x:c>
      <x:c r="C1304" s="48" t="str">
        <x:v>English</x:v>
      </x:c>
      <x:c r="D1304" s="48" t="n">
        <x:v>76</x:v>
      </x:c>
      <x:c r="E1304" s="48" t="str"/>
      <x:c r="F1304" s="48" t="str">
        <x:v>substantiate any claim, either on the Site or at another location acceptable to the Engineer.</x:v>
      </x:c>
      <x:c r="G1304" s="48" t="str">
        <x:v>Obligation</x:v>
      </x:c>
      <x:c r="H1304" s="48" t="str">
        <x:v>Shared</x:v>
      </x:c>
      <x:c r="I1304" s="48" t="n">
        <x:v>0.55</x:v>
      </x:c>
      <x:c r="J1304" s="48" t="n">
        <x:v>0.4</x:v>
      </x:c>
      <x:c r="K1304" s="48" t="str">
        <x:v>Yes</x:v>
      </x:c>
      <x:c r="L1304" s="48" t="str">
        <x:v>PDF text</x:v>
      </x:c>
    </x:row>
    <x:row r="1305">
      <x:c r="A1305" s="48" t="str">
        <x:v>RED-1304</x:v>
      </x:c>
      <x:c r="B1305" s="48" t="str">
        <x:v>RED</x:v>
      </x:c>
      <x:c r="C1305" s="48" t="str">
        <x:v>English</x:v>
      </x:c>
      <x:c r="D1305" s="48" t="n">
        <x:v>76</x:v>
      </x:c>
      <x:c r="E1305" s="48" t="str"/>
      <x:c r="F1305" s="48" t="str">
        <x:v>Without admitting the Employer’s liability, the Engineer may, after receiving any notice under this Sub-Clause, monitor the record-keeping and/or instruct the Contractor to keep further contemporary records.</x:v>
      </x:c>
      <x:c r="G1305" s="48" t="str">
        <x:v>Risk</x:v>
      </x:c>
      <x:c r="H1305" s="48" t="str">
        <x:v>Shared</x:v>
      </x:c>
      <x:c r="I1305" s="48" t="n">
        <x:v>0.78</x:v>
      </x:c>
      <x:c r="J1305" s="48" t="n">
        <x:v>0.6</x:v>
      </x:c>
      <x:c r="K1305" s="48" t="str">
        <x:v>Yes</x:v>
      </x:c>
      <x:c r="L1305" s="48" t="str">
        <x:v>PDF text</x:v>
      </x:c>
    </x:row>
    <x:row r="1306">
      <x:c r="A1306" s="48" t="str">
        <x:v>RED-1305</x:v>
      </x:c>
      <x:c r="B1306" s="48" t="str">
        <x:v>RED</x:v>
      </x:c>
      <x:c r="C1306" s="48" t="str">
        <x:v>English</x:v>
      </x:c>
      <x:c r="D1306" s="48" t="n">
        <x:v>76</x:v>
      </x:c>
      <x:c r="E1306" s="48" t="str"/>
      <x:c r="F1306" s="48" t="str">
        <x:v>The Contractor shall permit the Engineer to inspect all these records, and shall (if instructed) submit copies to the Engineer.</x:v>
      </x:c>
      <x:c r="G1306" s="48" t="str">
        <x:v>Obligation</x:v>
      </x:c>
      <x:c r="H1306" s="48" t="str">
        <x:v>Contractor</x:v>
      </x:c>
      <x:c r="I1306" s="48" t="n">
        <x:v>0.88</x:v>
      </x:c>
      <x:c r="J1306" s="48" t="n">
        <x:v>0.92</x:v>
      </x:c>
      <x:c r="K1306" s="48" t="str">
        <x:v>No</x:v>
      </x:c>
      <x:c r="L1306" s="48" t="str">
        <x:v>PDF text</x:v>
      </x:c>
    </x:row>
    <x:row r="1307">
      <x:c r="A1307" s="48" t="str">
        <x:v>RED-1306</x:v>
      </x:c>
      <x:c r="B1307" s="48" t="str">
        <x:v>RED</x:v>
      </x:c>
      <x:c r="C1307" s="48" t="str">
        <x:v>English</x:v>
      </x:c>
      <x:c r="D1307" s="48" t="n">
        <x:v>76</x:v>
      </x:c>
      <x:c r="E1307" s="48" t="str"/>
      <x:c r="F1307" s="48" t="str">
        <x:v>Within 42 days after the Contractor became aware (or should have become aware) of the event or circumstance giving rise to the claim, or within such other period as may be proposed by the Contractor and approved by the Engineer, the Contractor shall send to the Engineer a fully detailed claim which includes full supporting particulars of the basis of the claim and of the extension of time and/or additional payment claimed.</x:v>
      </x:c>
      <x:c r="G1307" s="48" t="str">
        <x:v>Obligation</x:v>
      </x:c>
      <x:c r="H1307" s="48" t="str">
        <x:v>Contractor</x:v>
      </x:c>
      <x:c r="I1307" s="48" t="n">
        <x:v>0.88</x:v>
      </x:c>
      <x:c r="J1307" s="48" t="n">
        <x:v>0.92</x:v>
      </x:c>
      <x:c r="K1307" s="48" t="str">
        <x:v>No</x:v>
      </x:c>
      <x:c r="L1307" s="48" t="str">
        <x:v>PDF text</x:v>
      </x:c>
    </x:row>
    <x:row r="1308">
      <x:c r="A1308" s="48" t="str">
        <x:v>RED-1307</x:v>
      </x:c>
      <x:c r="B1308" s="48" t="str">
        <x:v>RED</x:v>
      </x:c>
      <x:c r="C1308" s="48" t="str">
        <x:v>English</x:v>
      </x:c>
      <x:c r="D1308" s="48" t="n">
        <x:v>76</x:v>
      </x:c>
      <x:c r="E1308" s="48" t="str"/>
      <x:c r="F1308" s="48" t="str">
        <x:v>If the event or circumstance giving rise to the claim has a continuing effect: (a) this fully detailed claim shall be considered as interim; (b) the Contractor shall send further interim claims at monthly intervals, giving the accumulated delay and/or amount claimed, and such further particulars as the Engineer may reasonably require; and (c) the Contractor shall send a final claim within 28 days after the end of the effects resulting from the event or circumstance, or within such other period as may be proposed by the Contractor and approved by the Engineer.</x:v>
      </x:c>
      <x:c r="G1308" s="48" t="str">
        <x:v>Risk</x:v>
      </x:c>
      <x:c r="H1308" s="48" t="str">
        <x:v>Contractor</x:v>
      </x:c>
      <x:c r="I1308" s="48" t="n">
        <x:v>0.78</x:v>
      </x:c>
      <x:c r="J1308" s="48" t="n">
        <x:v>0.92</x:v>
      </x:c>
      <x:c r="K1308" s="48" t="str">
        <x:v>No</x:v>
      </x:c>
      <x:c r="L1308" s="48" t="str">
        <x:v>PDF text</x:v>
      </x:c>
    </x:row>
    <x:row r="1309">
      <x:c r="A1309" s="48" t="str">
        <x:v>RED-1308</x:v>
      </x:c>
      <x:c r="B1309" s="48" t="str">
        <x:v>RED</x:v>
      </x:c>
      <x:c r="C1309" s="48" t="str">
        <x:v>English</x:v>
      </x:c>
      <x:c r="D1309" s="48" t="n">
        <x:v>76</x:v>
      </x:c>
      <x:c r="E1309" s="48" t="str"/>
      <x:c r="F1309" s="48" t="str">
        <x:v>Release from</x:v>
      </x:c>
      <x:c r="G1309" s="48" t="str">
        <x:v>Obligation</x:v>
      </x:c>
      <x:c r="H1309" s="48" t="str">
        <x:v>Shared</x:v>
      </x:c>
      <x:c r="I1309" s="48" t="n">
        <x:v>0.45</x:v>
      </x:c>
      <x:c r="J1309" s="48" t="n">
        <x:v>0.4</x:v>
      </x:c>
      <x:c r="K1309" s="48" t="str">
        <x:v>Yes</x:v>
      </x:c>
      <x:c r="L1309" s="48" t="str">
        <x:v>PDF text</x:v>
      </x:c>
    </x:row>
    <x:row r="1310">
      <x:c r="A1310" s="48" t="str">
        <x:v>RED-1309</x:v>
      </x:c>
      <x:c r="B1310" s="48" t="str">
        <x:v>RED</x:v>
      </x:c>
      <x:c r="C1310" s="48" t="str">
        <x:v>English</x:v>
      </x:c>
      <x:c r="D1310" s="48" t="n">
        <x:v>76</x:v>
      </x:c>
      <x:c r="E1310" s="48" t="str"/>
      <x:c r="F1310" s="48" t="str">
        <x:v>Performance</x:v>
      </x:c>
      <x:c r="G1310" s="48" t="str">
        <x:v>Obligation</x:v>
      </x:c>
      <x:c r="H1310" s="48" t="str">
        <x:v>Shared</x:v>
      </x:c>
      <x:c r="I1310" s="48" t="n">
        <x:v>0.45</x:v>
      </x:c>
      <x:c r="J1310" s="48" t="n">
        <x:v>0.4</x:v>
      </x:c>
      <x:c r="K1310" s="48" t="str">
        <x:v>Yes</x:v>
      </x:c>
      <x:c r="L1310" s="48" t="str">
        <x:v>PDF text</x:v>
      </x:c>
    </x:row>
    <x:row r="1311">
      <x:c r="A1311" s="48" t="str">
        <x:v>RED-1310</x:v>
      </x:c>
      <x:c r="B1311" s="48" t="str">
        <x:v>RED</x:v>
      </x:c>
      <x:c r="C1311" s="48" t="str">
        <x:v>English</x:v>
      </x:c>
      <x:c r="D1311" s="48" t="n">
        <x:v>76</x:v>
      </x:c>
      <x:c r="E1311" s="48" t="str">
        <x:v>20.1</x:v>
      </x:c>
      <x:c r="F1311" s="48" t="str">
        <x:v>20.1 Contractor’s Claims20</x:v>
      </x:c>
      <x:c r="G1311" s="48" t="str">
        <x:v>Heading</x:v>
      </x:c>
      <x:c r="H1311" s="48" t="str"/>
      <x:c r="I1311" s="48" t="n">
        <x:v>0.9</x:v>
      </x:c>
      <x:c r="J1311" s="48" t="n">
        <x:v>0.99</x:v>
      </x:c>
      <x:c r="K1311" s="48" t="str">
        <x:v>No</x:v>
      </x:c>
      <x:c r="L1311" s="48" t="str">
        <x:v>PDF text</x:v>
      </x:c>
    </x:row>
    <x:row r="1312">
      <x:c r="A1312" s="48" t="str">
        <x:v>RED-1311</x:v>
      </x:c>
      <x:c r="B1312" s="48" t="str">
        <x:v>RED</x:v>
      </x:c>
      <x:c r="C1312" s="48" t="str">
        <x:v>English</x:v>
      </x:c>
      <x:c r="D1312" s="48" t="n">
        <x:v>76</x:v>
      </x:c>
      <x:c r="E1312" s="48" t="str"/>
      <x:c r="F1312" s="48" t="str">
        <x:v>Claims, Disputes and Arbitration</x:v>
      </x:c>
      <x:c r="G1312" s="48" t="str">
        <x:v>Obligation</x:v>
      </x:c>
      <x:c r="H1312" s="48" t="str">
        <x:v>Shared</x:v>
      </x:c>
      <x:c r="I1312" s="48" t="n">
        <x:v>0.45</x:v>
      </x:c>
      <x:c r="J1312" s="48" t="n">
        <x:v>0.4</x:v>
      </x:c>
      <x:c r="K1312" s="48" t="str">
        <x:v>Yes</x:v>
      </x:c>
      <x:c r="L1312" s="48" t="str">
        <x:v>PDF text</x:v>
      </x:c>
    </x:row>
    <x:row r="1313">
      <x:c r="A1313" s="48" t="str">
        <x:v>RED-1312</x:v>
      </x:c>
      <x:c r="B1313" s="48" t="str">
        <x:v>RED</x:v>
      </x:c>
      <x:c r="C1313" s="48" t="str">
        <x:v>English</x:v>
      </x:c>
      <x:c r="D1313" s="48" t="n">
        <x:v>77</x:v>
      </x:c>
      <x:c r="E1313" s="48" t="str"/>
      <x:c r="F1313" s="48" t="str">
        <x:v>Within 42 days after receiving a claim or any further particulars supporting a previous claim, or within such other period as may be proposed by the Engineer and approved by the Contractor, the Engineer shall respond with approval, or with disapproval and detailed comments.</x:v>
      </x:c>
      <x:c r="G1313" s="48" t="str">
        <x:v>Obligation</x:v>
      </x:c>
      <x:c r="H1313" s="48" t="str">
        <x:v>Contractor</x:v>
      </x:c>
      <x:c r="I1313" s="48" t="n">
        <x:v>0.88</x:v>
      </x:c>
      <x:c r="J1313" s="48" t="n">
        <x:v>0.68</x:v>
      </x:c>
      <x:c r="K1313" s="48" t="str">
        <x:v>Yes</x:v>
      </x:c>
      <x:c r="L1313" s="48" t="str">
        <x:v>PDF text</x:v>
      </x:c>
    </x:row>
    <x:row r="1314">
      <x:c r="A1314" s="48" t="str">
        <x:v>RED-1313</x:v>
      </x:c>
      <x:c r="B1314" s="48" t="str">
        <x:v>RED</x:v>
      </x:c>
      <x:c r="C1314" s="48" t="str">
        <x:v>English</x:v>
      </x:c>
      <x:c r="D1314" s="48" t="n">
        <x:v>77</x:v>
      </x:c>
      <x:c r="E1314" s="48" t="str"/>
      <x:c r="F1314" s="48" t="str">
        <x:v>He may also request any necessary further particulars, but shall nevertheless give his response on the principles of the claim within such time.</x:v>
      </x:c>
      <x:c r="G1314" s="48" t="str">
        <x:v>Obligation</x:v>
      </x:c>
      <x:c r="H1314" s="48" t="str">
        <x:v>Shared</x:v>
      </x:c>
      <x:c r="I1314" s="48" t="n">
        <x:v>0.88</x:v>
      </x:c>
      <x:c r="J1314" s="48" t="n">
        <x:v>0.4</x:v>
      </x:c>
      <x:c r="K1314" s="48" t="str">
        <x:v>Yes</x:v>
      </x:c>
      <x:c r="L1314" s="48" t="str">
        <x:v>PDF text</x:v>
      </x:c>
    </x:row>
    <x:row r="1315">
      <x:c r="A1315" s="48" t="str">
        <x:v>RED-1314</x:v>
      </x:c>
      <x:c r="B1315" s="48" t="str">
        <x:v>RED</x:v>
      </x:c>
      <x:c r="C1315" s="48" t="str">
        <x:v>English</x:v>
      </x:c>
      <x:c r="D1315" s="48" t="n">
        <x:v>77</x:v>
      </x:c>
      <x:c r="E1315" s="48" t="str"/>
      <x:c r="F1315" s="48" t="str">
        <x:v>Each Payment Certificate shall include such amounts for any claim as have been</x:v>
      </x:c>
      <x:c r="G1315" s="48" t="str">
        <x:v>Obligation</x:v>
      </x:c>
      <x:c r="H1315" s="48" t="str">
        <x:v>Shared</x:v>
      </x:c>
      <x:c r="I1315" s="48" t="n">
        <x:v>0.88</x:v>
      </x:c>
      <x:c r="J1315" s="48" t="n">
        <x:v>0.4</x:v>
      </x:c>
      <x:c r="K1315" s="48" t="str">
        <x:v>Yes</x:v>
      </x:c>
      <x:c r="L1315" s="48" t="str">
        <x:v>PDF text</x:v>
      </x:c>
    </x:row>
    <x:row r="1316">
      <x:c r="A1316" s="48" t="str">
        <x:v>RED-1315</x:v>
      </x:c>
      <x:c r="B1316" s="48" t="str">
        <x:v>RED</x:v>
      </x:c>
      <x:c r="C1316" s="48" t="str">
        <x:v>English</x:v>
      </x:c>
      <x:c r="D1316" s="48" t="n">
        <x:v>77</x:v>
      </x:c>
      <x:c r="E1316" s="48" t="str"/>
      <x:c r="F1316" s="48" t="str">
        <x:v>reasonably substantiated as due under the relevant provision of the Contract.</x:v>
      </x:c>
      <x:c r="G1316" s="48" t="str">
        <x:v>Obligation</x:v>
      </x:c>
      <x:c r="H1316" s="48" t="str">
        <x:v>Shared</x:v>
      </x:c>
      <x:c r="I1316" s="48" t="n">
        <x:v>0.45</x:v>
      </x:c>
      <x:c r="J1316" s="48" t="n">
        <x:v>0.4</x:v>
      </x:c>
      <x:c r="K1316" s="48" t="str">
        <x:v>Yes</x:v>
      </x:c>
      <x:c r="L1316" s="48" t="str">
        <x:v>PDF text</x:v>
      </x:c>
    </x:row>
    <x:row r="1317">
      <x:c r="A1317" s="48" t="str">
        <x:v>RED-1316</x:v>
      </x:c>
      <x:c r="B1317" s="48" t="str">
        <x:v>RED</x:v>
      </x:c>
      <x:c r="C1317" s="48" t="str">
        <x:v>English</x:v>
      </x:c>
      <x:c r="D1317" s="48" t="n">
        <x:v>77</x:v>
      </x:c>
      <x:c r="E1317" s="48" t="str"/>
      <x:c r="F1317" s="48" t="str">
        <x:v>Unless and until the particulars supplied are sufficient to substantiate the whole of the claim, the Contractor shall only be entitled to payment for such part of the claim as he has been able to substantiate.</x:v>
      </x:c>
      <x:c r="G1317" s="48" t="str">
        <x:v>Obligation</x:v>
      </x:c>
      <x:c r="H1317" s="48" t="str">
        <x:v>Contractor</x:v>
      </x:c>
      <x:c r="I1317" s="48" t="n">
        <x:v>0.88</x:v>
      </x:c>
      <x:c r="J1317" s="48" t="n">
        <x:v>0.92</x:v>
      </x:c>
      <x:c r="K1317" s="48" t="str">
        <x:v>No</x:v>
      </x:c>
      <x:c r="L1317" s="48" t="str">
        <x:v>PDF text</x:v>
      </x:c>
    </x:row>
    <x:row r="1318">
      <x:c r="A1318" s="48" t="str">
        <x:v>RED-1317</x:v>
      </x:c>
      <x:c r="B1318" s="48" t="str">
        <x:v>RED</x:v>
      </x:c>
      <x:c r="C1318" s="48" t="str">
        <x:v>English</x:v>
      </x:c>
      <x:c r="D1318" s="48" t="n">
        <x:v>77</x:v>
      </x:c>
      <x:c r="E1318" s="48" t="str"/>
      <x:c r="F1318" s="48" t="str">
        <x:v>The Engineer shall proceed in accordance with Sub-Clause 3.5 [Determinations] to agree or determine (i) the extension (if any) of the Time for Completion (before or after its expiry) in accordance with Sub-Clause 8.4 [Extension of Time for Completion], and/or (ii) the additional payment (if any) to which the Contractor is entitled under the Contract.</x:v>
      </x:c>
      <x:c r="G1318" s="48" t="str">
        <x:v>Obligation</x:v>
      </x:c>
      <x:c r="H1318" s="48" t="str">
        <x:v>Contractor</x:v>
      </x:c>
      <x:c r="I1318" s="48" t="n">
        <x:v>0.88</x:v>
      </x:c>
      <x:c r="J1318" s="48" t="n">
        <x:v>0.68</x:v>
      </x:c>
      <x:c r="K1318" s="48" t="str">
        <x:v>Yes</x:v>
      </x:c>
      <x:c r="L1318" s="48" t="str">
        <x:v>PDF text</x:v>
      </x:c>
    </x:row>
    <x:row r="1319">
      <x:c r="A1319" s="48" t="str">
        <x:v>RED-1318</x:v>
      </x:c>
      <x:c r="B1319" s="48" t="str">
        <x:v>RED</x:v>
      </x:c>
      <x:c r="C1319" s="48" t="str">
        <x:v>English</x:v>
      </x:c>
      <x:c r="D1319" s="48" t="n">
        <x:v>77</x:v>
      </x:c>
      <x:c r="E1319" s="48" t="str"/>
      <x:c r="F1319" s="48" t="str">
        <x:v>The requirements of this Sub-Clause are in addition to those of any other Sub-Clause which may apply to a claim.</x:v>
      </x:c>
      <x:c r="G1319" s="48" t="str">
        <x:v>Right</x:v>
      </x:c>
      <x:c r="H1319" s="48" t="str">
        <x:v>Shared</x:v>
      </x:c>
      <x:c r="I1319" s="48" t="n">
        <x:v>0.78</x:v>
      </x:c>
      <x:c r="J1319" s="48" t="n">
        <x:v>0.4</x:v>
      </x:c>
      <x:c r="K1319" s="48" t="str">
        <x:v>Yes</x:v>
      </x:c>
      <x:c r="L1319" s="48" t="str">
        <x:v>PDF text</x:v>
      </x:c>
    </x:row>
    <x:row r="1320">
      <x:c r="A1320" s="48" t="str">
        <x:v>RED-1319</x:v>
      </x:c>
      <x:c r="B1320" s="48" t="str">
        <x:v>RED</x:v>
      </x:c>
      <x:c r="C1320" s="48" t="str">
        <x:v>English</x:v>
      </x:c>
      <x:c r="D1320" s="48" t="n">
        <x:v>77</x:v>
      </x:c>
      <x:c r="E1320" s="48" t="str"/>
      <x:c r="F1320" s="48" t="str">
        <x:v>If the Contractor fails to comply with this or another SubClause in relation to any claim, any extension of time and/or additional payment shall take account of the extent (if any) to which the failure has prevented or prejudiced proper investigation of the claim, unless the claim is excluded under the second paragraph of this Sub-Clause.</x:v>
      </x:c>
      <x:c r="G1320" s="48" t="str">
        <x:v>Risk</x:v>
      </x:c>
      <x:c r="H1320" s="48" t="str">
        <x:v>Contractor</x:v>
      </x:c>
      <x:c r="I1320" s="48" t="n">
        <x:v>0.78</x:v>
      </x:c>
      <x:c r="J1320" s="48" t="n">
        <x:v>0.68</x:v>
      </x:c>
      <x:c r="K1320" s="48" t="str">
        <x:v>Yes</x:v>
      </x:c>
      <x:c r="L1320" s="48" t="str">
        <x:v>PDF text</x:v>
      </x:c>
    </x:row>
    <x:row r="1321">
      <x:c r="A1321" s="48" t="str">
        <x:v>RED-1320</x:v>
      </x:c>
      <x:c r="B1321" s="48" t="str">
        <x:v>RED</x:v>
      </x:c>
      <x:c r="C1321" s="48" t="str">
        <x:v>English</x:v>
      </x:c>
      <x:c r="D1321" s="48" t="n">
        <x:v>77</x:v>
      </x:c>
      <x:c r="E1321" s="48" t="str"/>
      <x:c r="F1321" s="48" t="str">
        <x:v>Disputes shall be referred to a DB for decision in accordance with Sub-Clause 20.4 [Obtaining Dispute Board’s Decision].</x:v>
      </x:c>
      <x:c r="G1321" s="48" t="str">
        <x:v>Obligation</x:v>
      </x:c>
      <x:c r="H1321" s="48" t="str">
        <x:v>Shared</x:v>
      </x:c>
      <x:c r="I1321" s="48" t="n">
        <x:v>0.88</x:v>
      </x:c>
      <x:c r="J1321" s="48" t="n">
        <x:v>0.4</x:v>
      </x:c>
      <x:c r="K1321" s="48" t="str">
        <x:v>Yes</x:v>
      </x:c>
      <x:c r="L1321" s="48" t="str">
        <x:v>PDF text</x:v>
      </x:c>
    </x:row>
    <x:row r="1322">
      <x:c r="A1322" s="48" t="str">
        <x:v>RED-1321</x:v>
      </x:c>
      <x:c r="B1322" s="48" t="str">
        <x:v>RED</x:v>
      </x:c>
      <x:c r="C1322" s="48" t="str">
        <x:v>English</x:v>
      </x:c>
      <x:c r="D1322" s="48" t="n">
        <x:v>77</x:v>
      </x:c>
      <x:c r="E1322" s="48" t="str"/>
      <x:c r="F1322" s="48" t="str">
        <x:v>The Parties shall appoint a DB by the date stated in the Contract Data.</x:v>
      </x:c>
      <x:c r="G1322" s="48" t="str">
        <x:v>Obligation</x:v>
      </x:c>
      <x:c r="H1322" s="48" t="str">
        <x:v>Shared</x:v>
      </x:c>
      <x:c r="I1322" s="48" t="n">
        <x:v>0.88</x:v>
      </x:c>
      <x:c r="J1322" s="48" t="n">
        <x:v>0.93</x:v>
      </x:c>
      <x:c r="K1322" s="48" t="str">
        <x:v>No</x:v>
      </x:c>
      <x:c r="L1322" s="48" t="str">
        <x:v>PDF text</x:v>
      </x:c>
    </x:row>
    <x:row r="1323">
      <x:c r="A1323" s="48" t="str">
        <x:v>RED-1322</x:v>
      </x:c>
      <x:c r="B1323" s="48" t="str">
        <x:v>RED</x:v>
      </x:c>
      <x:c r="C1323" s="48" t="str">
        <x:v>English</x:v>
      </x:c>
      <x:c r="D1323" s="48" t="n">
        <x:v>77</x:v>
      </x:c>
      <x:c r="E1323" s="48" t="str"/>
      <x:c r="F1323" s="48" t="str">
        <x:v>The DB shall comprise, as stated in the Contract Data, either one or three suitably qualified persons (“the members”), each of whom shall be fluent in the language for communication defined in the Contract and shall be a professional experienced in the type of construction involved in the Works and with the interpretation of contractual documents.</x:v>
      </x:c>
      <x:c r="G1323" s="48" t="str">
        <x:v>Obligation</x:v>
      </x:c>
      <x:c r="H1323" s="48" t="str">
        <x:v>Shared</x:v>
      </x:c>
      <x:c r="I1323" s="48" t="n">
        <x:v>0.88</x:v>
      </x:c>
      <x:c r="J1323" s="48" t="n">
        <x:v>0.4</x:v>
      </x:c>
      <x:c r="K1323" s="48" t="str">
        <x:v>Yes</x:v>
      </x:c>
      <x:c r="L1323" s="48" t="str">
        <x:v>PDF text</x:v>
      </x:c>
    </x:row>
    <x:row r="1324">
      <x:c r="A1324" s="48" t="str">
        <x:v>RED-1323</x:v>
      </x:c>
      <x:c r="B1324" s="48" t="str">
        <x:v>RED</x:v>
      </x:c>
      <x:c r="C1324" s="48" t="str">
        <x:v>English</x:v>
      </x:c>
      <x:c r="D1324" s="48" t="n">
        <x:v>77</x:v>
      </x:c>
      <x:c r="E1324" s="48" t="str"/>
      <x:c r="F1324" s="48" t="str">
        <x:v>If the number is not so stated and the Parties do not agree otherwise, the DB shall comprise three persons, one of whom shall serve as chairman.</x:v>
      </x:c>
      <x:c r="G1324" s="48" t="str">
        <x:v>Obligation</x:v>
      </x:c>
      <x:c r="H1324" s="48" t="str">
        <x:v>Shared</x:v>
      </x:c>
      <x:c r="I1324" s="48" t="n">
        <x:v>0.88</x:v>
      </x:c>
      <x:c r="J1324" s="48" t="n">
        <x:v>0.93</x:v>
      </x:c>
      <x:c r="K1324" s="48" t="str">
        <x:v>No</x:v>
      </x:c>
      <x:c r="L1324" s="48" t="str">
        <x:v>PDF text</x:v>
      </x:c>
    </x:row>
    <x:row r="1325">
      <x:c r="A1325" s="48" t="str">
        <x:v>RED-1324</x:v>
      </x:c>
      <x:c r="B1325" s="48" t="str">
        <x:v>RED</x:v>
      </x:c>
      <x:c r="C1325" s="48" t="str">
        <x:v>English</x:v>
      </x:c>
      <x:c r="D1325" s="48" t="n">
        <x:v>77</x:v>
      </x:c>
      <x:c r="E1325" s="48" t="str"/>
      <x:c r="F1325" s="48" t="str">
        <x:v>If the Parties have not jointly appointed the DB 21 days before the date stated in the</x:v>
      </x:c>
      <x:c r="G1325" s="48" t="str">
        <x:v>Obligation</x:v>
      </x:c>
      <x:c r="H1325" s="48" t="str">
        <x:v>Shared</x:v>
      </x:c>
      <x:c r="I1325" s="48" t="n">
        <x:v>0.45</x:v>
      </x:c>
      <x:c r="J1325" s="48" t="n">
        <x:v>0.93</x:v>
      </x:c>
      <x:c r="K1325" s="48" t="str">
        <x:v>Yes</x:v>
      </x:c>
      <x:c r="L1325" s="48" t="str">
        <x:v>PDF text</x:v>
      </x:c>
    </x:row>
    <x:row r="1326">
      <x:c r="A1326" s="48" t="str">
        <x:v>RED-1325</x:v>
      </x:c>
      <x:c r="B1326" s="48" t="str">
        <x:v>RED</x:v>
      </x:c>
      <x:c r="C1326" s="48" t="str">
        <x:v>English</x:v>
      </x:c>
      <x:c r="D1326" s="48" t="n">
        <x:v>77</x:v>
      </x:c>
      <x:c r="E1326" s="48" t="str"/>
      <x:c r="F1326" s="48" t="str">
        <x:v>Contract Data and the DB is to comprise three persons, each Party shall nominate</x:v>
      </x:c>
      <x:c r="G1326" s="48" t="str">
        <x:v>Obligation</x:v>
      </x:c>
      <x:c r="H1326" s="48" t="str">
        <x:v>Shared</x:v>
      </x:c>
      <x:c r="I1326" s="48" t="n">
        <x:v>0.88</x:v>
      </x:c>
      <x:c r="J1326" s="48" t="n">
        <x:v>0.93</x:v>
      </x:c>
      <x:c r="K1326" s="48" t="str">
        <x:v>No</x:v>
      </x:c>
      <x:c r="L1326" s="48" t="str">
        <x:v>PDF text</x:v>
      </x:c>
    </x:row>
    <x:row r="1327">
      <x:c r="A1327" s="48" t="str">
        <x:v>RED-1326</x:v>
      </x:c>
      <x:c r="B1327" s="48" t="str">
        <x:v>RED</x:v>
      </x:c>
      <x:c r="C1327" s="48" t="str">
        <x:v>English</x:v>
      </x:c>
      <x:c r="D1327" s="48" t="n">
        <x:v>77</x:v>
      </x:c>
      <x:c r="E1327" s="48" t="str"/>
      <x:c r="F1327" s="48" t="str">
        <x:v>one member for the approval of the other Party.</x:v>
      </x:c>
      <x:c r="G1327" s="48" t="str">
        <x:v>Obligation</x:v>
      </x:c>
      <x:c r="H1327" s="48" t="str">
        <x:v>Shared</x:v>
      </x:c>
      <x:c r="I1327" s="48" t="n">
        <x:v>0.45</x:v>
      </x:c>
      <x:c r="J1327" s="48" t="n">
        <x:v>0.4</x:v>
      </x:c>
      <x:c r="K1327" s="48" t="str">
        <x:v>Yes</x:v>
      </x:c>
      <x:c r="L1327" s="48" t="str">
        <x:v>PDF text</x:v>
      </x:c>
    </x:row>
    <x:row r="1328">
      <x:c r="A1328" s="48" t="str">
        <x:v>RED-1327</x:v>
      </x:c>
      <x:c r="B1328" s="48" t="str">
        <x:v>RED</x:v>
      </x:c>
      <x:c r="C1328" s="48" t="str">
        <x:v>English</x:v>
      </x:c>
      <x:c r="D1328" s="48" t="n">
        <x:v>77</x:v>
      </x:c>
      <x:c r="E1328" s="48" t="str"/>
      <x:c r="F1328" s="48" t="str">
        <x:v>The first two members shall recommend and the Parties shall agree upon the third member, who shall act as chairman.</x:v>
      </x:c>
      <x:c r="G1328" s="48" t="str">
        <x:v>Obligation</x:v>
      </x:c>
      <x:c r="H1328" s="48" t="str">
        <x:v>Shared</x:v>
      </x:c>
      <x:c r="I1328" s="48" t="n">
        <x:v>0.88</x:v>
      </x:c>
      <x:c r="J1328" s="48" t="n">
        <x:v>0.93</x:v>
      </x:c>
      <x:c r="K1328" s="48" t="str">
        <x:v>No</x:v>
      </x:c>
      <x:c r="L1328" s="48" t="str">
        <x:v>PDF text</x:v>
      </x:c>
    </x:row>
    <x:row r="1329">
      <x:c r="A1329" s="48" t="str">
        <x:v>RED-1328</x:v>
      </x:c>
      <x:c r="B1329" s="48" t="str">
        <x:v>RED</x:v>
      </x:c>
      <x:c r="C1329" s="48" t="str">
        <x:v>English</x:v>
      </x:c>
      <x:c r="D1329" s="48" t="n">
        <x:v>77</x:v>
      </x:c>
      <x:c r="E1329" s="48" t="str"/>
      <x:c r="F1329" s="48" t="str">
        <x:v>The agreement between the Parties and either the sole member or each of the three</x:v>
      </x:c>
      <x:c r="G1329" s="48" t="str">
        <x:v>Obligation</x:v>
      </x:c>
      <x:c r="H1329" s="48" t="str">
        <x:v>Shared</x:v>
      </x:c>
      <x:c r="I1329" s="48" t="n">
        <x:v>0.45</x:v>
      </x:c>
      <x:c r="J1329" s="48" t="n">
        <x:v>0.93</x:v>
      </x:c>
      <x:c r="K1329" s="48" t="str">
        <x:v>Yes</x:v>
      </x:c>
      <x:c r="L1329" s="48" t="str">
        <x:v>PDF text</x:v>
      </x:c>
    </x:row>
    <x:row r="1330">
      <x:c r="A1330" s="48" t="str">
        <x:v>RED-1329</x:v>
      </x:c>
      <x:c r="B1330" s="48" t="str">
        <x:v>RED</x:v>
      </x:c>
      <x:c r="C1330" s="48" t="str">
        <x:v>English</x:v>
      </x:c>
      <x:c r="D1330" s="48" t="n">
        <x:v>77</x:v>
      </x:c>
      <x:c r="E1330" s="48" t="str"/>
      <x:c r="F1330" s="48" t="str">
        <x:v>members shall incorporate by reference the General Conditions of Dispute Board</x:v>
      </x:c>
      <x:c r="G1330" s="48" t="str">
        <x:v>Obligation</x:v>
      </x:c>
      <x:c r="H1330" s="48" t="str">
        <x:v>Shared</x:v>
      </x:c>
      <x:c r="I1330" s="48" t="n">
        <x:v>0.88</x:v>
      </x:c>
      <x:c r="J1330" s="48" t="n">
        <x:v>0.4</x:v>
      </x:c>
      <x:c r="K1330" s="48" t="str">
        <x:v>Yes</x:v>
      </x:c>
      <x:c r="L1330" s="48" t="str">
        <x:v>PDF text</x:v>
      </x:c>
    </x:row>
    <x:row r="1331">
      <x:c r="A1331" s="48" t="str">
        <x:v>RED-1330</x:v>
      </x:c>
      <x:c r="B1331" s="48" t="str">
        <x:v>RED</x:v>
      </x:c>
      <x:c r="C1331" s="48" t="str">
        <x:v>English</x:v>
      </x:c>
      <x:c r="D1331" s="48" t="n">
        <x:v>77</x:v>
      </x:c>
      <x:c r="E1331" s="48" t="str"/>
      <x:c r="F1331" s="48" t="str">
        <x:v>Agreement contained in the Appendix to these General Conditions, with such</x:v>
      </x:c>
      <x:c r="G1331" s="48" t="str">
        <x:v>Obligation</x:v>
      </x:c>
      <x:c r="H1331" s="48" t="str">
        <x:v>Shared</x:v>
      </x:c>
      <x:c r="I1331" s="48" t="n">
        <x:v>0.45</x:v>
      </x:c>
      <x:c r="J1331" s="48" t="n">
        <x:v>0.4</x:v>
      </x:c>
      <x:c r="K1331" s="48" t="str">
        <x:v>Yes</x:v>
      </x:c>
      <x:c r="L1331" s="48" t="str">
        <x:v>PDF text</x:v>
      </x:c>
    </x:row>
    <x:row r="1332">
      <x:c r="A1332" s="48" t="str">
        <x:v>RED-1331</x:v>
      </x:c>
      <x:c r="B1332" s="48" t="str">
        <x:v>RED</x:v>
      </x:c>
      <x:c r="C1332" s="48" t="str">
        <x:v>English</x:v>
      </x:c>
      <x:c r="D1332" s="48" t="n">
        <x:v>77</x:v>
      </x:c>
      <x:c r="E1332" s="48" t="str"/>
      <x:c r="F1332" s="48" t="str">
        <x:v>amendments as are agreed between them.</x:v>
      </x:c>
      <x:c r="G1332" s="48" t="str">
        <x:v>Obligation</x:v>
      </x:c>
      <x:c r="H1332" s="48" t="str">
        <x:v>Shared</x:v>
      </x:c>
      <x:c r="I1332" s="48" t="n">
        <x:v>0.45</x:v>
      </x:c>
      <x:c r="J1332" s="48" t="n">
        <x:v>0.4</x:v>
      </x:c>
      <x:c r="K1332" s="48" t="str">
        <x:v>Yes</x:v>
      </x:c>
      <x:c r="L1332" s="48" t="str">
        <x:v>PDF text</x:v>
      </x:c>
    </x:row>
    <x:row r="1333">
      <x:c r="A1333" s="48" t="str">
        <x:v>RED-1332</x:v>
      </x:c>
      <x:c r="B1333" s="48" t="str">
        <x:v>RED</x:v>
      </x:c>
      <x:c r="C1333" s="48" t="str">
        <x:v>English</x:v>
      </x:c>
      <x:c r="D1333" s="48" t="n">
        <x:v>77</x:v>
      </x:c>
      <x:c r="E1333" s="48" t="str"/>
      <x:c r="F1333" s="48" t="str">
        <x:v>The terms of the remuneration of either the sole member or each of the three</x:v>
      </x:c>
      <x:c r="G1333" s="48" t="str">
        <x:v>Obligation</x:v>
      </x:c>
      <x:c r="H1333" s="48" t="str">
        <x:v>Shared</x:v>
      </x:c>
      <x:c r="I1333" s="48" t="n">
        <x:v>0.45</x:v>
      </x:c>
      <x:c r="J1333" s="48" t="n">
        <x:v>0.4</x:v>
      </x:c>
      <x:c r="K1333" s="48" t="str">
        <x:v>Yes</x:v>
      </x:c>
      <x:c r="L1333" s="48" t="str">
        <x:v>PDF text</x:v>
      </x:c>
    </x:row>
    <x:row r="1334">
      <x:c r="A1334" s="48" t="str">
        <x:v>RED-1333</x:v>
      </x:c>
      <x:c r="B1334" s="48" t="str">
        <x:v>RED</x:v>
      </x:c>
      <x:c r="C1334" s="48" t="str">
        <x:v>English</x:v>
      </x:c>
      <x:c r="D1334" s="48" t="n">
        <x:v>77</x:v>
      </x:c>
      <x:c r="E1334" s="48" t="str"/>
      <x:c r="F1334" s="48" t="str">
        <x:v>members, including the remuneration of any expert whom the DB consults, shall be mutually agreed upon by the Parties when agreeing the terms of appointment of the member or such expert (as the case may be).</x:v>
      </x:c>
      <x:c r="G1334" s="48" t="str">
        <x:v>Obligation</x:v>
      </x:c>
      <x:c r="H1334" s="48" t="str">
        <x:v>Shared</x:v>
      </x:c>
      <x:c r="I1334" s="48" t="n">
        <x:v>0.88</x:v>
      </x:c>
      <x:c r="J1334" s="48" t="n">
        <x:v>0.93</x:v>
      </x:c>
      <x:c r="K1334" s="48" t="str">
        <x:v>No</x:v>
      </x:c>
      <x:c r="L1334" s="48" t="str">
        <x:v>PDF text</x:v>
      </x:c>
    </x:row>
    <x:row r="1335">
      <x:c r="A1335" s="48" t="str">
        <x:v>RED-1334</x:v>
      </x:c>
      <x:c r="B1335" s="48" t="str">
        <x:v>RED</x:v>
      </x:c>
      <x:c r="C1335" s="48" t="str">
        <x:v>English</x:v>
      </x:c>
      <x:c r="D1335" s="48" t="n">
        <x:v>77</x:v>
      </x:c>
      <x:c r="E1335" s="48" t="str"/>
      <x:c r="F1335" s="48" t="str">
        <x:v>Each Party shall be responsible for paying one-half of this remuneration.</x:v>
      </x:c>
      <x:c r="G1335" s="48" t="str">
        <x:v>Obligation</x:v>
      </x:c>
      <x:c r="H1335" s="48" t="str">
        <x:v>Shared</x:v>
      </x:c>
      <x:c r="I1335" s="48" t="n">
        <x:v>0.88</x:v>
      </x:c>
      <x:c r="J1335" s="48" t="n">
        <x:v>0.93</x:v>
      </x:c>
      <x:c r="K1335" s="48" t="str">
        <x:v>No</x:v>
      </x:c>
      <x:c r="L1335" s="48" t="str">
        <x:v>PDF text</x:v>
      </x:c>
    </x:row>
    <x:row r="1336">
      <x:c r="A1336" s="48" t="str">
        <x:v>RED-1335</x:v>
      </x:c>
      <x:c r="B1336" s="48" t="str">
        <x:v>RED</x:v>
      </x:c>
      <x:c r="C1336" s="48" t="str">
        <x:v>English</x:v>
      </x:c>
      <x:c r="D1336" s="48" t="n">
        <x:v>77</x:v>
      </x:c>
      <x:c r="E1336" s="48" t="str"/>
      <x:c r="F1336" s="48" t="str">
        <x:v>If a member declines to act or is unable to act as a result of death, disability,</x:v>
      </x:c>
      <x:c r="G1336" s="48" t="str">
        <x:v>Obligation</x:v>
      </x:c>
      <x:c r="H1336" s="48" t="str">
        <x:v>Shared</x:v>
      </x:c>
      <x:c r="I1336" s="48" t="n">
        <x:v>0.45</x:v>
      </x:c>
      <x:c r="J1336" s="48" t="n">
        <x:v>0.4</x:v>
      </x:c>
      <x:c r="K1336" s="48" t="str">
        <x:v>Yes</x:v>
      </x:c>
      <x:c r="L1336" s="48" t="str">
        <x:v>PDF text</x:v>
      </x:c>
    </x:row>
    <x:row r="1337">
      <x:c r="A1337" s="48" t="str">
        <x:v>RED-1336</x:v>
      </x:c>
      <x:c r="B1337" s="48" t="str">
        <x:v>RED</x:v>
      </x:c>
      <x:c r="C1337" s="48" t="str">
        <x:v>English</x:v>
      </x:c>
      <x:c r="D1337" s="48" t="n">
        <x:v>77</x:v>
      </x:c>
      <x:c r="E1337" s="48" t="str"/>
      <x:c r="F1337" s="48" t="str">
        <x:v>resignation or termination of appointment, a replacement shall be appointed in the 20.2</x:v>
      </x:c>
      <x:c r="G1337" s="48" t="str">
        <x:v>Obligation</x:v>
      </x:c>
      <x:c r="H1337" s="48" t="str">
        <x:v>Shared</x:v>
      </x:c>
      <x:c r="I1337" s="48" t="n">
        <x:v>0.88</x:v>
      </x:c>
      <x:c r="J1337" s="48" t="n">
        <x:v>0.4</x:v>
      </x:c>
      <x:c r="K1337" s="48" t="str">
        <x:v>Yes</x:v>
      </x:c>
      <x:c r="L1337" s="48" t="str">
        <x:v>PDF text</x:v>
      </x:c>
    </x:row>
    <x:row r="1338">
      <x:c r="A1338" s="48" t="str">
        <x:v>RED-1337</x:v>
      </x:c>
      <x:c r="B1338" s="48" t="str">
        <x:v>RED</x:v>
      </x:c>
      <x:c r="C1338" s="48" t="str">
        <x:v>English</x:v>
      </x:c>
      <x:c r="D1338" s="48" t="n">
        <x:v>77</x:v>
      </x:c>
      <x:c r="E1338" s="48" t="str"/>
      <x:c r="F1338" s="48" t="str">
        <x:v>Appointment of the</x:v>
      </x:c>
      <x:c r="G1338" s="48" t="str">
        <x:v>Obligation</x:v>
      </x:c>
      <x:c r="H1338" s="48" t="str">
        <x:v>Shared</x:v>
      </x:c>
      <x:c r="I1338" s="48" t="n">
        <x:v>0.45</x:v>
      </x:c>
      <x:c r="J1338" s="48" t="n">
        <x:v>0.4</x:v>
      </x:c>
      <x:c r="K1338" s="48" t="str">
        <x:v>Yes</x:v>
      </x:c>
      <x:c r="L1338" s="48" t="str">
        <x:v>PDF text</x:v>
      </x:c>
    </x:row>
    <x:row r="1339">
      <x:c r="A1339" s="48" t="str">
        <x:v>RED-1338</x:v>
      </x:c>
      <x:c r="B1339" s="48" t="str">
        <x:v>RED</x:v>
      </x:c>
      <x:c r="C1339" s="48" t="str">
        <x:v>English</x:v>
      </x:c>
      <x:c r="D1339" s="48" t="n">
        <x:v>77</x:v>
      </x:c>
      <x:c r="E1339" s="48" t="str"/>
      <x:c r="F1339" s="48" t="str">
        <x:v>Dispute Board</x:v>
      </x:c>
      <x:c r="G1339" s="48" t="str">
        <x:v>Obligation</x:v>
      </x:c>
      <x:c r="H1339" s="48" t="str">
        <x:v>Shared</x:v>
      </x:c>
      <x:c r="I1339" s="48" t="n">
        <x:v>0.55</x:v>
      </x:c>
      <x:c r="J1339" s="48" t="n">
        <x:v>0.4</x:v>
      </x:c>
      <x:c r="K1339" s="48" t="str">
        <x:v>Yes</x:v>
      </x:c>
      <x:c r="L1339" s="48" t="str">
        <x:v>PDF text</x:v>
      </x:c>
    </x:row>
    <x:row r="1340">
      <x:c r="A1340" s="48" t="str">
        <x:v>RED-1339</x:v>
      </x:c>
      <x:c r="B1340" s="48" t="str">
        <x:v>RED</x:v>
      </x:c>
      <x:c r="C1340" s="48" t="str">
        <x:v>English</x:v>
      </x:c>
      <x:c r="D1340" s="48" t="n">
        <x:v>78</x:v>
      </x:c>
      <x:c r="E1340" s="48" t="str"/>
      <x:c r="F1340" s="48" t="str">
        <x:v>same manner as the replaced person was required to have been nominated or agreed upon, as described in this Sub-Clause.</x:v>
      </x:c>
      <x:c r="G1340" s="48" t="str">
        <x:v>Obligation</x:v>
      </x:c>
      <x:c r="H1340" s="48" t="str">
        <x:v>Shared</x:v>
      </x:c>
      <x:c r="I1340" s="48" t="n">
        <x:v>0.45</x:v>
      </x:c>
      <x:c r="J1340" s="48" t="n">
        <x:v>0.4</x:v>
      </x:c>
      <x:c r="K1340" s="48" t="str">
        <x:v>Yes</x:v>
      </x:c>
      <x:c r="L1340" s="48" t="str">
        <x:v>PDF text</x:v>
      </x:c>
    </x:row>
    <x:row r="1341">
      <x:c r="A1341" s="48" t="str">
        <x:v>RED-1340</x:v>
      </x:c>
      <x:c r="B1341" s="48" t="str">
        <x:v>RED</x:v>
      </x:c>
      <x:c r="C1341" s="48" t="str">
        <x:v>English</x:v>
      </x:c>
      <x:c r="D1341" s="48" t="n">
        <x:v>78</x:v>
      </x:c>
      <x:c r="E1341" s="48" t="str"/>
      <x:c r="F1341" s="48" t="str">
        <x:v>The appointment of any member may be terminated by mutual agreement of both</x:v>
      </x:c>
      <x:c r="G1341" s="48" t="str">
        <x:v>Right</x:v>
      </x:c>
      <x:c r="H1341" s="48" t="str">
        <x:v>Shared</x:v>
      </x:c>
      <x:c r="I1341" s="48" t="n">
        <x:v>0.78</x:v>
      </x:c>
      <x:c r="J1341" s="48" t="n">
        <x:v>0.4</x:v>
      </x:c>
      <x:c r="K1341" s="48" t="str">
        <x:v>Yes</x:v>
      </x:c>
      <x:c r="L1341" s="48" t="str">
        <x:v>PDF text</x:v>
      </x:c>
    </x:row>
    <x:row r="1342">
      <x:c r="A1342" s="48" t="str">
        <x:v>RED-1341</x:v>
      </x:c>
      <x:c r="B1342" s="48" t="str">
        <x:v>RED</x:v>
      </x:c>
      <x:c r="C1342" s="48" t="str">
        <x:v>English</x:v>
      </x:c>
      <x:c r="D1342" s="48" t="n">
        <x:v>78</x:v>
      </x:c>
      <x:c r="E1342" s="48" t="str"/>
      <x:c r="F1342" s="48" t="str">
        <x:v>Parties, but not by the Employer or the Contractor acting alone.</x:v>
      </x:c>
      <x:c r="G1342" s="48" t="str">
        <x:v>Obligation</x:v>
      </x:c>
      <x:c r="H1342" s="48" t="str">
        <x:v>Shared</x:v>
      </x:c>
      <x:c r="I1342" s="48" t="n">
        <x:v>0.45</x:v>
      </x:c>
      <x:c r="J1342" s="48" t="n">
        <x:v>0.6</x:v>
      </x:c>
      <x:c r="K1342" s="48" t="str">
        <x:v>Yes</x:v>
      </x:c>
      <x:c r="L1342" s="48" t="str">
        <x:v>PDF text</x:v>
      </x:c>
    </x:row>
    <x:row r="1343">
      <x:c r="A1343" s="48" t="str">
        <x:v>RED-1342</x:v>
      </x:c>
      <x:c r="B1343" s="48" t="str">
        <x:v>RED</x:v>
      </x:c>
      <x:c r="C1343" s="48" t="str">
        <x:v>English</x:v>
      </x:c>
      <x:c r="D1343" s="48" t="n">
        <x:v>78</x:v>
      </x:c>
      <x:c r="E1343" s="48" t="str"/>
      <x:c r="F1343" s="48" t="str">
        <x:v>Unless otherwise agreed by both Parties, the appointment of the DB (including each member) shall expire when the discharge referred to in Sub-Clause 14.12 [Discharge] shall have become effective.</x:v>
      </x:c>
      <x:c r="G1343" s="48" t="str">
        <x:v>Obligation</x:v>
      </x:c>
      <x:c r="H1343" s="48" t="str">
        <x:v>Shared</x:v>
      </x:c>
      <x:c r="I1343" s="48" t="n">
        <x:v>0.88</x:v>
      </x:c>
      <x:c r="J1343" s="48" t="n">
        <x:v>0.93</x:v>
      </x:c>
      <x:c r="K1343" s="48" t="str">
        <x:v>No</x:v>
      </x:c>
      <x:c r="L1343" s="48" t="str">
        <x:v>PDF text</x:v>
      </x:c>
    </x:row>
    <x:row r="1344">
      <x:c r="A1344" s="48" t="str">
        <x:v>RED-1343</x:v>
      </x:c>
      <x:c r="B1344" s="48" t="str">
        <x:v>RED</x:v>
      </x:c>
      <x:c r="C1344" s="48" t="str">
        <x:v>English</x:v>
      </x:c>
      <x:c r="D1344" s="48" t="n">
        <x:v>78</x:v>
      </x:c>
      <x:c r="E1344" s="48" t="str"/>
      <x:c r="F1344" s="48" t="str">
        <x:v>If any of the following conditions apply, namely: (a) the Parties fail to agree upon the appointment of the sole member of the DB by the date stated in the first paragraph of Sub-Clause 20.2 [Appointment of the Dispute Board], (b) either Party fails to nominate a member (for approval by the other Party) or fails to approve a member nominated by the other Party, of a DB of three persons by such date, (c) the Parties fail to agree upon the appointment of the third member (to act as chairman) of the DB by such date, or (d) the Parties fail to agree upon the appointment of a replacement person within 42 days after the date on which the sole member or one of the three members declines to act or is unable to act as a result of death, disability, resignation or termination of appointment, then the appointing entity or official named in the Contract Data shall, upon the request of either or both of the Parties and after due consultation with both Parties, appoint this member of the DB.</x:v>
      </x:c>
      <x:c r="G1344" s="48" t="str">
        <x:v>Obligation</x:v>
      </x:c>
      <x:c r="H1344" s="48" t="str">
        <x:v>Shared</x:v>
      </x:c>
      <x:c r="I1344" s="48" t="n">
        <x:v>0.88</x:v>
      </x:c>
      <x:c r="J1344" s="48" t="n">
        <x:v>0.93</x:v>
      </x:c>
      <x:c r="K1344" s="48" t="str">
        <x:v>No</x:v>
      </x:c>
      <x:c r="L1344" s="48" t="str">
        <x:v>PDF text</x:v>
      </x:c>
    </x:row>
    <x:row r="1345">
      <x:c r="A1345" s="48" t="str">
        <x:v>RED-1344</x:v>
      </x:c>
      <x:c r="B1345" s="48" t="str">
        <x:v>RED</x:v>
      </x:c>
      <x:c r="C1345" s="48" t="str">
        <x:v>English</x:v>
      </x:c>
      <x:c r="D1345" s="48" t="n">
        <x:v>78</x:v>
      </x:c>
      <x:c r="E1345" s="48" t="str"/>
      <x:c r="F1345" s="48" t="str">
        <x:v>This appointment shall be final and conclusive.</x:v>
      </x:c>
      <x:c r="G1345" s="48" t="str">
        <x:v>Obligation</x:v>
      </x:c>
      <x:c r="H1345" s="48" t="str">
        <x:v>Shared</x:v>
      </x:c>
      <x:c r="I1345" s="48" t="n">
        <x:v>0.88</x:v>
      </x:c>
      <x:c r="J1345" s="48" t="n">
        <x:v>0.4</x:v>
      </x:c>
      <x:c r="K1345" s="48" t="str">
        <x:v>Yes</x:v>
      </x:c>
      <x:c r="L1345" s="48" t="str">
        <x:v>PDF text</x:v>
      </x:c>
    </x:row>
    <x:row r="1346">
      <x:c r="A1346" s="48" t="str">
        <x:v>RED-1345</x:v>
      </x:c>
      <x:c r="B1346" s="48" t="str">
        <x:v>RED</x:v>
      </x:c>
      <x:c r="C1346" s="48" t="str">
        <x:v>English</x:v>
      </x:c>
      <x:c r="D1346" s="48" t="n">
        <x:v>78</x:v>
      </x:c>
      <x:c r="E1346" s="48" t="str"/>
      <x:c r="F1346" s="48" t="str">
        <x:v>Each Party shall be responsible for paying one-half of the remuneration of the appointing entity or official.</x:v>
      </x:c>
      <x:c r="G1346" s="48" t="str">
        <x:v>Obligation</x:v>
      </x:c>
      <x:c r="H1346" s="48" t="str">
        <x:v>Shared</x:v>
      </x:c>
      <x:c r="I1346" s="48" t="n">
        <x:v>0.88</x:v>
      </x:c>
      <x:c r="J1346" s="48" t="n">
        <x:v>0.93</x:v>
      </x:c>
      <x:c r="K1346" s="48" t="str">
        <x:v>No</x:v>
      </x:c>
      <x:c r="L1346" s="48" t="str">
        <x:v>PDF text</x:v>
      </x:c>
    </x:row>
    <x:row r="1347">
      <x:c r="A1347" s="48" t="str">
        <x:v>RED-1346</x:v>
      </x:c>
      <x:c r="B1347" s="48" t="str">
        <x:v>RED</x:v>
      </x:c>
      <x:c r="C1347" s="48" t="str">
        <x:v>English</x:v>
      </x:c>
      <x:c r="D1347" s="48" t="n">
        <x:v>78</x:v>
      </x:c>
      <x:c r="E1347" s="48" t="str"/>
      <x:c r="F1347" s="48" t="str">
        <x:v>If a dispute (of any kind whatsoever) arises between the Parties in connection with, or arising out of, the Contract or the execution of the Works, including any dispute as to any certificate, determination, instruction, opinion or valuation of the Engineer, either Party may refer the dispute in writing to the DB for its decision, with copies to the other Party and the Engineer.</x:v>
      </x:c>
      <x:c r="G1347" s="48" t="str">
        <x:v>Right</x:v>
      </x:c>
      <x:c r="H1347" s="48" t="str">
        <x:v>Shared</x:v>
      </x:c>
      <x:c r="I1347" s="48" t="n">
        <x:v>0.78</x:v>
      </x:c>
      <x:c r="J1347" s="48" t="n">
        <x:v>0.93</x:v>
      </x:c>
      <x:c r="K1347" s="48" t="str">
        <x:v>No</x:v>
      </x:c>
      <x:c r="L1347" s="48" t="str">
        <x:v>PDF text</x:v>
      </x:c>
    </x:row>
    <x:row r="1348">
      <x:c r="A1348" s="48" t="str">
        <x:v>RED-1347</x:v>
      </x:c>
      <x:c r="B1348" s="48" t="str">
        <x:v>RED</x:v>
      </x:c>
      <x:c r="C1348" s="48" t="str">
        <x:v>English</x:v>
      </x:c>
      <x:c r="D1348" s="48" t="n">
        <x:v>78</x:v>
      </x:c>
      <x:c r="E1348" s="48" t="str"/>
      <x:c r="F1348" s="48" t="str">
        <x:v>Such reference shall state that it is given under this Sub-Clause.</x:v>
      </x:c>
      <x:c r="G1348" s="48" t="str">
        <x:v>Obligation</x:v>
      </x:c>
      <x:c r="H1348" s="48" t="str">
        <x:v>Shared</x:v>
      </x:c>
      <x:c r="I1348" s="48" t="n">
        <x:v>0.88</x:v>
      </x:c>
      <x:c r="J1348" s="48" t="n">
        <x:v>0.4</x:v>
      </x:c>
      <x:c r="K1348" s="48" t="str">
        <x:v>Yes</x:v>
      </x:c>
      <x:c r="L1348" s="48" t="str">
        <x:v>PDF text</x:v>
      </x:c>
    </x:row>
    <x:row r="1349">
      <x:c r="A1349" s="48" t="str">
        <x:v>RED-1348</x:v>
      </x:c>
      <x:c r="B1349" s="48" t="str">
        <x:v>RED</x:v>
      </x:c>
      <x:c r="C1349" s="48" t="str">
        <x:v>English</x:v>
      </x:c>
      <x:c r="D1349" s="48" t="n">
        <x:v>78</x:v>
      </x:c>
      <x:c r="E1349" s="48" t="str"/>
      <x:c r="F1349" s="48" t="str">
        <x:v>For a DB of three persons, the DB shall be deemed to have received such reference</x:v>
      </x:c>
      <x:c r="G1349" s="48" t="str">
        <x:v>Obligation</x:v>
      </x:c>
      <x:c r="H1349" s="48" t="str">
        <x:v>Shared</x:v>
      </x:c>
      <x:c r="I1349" s="48" t="n">
        <x:v>0.88</x:v>
      </x:c>
      <x:c r="J1349" s="48" t="n">
        <x:v>0.4</x:v>
      </x:c>
      <x:c r="K1349" s="48" t="str">
        <x:v>Yes</x:v>
      </x:c>
      <x:c r="L1349" s="48" t="str">
        <x:v>PDF text</x:v>
      </x:c>
    </x:row>
    <x:row r="1350">
      <x:c r="A1350" s="48" t="str">
        <x:v>RED-1349</x:v>
      </x:c>
      <x:c r="B1350" s="48" t="str">
        <x:v>RED</x:v>
      </x:c>
      <x:c r="C1350" s="48" t="str">
        <x:v>English</x:v>
      </x:c>
      <x:c r="D1350" s="48" t="n">
        <x:v>78</x:v>
      </x:c>
      <x:c r="E1350" s="48" t="str"/>
      <x:c r="F1350" s="48" t="str">
        <x:v>on the date when it is received by the chairman of the DB.</x:v>
      </x:c>
      <x:c r="G1350" s="48" t="str">
        <x:v>Obligation</x:v>
      </x:c>
      <x:c r="H1350" s="48" t="str">
        <x:v>Shared</x:v>
      </x:c>
      <x:c r="I1350" s="48" t="n">
        <x:v>0.45</x:v>
      </x:c>
      <x:c r="J1350" s="48" t="n">
        <x:v>0.4</x:v>
      </x:c>
      <x:c r="K1350" s="48" t="str">
        <x:v>Yes</x:v>
      </x:c>
      <x:c r="L1350" s="48" t="str">
        <x:v>PDF text</x:v>
      </x:c>
    </x:row>
    <x:row r="1351">
      <x:c r="A1351" s="48" t="str">
        <x:v>RED-1350</x:v>
      </x:c>
      <x:c r="B1351" s="48" t="str">
        <x:v>RED</x:v>
      </x:c>
      <x:c r="C1351" s="48" t="str">
        <x:v>English</x:v>
      </x:c>
      <x:c r="D1351" s="48" t="n">
        <x:v>78</x:v>
      </x:c>
      <x:c r="E1351" s="48" t="str"/>
      <x:c r="F1351" s="48" t="str">
        <x:v>Both Parties shall promptly make available to the DB all such additional information, further access to the Site, and appropriate facilities, as the DB may require for the purposes of making a decision on such dispute.</x:v>
      </x:c>
      <x:c r="G1351" s="48" t="str">
        <x:v>Obligation</x:v>
      </x:c>
      <x:c r="H1351" s="48" t="str">
        <x:v>Shared</x:v>
      </x:c>
      <x:c r="I1351" s="48" t="n">
        <x:v>0.88</x:v>
      </x:c>
      <x:c r="J1351" s="48" t="n">
        <x:v>0.93</x:v>
      </x:c>
      <x:c r="K1351" s="48" t="str">
        <x:v>No</x:v>
      </x:c>
      <x:c r="L1351" s="48" t="str">
        <x:v>PDF text</x:v>
      </x:c>
    </x:row>
    <x:row r="1352">
      <x:c r="A1352" s="48" t="str">
        <x:v>RED-1351</x:v>
      </x:c>
      <x:c r="B1352" s="48" t="str">
        <x:v>RED</x:v>
      </x:c>
      <x:c r="C1352" s="48" t="str">
        <x:v>English</x:v>
      </x:c>
      <x:c r="D1352" s="48" t="n">
        <x:v>78</x:v>
      </x:c>
      <x:c r="E1352" s="48" t="str"/>
      <x:c r="F1352" s="48" t="str">
        <x:v>The DB shall be deemed to be not acting as arbitrator(s).</x:v>
      </x:c>
      <x:c r="G1352" s="48" t="str">
        <x:v>Obligation</x:v>
      </x:c>
      <x:c r="H1352" s="48" t="str">
        <x:v>Shared</x:v>
      </x:c>
      <x:c r="I1352" s="48" t="n">
        <x:v>0.88</x:v>
      </x:c>
      <x:c r="J1352" s="48" t="n">
        <x:v>0.4</x:v>
      </x:c>
      <x:c r="K1352" s="48" t="str">
        <x:v>Yes</x:v>
      </x:c>
      <x:c r="L1352" s="48" t="str">
        <x:v>PDF text</x:v>
      </x:c>
    </x:row>
    <x:row r="1353">
      <x:c r="A1353" s="48" t="str">
        <x:v>RED-1352</x:v>
      </x:c>
      <x:c r="B1353" s="48" t="str">
        <x:v>RED</x:v>
      </x:c>
      <x:c r="C1353" s="48" t="str">
        <x:v>English</x:v>
      </x:c>
      <x:c r="D1353" s="48" t="n">
        <x:v>78</x:v>
      </x:c>
      <x:c r="E1353" s="48" t="str"/>
      <x:c r="F1353" s="48" t="str">
        <x:v>Within 84 days after receiving such reference, or within such other period as may be proposed by the DB and approved by both Parties, the DB shall give its decision, which shall be reasoned and shall state that it is given under this Sub-Clause.</x:v>
      </x:c>
      <x:c r="G1353" s="48" t="str">
        <x:v>Obligation</x:v>
      </x:c>
      <x:c r="H1353" s="48" t="str">
        <x:v>Shared</x:v>
      </x:c>
      <x:c r="I1353" s="48" t="n">
        <x:v>0.88</x:v>
      </x:c>
      <x:c r="J1353" s="48" t="n">
        <x:v>0.93</x:v>
      </x:c>
      <x:c r="K1353" s="48" t="str">
        <x:v>No</x:v>
      </x:c>
      <x:c r="L1353" s="48" t="str">
        <x:v>PDF text</x:v>
      </x:c>
    </x:row>
    <x:row r="1354">
      <x:c r="A1354" s="48" t="str">
        <x:v>RED-1353</x:v>
      </x:c>
      <x:c r="B1354" s="48" t="str">
        <x:v>RED</x:v>
      </x:c>
      <x:c r="C1354" s="48" t="str">
        <x:v>English</x:v>
      </x:c>
      <x:c r="D1354" s="48" t="n">
        <x:v>78</x:v>
      </x:c>
      <x:c r="E1354" s="48" t="str"/>
      <x:c r="F1354" s="48" t="str">
        <x:v>The decision shall be binding on both Parties, who shall promptly give effect to it unless and until it shall be revised in an amicable settlement or an arbitral award as described below.</x:v>
      </x:c>
      <x:c r="G1354" s="48" t="str">
        <x:v>Obligation</x:v>
      </x:c>
      <x:c r="H1354" s="48" t="str">
        <x:v>Shared</x:v>
      </x:c>
      <x:c r="I1354" s="48" t="n">
        <x:v>0.88</x:v>
      </x:c>
      <x:c r="J1354" s="48" t="n">
        <x:v>0.93</x:v>
      </x:c>
      <x:c r="K1354" s="48" t="str">
        <x:v>No</x:v>
      </x:c>
      <x:c r="L1354" s="48" t="str">
        <x:v>PDF text</x:v>
      </x:c>
    </x:row>
    <x:row r="1355">
      <x:c r="A1355" s="48" t="str">
        <x:v>RED-1354</x:v>
      </x:c>
      <x:c r="B1355" s="48" t="str">
        <x:v>RED</x:v>
      </x:c>
      <x:c r="C1355" s="48" t="str">
        <x:v>English</x:v>
      </x:c>
      <x:c r="D1355" s="48" t="n">
        <x:v>78</x:v>
      </x:c>
      <x:c r="E1355" s="48" t="str"/>
      <x:c r="F1355" s="48" t="str">
        <x:v>Unless the Contract has already been abandoned, repudiated or terminated, the</x:v>
      </x:c>
      <x:c r="G1355" s="48" t="str">
        <x:v>Obligation</x:v>
      </x:c>
      <x:c r="H1355" s="48" t="str">
        <x:v>Shared</x:v>
      </x:c>
      <x:c r="I1355" s="48" t="n">
        <x:v>0.45</x:v>
      </x:c>
      <x:c r="J1355" s="48" t="n">
        <x:v>0.4</x:v>
      </x:c>
      <x:c r="K1355" s="48" t="str">
        <x:v>Yes</x:v>
      </x:c>
      <x:c r="L1355" s="48" t="str">
        <x:v>PDF text</x:v>
      </x:c>
    </x:row>
    <x:row r="1356">
      <x:c r="A1356" s="48" t="str">
        <x:v>RED-1355</x:v>
      </x:c>
      <x:c r="B1356" s="48" t="str">
        <x:v>RED</x:v>
      </x:c>
      <x:c r="C1356" s="48" t="str">
        <x:v>English</x:v>
      </x:c>
      <x:c r="D1356" s="48" t="n">
        <x:v>78</x:v>
      </x:c>
      <x:c r="E1356" s="48" t="str"/>
      <x:c r="F1356" s="48" t="str">
        <x:v>Contractor shall continue to proceed with the Works in accordance with the Contract.</x:v>
      </x:c>
      <x:c r="G1356" s="48" t="str">
        <x:v>Obligation</x:v>
      </x:c>
      <x:c r="H1356" s="48" t="str">
        <x:v>Contractor</x:v>
      </x:c>
      <x:c r="I1356" s="48" t="n">
        <x:v>0.88</x:v>
      </x:c>
      <x:c r="J1356" s="48" t="n">
        <x:v>0.68</x:v>
      </x:c>
      <x:c r="K1356" s="48" t="str">
        <x:v>Yes</x:v>
      </x:c>
      <x:c r="L1356" s="48" t="str">
        <x:v>PDF text</x:v>
      </x:c>
    </x:row>
    <x:row r="1357">
      <x:c r="A1357" s="48" t="str">
        <x:v>RED-1356</x:v>
      </x:c>
      <x:c r="B1357" s="48" t="str">
        <x:v>RED</x:v>
      </x:c>
      <x:c r="C1357" s="48" t="str">
        <x:v>English</x:v>
      </x:c>
      <x:c r="D1357" s="48" t="n">
        <x:v>78</x:v>
      </x:c>
      <x:c r="E1357" s="48" t="str"/>
      <x:c r="F1357" s="48" t="str">
        <x:v>If either Party is dissatisfied with the DB’s decision, then either Party may, within 28 days after receiving the decision, give notice to the other Party of its dissatisfaction 20.3</x:v>
      </x:c>
      <x:c r="G1357" s="48" t="str">
        <x:v>Obligation</x:v>
      </x:c>
      <x:c r="H1357" s="48" t="str">
        <x:v>Shared</x:v>
      </x:c>
      <x:c r="I1357" s="48" t="n">
        <x:v>0.55</x:v>
      </x:c>
      <x:c r="J1357" s="48" t="n">
        <x:v>0.93</x:v>
      </x:c>
      <x:c r="K1357" s="48" t="str">
        <x:v>Yes</x:v>
      </x:c>
      <x:c r="L1357" s="48" t="str">
        <x:v>PDF text</x:v>
      </x:c>
    </x:row>
    <x:row r="1358">
      <x:c r="A1358" s="48" t="str">
        <x:v>RED-1357</x:v>
      </x:c>
      <x:c r="B1358" s="48" t="str">
        <x:v>RED</x:v>
      </x:c>
      <x:c r="C1358" s="48" t="str">
        <x:v>English</x:v>
      </x:c>
      <x:c r="D1358" s="48" t="n">
        <x:v>78</x:v>
      </x:c>
      <x:c r="E1358" s="48" t="str"/>
      <x:c r="F1358" s="48" t="str">
        <x:v>Failure to Agree on the</x:v>
      </x:c>
      <x:c r="G1358" s="48" t="str">
        <x:v>Obligation</x:v>
      </x:c>
      <x:c r="H1358" s="48" t="str">
        <x:v>Shared</x:v>
      </x:c>
      <x:c r="I1358" s="48" t="n">
        <x:v>0.45</x:v>
      </x:c>
      <x:c r="J1358" s="48" t="n">
        <x:v>0.4</x:v>
      </x:c>
      <x:c r="K1358" s="48" t="str">
        <x:v>Yes</x:v>
      </x:c>
      <x:c r="L1358" s="48" t="str">
        <x:v>PDF text</x:v>
      </x:c>
    </x:row>
    <x:row r="1359">
      <x:c r="A1359" s="48" t="str">
        <x:v>RED-1358</x:v>
      </x:c>
      <x:c r="B1359" s="48" t="str">
        <x:v>RED</x:v>
      </x:c>
      <x:c r="C1359" s="48" t="str">
        <x:v>English</x:v>
      </x:c>
      <x:c r="D1359" s="48" t="n">
        <x:v>78</x:v>
      </x:c>
      <x:c r="E1359" s="48" t="str"/>
      <x:c r="F1359" s="48" t="str">
        <x:v>Composition of the</x:v>
      </x:c>
      <x:c r="G1359" s="48" t="str">
        <x:v>Obligation</x:v>
      </x:c>
      <x:c r="H1359" s="48" t="str">
        <x:v>Shared</x:v>
      </x:c>
      <x:c r="I1359" s="48" t="n">
        <x:v>0.45</x:v>
      </x:c>
      <x:c r="J1359" s="48" t="n">
        <x:v>0.4</x:v>
      </x:c>
      <x:c r="K1359" s="48" t="str">
        <x:v>Yes</x:v>
      </x:c>
      <x:c r="L1359" s="48" t="str">
        <x:v>PDF text</x:v>
      </x:c>
    </x:row>
    <x:row r="1360">
      <x:c r="A1360" s="48" t="str">
        <x:v>RED-1359</x:v>
      </x:c>
      <x:c r="B1360" s="48" t="str">
        <x:v>RED</x:v>
      </x:c>
      <x:c r="C1360" s="48" t="str">
        <x:v>English</x:v>
      </x:c>
      <x:c r="D1360" s="48" t="n">
        <x:v>78</x:v>
      </x:c>
      <x:c r="E1360" s="48" t="str"/>
      <x:c r="F1360" s="48" t="str">
        <x:v>Obtaining Dispute</x:v>
      </x:c>
      <x:c r="G1360" s="48" t="str">
        <x:v>Obligation</x:v>
      </x:c>
      <x:c r="H1360" s="48" t="str">
        <x:v>Shared</x:v>
      </x:c>
      <x:c r="I1360" s="48" t="n">
        <x:v>0.55</x:v>
      </x:c>
      <x:c r="J1360" s="48" t="n">
        <x:v>0.4</x:v>
      </x:c>
      <x:c r="K1360" s="48" t="str">
        <x:v>Yes</x:v>
      </x:c>
      <x:c r="L1360" s="48" t="str">
        <x:v>PDF text</x:v>
      </x:c>
    </x:row>
    <x:row r="1361">
      <x:c r="A1361" s="48" t="str">
        <x:v>RED-1360</x:v>
      </x:c>
      <x:c r="B1361" s="48" t="str">
        <x:v>RED</x:v>
      </x:c>
      <x:c r="C1361" s="48" t="str">
        <x:v>English</x:v>
      </x:c>
      <x:c r="D1361" s="48" t="n">
        <x:v>78</x:v>
      </x:c>
      <x:c r="E1361" s="48" t="str"/>
      <x:c r="F1361" s="48" t="str">
        <x:v>Board’s Decision</x:v>
      </x:c>
      <x:c r="G1361" s="48" t="str">
        <x:v>Obligation</x:v>
      </x:c>
      <x:c r="H1361" s="48" t="str">
        <x:v>Shared</x:v>
      </x:c>
      <x:c r="I1361" s="48" t="n">
        <x:v>0.45</x:v>
      </x:c>
      <x:c r="J1361" s="48" t="n">
        <x:v>0.4</x:v>
      </x:c>
      <x:c r="K1361" s="48" t="str">
        <x:v>Yes</x:v>
      </x:c>
      <x:c r="L1361" s="48" t="str">
        <x:v>PDF text</x:v>
      </x:c>
    </x:row>
    <x:row r="1362">
      <x:c r="A1362" s="48" t="str">
        <x:v>RED-1361</x:v>
      </x:c>
      <x:c r="B1362" s="48" t="str">
        <x:v>RED</x:v>
      </x:c>
      <x:c r="C1362" s="48" t="str">
        <x:v>English</x:v>
      </x:c>
      <x:c r="D1362" s="48" t="n">
        <x:v>79</x:v>
      </x:c>
      <x:c r="E1362" s="48" t="str"/>
      <x:c r="F1362" s="48" t="str">
        <x:v>Amicable</x:v>
      </x:c>
      <x:c r="G1362" s="48" t="str">
        <x:v>Obligation</x:v>
      </x:c>
      <x:c r="H1362" s="48" t="str">
        <x:v>Shared</x:v>
      </x:c>
      <x:c r="I1362" s="48" t="n">
        <x:v>0.45</x:v>
      </x:c>
      <x:c r="J1362" s="48" t="n">
        <x:v>0.4</x:v>
      </x:c>
      <x:c r="K1362" s="48" t="str">
        <x:v>Yes</x:v>
      </x:c>
      <x:c r="L1362" s="48" t="str">
        <x:v>PDF text</x:v>
      </x:c>
    </x:row>
    <x:row r="1363">
      <x:c r="A1363" s="48" t="str">
        <x:v>RED-1362</x:v>
      </x:c>
      <x:c r="B1363" s="48" t="str">
        <x:v>RED</x:v>
      </x:c>
      <x:c r="C1363" s="48" t="str">
        <x:v>English</x:v>
      </x:c>
      <x:c r="D1363" s="48" t="n">
        <x:v>79</x:v>
      </x:c>
      <x:c r="E1363" s="48" t="str"/>
      <x:c r="F1363" s="48" t="str">
        <x:v>Settlement</x:v>
      </x:c>
      <x:c r="G1363" s="48" t="str">
        <x:v>Obligation</x:v>
      </x:c>
      <x:c r="H1363" s="48" t="str">
        <x:v>Shared</x:v>
      </x:c>
      <x:c r="I1363" s="48" t="n">
        <x:v>0.45</x:v>
      </x:c>
      <x:c r="J1363" s="48" t="n">
        <x:v>0.4</x:v>
      </x:c>
      <x:c r="K1363" s="48" t="str">
        <x:v>Yes</x:v>
      </x:c>
      <x:c r="L1363" s="48" t="str">
        <x:v>PDF text</x:v>
      </x:c>
    </x:row>
    <x:row r="1364">
      <x:c r="A1364" s="48" t="str">
        <x:v>RED-1363</x:v>
      </x:c>
      <x:c r="B1364" s="48" t="str">
        <x:v>RED</x:v>
      </x:c>
      <x:c r="C1364" s="48" t="str">
        <x:v>English</x:v>
      </x:c>
      <x:c r="D1364" s="48" t="n">
        <x:v>79</x:v>
      </x:c>
      <x:c r="E1364" s="48" t="str"/>
      <x:c r="F1364" s="48" t="str">
        <x:v>Arbitration</x:v>
      </x:c>
      <x:c r="G1364" s="48" t="str">
        <x:v>Obligation</x:v>
      </x:c>
      <x:c r="H1364" s="48" t="str">
        <x:v>Shared</x:v>
      </x:c>
      <x:c r="I1364" s="48" t="n">
        <x:v>0.45</x:v>
      </x:c>
      <x:c r="J1364" s="48" t="n">
        <x:v>0.4</x:v>
      </x:c>
      <x:c r="K1364" s="48" t="str">
        <x:v>Yes</x:v>
      </x:c>
      <x:c r="L1364" s="48" t="str">
        <x:v>PDF text</x:v>
      </x:c>
    </x:row>
    <x:row r="1365">
      <x:c r="A1365" s="48" t="str">
        <x:v>RED-1364</x:v>
      </x:c>
      <x:c r="B1365" s="48" t="str">
        <x:v>RED</x:v>
      </x:c>
      <x:c r="C1365" s="48" t="str">
        <x:v>English</x:v>
      </x:c>
      <x:c r="D1365" s="48" t="n">
        <x:v>79</x:v>
      </x:c>
      <x:c r="E1365" s="48" t="str"/>
      <x:c r="F1365" s="48" t="str">
        <x:v>Failure to Comply with</x:v>
      </x:c>
      <x:c r="G1365" s="48" t="str">
        <x:v>Obligation</x:v>
      </x:c>
      <x:c r="H1365" s="48" t="str">
        <x:v>Shared</x:v>
      </x:c>
      <x:c r="I1365" s="48" t="n">
        <x:v>0.45</x:v>
      </x:c>
      <x:c r="J1365" s="48" t="n">
        <x:v>0.4</x:v>
      </x:c>
      <x:c r="K1365" s="48" t="str">
        <x:v>Yes</x:v>
      </x:c>
      <x:c r="L1365" s="48" t="str">
        <x:v>PDF text</x:v>
      </x:c>
    </x:row>
    <x:row r="1366">
      <x:c r="A1366" s="48" t="str">
        <x:v>RED-1365</x:v>
      </x:c>
      <x:c r="B1366" s="48" t="str">
        <x:v>RED</x:v>
      </x:c>
      <x:c r="C1366" s="48" t="str">
        <x:v>English</x:v>
      </x:c>
      <x:c r="D1366" s="48" t="n">
        <x:v>79</x:v>
      </x:c>
      <x:c r="E1366" s="48" t="str"/>
      <x:c r="F1366" s="48" t="str">
        <x:v>Dispute Board’s Decision</x:v>
      </x:c>
      <x:c r="G1366" s="48" t="str">
        <x:v>Obligation</x:v>
      </x:c>
      <x:c r="H1366" s="48" t="str">
        <x:v>Shared</x:v>
      </x:c>
      <x:c r="I1366" s="48" t="n">
        <x:v>0.55</x:v>
      </x:c>
      <x:c r="J1366" s="48" t="n">
        <x:v>0.4</x:v>
      </x:c>
      <x:c r="K1366" s="48" t="str">
        <x:v>Yes</x:v>
      </x:c>
      <x:c r="L1366" s="48" t="str">
        <x:v>PDF text</x:v>
      </x:c>
    </x:row>
    <x:row r="1367">
      <x:c r="A1367" s="48" t="str">
        <x:v>RED-1366</x:v>
      </x:c>
      <x:c r="B1367" s="48" t="str">
        <x:v>RED</x:v>
      </x:c>
      <x:c r="C1367" s="48" t="str">
        <x:v>English</x:v>
      </x:c>
      <x:c r="D1367" s="48" t="n">
        <x:v>79</x:v>
      </x:c>
      <x:c r="E1367" s="48" t="str"/>
      <x:c r="F1367" s="48" t="str">
        <x:v>and intention to commence arbitration.</x:v>
      </x:c>
      <x:c r="G1367" s="48" t="str">
        <x:v>Obligation</x:v>
      </x:c>
      <x:c r="H1367" s="48" t="str">
        <x:v>Shared</x:v>
      </x:c>
      <x:c r="I1367" s="48" t="n">
        <x:v>0.45</x:v>
      </x:c>
      <x:c r="J1367" s="48" t="n">
        <x:v>0.4</x:v>
      </x:c>
      <x:c r="K1367" s="48" t="str">
        <x:v>Yes</x:v>
      </x:c>
      <x:c r="L1367" s="48" t="str">
        <x:v>PDF text</x:v>
      </x:c>
    </x:row>
    <x:row r="1368">
      <x:c r="A1368" s="48" t="str">
        <x:v>RED-1367</x:v>
      </x:c>
      <x:c r="B1368" s="48" t="str">
        <x:v>RED</x:v>
      </x:c>
      <x:c r="C1368" s="48" t="str">
        <x:v>English</x:v>
      </x:c>
      <x:c r="D1368" s="48" t="n">
        <x:v>79</x:v>
      </x:c>
      <x:c r="E1368" s="48" t="str"/>
      <x:c r="F1368" s="48" t="str">
        <x:v>If the DB fails to give its decision within the period of 84 days (or as otherwise approved) after receiving such reference, then either Party may, within 28 days after this period has expired, give notice to the other Party of its dissatisfaction and intention to commence arbitration.</x:v>
      </x:c>
      <x:c r="G1368" s="48" t="str">
        <x:v>Obligation</x:v>
      </x:c>
      <x:c r="H1368" s="48" t="str">
        <x:v>Shared</x:v>
      </x:c>
      <x:c r="I1368" s="48" t="n">
        <x:v>0.55</x:v>
      </x:c>
      <x:c r="J1368" s="48" t="n">
        <x:v>0.93</x:v>
      </x:c>
      <x:c r="K1368" s="48" t="str">
        <x:v>Yes</x:v>
      </x:c>
      <x:c r="L1368" s="48" t="str">
        <x:v>PDF text</x:v>
      </x:c>
    </x:row>
    <x:row r="1369">
      <x:c r="A1369" s="48" t="str">
        <x:v>RED-1368</x:v>
      </x:c>
      <x:c r="B1369" s="48" t="str">
        <x:v>RED</x:v>
      </x:c>
      <x:c r="C1369" s="48" t="str">
        <x:v>English</x:v>
      </x:c>
      <x:c r="D1369" s="48" t="n">
        <x:v>79</x:v>
      </x:c>
      <x:c r="E1369" s="48" t="str"/>
      <x:c r="F1369" s="48" t="str">
        <x:v>In either event, this notice of dissatisfaction shall state that it is given under this SubClause, and shall set out the matter in dispute and the reason(s) for dissatisfaction.</x:v>
      </x:c>
      <x:c r="G1369" s="48" t="str">
        <x:v>Obligation</x:v>
      </x:c>
      <x:c r="H1369" s="48" t="str">
        <x:v>Shared</x:v>
      </x:c>
      <x:c r="I1369" s="48" t="n">
        <x:v>0.88</x:v>
      </x:c>
      <x:c r="J1369" s="48" t="n">
        <x:v>0.4</x:v>
      </x:c>
      <x:c r="K1369" s="48" t="str">
        <x:v>Yes</x:v>
      </x:c>
      <x:c r="L1369" s="48" t="str">
        <x:v>PDF text</x:v>
      </x:c>
    </x:row>
    <x:row r="1370">
      <x:c r="A1370" s="48" t="str">
        <x:v>RED-1369</x:v>
      </x:c>
      <x:c r="B1370" s="48" t="str">
        <x:v>RED</x:v>
      </x:c>
      <x:c r="C1370" s="48" t="str">
        <x:v>English</x:v>
      </x:c>
      <x:c r="D1370" s="48" t="n">
        <x:v>79</x:v>
      </x:c>
      <x:c r="E1370" s="48" t="str"/>
      <x:c r="F1370" s="48" t="str">
        <x:v>Except as stated in Sub-Clause 20.7 [Failure to Comply with Dispute Board’s Decision] and Sub-Clause 20.8 [Expiry of Dispute Board’s Appointment], neither</x:v>
      </x:c>
      <x:c r="G1370" s="48" t="str">
        <x:v>Obligation</x:v>
      </x:c>
      <x:c r="H1370" s="48" t="str">
        <x:v>Shared</x:v>
      </x:c>
      <x:c r="I1370" s="48" t="n">
        <x:v>0.55</x:v>
      </x:c>
      <x:c r="J1370" s="48" t="n">
        <x:v>0.4</x:v>
      </x:c>
      <x:c r="K1370" s="48" t="str">
        <x:v>Yes</x:v>
      </x:c>
      <x:c r="L1370" s="48" t="str">
        <x:v>PDF text</x:v>
      </x:c>
    </x:row>
    <x:row r="1371">
      <x:c r="A1371" s="48" t="str">
        <x:v>RED-1370</x:v>
      </x:c>
      <x:c r="B1371" s="48" t="str">
        <x:v>RED</x:v>
      </x:c>
      <x:c r="C1371" s="48" t="str">
        <x:v>English</x:v>
      </x:c>
      <x:c r="D1371" s="48" t="n">
        <x:v>79</x:v>
      </x:c>
      <x:c r="E1371" s="48" t="str"/>
      <x:c r="F1371" s="48" t="str">
        <x:v>Party shall be entitled to commence arbitration of a dispute unless a notice of</x:v>
      </x:c>
      <x:c r="G1371" s="48" t="str">
        <x:v>Obligation</x:v>
      </x:c>
      <x:c r="H1371" s="48" t="str">
        <x:v>Shared</x:v>
      </x:c>
      <x:c r="I1371" s="48" t="n">
        <x:v>0.88</x:v>
      </x:c>
      <x:c r="J1371" s="48" t="n">
        <x:v>0.4</x:v>
      </x:c>
      <x:c r="K1371" s="48" t="str">
        <x:v>Yes</x:v>
      </x:c>
      <x:c r="L1371" s="48" t="str">
        <x:v>PDF text</x:v>
      </x:c>
    </x:row>
    <x:row r="1372">
      <x:c r="A1372" s="48" t="str">
        <x:v>RED-1371</x:v>
      </x:c>
      <x:c r="B1372" s="48" t="str">
        <x:v>RED</x:v>
      </x:c>
      <x:c r="C1372" s="48" t="str">
        <x:v>English</x:v>
      </x:c>
      <x:c r="D1372" s="48" t="n">
        <x:v>79</x:v>
      </x:c>
      <x:c r="E1372" s="48" t="str"/>
      <x:c r="F1372" s="48" t="str">
        <x:v>dissatisfaction has been given in accordance with this Sub-Clause.</x:v>
      </x:c>
      <x:c r="G1372" s="48" t="str">
        <x:v>Obligation</x:v>
      </x:c>
      <x:c r="H1372" s="48" t="str">
        <x:v>Shared</x:v>
      </x:c>
      <x:c r="I1372" s="48" t="n">
        <x:v>0.45</x:v>
      </x:c>
      <x:c r="J1372" s="48" t="n">
        <x:v>0.4</x:v>
      </x:c>
      <x:c r="K1372" s="48" t="str">
        <x:v>Yes</x:v>
      </x:c>
      <x:c r="L1372" s="48" t="str">
        <x:v>PDF text</x:v>
      </x:c>
    </x:row>
    <x:row r="1373">
      <x:c r="A1373" s="48" t="str">
        <x:v>RED-1372</x:v>
      </x:c>
      <x:c r="B1373" s="48" t="str">
        <x:v>RED</x:v>
      </x:c>
      <x:c r="C1373" s="48" t="str">
        <x:v>English</x:v>
      </x:c>
      <x:c r="D1373" s="48" t="n">
        <x:v>79</x:v>
      </x:c>
      <x:c r="E1373" s="48" t="str"/>
      <x:c r="F1373" s="48" t="str">
        <x:v>If the DB has given its decision as to a matter in dispute to both Parties, and no notice of dissatisfaction has been given by either Party within 28 days after it received the DB’s decision, then the decision shall become final and binding upon both Parties.</x:v>
      </x:c>
      <x:c r="G1373" s="48" t="str">
        <x:v>Obligation</x:v>
      </x:c>
      <x:c r="H1373" s="48" t="str">
        <x:v>Shared</x:v>
      </x:c>
      <x:c r="I1373" s="48" t="n">
        <x:v>0.88</x:v>
      </x:c>
      <x:c r="J1373" s="48" t="n">
        <x:v>0.93</x:v>
      </x:c>
      <x:c r="K1373" s="48" t="str">
        <x:v>No</x:v>
      </x:c>
      <x:c r="L1373" s="48" t="str">
        <x:v>PDF text</x:v>
      </x:c>
    </x:row>
    <x:row r="1374">
      <x:c r="A1374" s="48" t="str">
        <x:v>RED-1373</x:v>
      </x:c>
      <x:c r="B1374" s="48" t="str">
        <x:v>RED</x:v>
      </x:c>
      <x:c r="C1374" s="48" t="str">
        <x:v>English</x:v>
      </x:c>
      <x:c r="D1374" s="48" t="n">
        <x:v>79</x:v>
      </x:c>
      <x:c r="E1374" s="48" t="str"/>
      <x:c r="F1374" s="48" t="str">
        <x:v>Where notice of dissatisfaction has been given under Sub-Clause 20.4 above, both</x:v>
      </x:c>
      <x:c r="G1374" s="48" t="str">
        <x:v>Obligation</x:v>
      </x:c>
      <x:c r="H1374" s="48" t="str">
        <x:v>Shared</x:v>
      </x:c>
      <x:c r="I1374" s="48" t="n">
        <x:v>0.55</x:v>
      </x:c>
      <x:c r="J1374" s="48" t="n">
        <x:v>0.4</x:v>
      </x:c>
      <x:c r="K1374" s="48" t="str">
        <x:v>Yes</x:v>
      </x:c>
      <x:c r="L1374" s="48" t="str">
        <x:v>PDF text</x:v>
      </x:c>
    </x:row>
    <x:row r="1375">
      <x:c r="A1375" s="48" t="str">
        <x:v>RED-1374</x:v>
      </x:c>
      <x:c r="B1375" s="48" t="str">
        <x:v>RED</x:v>
      </x:c>
      <x:c r="C1375" s="48" t="str">
        <x:v>English</x:v>
      </x:c>
      <x:c r="D1375" s="48" t="n">
        <x:v>79</x:v>
      </x:c>
      <x:c r="E1375" s="48" t="str"/>
      <x:c r="F1375" s="48" t="str">
        <x:v>Parties shall attempt to settle the dispute amicably before the commencement of</x:v>
      </x:c>
      <x:c r="G1375" s="48" t="str">
        <x:v>Obligation</x:v>
      </x:c>
      <x:c r="H1375" s="48" t="str">
        <x:v>Shared</x:v>
      </x:c>
      <x:c r="I1375" s="48" t="n">
        <x:v>0.88</x:v>
      </x:c>
      <x:c r="J1375" s="48" t="n">
        <x:v>0.4</x:v>
      </x:c>
      <x:c r="K1375" s="48" t="str">
        <x:v>Yes</x:v>
      </x:c>
      <x:c r="L1375" s="48" t="str">
        <x:v>PDF text</x:v>
      </x:c>
    </x:row>
    <x:row r="1376">
      <x:c r="A1376" s="48" t="str">
        <x:v>RED-1375</x:v>
      </x:c>
      <x:c r="B1376" s="48" t="str">
        <x:v>RED</x:v>
      </x:c>
      <x:c r="C1376" s="48" t="str">
        <x:v>English</x:v>
      </x:c>
      <x:c r="D1376" s="48" t="n">
        <x:v>79</x:v>
      </x:c>
      <x:c r="E1376" s="48" t="str"/>
      <x:c r="F1376" s="48" t="str">
        <x:v>However, unless both Parties agree otherwise, arbitration may be commenced on or after the fifty-sixth day after the day on which a notice of dissatisfaction and intention to commence arbitration was given, even if no attempt at amicable settlement has been made.</x:v>
      </x:c>
      <x:c r="G1376" s="48" t="str">
        <x:v>Right</x:v>
      </x:c>
      <x:c r="H1376" s="48" t="str">
        <x:v>Shared</x:v>
      </x:c>
      <x:c r="I1376" s="48" t="n">
        <x:v>0.78</x:v>
      </x:c>
      <x:c r="J1376" s="48" t="n">
        <x:v>0.93</x:v>
      </x:c>
      <x:c r="K1376" s="48" t="str">
        <x:v>No</x:v>
      </x:c>
      <x:c r="L1376" s="48" t="str">
        <x:v>PDF text</x:v>
      </x:c>
    </x:row>
    <x:row r="1377">
      <x:c r="A1377" s="48" t="str">
        <x:v>RED-1376</x:v>
      </x:c>
      <x:c r="B1377" s="48" t="str">
        <x:v>RED</x:v>
      </x:c>
      <x:c r="C1377" s="48" t="str">
        <x:v>English</x:v>
      </x:c>
      <x:c r="D1377" s="48" t="n">
        <x:v>79</x:v>
      </x:c>
      <x:c r="E1377" s="48" t="str"/>
      <x:c r="F1377" s="48" t="str">
        <x:v>Unless settled amicably, any dispute in respect of which the DB’s decision (if any) has not become final and binding shall be finally settled by international arbitration.</x:v>
      </x:c>
      <x:c r="G1377" s="48" t="str">
        <x:v>Obligation</x:v>
      </x:c>
      <x:c r="H1377" s="48" t="str">
        <x:v>Shared</x:v>
      </x:c>
      <x:c r="I1377" s="48" t="n">
        <x:v>0.88</x:v>
      </x:c>
      <x:c r="J1377" s="48" t="n">
        <x:v>0.4</x:v>
      </x:c>
      <x:c r="K1377" s="48" t="str">
        <x:v>Yes</x:v>
      </x:c>
      <x:c r="L1377" s="48" t="str">
        <x:v>PDF text</x:v>
      </x:c>
    </x:row>
    <x:row r="1378">
      <x:c r="A1378" s="48" t="str">
        <x:v>RED-1377</x:v>
      </x:c>
      <x:c r="B1378" s="48" t="str">
        <x:v>RED</x:v>
      </x:c>
      <x:c r="C1378" s="48" t="str">
        <x:v>English</x:v>
      </x:c>
      <x:c r="D1378" s="48" t="n">
        <x:v>79</x:v>
      </x:c>
      <x:c r="E1378" s="48" t="str"/>
      <x:c r="F1378" s="48" t="str">
        <x:v>Unless otherwise agreed by both Parties: (a) arbitration proceedings shall be conducted as stated in the Particular</x:v>
      </x:c>
      <x:c r="G1378" s="48" t="str">
        <x:v>Obligation</x:v>
      </x:c>
      <x:c r="H1378" s="48" t="str">
        <x:v>Shared</x:v>
      </x:c>
      <x:c r="I1378" s="48" t="n">
        <x:v>0.88</x:v>
      </x:c>
      <x:c r="J1378" s="48" t="n">
        <x:v>0.93</x:v>
      </x:c>
      <x:c r="K1378" s="48" t="str">
        <x:v>No</x:v>
      </x:c>
      <x:c r="L1378" s="48" t="str">
        <x:v>PDF text</x:v>
      </x:c>
    </x:row>
    <x:row r="1379">
      <x:c r="A1379" s="48" t="str">
        <x:v>RED-1378</x:v>
      </x:c>
      <x:c r="B1379" s="48" t="str">
        <x:v>RED</x:v>
      </x:c>
      <x:c r="C1379" s="48" t="str">
        <x:v>English</x:v>
      </x:c>
      <x:c r="D1379" s="48" t="n">
        <x:v>79</x:v>
      </x:c>
      <x:c r="E1379" s="48" t="str"/>
      <x:c r="F1379" s="48" t="str">
        <x:v>(b) if no arbitration proceedings are so stated, the dispute shall be finally settled by institutional arbitration under the Rules of Arbitration of the International</x:v>
      </x:c>
      <x:c r="G1379" s="48" t="str">
        <x:v>Obligation</x:v>
      </x:c>
      <x:c r="H1379" s="48" t="str">
        <x:v>Shared</x:v>
      </x:c>
      <x:c r="I1379" s="48" t="n">
        <x:v>0.88</x:v>
      </x:c>
      <x:c r="J1379" s="48" t="n">
        <x:v>0.4</x:v>
      </x:c>
      <x:c r="K1379" s="48" t="str">
        <x:v>Yes</x:v>
      </x:c>
      <x:c r="L1379" s="48" t="str">
        <x:v>PDF text</x:v>
      </x:c>
    </x:row>
    <x:row r="1380">
      <x:c r="A1380" s="48" t="str">
        <x:v>RED-1379</x:v>
      </x:c>
      <x:c r="B1380" s="48" t="str">
        <x:v>RED</x:v>
      </x:c>
      <x:c r="C1380" s="48" t="str">
        <x:v>English</x:v>
      </x:c>
      <x:c r="D1380" s="48" t="n">
        <x:v>79</x:v>
      </x:c>
      <x:c r="E1380" s="48" t="str"/>
      <x:c r="F1380" s="48" t="str">
        <x:v>Chamber of Commerce,</x:v>
      </x:c>
      <x:c r="G1380" s="48" t="str">
        <x:v>Obligation</x:v>
      </x:c>
      <x:c r="H1380" s="48" t="str">
        <x:v>Shared</x:v>
      </x:c>
      <x:c r="I1380" s="48" t="n">
        <x:v>0.45</x:v>
      </x:c>
      <x:c r="J1380" s="48" t="n">
        <x:v>0.4</x:v>
      </x:c>
      <x:c r="K1380" s="48" t="str">
        <x:v>Yes</x:v>
      </x:c>
      <x:c r="L1380" s="48" t="str">
        <x:v>PDF text</x:v>
      </x:c>
    </x:row>
    <x:row r="1381">
      <x:c r="A1381" s="48" t="str">
        <x:v>RED-1380</x:v>
      </x:c>
      <x:c r="B1381" s="48" t="str">
        <x:v>RED</x:v>
      </x:c>
      <x:c r="C1381" s="48" t="str">
        <x:v>English</x:v>
      </x:c>
      <x:c r="D1381" s="48" t="n">
        <x:v>79</x:v>
      </x:c>
      <x:c r="E1381" s="48" t="str"/>
      <x:c r="F1381" s="48" t="str">
        <x:v>(c) the dispute shall be settled by three arbitrators, and (d) the arbitration shall be conducted in the language for communications defined in Sub-Clause 1.4 [Law and Language].</x:v>
      </x:c>
      <x:c r="G1381" s="48" t="str">
        <x:v>Obligation</x:v>
      </x:c>
      <x:c r="H1381" s="48" t="str">
        <x:v>Shared</x:v>
      </x:c>
      <x:c r="I1381" s="48" t="n">
        <x:v>0.88</x:v>
      </x:c>
      <x:c r="J1381" s="48" t="n">
        <x:v>0.4</x:v>
      </x:c>
      <x:c r="K1381" s="48" t="str">
        <x:v>Yes</x:v>
      </x:c>
      <x:c r="L1381" s="48" t="str">
        <x:v>PDF text</x:v>
      </x:c>
    </x:row>
    <x:row r="1382">
      <x:c r="A1382" s="48" t="str">
        <x:v>RED-1381</x:v>
      </x:c>
      <x:c r="B1382" s="48" t="str">
        <x:v>RED</x:v>
      </x:c>
      <x:c r="C1382" s="48" t="str">
        <x:v>English</x:v>
      </x:c>
      <x:c r="D1382" s="48" t="n">
        <x:v>79</x:v>
      </x:c>
      <x:c r="E1382" s="48" t="str"/>
      <x:c r="F1382" s="48" t="str">
        <x:v>The arbitrators shall have full power to open up, review and revise any certificate, determination, instruction, opinion or valuation of the Engineer, and any decision of the DB, relevant to the dispute.</x:v>
      </x:c>
      <x:c r="G1382" s="48" t="str">
        <x:v>Obligation</x:v>
      </x:c>
      <x:c r="H1382" s="48" t="str">
        <x:v>Shared</x:v>
      </x:c>
      <x:c r="I1382" s="48" t="n">
        <x:v>0.88</x:v>
      </x:c>
      <x:c r="J1382" s="48" t="n">
        <x:v>0.4</x:v>
      </x:c>
      <x:c r="K1382" s="48" t="str">
        <x:v>Yes</x:v>
      </x:c>
      <x:c r="L1382" s="48" t="str">
        <x:v>PDF text</x:v>
      </x:c>
    </x:row>
    <x:row r="1383">
      <x:c r="A1383" s="48" t="str">
        <x:v>RED-1382</x:v>
      </x:c>
      <x:c r="B1383" s="48" t="str">
        <x:v>RED</x:v>
      </x:c>
      <x:c r="C1383" s="48" t="str">
        <x:v>English</x:v>
      </x:c>
      <x:c r="D1383" s="48" t="n">
        <x:v>79</x:v>
      </x:c>
      <x:c r="E1383" s="48" t="str"/>
      <x:c r="F1383" s="48" t="str">
        <x:v>Nothing shall disqualify the Engineer from being called as a witness and giving evidence before the arbitrators on any matter whatsoever relevant to the dispute.</x:v>
      </x:c>
      <x:c r="G1383" s="48" t="str">
        <x:v>Obligation</x:v>
      </x:c>
      <x:c r="H1383" s="48" t="str">
        <x:v>Shared</x:v>
      </x:c>
      <x:c r="I1383" s="48" t="n">
        <x:v>0.88</x:v>
      </x:c>
      <x:c r="J1383" s="48" t="n">
        <x:v>0.4</x:v>
      </x:c>
      <x:c r="K1383" s="48" t="str">
        <x:v>Yes</x:v>
      </x:c>
      <x:c r="L1383" s="48" t="str">
        <x:v>PDF text</x:v>
      </x:c>
    </x:row>
    <x:row r="1384">
      <x:c r="A1384" s="48" t="str">
        <x:v>RED-1383</x:v>
      </x:c>
      <x:c r="B1384" s="48" t="str">
        <x:v>RED</x:v>
      </x:c>
      <x:c r="C1384" s="48" t="str">
        <x:v>English</x:v>
      </x:c>
      <x:c r="D1384" s="48" t="n">
        <x:v>79</x:v>
      </x:c>
      <x:c r="E1384" s="48" t="str"/>
      <x:c r="F1384" s="48" t="str">
        <x:v>Neither Party shall be limited in the proceedings before the arbitrators to the evidence or arguments previously put before the DB to obtain its decision, or to the reasons for dissatisfaction given in its notice of dissatisfaction.</x:v>
      </x:c>
      <x:c r="G1384" s="48" t="str">
        <x:v>Obligation</x:v>
      </x:c>
      <x:c r="H1384" s="48" t="str">
        <x:v>Shared</x:v>
      </x:c>
      <x:c r="I1384" s="48" t="n">
        <x:v>0.88</x:v>
      </x:c>
      <x:c r="J1384" s="48" t="n">
        <x:v>0.4</x:v>
      </x:c>
      <x:c r="K1384" s="48" t="str">
        <x:v>Yes</x:v>
      </x:c>
      <x:c r="L1384" s="48" t="str">
        <x:v>PDF text</x:v>
      </x:c>
    </x:row>
    <x:row r="1385">
      <x:c r="A1385" s="48" t="str">
        <x:v>RED-1384</x:v>
      </x:c>
      <x:c r="B1385" s="48" t="str">
        <x:v>RED</x:v>
      </x:c>
      <x:c r="C1385" s="48" t="str">
        <x:v>English</x:v>
      </x:c>
      <x:c r="D1385" s="48" t="n">
        <x:v>79</x:v>
      </x:c>
      <x:c r="E1385" s="48" t="str"/>
      <x:c r="F1385" s="48" t="str">
        <x:v>Any decision of the DB shall be admissible in evidence in the arbitration.</x:v>
      </x:c>
      <x:c r="G1385" s="48" t="str">
        <x:v>Obligation</x:v>
      </x:c>
      <x:c r="H1385" s="48" t="str">
        <x:v>Shared</x:v>
      </x:c>
      <x:c r="I1385" s="48" t="n">
        <x:v>0.88</x:v>
      </x:c>
      <x:c r="J1385" s="48" t="n">
        <x:v>0.4</x:v>
      </x:c>
      <x:c r="K1385" s="48" t="str">
        <x:v>Yes</x:v>
      </x:c>
      <x:c r="L1385" s="48" t="str">
        <x:v>PDF text</x:v>
      </x:c>
    </x:row>
    <x:row r="1386">
      <x:c r="A1386" s="48" t="str">
        <x:v>RED-1385</x:v>
      </x:c>
      <x:c r="B1386" s="48" t="str">
        <x:v>RED</x:v>
      </x:c>
      <x:c r="C1386" s="48" t="str">
        <x:v>English</x:v>
      </x:c>
      <x:c r="D1386" s="48" t="n">
        <x:v>79</x:v>
      </x:c>
      <x:c r="E1386" s="48" t="str"/>
      <x:c r="F1386" s="48" t="str">
        <x:v>Arbitration may be commenced prior to or after completion of the Works.</x:v>
      </x:c>
      <x:c r="G1386" s="48" t="str">
        <x:v>Right</x:v>
      </x:c>
      <x:c r="H1386" s="48" t="str">
        <x:v>Shared</x:v>
      </x:c>
      <x:c r="I1386" s="48" t="n">
        <x:v>0.78</x:v>
      </x:c>
      <x:c r="J1386" s="48" t="n">
        <x:v>0.4</x:v>
      </x:c>
      <x:c r="K1386" s="48" t="str">
        <x:v>Yes</x:v>
      </x:c>
      <x:c r="L1386" s="48" t="str">
        <x:v>PDF text</x:v>
      </x:c>
    </x:row>
    <x:row r="1387">
      <x:c r="A1387" s="48" t="str">
        <x:v>RED-1386</x:v>
      </x:c>
      <x:c r="B1387" s="48" t="str">
        <x:v>RED</x:v>
      </x:c>
      <x:c r="C1387" s="48" t="str">
        <x:v>English</x:v>
      </x:c>
      <x:c r="D1387" s="48" t="n">
        <x:v>79</x:v>
      </x:c>
      <x:c r="E1387" s="48" t="str"/>
      <x:c r="F1387" s="48" t="str">
        <x:v>The obligations of the Parties, the Engineer and the DB shall not be altered by reason of any arbitration being conducted during the progress of the Works.</x:v>
      </x:c>
      <x:c r="G1387" s="48" t="str">
        <x:v>Obligation</x:v>
      </x:c>
      <x:c r="H1387" s="48" t="str">
        <x:v>Shared</x:v>
      </x:c>
      <x:c r="I1387" s="48" t="n">
        <x:v>0.88</x:v>
      </x:c>
      <x:c r="J1387" s="48" t="n">
        <x:v>0.93</x:v>
      </x:c>
      <x:c r="K1387" s="48" t="str">
        <x:v>No</x:v>
      </x:c>
      <x:c r="L1387" s="48" t="str">
        <x:v>PDF text</x:v>
      </x:c>
    </x:row>
    <x:row r="1388">
      <x:c r="A1388" s="48" t="str">
        <x:v>RED-1387</x:v>
      </x:c>
      <x:c r="B1388" s="48" t="str">
        <x:v>RED</x:v>
      </x:c>
      <x:c r="C1388" s="48" t="str">
        <x:v>English</x:v>
      </x:c>
      <x:c r="D1388" s="48" t="n">
        <x:v>79</x:v>
      </x:c>
      <x:c r="E1388" s="48" t="str"/>
      <x:c r="F1388" s="48" t="str">
        <x:v>In the event that a Party fails to comply with a DB decision which has become final and binding, then the other Party may, without prejudice to any other rights it may</x:v>
      </x:c>
      <x:c r="G1388" s="48" t="str">
        <x:v>Obligation</x:v>
      </x:c>
      <x:c r="H1388" s="48" t="str">
        <x:v>Shared</x:v>
      </x:c>
      <x:c r="I1388" s="48" t="n">
        <x:v>0.45</x:v>
      </x:c>
      <x:c r="J1388" s="48" t="n">
        <x:v>0.4</x:v>
      </x:c>
      <x:c r="K1388" s="48" t="str">
        <x:v>Yes</x:v>
      </x:c>
      <x:c r="L1388" s="48" t="str">
        <x:v>PDF text</x:v>
      </x:c>
    </x:row>
    <x:row r="1389">
      <x:c r="A1389" s="48" t="str">
        <x:v>RED-1388</x:v>
      </x:c>
      <x:c r="B1389" s="48" t="str">
        <x:v>RED</x:v>
      </x:c>
      <x:c r="C1389" s="48" t="str">
        <x:v>English</x:v>
      </x:c>
      <x:c r="D1389" s="48" t="n">
        <x:v>80</x:v>
      </x:c>
      <x:c r="E1389" s="48" t="str"/>
      <x:c r="F1389" s="48" t="str">
        <x:v>have, refer the failure itself to arbitration under Sub-Clause 20.6 [Arbitration].</x:v>
      </x:c>
      <x:c r="G1389" s="48" t="str">
        <x:v>Obligation</x:v>
      </x:c>
      <x:c r="H1389" s="48" t="str">
        <x:v>Shared</x:v>
      </x:c>
      <x:c r="I1389" s="48" t="n">
        <x:v>0.45</x:v>
      </x:c>
      <x:c r="J1389" s="48" t="n">
        <x:v>0.4</x:v>
      </x:c>
      <x:c r="K1389" s="48" t="str">
        <x:v>Yes</x:v>
      </x:c>
      <x:c r="L1389" s="48" t="str">
        <x:v>PDF text</x:v>
      </x:c>
    </x:row>
    <x:row r="1390">
      <x:c r="A1390" s="48" t="str">
        <x:v>RED-1389</x:v>
      </x:c>
      <x:c r="B1390" s="48" t="str">
        <x:v>RED</x:v>
      </x:c>
      <x:c r="C1390" s="48" t="str">
        <x:v>English</x:v>
      </x:c>
      <x:c r="D1390" s="48" t="n">
        <x:v>80</x:v>
      </x:c>
      <x:c r="E1390" s="48" t="str"/>
      <x:c r="F1390" s="48" t="str">
        <x:v>SubClause 20.4 [Obtaining Dispute Board’s Decision] and Sub-Clause 20.5 [Amicable Settlement] shall not apply to this reference.</x:v>
      </x:c>
      <x:c r="G1390" s="48" t="str">
        <x:v>Obligation</x:v>
      </x:c>
      <x:c r="H1390" s="48" t="str">
        <x:v>Shared</x:v>
      </x:c>
      <x:c r="I1390" s="48" t="n">
        <x:v>0.88</x:v>
      </x:c>
      <x:c r="J1390" s="48" t="n">
        <x:v>0.4</x:v>
      </x:c>
      <x:c r="K1390" s="48" t="str">
        <x:v>Yes</x:v>
      </x:c>
      <x:c r="L1390" s="48" t="str">
        <x:v>PDF text</x:v>
      </x:c>
    </x:row>
    <x:row r="1391">
      <x:c r="A1391" s="48" t="str">
        <x:v>RED-1390</x:v>
      </x:c>
      <x:c r="B1391" s="48" t="str">
        <x:v>RED</x:v>
      </x:c>
      <x:c r="C1391" s="48" t="str">
        <x:v>English</x:v>
      </x:c>
      <x:c r="D1391" s="48" t="n">
        <x:v>80</x:v>
      </x:c>
      <x:c r="E1391" s="48" t="str"/>
      <x:c r="F1391" s="48" t="str">
        <x:v>If a dispute arises between the Parties in connection with, or arising out of, the Contract or the execution of the Works and there is no DB in place, whether by reason of the expiry of the DB’s appointment or otherwise: (a) Sub-Clause 20.4 [Obtaining Dispute Board’s Decision] and Sub-Clause 20.5 [Amicable Settlement] shall not apply, and (b) the dispute may be referred directly to arbitration under Sub-Clause 20.6 [Arbitration].</x:v>
      </x:c>
      <x:c r="G1391" s="48" t="str">
        <x:v>Obligation</x:v>
      </x:c>
      <x:c r="H1391" s="48" t="str">
        <x:v>Shared</x:v>
      </x:c>
      <x:c r="I1391" s="48" t="n">
        <x:v>0.88</x:v>
      </x:c>
      <x:c r="J1391" s="48" t="n">
        <x:v>0.93</x:v>
      </x:c>
      <x:c r="K1391" s="48" t="str">
        <x:v>No</x:v>
      </x:c>
      <x:c r="L1391" s="48" t="str">
        <x:v>PDF text</x:v>
      </x:c>
    </x:row>
    <x:row r="1392">
      <x:c r="A1392" s="48" t="str">
        <x:v>RED-1391</x:v>
      </x:c>
      <x:c r="B1392" s="48" t="str">
        <x:v>RED</x:v>
      </x:c>
      <x:c r="C1392" s="48" t="str">
        <x:v>English</x:v>
      </x:c>
      <x:c r="D1392" s="48" t="n">
        <x:v>80</x:v>
      </x:c>
      <x:c r="E1392" s="48" t="str"/>
      <x:c r="F1392" s="48" t="str">
        <x:v>Expiry of Dispute</x:v>
      </x:c>
      <x:c r="G1392" s="48" t="str">
        <x:v>Obligation</x:v>
      </x:c>
      <x:c r="H1392" s="48" t="str">
        <x:v>Shared</x:v>
      </x:c>
      <x:c r="I1392" s="48" t="n">
        <x:v>0.55</x:v>
      </x:c>
      <x:c r="J1392" s="48" t="n">
        <x:v>0.4</x:v>
      </x:c>
      <x:c r="K1392" s="48" t="str">
        <x:v>Yes</x:v>
      </x:c>
      <x:c r="L1392" s="48" t="str">
        <x:v>PDF text</x:v>
      </x:c>
    </x:row>
    <x:row r="1393">
      <x:c r="A1393" s="48" t="str">
        <x:v>RED-1392</x:v>
      </x:c>
      <x:c r="B1393" s="48" t="str">
        <x:v>RED</x:v>
      </x:c>
      <x:c r="C1393" s="48" t="str">
        <x:v>English</x:v>
      </x:c>
      <x:c r="D1393" s="48" t="n">
        <x:v>80</x:v>
      </x:c>
      <x:c r="E1393" s="48" t="str"/>
      <x:c r="F1393" s="48" t="str">
        <x:v>Board’s Appointment</x:v>
      </x:c>
      <x:c r="G1393" s="48" t="str">
        <x:v>Obligation</x:v>
      </x:c>
      <x:c r="H1393" s="48" t="str">
        <x:v>Shared</x:v>
      </x:c>
      <x:c r="I1393" s="48" t="n">
        <x:v>0.45</x:v>
      </x:c>
      <x:c r="J1393" s="48" t="n">
        <x:v>0.4</x:v>
      </x:c>
      <x:c r="K1393" s="48" t="str">
        <x:v>Yes</x:v>
      </x:c>
      <x:c r="L1393" s="48" t="str">
        <x:v>PDF text</x:v>
      </x:c>
    </x:row>
  </x:sheetData>
  <x:conditionalFormatting sqref="K2:K1393">
    <x:cfRule type="expression" dxfId="2" priority="1">
      <x:formula>K2="Yes"</x:formula>
    </x:cfRule>
  </x:conditionalFormatting>
  <x:conditionalFormatting sqref="G2:G1393">
    <x:cfRule type="expression" dxfId="3" priority="2">
      <x:formula>G2="Risk"</x:formula>
    </x:cfRule>
  </x:conditionalFormatting>
  <x:dataValidations count="3">
    <x:dataValidation type="list" sqref="G2:G1393">
      <x:formula1>"Heading,Definition,Obligation,Risk,Right"</x:formula1>
    </x:dataValidation>
    <x:dataValidation type="list" sqref="H2:H1393">
      <x:formula1>",Contractor,Employer,Shared"</x:formula1>
    </x:dataValidation>
    <x:dataValidation type="list" sqref="K2:K1393">
      <x:formula1>"Yes,No"</x:formula1>
    </x:dataValidation>
  </x:dataValidations>
  <x:pageMargins left="0.7" right="0.7" top="0.75" bottom="0.75" header="0.3" footer="0.3"/>
  <x:tableParts count="1">
    <x:tablePart xmlns:r="http://schemas.openxmlformats.org/officeDocument/2006/relationships" r:id="R248bb1f2ffb643de"/>
  </x:tableParts>
</x:worksheet>
</file>

<file path=xl/worksheets/sheet6.xml><?xml version="1.0" encoding="utf-8"?>
<x:worksheet xmlns:x="http://schemas.openxmlformats.org/spreadsheetml/2006/main">
  <x:sheetFormatPr defaultRowHeight="15"/>
  <x:cols>
    <x:col min="1" max="1" width="14" hidden="0" customWidth="1"/>
    <x:col min="2" max="2" width="10" hidden="0" customWidth="1"/>
    <x:col min="3" max="3" width="12" hidden="0" customWidth="1"/>
    <x:col min="4" max="4" width="8" hidden="0" customWidth="1"/>
    <x:col min="5" max="5" width="12" hidden="0" customWidth="1"/>
    <x:col min="6" max="6" width="58" hidden="0" customWidth="1"/>
    <x:col min="7" max="7" width="16" hidden="0" customWidth="1"/>
    <x:col min="8" max="8" width="16" hidden="0" customWidth="1"/>
    <x:col min="9" max="9" width="15" hidden="0" customWidth="1"/>
    <x:col min="10" max="10" width="16" hidden="0" customWidth="1"/>
    <x:col min="11" max="11" width="14" hidden="0" customWidth="1"/>
    <x:col min="12" max="12" width="18" hidden="0" customWidth="1"/>
  </x:cols>
  <x:sheetData>
    <x:row r="1">
      <x:c r="A1" s="18" t="str">
        <x:v>Sentence_ID</x:v>
      </x:c>
      <x:c r="B1" s="35" t="str">
        <x:v>Book</x:v>
      </x:c>
      <x:c r="C1" s="35" t="str">
        <x:v>Language</x:v>
      </x:c>
      <x:c r="D1" s="50" t="str">
        <x:v>Page</x:v>
      </x:c>
      <x:c r="E1" s="35" t="str">
        <x:v>Clause</x:v>
      </x:c>
      <x:c r="F1" s="35" t="str">
        <x:v>Sentence</x:v>
      </x:c>
      <x:c r="G1" s="35" t="str">
        <x:v>Sentence_Type</x:v>
      </x:c>
      <x:c r="H1" s="35" t="str">
        <x:v>Related_Party</x:v>
      </x:c>
      <x:c r="I1" s="52" t="str">
        <x:v>Type_Confidence</x:v>
      </x:c>
      <x:c r="J1" s="52" t="str">
        <x:v>Party_Confidence</x:v>
      </x:c>
      <x:c r="K1" s="35" t="str">
        <x:v>Needs_Review</x:v>
      </x:c>
      <x:c r="L1" s="19" t="str">
        <x:v>Extraction_Method</x:v>
      </x:c>
    </x:row>
    <x:row r="2">
      <x:c r="A2" s="48" t="str">
        <x:v>YELLOW-0001</x:v>
      </x:c>
      <x:c r="B2" s="48" t="str">
        <x:v>YELLOW</x:v>
      </x:c>
      <x:c r="C2" s="48" t="str">
        <x:v>English</x:v>
      </x:c>
      <x:c r="D2" s="48" t="n">
        <x:v>17</x:v>
      </x:c>
      <x:c r="E2" s="48" t="str"/>
      <x:c r="F2" s="48" t="str">
        <x:v>In the Conditions of Contract ("these Conditions"), which include Particular Conditions and these General Conditions, the following words and expressions shall have the meanings stated.</x:v>
      </x:c>
      <x:c r="G2" s="48" t="str">
        <x:v>Obligation</x:v>
      </x:c>
      <x:c r="H2" s="48" t="str">
        <x:v>Shared</x:v>
      </x:c>
      <x:c r="I2" s="48" t="n">
        <x:v>0.88</x:v>
      </x:c>
      <x:c r="J2" s="48" t="n">
        <x:v>0.4</x:v>
      </x:c>
      <x:c r="K2" s="48" t="str">
        <x:v>Yes</x:v>
      </x:c>
      <x:c r="L2" s="48" t="str">
        <x:v>PDF text</x:v>
      </x:c>
    </x:row>
    <x:row r="3">
      <x:c r="A3" s="48" t="str">
        <x:v>YELLOW-0002</x:v>
      </x:c>
      <x:c r="B3" s="48" t="str">
        <x:v>YELLOW</x:v>
      </x:c>
      <x:c r="C3" s="48" t="str">
        <x:v>English</x:v>
      </x:c>
      <x:c r="D3" s="48" t="n">
        <x:v>17</x:v>
      </x:c>
      <x:c r="E3" s="48" t="str"/>
      <x:c r="F3" s="48" t="str">
        <x:v>Words indicating persons or parties include corporations and other legal entities, except where the context requires otherwise.</x:v>
      </x:c>
      <x:c r="G3" s="48" t="str">
        <x:v>Obligation</x:v>
      </x:c>
      <x:c r="H3" s="48" t="str">
        <x:v>Shared</x:v>
      </x:c>
      <x:c r="I3" s="48" t="n">
        <x:v>0.45</x:v>
      </x:c>
      <x:c r="J3" s="48" t="n">
        <x:v>0.4</x:v>
      </x:c>
      <x:c r="K3" s="48" t="str">
        <x:v>Yes</x:v>
      </x:c>
      <x:c r="L3" s="48" t="str">
        <x:v>PDF text</x:v>
      </x:c>
    </x:row>
    <x:row r="4">
      <x:c r="A4" s="48" t="str">
        <x:v>YELLOW-0003</x:v>
      </x:c>
      <x:c r="B4" s="48" t="str">
        <x:v>YELLOW</x:v>
      </x:c>
      <x:c r="C4" s="48" t="str">
        <x:v>English</x:v>
      </x:c>
      <x:c r="D4" s="48" t="n">
        <x:v>17</x:v>
      </x:c>
      <x:c r="E4" s="48" t="str">
        <x:v>1.1.1.1</x:v>
      </x:c>
      <x:c r="F4" s="48" t="str">
        <x:v>1.1.1.1 "Contract" means the Contract Agreement, the Letter of Acceptance, the Letter of Tender, these Conditions, the Employer's Requirements, the</x:v>
      </x:c>
      <x:c r="G4" s="48" t="str">
        <x:v>Definition</x:v>
      </x:c>
      <x:c r="H4" s="48" t="str"/>
      <x:c r="I4" s="48" t="n">
        <x:v>0.97</x:v>
      </x:c>
      <x:c r="J4" s="48" t="n">
        <x:v>0.99</x:v>
      </x:c>
      <x:c r="K4" s="48" t="str">
        <x:v>No</x:v>
      </x:c>
      <x:c r="L4" s="48" t="str">
        <x:v>PDF text</x:v>
      </x:c>
    </x:row>
    <x:row r="5">
      <x:c r="A5" s="48" t="str">
        <x:v>YELLOW-0004</x:v>
      </x:c>
      <x:c r="B5" s="48" t="str">
        <x:v>YELLOW</x:v>
      </x:c>
      <x:c r="C5" s="48" t="str">
        <x:v>English</x:v>
      </x:c>
      <x:c r="D5" s="48" t="n">
        <x:v>17</x:v>
      </x:c>
      <x:c r="E5" s="48" t="str"/>
      <x:c r="F5" s="48" t="str">
        <x:v>Schedules, the Contractor's Proposal, and the further documents (if any)</x:v>
      </x:c>
      <x:c r="G5" s="48" t="str">
        <x:v>Obligation</x:v>
      </x:c>
      <x:c r="H5" s="48" t="str">
        <x:v>Contractor</x:v>
      </x:c>
      <x:c r="I5" s="48" t="n">
        <x:v>0.45</x:v>
      </x:c>
      <x:c r="J5" s="48" t="n">
        <x:v>0.68</x:v>
      </x:c>
      <x:c r="K5" s="48" t="str">
        <x:v>Yes</x:v>
      </x:c>
      <x:c r="L5" s="48" t="str">
        <x:v>PDF text</x:v>
      </x:c>
    </x:row>
    <x:row r="6">
      <x:c r="A6" s="48" t="str">
        <x:v>YELLOW-0005</x:v>
      </x:c>
      <x:c r="B6" s="48" t="str">
        <x:v>YELLOW</x:v>
      </x:c>
      <x:c r="C6" s="48" t="str">
        <x:v>English</x:v>
      </x:c>
      <x:c r="D6" s="48" t="n">
        <x:v>17</x:v>
      </x:c>
      <x:c r="E6" s="48" t="str"/>
      <x:c r="F6" s="48" t="str">
        <x:v>which are listed in the Contract Agreement or in the Letter of Acceptance.</x:v>
      </x:c>
      <x:c r="G6" s="48" t="str">
        <x:v>Obligation</x:v>
      </x:c>
      <x:c r="H6" s="48" t="str">
        <x:v>Shared</x:v>
      </x:c>
      <x:c r="I6" s="48" t="n">
        <x:v>0.45</x:v>
      </x:c>
      <x:c r="J6" s="48" t="n">
        <x:v>0.4</x:v>
      </x:c>
      <x:c r="K6" s="48" t="str">
        <x:v>Yes</x:v>
      </x:c>
      <x:c r="L6" s="48" t="str">
        <x:v>PDF text</x:v>
      </x:c>
    </x:row>
    <x:row r="7">
      <x:c r="A7" s="48" t="str">
        <x:v>YELLOW-0006</x:v>
      </x:c>
      <x:c r="B7" s="48" t="str">
        <x:v>YELLOW</x:v>
      </x:c>
      <x:c r="C7" s="48" t="str">
        <x:v>English</x:v>
      </x:c>
      <x:c r="D7" s="48" t="n">
        <x:v>17</x:v>
      </x:c>
      <x:c r="E7" s="48" t="str">
        <x:v>1.1.1.2</x:v>
      </x:c>
      <x:c r="F7" s="48" t="str">
        <x:v>1.1.1.2 "Contract Agreement" means the contract agreement (if any) referred to in Sub-Clause 1.6 [Contract Agreement].</x:v>
      </x:c>
      <x:c r="G7" s="48" t="str">
        <x:v>Definition</x:v>
      </x:c>
      <x:c r="H7" s="48" t="str"/>
      <x:c r="I7" s="48" t="n">
        <x:v>0.97</x:v>
      </x:c>
      <x:c r="J7" s="48" t="n">
        <x:v>0.99</x:v>
      </x:c>
      <x:c r="K7" s="48" t="str">
        <x:v>No</x:v>
      </x:c>
      <x:c r="L7" s="48" t="str">
        <x:v>PDF text</x:v>
      </x:c>
    </x:row>
    <x:row r="8">
      <x:c r="A8" s="48" t="str">
        <x:v>YELLOW-0007</x:v>
      </x:c>
      <x:c r="B8" s="48" t="str">
        <x:v>YELLOW</x:v>
      </x:c>
      <x:c r="C8" s="48" t="str">
        <x:v>English</x:v>
      </x:c>
      <x:c r="D8" s="48" t="n">
        <x:v>17</x:v>
      </x:c>
      <x:c r="E8" s="48" t="str">
        <x:v>1.1.1.3</x:v>
      </x:c>
      <x:c r="F8" s="48" t="str">
        <x:v>1.1.1.3 "Letter of Acceptance" means the letter of formal acceptance, signed by the Employer, of the Letter of Tender, including any annexed memoranda comprising agreements between and signed by both Parties.</x:v>
      </x:c>
      <x:c r="G8" s="48" t="str">
        <x:v>Definition</x:v>
      </x:c>
      <x:c r="H8" s="48" t="str"/>
      <x:c r="I8" s="48" t="n">
        <x:v>0.97</x:v>
      </x:c>
      <x:c r="J8" s="48" t="n">
        <x:v>0.99</x:v>
      </x:c>
      <x:c r="K8" s="48" t="str">
        <x:v>No</x:v>
      </x:c>
      <x:c r="L8" s="48" t="str">
        <x:v>PDF text</x:v>
      </x:c>
    </x:row>
    <x:row r="9">
      <x:c r="A9" s="48" t="str">
        <x:v>YELLOW-0008</x:v>
      </x:c>
      <x:c r="B9" s="48" t="str">
        <x:v>YELLOW</x:v>
      </x:c>
      <x:c r="C9" s="48" t="str">
        <x:v>English</x:v>
      </x:c>
      <x:c r="D9" s="48" t="n">
        <x:v>17</x:v>
      </x:c>
      <x:c r="E9" s="48" t="str"/>
      <x:c r="F9" s="48" t="str">
        <x:v>If there is no such letter of acceptance, the expression "Letter of Acceptance" means the</x:v>
      </x:c>
      <x:c r="G9" s="48" t="str">
        <x:v>Definition</x:v>
      </x:c>
      <x:c r="H9" s="48" t="str"/>
      <x:c r="I9" s="48" t="n">
        <x:v>0.97</x:v>
      </x:c>
      <x:c r="J9" s="48" t="n">
        <x:v>0.99</x:v>
      </x:c>
      <x:c r="K9" s="48" t="str">
        <x:v>No</x:v>
      </x:c>
      <x:c r="L9" s="48" t="str">
        <x:v>PDF text</x:v>
      </x:c>
    </x:row>
    <x:row r="10">
      <x:c r="A10" s="48" t="str">
        <x:v>YELLOW-0009</x:v>
      </x:c>
      <x:c r="B10" s="48" t="str">
        <x:v>YELLOW</x:v>
      </x:c>
      <x:c r="C10" s="48" t="str">
        <x:v>English</x:v>
      </x:c>
      <x:c r="D10" s="48" t="n">
        <x:v>17</x:v>
      </x:c>
      <x:c r="E10" s="48" t="str"/>
      <x:c r="F10" s="48" t="str">
        <x:v>Contract Agreement and the date of issuing or receiving the Letter of</x:v>
      </x:c>
      <x:c r="G10" s="48" t="str">
        <x:v>Obligation</x:v>
      </x:c>
      <x:c r="H10" s="48" t="str">
        <x:v>Shared</x:v>
      </x:c>
      <x:c r="I10" s="48" t="n">
        <x:v>0.45</x:v>
      </x:c>
      <x:c r="J10" s="48" t="n">
        <x:v>0.4</x:v>
      </x:c>
      <x:c r="K10" s="48" t="str">
        <x:v>Yes</x:v>
      </x:c>
      <x:c r="L10" s="48" t="str">
        <x:v>PDF text</x:v>
      </x:c>
    </x:row>
    <x:row r="11">
      <x:c r="A11" s="48" t="str">
        <x:v>YELLOW-0010</x:v>
      </x:c>
      <x:c r="B11" s="48" t="str">
        <x:v>YELLOW</x:v>
      </x:c>
      <x:c r="C11" s="48" t="str">
        <x:v>English</x:v>
      </x:c>
      <x:c r="D11" s="48" t="n">
        <x:v>17</x:v>
      </x:c>
      <x:c r="E11" s="48" t="str"/>
      <x:c r="F11" s="48" t="str">
        <x:v>Acceptance means the date of signing the Contract Agreement.</x:v>
      </x:c>
      <x:c r="G11" s="48" t="str">
        <x:v>Obligation</x:v>
      </x:c>
      <x:c r="H11" s="48" t="str">
        <x:v>Shared</x:v>
      </x:c>
      <x:c r="I11" s="48" t="n">
        <x:v>0.45</x:v>
      </x:c>
      <x:c r="J11" s="48" t="n">
        <x:v>0.4</x:v>
      </x:c>
      <x:c r="K11" s="48" t="str">
        <x:v>Yes</x:v>
      </x:c>
      <x:c r="L11" s="48" t="str">
        <x:v>PDF text</x:v>
      </x:c>
    </x:row>
    <x:row r="12">
      <x:c r="A12" s="48" t="str">
        <x:v>YELLOW-0011</x:v>
      </x:c>
      <x:c r="B12" s="48" t="str">
        <x:v>YELLOW</x:v>
      </x:c>
      <x:c r="C12" s="48" t="str">
        <x:v>English</x:v>
      </x:c>
      <x:c r="D12" s="48" t="n">
        <x:v>17</x:v>
      </x:c>
      <x:c r="E12" s="48" t="str">
        <x:v>1.1.1.4</x:v>
      </x:c>
      <x:c r="F12" s="48" t="str">
        <x:v>1.1.1.4 "Letter of Tender" means the document entitled letter of tender, which was completed by the Contractor and includes the signed offer to the Employer for the Works.</x:v>
      </x:c>
      <x:c r="G12" s="48" t="str">
        <x:v>Definition</x:v>
      </x:c>
      <x:c r="H12" s="48" t="str"/>
      <x:c r="I12" s="48" t="n">
        <x:v>0.97</x:v>
      </x:c>
      <x:c r="J12" s="48" t="n">
        <x:v>0.99</x:v>
      </x:c>
      <x:c r="K12" s="48" t="str">
        <x:v>No</x:v>
      </x:c>
      <x:c r="L12" s="48" t="str">
        <x:v>PDF text</x:v>
      </x:c>
    </x:row>
    <x:row r="13">
      <x:c r="A13" s="48" t="str">
        <x:v>YELLOW-0012</x:v>
      </x:c>
      <x:c r="B13" s="48" t="str">
        <x:v>YELLOW</x:v>
      </x:c>
      <x:c r="C13" s="48" t="str">
        <x:v>English</x:v>
      </x:c>
      <x:c r="D13" s="48" t="n">
        <x:v>17</x:v>
      </x:c>
      <x:c r="E13" s="48" t="str">
        <x:v>1.1.1.5</x:v>
      </x:c>
      <x:c r="F13" s="48" t="str">
        <x:v>1.1.1.5 "Employer's Requirements" means the document entitled employer's requirements, as included in the Contract, and any additions and modifications to such document in accordance with the Contract.</x:v>
      </x:c>
      <x:c r="G13" s="48" t="str">
        <x:v>Definition</x:v>
      </x:c>
      <x:c r="H13" s="48" t="str"/>
      <x:c r="I13" s="48" t="n">
        <x:v>0.97</x:v>
      </x:c>
      <x:c r="J13" s="48" t="n">
        <x:v>0.99</x:v>
      </x:c>
      <x:c r="K13" s="48" t="str">
        <x:v>No</x:v>
      </x:c>
      <x:c r="L13" s="48" t="str">
        <x:v>PDF text</x:v>
      </x:c>
    </x:row>
    <x:row r="14">
      <x:c r="A14" s="48" t="str">
        <x:v>YELLOW-0013</x:v>
      </x:c>
      <x:c r="B14" s="48" t="str">
        <x:v>YELLOW</x:v>
      </x:c>
      <x:c r="C14" s="48" t="str">
        <x:v>English</x:v>
      </x:c>
      <x:c r="D14" s="48" t="n">
        <x:v>17</x:v>
      </x:c>
      <x:c r="E14" s="48" t="str"/>
      <x:c r="F14" s="48" t="str">
        <x:v>Such document specifies the purpose, scope, and/or design and/or other technical criteria, for the Works.</x:v>
      </x:c>
      <x:c r="G14" s="48" t="str">
        <x:v>Obligation</x:v>
      </x:c>
      <x:c r="H14" s="48" t="str">
        <x:v>Shared</x:v>
      </x:c>
      <x:c r="I14" s="48" t="n">
        <x:v>0.45</x:v>
      </x:c>
      <x:c r="J14" s="48" t="n">
        <x:v>0.4</x:v>
      </x:c>
      <x:c r="K14" s="48" t="str">
        <x:v>Yes</x:v>
      </x:c>
      <x:c r="L14" s="48" t="str">
        <x:v>PDF text</x:v>
      </x:c>
    </x:row>
    <x:row r="15">
      <x:c r="A15" s="48" t="str">
        <x:v>YELLOW-0014</x:v>
      </x:c>
      <x:c r="B15" s="48" t="str">
        <x:v>YELLOW</x:v>
      </x:c>
      <x:c r="C15" s="48" t="str">
        <x:v>English</x:v>
      </x:c>
      <x:c r="D15" s="48" t="n">
        <x:v>17</x:v>
      </x:c>
      <x:c r="E15" s="48" t="str">
        <x:v>1.1.1.6</x:v>
      </x:c>
      <x:c r="F15" s="48" t="str">
        <x:v>1.1.1.6 "Schedules” means the document(s) entitled schedules, completed by the</x:v>
      </x:c>
      <x:c r="G15" s="48" t="str">
        <x:v>Definition</x:v>
      </x:c>
      <x:c r="H15" s="48" t="str"/>
      <x:c r="I15" s="48" t="n">
        <x:v>0.97</x:v>
      </x:c>
      <x:c r="J15" s="48" t="n">
        <x:v>0.99</x:v>
      </x:c>
      <x:c r="K15" s="48" t="str">
        <x:v>No</x:v>
      </x:c>
      <x:c r="L15" s="48" t="str">
        <x:v>PDF text</x:v>
      </x:c>
    </x:row>
    <x:row r="16">
      <x:c r="A16" s="48" t="str">
        <x:v>YELLOW-0015</x:v>
      </x:c>
      <x:c r="B16" s="48" t="str">
        <x:v>YELLOW</x:v>
      </x:c>
      <x:c r="C16" s="48" t="str">
        <x:v>English</x:v>
      </x:c>
      <x:c r="D16" s="48" t="n">
        <x:v>17</x:v>
      </x:c>
      <x:c r="E16" s="48" t="str"/>
      <x:c r="F16" s="48" t="str">
        <x:v>Contractor and submitted with the Letter of Tender, as included in the</x:v>
      </x:c>
      <x:c r="G16" s="48" t="str">
        <x:v>Obligation</x:v>
      </x:c>
      <x:c r="H16" s="48" t="str">
        <x:v>Contractor</x:v>
      </x:c>
      <x:c r="I16" s="48" t="n">
        <x:v>0.45</x:v>
      </x:c>
      <x:c r="J16" s="48" t="n">
        <x:v>0.68</x:v>
      </x:c>
      <x:c r="K16" s="48" t="str">
        <x:v>Yes</x:v>
      </x:c>
      <x:c r="L16" s="48" t="str">
        <x:v>PDF text</x:v>
      </x:c>
    </x:row>
    <x:row r="17">
      <x:c r="A17" s="48" t="str">
        <x:v>YELLOW-0016</x:v>
      </x:c>
      <x:c r="B17" s="48" t="str">
        <x:v>YELLOW</x:v>
      </x:c>
      <x:c r="C17" s="48" t="str">
        <x:v>English</x:v>
      </x:c>
      <x:c r="D17" s="48" t="n">
        <x:v>17</x:v>
      </x:c>
      <x:c r="E17" s="48" t="str"/>
      <x:c r="F17" s="48" t="str">
        <x:v>Contract.</x:v>
      </x:c>
      <x:c r="G17" s="48" t="str">
        <x:v>Obligation</x:v>
      </x:c>
      <x:c r="H17" s="48" t="str">
        <x:v>Shared</x:v>
      </x:c>
      <x:c r="I17" s="48" t="n">
        <x:v>0.45</x:v>
      </x:c>
      <x:c r="J17" s="48" t="n">
        <x:v>0.4</x:v>
      </x:c>
      <x:c r="K17" s="48" t="str">
        <x:v>Yes</x:v>
      </x:c>
      <x:c r="L17" s="48" t="str">
        <x:v>PDF text</x:v>
      </x:c>
    </x:row>
    <x:row r="18">
      <x:c r="A18" s="48" t="str">
        <x:v>YELLOW-0017</x:v>
      </x:c>
      <x:c r="B18" s="48" t="str">
        <x:v>YELLOW</x:v>
      </x:c>
      <x:c r="C18" s="48" t="str">
        <x:v>English</x:v>
      </x:c>
      <x:c r="D18" s="48" t="n">
        <x:v>17</x:v>
      </x:c>
      <x:c r="E18" s="48" t="str"/>
      <x:c r="F18" s="48" t="str">
        <x:v>Such document may include data, lists and schedules of payments and/or prices.</x:v>
      </x:c>
      <x:c r="G18" s="48" t="str">
        <x:v>Right</x:v>
      </x:c>
      <x:c r="H18" s="48" t="str">
        <x:v>Shared</x:v>
      </x:c>
      <x:c r="I18" s="48" t="n">
        <x:v>0.78</x:v>
      </x:c>
      <x:c r="J18" s="48" t="n">
        <x:v>0.4</x:v>
      </x:c>
      <x:c r="K18" s="48" t="str">
        <x:v>Yes</x:v>
      </x:c>
      <x:c r="L18" s="48" t="str">
        <x:v>PDF text</x:v>
      </x:c>
    </x:row>
    <x:row r="19">
      <x:c r="A19" s="48" t="str">
        <x:v>YELLOW-0018</x:v>
      </x:c>
      <x:c r="B19" s="48" t="str">
        <x:v>YELLOW</x:v>
      </x:c>
      <x:c r="C19" s="48" t="str">
        <x:v>English</x:v>
      </x:c>
      <x:c r="D19" s="48" t="n">
        <x:v>17</x:v>
      </x:c>
      <x:c r="E19" s="48" t="str">
        <x:v>1.1.1.7</x:v>
      </x:c>
      <x:c r="F19" s="48" t="str">
        <x:v>1.1.1.7 "Contractor's Proposal” means the document entitled proposal, which the Contractor submitted with the Letter of Tender, as included in the Contract.</x:v>
      </x:c>
      <x:c r="G19" s="48" t="str">
        <x:v>Definition</x:v>
      </x:c>
      <x:c r="H19" s="48" t="str"/>
      <x:c r="I19" s="48" t="n">
        <x:v>0.97</x:v>
      </x:c>
      <x:c r="J19" s="48" t="n">
        <x:v>0.99</x:v>
      </x:c>
      <x:c r="K19" s="48" t="str">
        <x:v>No</x:v>
      </x:c>
      <x:c r="L19" s="48" t="str">
        <x:v>PDF text</x:v>
      </x:c>
    </x:row>
    <x:row r="20">
      <x:c r="A20" s="48" t="str">
        <x:v>YELLOW-0019</x:v>
      </x:c>
      <x:c r="B20" s="48" t="str">
        <x:v>YELLOW</x:v>
      </x:c>
      <x:c r="C20" s="48" t="str">
        <x:v>English</x:v>
      </x:c>
      <x:c r="D20" s="48" t="n">
        <x:v>17</x:v>
      </x:c>
      <x:c r="E20" s="48" t="str"/>
      <x:c r="F20" s="48" t="str">
        <x:v>Such document may include the Contractor's preliminary design.</x:v>
      </x:c>
      <x:c r="G20" s="48" t="str">
        <x:v>Right</x:v>
      </x:c>
      <x:c r="H20" s="48" t="str">
        <x:v>Contractor</x:v>
      </x:c>
      <x:c r="I20" s="48" t="n">
        <x:v>0.78</x:v>
      </x:c>
      <x:c r="J20" s="48" t="n">
        <x:v>0.68</x:v>
      </x:c>
      <x:c r="K20" s="48" t="str">
        <x:v>Yes</x:v>
      </x:c>
      <x:c r="L20" s="48" t="str">
        <x:v>PDF text</x:v>
      </x:c>
    </x:row>
    <x:row r="21">
      <x:c r="A21" s="48" t="str">
        <x:v>YELLOW-0020</x:v>
      </x:c>
      <x:c r="B21" s="48" t="str">
        <x:v>YELLOW</x:v>
      </x:c>
      <x:c r="C21" s="48" t="str">
        <x:v>English</x:v>
      </x:c>
      <x:c r="D21" s="48" t="n">
        <x:v>17</x:v>
      </x:c>
      <x:c r="E21" s="48" t="str">
        <x:v>1.1.1.8</x:v>
      </x:c>
      <x:c r="F21" s="48" t="str">
        <x:v>1.1.1.8 "Tender” means the Letter of Tender and all other documents which the</x:v>
      </x:c>
      <x:c r="G21" s="48" t="str">
        <x:v>Definition</x:v>
      </x:c>
      <x:c r="H21" s="48" t="str"/>
      <x:c r="I21" s="48" t="n">
        <x:v>0.97</x:v>
      </x:c>
      <x:c r="J21" s="48" t="n">
        <x:v>0.99</x:v>
      </x:c>
      <x:c r="K21" s="48" t="str">
        <x:v>No</x:v>
      </x:c>
      <x:c r="L21" s="48" t="str">
        <x:v>PDF text</x:v>
      </x:c>
    </x:row>
    <x:row r="22">
      <x:c r="A22" s="48" t="str">
        <x:v>YELLOW-0021</x:v>
      </x:c>
      <x:c r="B22" s="48" t="str">
        <x:v>YELLOW</x:v>
      </x:c>
      <x:c r="C22" s="48" t="str">
        <x:v>English</x:v>
      </x:c>
      <x:c r="D22" s="48" t="n">
        <x:v>17</x:v>
      </x:c>
      <x:c r="E22" s="48" t="str"/>
      <x:c r="F22" s="48" t="str">
        <x:v>Contractor submitted with the Letter of Tender, as included in the Contract</x:v>
      </x:c>
      <x:c r="G22" s="48" t="str">
        <x:v>Obligation</x:v>
      </x:c>
      <x:c r="H22" s="48" t="str">
        <x:v>Contractor</x:v>
      </x:c>
      <x:c r="I22" s="48" t="n">
        <x:v>0.45</x:v>
      </x:c>
      <x:c r="J22" s="48" t="n">
        <x:v>0.68</x:v>
      </x:c>
      <x:c r="K22" s="48" t="str">
        <x:v>Yes</x:v>
      </x:c>
      <x:c r="L22" s="48" t="str">
        <x:v>PDF text</x:v>
      </x:c>
    </x:row>
    <x:row r="23">
      <x:c r="A23" s="48" t="str">
        <x:v>YELLOW-0022</x:v>
      </x:c>
      <x:c r="B23" s="48" t="str">
        <x:v>YELLOW</x:v>
      </x:c>
      <x:c r="C23" s="48" t="str">
        <x:v>English</x:v>
      </x:c>
      <x:c r="D23" s="48" t="n">
        <x:v>17</x:v>
      </x:c>
      <x:c r="E23" s="48" t="str">
        <x:v>1.1.1.9</x:v>
      </x:c>
      <x:c r="F23" s="48" t="str">
        <x:v>1.1.1.9 "Appendix to Tender” means the completed pages entitled appendix to tender which are appended to and form part of the Letter of Tender.</x:v>
      </x:c>
      <x:c r="G23" s="48" t="str">
        <x:v>Definition</x:v>
      </x:c>
      <x:c r="H23" s="48" t="str"/>
      <x:c r="I23" s="48" t="n">
        <x:v>0.97</x:v>
      </x:c>
      <x:c r="J23" s="48" t="n">
        <x:v>0.99</x:v>
      </x:c>
      <x:c r="K23" s="48" t="str">
        <x:v>No</x:v>
      </x:c>
      <x:c r="L23" s="48" t="str">
        <x:v>PDF text</x:v>
      </x:c>
    </x:row>
    <x:row r="24">
      <x:c r="A24" s="48" t="str">
        <x:v>YELLOW-0023</x:v>
      </x:c>
      <x:c r="B24" s="48" t="str">
        <x:v>YELLOW</x:v>
      </x:c>
      <x:c r="C24" s="48" t="str">
        <x:v>English</x:v>
      </x:c>
      <x:c r="D24" s="48" t="n">
        <x:v>17</x:v>
      </x:c>
      <x:c r="E24" s="48" t="str"/>
      <x:c r="F24" s="48" t="str">
        <x:v>Definitions</x:v>
      </x:c>
      <x:c r="G24" s="48" t="str">
        <x:v>Obligation</x:v>
      </x:c>
      <x:c r="H24" s="48" t="str">
        <x:v>Shared</x:v>
      </x:c>
      <x:c r="I24" s="48" t="n">
        <x:v>0.45</x:v>
      </x:c>
      <x:c r="J24" s="48" t="n">
        <x:v>0.4</x:v>
      </x:c>
      <x:c r="K24" s="48" t="str">
        <x:v>Yes</x:v>
      </x:c>
      <x:c r="L24" s="48" t="str">
        <x:v>PDF text</x:v>
      </x:c>
    </x:row>
    <x:row r="25">
      <x:c r="A25" s="48" t="str">
        <x:v>YELLOW-0024</x:v>
      </x:c>
      <x:c r="B25" s="48" t="str">
        <x:v>YELLOW</x:v>
      </x:c>
      <x:c r="C25" s="48" t="str">
        <x:v>English</x:v>
      </x:c>
      <x:c r="D25" s="48" t="n">
        <x:v>17</x:v>
      </x:c>
      <x:c r="E25" s="48" t="str"/>
      <x:c r="F25" s="48" t="str">
        <x:v>The Contract</x:v>
      </x:c>
      <x:c r="G25" s="48" t="str">
        <x:v>Obligation</x:v>
      </x:c>
      <x:c r="H25" s="48" t="str">
        <x:v>Shared</x:v>
      </x:c>
      <x:c r="I25" s="48" t="n">
        <x:v>0.45</x:v>
      </x:c>
      <x:c r="J25" s="48" t="n">
        <x:v>0.4</x:v>
      </x:c>
      <x:c r="K25" s="48" t="str">
        <x:v>Yes</x:v>
      </x:c>
      <x:c r="L25" s="48" t="str">
        <x:v>PDF text</x:v>
      </x:c>
    </x:row>
    <x:row r="26">
      <x:c r="A26" s="48" t="str">
        <x:v>YELLOW-0025</x:v>
      </x:c>
      <x:c r="B26" s="48" t="str">
        <x:v>YELLOW</x:v>
      </x:c>
      <x:c r="C26" s="48" t="str">
        <x:v>English</x:v>
      </x:c>
      <x:c r="D26" s="48" t="n">
        <x:v>17</x:v>
      </x:c>
      <x:c r="E26" s="48" t="str"/>
      <x:c r="F26" s="48" t="str">
        <x:v>General Provisions</x:v>
      </x:c>
      <x:c r="G26" s="48" t="str">
        <x:v>Obligation</x:v>
      </x:c>
      <x:c r="H26" s="48" t="str">
        <x:v>Shared</x:v>
      </x:c>
      <x:c r="I26" s="48" t="n">
        <x:v>0.45</x:v>
      </x:c>
      <x:c r="J26" s="48" t="n">
        <x:v>0.4</x:v>
      </x:c>
      <x:c r="K26" s="48" t="str">
        <x:v>Yes</x:v>
      </x:c>
      <x:c r="L26" s="48" t="str">
        <x:v>PDF text</x:v>
      </x:c>
    </x:row>
    <x:row r="27">
      <x:c r="A27" s="48" t="str">
        <x:v>YELLOW-0026</x:v>
      </x:c>
      <x:c r="B27" s="48" t="str">
        <x:v>YELLOW</x:v>
      </x:c>
      <x:c r="C27" s="48" t="str">
        <x:v>English</x:v>
      </x:c>
      <x:c r="D27" s="48" t="n">
        <x:v>18</x:v>
      </x:c>
      <x:c r="E27" s="48" t="str">
        <x:v>1.1.1.10</x:v>
      </x:c>
      <x:c r="F27" s="48" t="str">
        <x:v>1.1.1.10 "Schedule of Guarantees” and "Schedule of Payments" mean the</x:v>
      </x:c>
      <x:c r="G27" s="48" t="str">
        <x:v>Obligation</x:v>
      </x:c>
      <x:c r="H27" s="48" t="str">
        <x:v>Shared</x:v>
      </x:c>
      <x:c r="I27" s="48" t="n">
        <x:v>0.45</x:v>
      </x:c>
      <x:c r="J27" s="48" t="n">
        <x:v>0.4</x:v>
      </x:c>
      <x:c r="K27" s="48" t="str">
        <x:v>Yes</x:v>
      </x:c>
      <x:c r="L27" s="48" t="str">
        <x:v>PDF text</x:v>
      </x:c>
    </x:row>
    <x:row r="28">
      <x:c r="A28" s="48" t="str">
        <x:v>YELLOW-0027</x:v>
      </x:c>
      <x:c r="B28" s="48" t="str">
        <x:v>YELLOW</x:v>
      </x:c>
      <x:c r="C28" s="48" t="str">
        <x:v>English</x:v>
      </x:c>
      <x:c r="D28" s="48" t="n">
        <x:v>18</x:v>
      </x:c>
      <x:c r="E28" s="48" t="str"/>
      <x:c r="F28" s="48" t="str">
        <x:v>documents so named (if any) which are comprised in the Schedules.</x:v>
      </x:c>
      <x:c r="G28" s="48" t="str">
        <x:v>Obligation</x:v>
      </x:c>
      <x:c r="H28" s="48" t="str">
        <x:v>Shared</x:v>
      </x:c>
      <x:c r="I28" s="48" t="n">
        <x:v>0.45</x:v>
      </x:c>
      <x:c r="J28" s="48" t="n">
        <x:v>0.4</x:v>
      </x:c>
      <x:c r="K28" s="48" t="str">
        <x:v>Yes</x:v>
      </x:c>
      <x:c r="L28" s="48" t="str">
        <x:v>PDF text</x:v>
      </x:c>
    </x:row>
    <x:row r="29">
      <x:c r="A29" s="48" t="str">
        <x:v>YELLOW-0028</x:v>
      </x:c>
      <x:c r="B29" s="48" t="str">
        <x:v>YELLOW</x:v>
      </x:c>
      <x:c r="C29" s="48" t="str">
        <x:v>English</x:v>
      </x:c>
      <x:c r="D29" s="48" t="n">
        <x:v>18</x:v>
      </x:c>
      <x:c r="E29" s="48" t="str">
        <x:v>1.1.2.1</x:v>
      </x:c>
      <x:c r="F29" s="48" t="str">
        <x:v>1.1.2.1 "Party” means the Employer or the Contractor, as the context requires.</x:v>
      </x:c>
      <x:c r="G29" s="48" t="str">
        <x:v>Definition</x:v>
      </x:c>
      <x:c r="H29" s="48" t="str"/>
      <x:c r="I29" s="48" t="n">
        <x:v>0.97</x:v>
      </x:c>
      <x:c r="J29" s="48" t="n">
        <x:v>0.99</x:v>
      </x:c>
      <x:c r="K29" s="48" t="str">
        <x:v>No</x:v>
      </x:c>
      <x:c r="L29" s="48" t="str">
        <x:v>PDF text</x:v>
      </x:c>
    </x:row>
    <x:row r="30">
      <x:c r="A30" s="48" t="str">
        <x:v>YELLOW-0029</x:v>
      </x:c>
      <x:c r="B30" s="48" t="str">
        <x:v>YELLOW</x:v>
      </x:c>
      <x:c r="C30" s="48" t="str">
        <x:v>English</x:v>
      </x:c>
      <x:c r="D30" s="48" t="n">
        <x:v>18</x:v>
      </x:c>
      <x:c r="E30" s="48" t="str">
        <x:v>1.1.2.2</x:v>
      </x:c>
      <x:c r="F30" s="48" t="str">
        <x:v>1.1.2.2 "Employer” means the person named as employer in the Appendix to Tender and the legal successors in title to this person.</x:v>
      </x:c>
      <x:c r="G30" s="48" t="str">
        <x:v>Definition</x:v>
      </x:c>
      <x:c r="H30" s="48" t="str"/>
      <x:c r="I30" s="48" t="n">
        <x:v>0.97</x:v>
      </x:c>
      <x:c r="J30" s="48" t="n">
        <x:v>0.99</x:v>
      </x:c>
      <x:c r="K30" s="48" t="str">
        <x:v>No</x:v>
      </x:c>
      <x:c r="L30" s="48" t="str">
        <x:v>PDF text</x:v>
      </x:c>
    </x:row>
    <x:row r="31">
      <x:c r="A31" s="48" t="str">
        <x:v>YELLOW-0030</x:v>
      </x:c>
      <x:c r="B31" s="48" t="str">
        <x:v>YELLOW</x:v>
      </x:c>
      <x:c r="C31" s="48" t="str">
        <x:v>English</x:v>
      </x:c>
      <x:c r="D31" s="48" t="n">
        <x:v>18</x:v>
      </x:c>
      <x:c r="E31" s="48" t="str">
        <x:v>1.1.2.3</x:v>
      </x:c>
      <x:c r="F31" s="48" t="str">
        <x:v>1.1.2.3 "Contractor” means the person(s) named as contractor in the Letter of</x:v>
      </x:c>
      <x:c r="G31" s="48" t="str">
        <x:v>Definition</x:v>
      </x:c>
      <x:c r="H31" s="48" t="str"/>
      <x:c r="I31" s="48" t="n">
        <x:v>0.97</x:v>
      </x:c>
      <x:c r="J31" s="48" t="n">
        <x:v>0.99</x:v>
      </x:c>
      <x:c r="K31" s="48" t="str">
        <x:v>No</x:v>
      </x:c>
      <x:c r="L31" s="48" t="str">
        <x:v>PDF text</x:v>
      </x:c>
    </x:row>
    <x:row r="32">
      <x:c r="A32" s="48" t="str">
        <x:v>YELLOW-0031</x:v>
      </x:c>
      <x:c r="B32" s="48" t="str">
        <x:v>YELLOW</x:v>
      </x:c>
      <x:c r="C32" s="48" t="str">
        <x:v>English</x:v>
      </x:c>
      <x:c r="D32" s="48" t="n">
        <x:v>18</x:v>
      </x:c>
      <x:c r="E32" s="48" t="str"/>
      <x:c r="F32" s="48" t="str">
        <x:v>Tender accepted by the Employer and the legal successors in title to this</x:v>
      </x:c>
      <x:c r="G32" s="48" t="str">
        <x:v>Obligation</x:v>
      </x:c>
      <x:c r="H32" s="48" t="str">
        <x:v>Employer</x:v>
      </x:c>
      <x:c r="I32" s="48" t="n">
        <x:v>0.45</x:v>
      </x:c>
      <x:c r="J32" s="48" t="n">
        <x:v>0.68</x:v>
      </x:c>
      <x:c r="K32" s="48" t="str">
        <x:v>Yes</x:v>
      </x:c>
      <x:c r="L32" s="48" t="str">
        <x:v>PDF text</x:v>
      </x:c>
    </x:row>
    <x:row r="33">
      <x:c r="A33" s="48" t="str">
        <x:v>YELLOW-0032</x:v>
      </x:c>
      <x:c r="B33" s="48" t="str">
        <x:v>YELLOW</x:v>
      </x:c>
      <x:c r="C33" s="48" t="str">
        <x:v>English</x:v>
      </x:c>
      <x:c r="D33" s="48" t="n">
        <x:v>18</x:v>
      </x:c>
      <x:c r="E33" s="48" t="str"/>
      <x:c r="F33" s="48" t="str">
        <x:v>person(s).</x:v>
      </x:c>
      <x:c r="G33" s="48" t="str">
        <x:v>Obligation</x:v>
      </x:c>
      <x:c r="H33" s="48" t="str">
        <x:v>Shared</x:v>
      </x:c>
      <x:c r="I33" s="48" t="n">
        <x:v>0.45</x:v>
      </x:c>
      <x:c r="J33" s="48" t="n">
        <x:v>0.4</x:v>
      </x:c>
      <x:c r="K33" s="48" t="str">
        <x:v>Yes</x:v>
      </x:c>
      <x:c r="L33" s="48" t="str">
        <x:v>PDF text</x:v>
      </x:c>
    </x:row>
    <x:row r="34">
      <x:c r="A34" s="48" t="str">
        <x:v>YELLOW-0033</x:v>
      </x:c>
      <x:c r="B34" s="48" t="str">
        <x:v>YELLOW</x:v>
      </x:c>
      <x:c r="C34" s="48" t="str">
        <x:v>English</x:v>
      </x:c>
      <x:c r="D34" s="48" t="n">
        <x:v>18</x:v>
      </x:c>
      <x:c r="E34" s="48" t="str">
        <x:v>1.1.2.4</x:v>
      </x:c>
      <x:c r="F34" s="48" t="str">
        <x:v>1.1.2.4 "Engineer” means the person appointed by the Employer to act as the</x:v>
      </x:c>
      <x:c r="G34" s="48" t="str">
        <x:v>Definition</x:v>
      </x:c>
      <x:c r="H34" s="48" t="str"/>
      <x:c r="I34" s="48" t="n">
        <x:v>0.97</x:v>
      </x:c>
      <x:c r="J34" s="48" t="n">
        <x:v>0.99</x:v>
      </x:c>
      <x:c r="K34" s="48" t="str">
        <x:v>No</x:v>
      </x:c>
      <x:c r="L34" s="48" t="str">
        <x:v>PDF text</x:v>
      </x:c>
    </x:row>
    <x:row r="35">
      <x:c r="A35" s="48" t="str">
        <x:v>YELLOW-0034</x:v>
      </x:c>
      <x:c r="B35" s="48" t="str">
        <x:v>YELLOW</x:v>
      </x:c>
      <x:c r="C35" s="48" t="str">
        <x:v>English</x:v>
      </x:c>
      <x:c r="D35" s="48" t="n">
        <x:v>18</x:v>
      </x:c>
      <x:c r="E35" s="48" t="str"/>
      <x:c r="F35" s="48" t="str">
        <x:v>Engineer for the purposes of the Contract and named in the Appendix to</x:v>
      </x:c>
      <x:c r="G35" s="48" t="str">
        <x:v>Obligation</x:v>
      </x:c>
      <x:c r="H35" s="48" t="str">
        <x:v>Shared</x:v>
      </x:c>
      <x:c r="I35" s="48" t="n">
        <x:v>0.45</x:v>
      </x:c>
      <x:c r="J35" s="48" t="n">
        <x:v>0.4</x:v>
      </x:c>
      <x:c r="K35" s="48" t="str">
        <x:v>Yes</x:v>
      </x:c>
      <x:c r="L35" s="48" t="str">
        <x:v>PDF text</x:v>
      </x:c>
    </x:row>
    <x:row r="36">
      <x:c r="A36" s="48" t="str">
        <x:v>YELLOW-0035</x:v>
      </x:c>
      <x:c r="B36" s="48" t="str">
        <x:v>YELLOW</x:v>
      </x:c>
      <x:c r="C36" s="48" t="str">
        <x:v>English</x:v>
      </x:c>
      <x:c r="D36" s="48" t="n">
        <x:v>18</x:v>
      </x:c>
      <x:c r="E36" s="48" t="str"/>
      <x:c r="F36" s="48" t="str">
        <x:v>Tender, or other person appointed from time to time by the Employer and</x:v>
      </x:c>
      <x:c r="G36" s="48" t="str">
        <x:v>Obligation</x:v>
      </x:c>
      <x:c r="H36" s="48" t="str">
        <x:v>Employer</x:v>
      </x:c>
      <x:c r="I36" s="48" t="n">
        <x:v>0.45</x:v>
      </x:c>
      <x:c r="J36" s="48" t="n">
        <x:v>0.68</x:v>
      </x:c>
      <x:c r="K36" s="48" t="str">
        <x:v>Yes</x:v>
      </x:c>
      <x:c r="L36" s="48" t="str">
        <x:v>PDF text</x:v>
      </x:c>
    </x:row>
    <x:row r="37">
      <x:c r="A37" s="48" t="str">
        <x:v>YELLOW-0036</x:v>
      </x:c>
      <x:c r="B37" s="48" t="str">
        <x:v>YELLOW</x:v>
      </x:c>
      <x:c r="C37" s="48" t="str">
        <x:v>English</x:v>
      </x:c>
      <x:c r="D37" s="48" t="n">
        <x:v>18</x:v>
      </x:c>
      <x:c r="E37" s="48" t="str"/>
      <x:c r="F37" s="48" t="str">
        <x:v>notified to the Contractor under Sub-Clause 3.4 [Replacement of the Engineer].</x:v>
      </x:c>
      <x:c r="G37" s="48" t="str">
        <x:v>Obligation</x:v>
      </x:c>
      <x:c r="H37" s="48" t="str">
        <x:v>Contractor</x:v>
      </x:c>
      <x:c r="I37" s="48" t="n">
        <x:v>0.45</x:v>
      </x:c>
      <x:c r="J37" s="48" t="n">
        <x:v>0.68</x:v>
      </x:c>
      <x:c r="K37" s="48" t="str">
        <x:v>Yes</x:v>
      </x:c>
      <x:c r="L37" s="48" t="str">
        <x:v>PDF text</x:v>
      </x:c>
    </x:row>
    <x:row r="38">
      <x:c r="A38" s="48" t="str">
        <x:v>YELLOW-0037</x:v>
      </x:c>
      <x:c r="B38" s="48" t="str">
        <x:v>YELLOW</x:v>
      </x:c>
      <x:c r="C38" s="48" t="str">
        <x:v>English</x:v>
      </x:c>
      <x:c r="D38" s="48" t="n">
        <x:v>18</x:v>
      </x:c>
      <x:c r="E38" s="48" t="str">
        <x:v>1.1.2.5</x:v>
      </x:c>
      <x:c r="F38" s="48" t="str">
        <x:v>1.1.2.5 "Contractor's Representative" means the person named by the</x:v>
      </x:c>
      <x:c r="G38" s="48" t="str">
        <x:v>Definition</x:v>
      </x:c>
      <x:c r="H38" s="48" t="str"/>
      <x:c r="I38" s="48" t="n">
        <x:v>0.97</x:v>
      </x:c>
      <x:c r="J38" s="48" t="n">
        <x:v>0.99</x:v>
      </x:c>
      <x:c r="K38" s="48" t="str">
        <x:v>No</x:v>
      </x:c>
      <x:c r="L38" s="48" t="str">
        <x:v>PDF text</x:v>
      </x:c>
    </x:row>
    <x:row r="39">
      <x:c r="A39" s="48" t="str">
        <x:v>YELLOW-0038</x:v>
      </x:c>
      <x:c r="B39" s="48" t="str">
        <x:v>YELLOW</x:v>
      </x:c>
      <x:c r="C39" s="48" t="str">
        <x:v>English</x:v>
      </x:c>
      <x:c r="D39" s="48" t="n">
        <x:v>18</x:v>
      </x:c>
      <x:c r="E39" s="48" t="str"/>
      <x:c r="F39" s="48" t="str">
        <x:v>Contractor in the Contract or appointed from time to time by the Contractor</x:v>
      </x:c>
      <x:c r="G39" s="48" t="str">
        <x:v>Obligation</x:v>
      </x:c>
      <x:c r="H39" s="48" t="str">
        <x:v>Contractor</x:v>
      </x:c>
      <x:c r="I39" s="48" t="n">
        <x:v>0.45</x:v>
      </x:c>
      <x:c r="J39" s="48" t="n">
        <x:v>0.68</x:v>
      </x:c>
      <x:c r="K39" s="48" t="str">
        <x:v>Yes</x:v>
      </x:c>
      <x:c r="L39" s="48" t="str">
        <x:v>PDF text</x:v>
      </x:c>
    </x:row>
    <x:row r="40">
      <x:c r="A40" s="48" t="str">
        <x:v>YELLOW-0039</x:v>
      </x:c>
      <x:c r="B40" s="48" t="str">
        <x:v>YELLOW</x:v>
      </x:c>
      <x:c r="C40" s="48" t="str">
        <x:v>English</x:v>
      </x:c>
      <x:c r="D40" s="48" t="n">
        <x:v>18</x:v>
      </x:c>
      <x:c r="E40" s="48" t="str"/>
      <x:c r="F40" s="48" t="str">
        <x:v>under Sub-Clause 4.3 [Contractor's Representative], who acts on behalf of the Contractor.</x:v>
      </x:c>
      <x:c r="G40" s="48" t="str">
        <x:v>Obligation</x:v>
      </x:c>
      <x:c r="H40" s="48" t="str">
        <x:v>Contractor</x:v>
      </x:c>
      <x:c r="I40" s="48" t="n">
        <x:v>0.45</x:v>
      </x:c>
      <x:c r="J40" s="48" t="n">
        <x:v>0.68</x:v>
      </x:c>
      <x:c r="K40" s="48" t="str">
        <x:v>Yes</x:v>
      </x:c>
      <x:c r="L40" s="48" t="str">
        <x:v>PDF text</x:v>
      </x:c>
    </x:row>
    <x:row r="41">
      <x:c r="A41" s="48" t="str">
        <x:v>YELLOW-0040</x:v>
      </x:c>
      <x:c r="B41" s="48" t="str">
        <x:v>YELLOW</x:v>
      </x:c>
      <x:c r="C41" s="48" t="str">
        <x:v>English</x:v>
      </x:c>
      <x:c r="D41" s="48" t="n">
        <x:v>18</x:v>
      </x:c>
      <x:c r="E41" s="48" t="str">
        <x:v>1.1.2.6</x:v>
      </x:c>
      <x:c r="F41" s="48" t="str">
        <x:v>1.1.2.6 "Employer's Personnel” means the Engineer, the assistants referred to in Sub-Clause 3.2 [Delegation by the Engineer] and all other staff, labour and other employees of the Engineer and of the Employer; and any other personnel notified to the Contractor, by the Employer or the Engineer, as Employer's Personnel.</x:v>
      </x:c>
      <x:c r="G41" s="48" t="str">
        <x:v>Definition</x:v>
      </x:c>
      <x:c r="H41" s="48" t="str"/>
      <x:c r="I41" s="48" t="n">
        <x:v>0.97</x:v>
      </x:c>
      <x:c r="J41" s="48" t="n">
        <x:v>0.99</x:v>
      </x:c>
      <x:c r="K41" s="48" t="str">
        <x:v>No</x:v>
      </x:c>
      <x:c r="L41" s="48" t="str">
        <x:v>PDF text</x:v>
      </x:c>
    </x:row>
    <x:row r="42">
      <x:c r="A42" s="48" t="str">
        <x:v>YELLOW-0041</x:v>
      </x:c>
      <x:c r="B42" s="48" t="str">
        <x:v>YELLOW</x:v>
      </x:c>
      <x:c r="C42" s="48" t="str">
        <x:v>English</x:v>
      </x:c>
      <x:c r="D42" s="48" t="n">
        <x:v>18</x:v>
      </x:c>
      <x:c r="E42" s="48" t="str">
        <x:v>1.1.2.7</x:v>
      </x:c>
      <x:c r="F42" s="48" t="str">
        <x:v>1.1.2.7 "Contractor's Personnel” means the Contractor's Representative and all personnel whom the Contractor utilises on Site, who may include the staff, labour and other employees of the Contractor and of each Subcontractor; and any other personnel assisting the Contractor in the execution of the Works.</x:v>
      </x:c>
      <x:c r="G42" s="48" t="str">
        <x:v>Definition</x:v>
      </x:c>
      <x:c r="H42" s="48" t="str"/>
      <x:c r="I42" s="48" t="n">
        <x:v>0.97</x:v>
      </x:c>
      <x:c r="J42" s="48" t="n">
        <x:v>0.99</x:v>
      </x:c>
      <x:c r="K42" s="48" t="str">
        <x:v>No</x:v>
      </x:c>
      <x:c r="L42" s="48" t="str">
        <x:v>PDF text</x:v>
      </x:c>
    </x:row>
    <x:row r="43">
      <x:c r="A43" s="48" t="str">
        <x:v>YELLOW-0042</x:v>
      </x:c>
      <x:c r="B43" s="48" t="str">
        <x:v>YELLOW</x:v>
      </x:c>
      <x:c r="C43" s="48" t="str">
        <x:v>English</x:v>
      </x:c>
      <x:c r="D43" s="48" t="n">
        <x:v>18</x:v>
      </x:c>
      <x:c r="E43" s="48" t="str">
        <x:v>1.1.2.8</x:v>
      </x:c>
      <x:c r="F43" s="48" t="str">
        <x:v>1.1.2.8 "Subcontractor" means any person named in the Contract as a subcontractor, or any person appointed as a subcontractor, for a part of the Works; and the legal successors in title to each of these persons.</x:v>
      </x:c>
      <x:c r="G43" s="48" t="str">
        <x:v>Definition</x:v>
      </x:c>
      <x:c r="H43" s="48" t="str"/>
      <x:c r="I43" s="48" t="n">
        <x:v>0.97</x:v>
      </x:c>
      <x:c r="J43" s="48" t="n">
        <x:v>0.99</x:v>
      </x:c>
      <x:c r="K43" s="48" t="str">
        <x:v>No</x:v>
      </x:c>
      <x:c r="L43" s="48" t="str">
        <x:v>PDF text</x:v>
      </x:c>
    </x:row>
    <x:row r="44">
      <x:c r="A44" s="48" t="str">
        <x:v>YELLOW-0043</x:v>
      </x:c>
      <x:c r="B44" s="48" t="str">
        <x:v>YELLOW</x:v>
      </x:c>
      <x:c r="C44" s="48" t="str">
        <x:v>English</x:v>
      </x:c>
      <x:c r="D44" s="48" t="n">
        <x:v>18</x:v>
      </x:c>
      <x:c r="E44" s="48" t="str">
        <x:v>1.1.2.9</x:v>
      </x:c>
      <x:c r="F44" s="48" t="str">
        <x:v>1.1.2.9 "DAB” means the person or three persons so named in the Contract, or other person(s) appointed under Sub-Clause 20.2 [Appointment of the Dispute Adjudication Board] or Sub-Clause 20.3 [Failure to Agree Dispute Adjudication Board].</x:v>
      </x:c>
      <x:c r="G44" s="48" t="str">
        <x:v>Definition</x:v>
      </x:c>
      <x:c r="H44" s="48" t="str"/>
      <x:c r="I44" s="48" t="n">
        <x:v>0.97</x:v>
      </x:c>
      <x:c r="J44" s="48" t="n">
        <x:v>0.99</x:v>
      </x:c>
      <x:c r="K44" s="48" t="str">
        <x:v>No</x:v>
      </x:c>
      <x:c r="L44" s="48" t="str">
        <x:v>PDF text</x:v>
      </x:c>
    </x:row>
    <x:row r="45">
      <x:c r="A45" s="48" t="str">
        <x:v>YELLOW-0044</x:v>
      </x:c>
      <x:c r="B45" s="48" t="str">
        <x:v>YELLOW</x:v>
      </x:c>
      <x:c r="C45" s="48" t="str">
        <x:v>English</x:v>
      </x:c>
      <x:c r="D45" s="48" t="n">
        <x:v>18</x:v>
      </x:c>
      <x:c r="E45" s="48" t="str">
        <x:v>1.1.2.10</x:v>
      </x:c>
      <x:c r="F45" s="48" t="str">
        <x:v>1.1.2.10 "FIDIC” means the Fédération Internationale des Ingénieurs-Conseils, the</x:v>
      </x:c>
      <x:c r="G45" s="48" t="str">
        <x:v>Definition</x:v>
      </x:c>
      <x:c r="H45" s="48" t="str"/>
      <x:c r="I45" s="48" t="n">
        <x:v>0.97</x:v>
      </x:c>
      <x:c r="J45" s="48" t="n">
        <x:v>0.99</x:v>
      </x:c>
      <x:c r="K45" s="48" t="str">
        <x:v>No</x:v>
      </x:c>
      <x:c r="L45" s="48" t="str">
        <x:v>PDF text</x:v>
      </x:c>
    </x:row>
    <x:row r="46">
      <x:c r="A46" s="48" t="str">
        <x:v>YELLOW-0045</x:v>
      </x:c>
      <x:c r="B46" s="48" t="str">
        <x:v>YELLOW</x:v>
      </x:c>
      <x:c r="C46" s="48" t="str">
        <x:v>English</x:v>
      </x:c>
      <x:c r="D46" s="48" t="n">
        <x:v>18</x:v>
      </x:c>
      <x:c r="E46" s="48" t="str">
        <x:v>1.1.3.1</x:v>
      </x:c>
      <x:c r="F46" s="48" t="str">
        <x:v>1.1.3.1 "Base Date” means the date 28 days prior to the latest date for submission of the Tender.</x:v>
      </x:c>
      <x:c r="G46" s="48" t="str">
        <x:v>Definition</x:v>
      </x:c>
      <x:c r="H46" s="48" t="str"/>
      <x:c r="I46" s="48" t="n">
        <x:v>0.97</x:v>
      </x:c>
      <x:c r="J46" s="48" t="n">
        <x:v>0.99</x:v>
      </x:c>
      <x:c r="K46" s="48" t="str">
        <x:v>No</x:v>
      </x:c>
      <x:c r="L46" s="48" t="str">
        <x:v>PDF text</x:v>
      </x:c>
    </x:row>
    <x:row r="47">
      <x:c r="A47" s="48" t="str">
        <x:v>YELLOW-0046</x:v>
      </x:c>
      <x:c r="B47" s="48" t="str">
        <x:v>YELLOW</x:v>
      </x:c>
      <x:c r="C47" s="48" t="str">
        <x:v>English</x:v>
      </x:c>
      <x:c r="D47" s="48" t="n">
        <x:v>18</x:v>
      </x:c>
      <x:c r="E47" s="48" t="str">
        <x:v>1.1.3.2</x:v>
      </x:c>
      <x:c r="F47" s="48" t="str">
        <x:v>1.1.3.2 "Commencement Date” means the date notified under Sub-Clause 8.1 [Commencement of Works].</x:v>
      </x:c>
      <x:c r="G47" s="48" t="str">
        <x:v>Definition</x:v>
      </x:c>
      <x:c r="H47" s="48" t="str"/>
      <x:c r="I47" s="48" t="n">
        <x:v>0.97</x:v>
      </x:c>
      <x:c r="J47" s="48" t="n">
        <x:v>0.99</x:v>
      </x:c>
      <x:c r="K47" s="48" t="str">
        <x:v>No</x:v>
      </x:c>
      <x:c r="L47" s="48" t="str">
        <x:v>PDF text</x:v>
      </x:c>
    </x:row>
    <x:row r="48">
      <x:c r="A48" s="48" t="str">
        <x:v>YELLOW-0047</x:v>
      </x:c>
      <x:c r="B48" s="48" t="str">
        <x:v>YELLOW</x:v>
      </x:c>
      <x:c r="C48" s="48" t="str">
        <x:v>English</x:v>
      </x:c>
      <x:c r="D48" s="48" t="n">
        <x:v>18</x:v>
      </x:c>
      <x:c r="E48" s="48" t="str">
        <x:v>1.1.3.3</x:v>
      </x:c>
      <x:c r="F48" s="48" t="str">
        <x:v>1.1.3.3 "Time for Completion” means the time for completing the Works or a Section (as the case may be) under Sub-Clause 8.2 [Time for Completion], as stated in the Appendix to Tender (with any extension under Sub-Clause 1.1.2</x:v>
      </x:c>
      <x:c r="G48" s="48" t="str">
        <x:v>Definition</x:v>
      </x:c>
      <x:c r="H48" s="48" t="str"/>
      <x:c r="I48" s="48" t="n">
        <x:v>0.97</x:v>
      </x:c>
      <x:c r="J48" s="48" t="n">
        <x:v>0.99</x:v>
      </x:c>
      <x:c r="K48" s="48" t="str">
        <x:v>No</x:v>
      </x:c>
      <x:c r="L48" s="48" t="str">
        <x:v>PDF text</x:v>
      </x:c>
    </x:row>
    <x:row r="49">
      <x:c r="A49" s="48" t="str">
        <x:v>YELLOW-0048</x:v>
      </x:c>
      <x:c r="B49" s="48" t="str">
        <x:v>YELLOW</x:v>
      </x:c>
      <x:c r="C49" s="48" t="str">
        <x:v>English</x:v>
      </x:c>
      <x:c r="D49" s="48" t="n">
        <x:v>18</x:v>
      </x:c>
      <x:c r="E49" s="48" t="str"/>
      <x:c r="F49" s="48" t="str">
        <x:v>Parties and Persons</x:v>
      </x:c>
      <x:c r="G49" s="48" t="str">
        <x:v>Obligation</x:v>
      </x:c>
      <x:c r="H49" s="48" t="str">
        <x:v>Shared</x:v>
      </x:c>
      <x:c r="I49" s="48" t="n">
        <x:v>0.45</x:v>
      </x:c>
      <x:c r="J49" s="48" t="n">
        <x:v>0.4</x:v>
      </x:c>
      <x:c r="K49" s="48" t="str">
        <x:v>Yes</x:v>
      </x:c>
      <x:c r="L49" s="48" t="str">
        <x:v>PDF text</x:v>
      </x:c>
    </x:row>
    <x:row r="50">
      <x:c r="A50" s="48" t="str">
        <x:v>YELLOW-0049</x:v>
      </x:c>
      <x:c r="B50" s="48" t="str">
        <x:v>YELLOW</x:v>
      </x:c>
      <x:c r="C50" s="48" t="str">
        <x:v>English</x:v>
      </x:c>
      <x:c r="D50" s="48" t="n">
        <x:v>18</x:v>
      </x:c>
      <x:c r="E50" s="48" t="str"/>
      <x:c r="F50" s="48" t="str">
        <x:v>Dates, Tests, Periods</x:v>
      </x:c>
      <x:c r="G50" s="48" t="str">
        <x:v>Obligation</x:v>
      </x:c>
      <x:c r="H50" s="48" t="str">
        <x:v>Shared</x:v>
      </x:c>
      <x:c r="I50" s="48" t="n">
        <x:v>0.45</x:v>
      </x:c>
      <x:c r="J50" s="48" t="n">
        <x:v>0.4</x:v>
      </x:c>
      <x:c r="K50" s="48" t="str">
        <x:v>Yes</x:v>
      </x:c>
      <x:c r="L50" s="48" t="str">
        <x:v>PDF text</x:v>
      </x:c>
    </x:row>
    <x:row r="51">
      <x:c r="A51" s="48" t="str">
        <x:v>YELLOW-0050</x:v>
      </x:c>
      <x:c r="B51" s="48" t="str">
        <x:v>YELLOW</x:v>
      </x:c>
      <x:c r="C51" s="48" t="str">
        <x:v>English</x:v>
      </x:c>
      <x:c r="D51" s="48" t="n">
        <x:v>18</x:v>
      </x:c>
      <x:c r="E51" s="48" t="str"/>
      <x:c r="F51" s="48" t="str">
        <x:v>and Completion</x:v>
      </x:c>
      <x:c r="G51" s="48" t="str">
        <x:v>Obligation</x:v>
      </x:c>
      <x:c r="H51" s="48" t="str">
        <x:v>Shared</x:v>
      </x:c>
      <x:c r="I51" s="48" t="n">
        <x:v>0.45</x:v>
      </x:c>
      <x:c r="J51" s="48" t="n">
        <x:v>0.4</x:v>
      </x:c>
      <x:c r="K51" s="48" t="str">
        <x:v>Yes</x:v>
      </x:c>
      <x:c r="L51" s="48" t="str">
        <x:v>PDF text</x:v>
      </x:c>
    </x:row>
    <x:row r="52">
      <x:c r="A52" s="48" t="str">
        <x:v>YELLOW-0051</x:v>
      </x:c>
      <x:c r="B52" s="48" t="str">
        <x:v>YELLOW</x:v>
      </x:c>
      <x:c r="C52" s="48" t="str">
        <x:v>English</x:v>
      </x:c>
      <x:c r="D52" s="48" t="n">
        <x:v>19</x:v>
      </x:c>
      <x:c r="E52" s="48" t="str">
        <x:v>8.4</x:v>
      </x:c>
      <x:c r="F52" s="48" t="str">
        <x:v>8.4 [Extension of Time for Completion]), calculated from the Commencement</x:v>
      </x:c>
      <x:c r="G52" s="48" t="str">
        <x:v>Obligation</x:v>
      </x:c>
      <x:c r="H52" s="48" t="str">
        <x:v>Shared</x:v>
      </x:c>
      <x:c r="I52" s="48" t="n">
        <x:v>0.45</x:v>
      </x:c>
      <x:c r="J52" s="48" t="n">
        <x:v>0.4</x:v>
      </x:c>
      <x:c r="K52" s="48" t="str">
        <x:v>Yes</x:v>
      </x:c>
      <x:c r="L52" s="48" t="str">
        <x:v>PDF text</x:v>
      </x:c>
    </x:row>
    <x:row r="53">
      <x:c r="A53" s="48" t="str">
        <x:v>YELLOW-0052</x:v>
      </x:c>
      <x:c r="B53" s="48" t="str">
        <x:v>YELLOW</x:v>
      </x:c>
      <x:c r="C53" s="48" t="str">
        <x:v>English</x:v>
      </x:c>
      <x:c r="D53" s="48" t="n">
        <x:v>19</x:v>
      </x:c>
      <x:c r="E53" s="48" t="str">
        <x:v>1.1.3.4</x:v>
      </x:c>
      <x:c r="F53" s="48" t="str">
        <x:v>1.1.3.4 "Tests on Completion" means the tests which are specified in the Contract or agreed by both Parties or instructed as a Variation, and which are carried out under Clause 9 [Tests on Completion] before the Works or a Section (as the case may be) are taken over by the Employer.</x:v>
      </x:c>
      <x:c r="G53" s="48" t="str">
        <x:v>Definition</x:v>
      </x:c>
      <x:c r="H53" s="48" t="str"/>
      <x:c r="I53" s="48" t="n">
        <x:v>0.97</x:v>
      </x:c>
      <x:c r="J53" s="48" t="n">
        <x:v>0.99</x:v>
      </x:c>
      <x:c r="K53" s="48" t="str">
        <x:v>No</x:v>
      </x:c>
      <x:c r="L53" s="48" t="str">
        <x:v>PDF text</x:v>
      </x:c>
    </x:row>
    <x:row r="54">
      <x:c r="A54" s="48" t="str">
        <x:v>YELLOW-0053</x:v>
      </x:c>
      <x:c r="B54" s="48" t="str">
        <x:v>YELLOW</x:v>
      </x:c>
      <x:c r="C54" s="48" t="str">
        <x:v>English</x:v>
      </x:c>
      <x:c r="D54" s="48" t="n">
        <x:v>19</x:v>
      </x:c>
      <x:c r="E54" s="48" t="str">
        <x:v>1.1.3.5</x:v>
      </x:c>
      <x:c r="F54" s="48" t="str">
        <x:v>1.1.3.5 "Taking-Over Certificate” means a certificate issued under Clause 10 [Employer's Taking Over].</x:v>
      </x:c>
      <x:c r="G54" s="48" t="str">
        <x:v>Definition</x:v>
      </x:c>
      <x:c r="H54" s="48" t="str"/>
      <x:c r="I54" s="48" t="n">
        <x:v>0.97</x:v>
      </x:c>
      <x:c r="J54" s="48" t="n">
        <x:v>0.99</x:v>
      </x:c>
      <x:c r="K54" s="48" t="str">
        <x:v>No</x:v>
      </x:c>
      <x:c r="L54" s="48" t="str">
        <x:v>PDF text</x:v>
      </x:c>
    </x:row>
    <x:row r="55">
      <x:c r="A55" s="48" t="str">
        <x:v>YELLOW-0054</x:v>
      </x:c>
      <x:c r="B55" s="48" t="str">
        <x:v>YELLOW</x:v>
      </x:c>
      <x:c r="C55" s="48" t="str">
        <x:v>English</x:v>
      </x:c>
      <x:c r="D55" s="48" t="n">
        <x:v>19</x:v>
      </x:c>
      <x:c r="E55" s="48" t="str">
        <x:v>1.1.3.6</x:v>
      </x:c>
      <x:c r="F55" s="48" t="str">
        <x:v>1.1.3.6 "Tests after Completion” means the tests (if any) which are specified in the Contract and which are carried out under Clause 12 [Tests after Completion] after the Works or a Section (as the case may be) are taken over by the Employer.</x:v>
      </x:c>
      <x:c r="G55" s="48" t="str">
        <x:v>Definition</x:v>
      </x:c>
      <x:c r="H55" s="48" t="str"/>
      <x:c r="I55" s="48" t="n">
        <x:v>0.97</x:v>
      </x:c>
      <x:c r="J55" s="48" t="n">
        <x:v>0.99</x:v>
      </x:c>
      <x:c r="K55" s="48" t="str">
        <x:v>No</x:v>
      </x:c>
      <x:c r="L55" s="48" t="str">
        <x:v>PDF text</x:v>
      </x:c>
    </x:row>
    <x:row r="56">
      <x:c r="A56" s="48" t="str">
        <x:v>YELLOW-0055</x:v>
      </x:c>
      <x:c r="B56" s="48" t="str">
        <x:v>YELLOW</x:v>
      </x:c>
      <x:c r="C56" s="48" t="str">
        <x:v>English</x:v>
      </x:c>
      <x:c r="D56" s="48" t="n">
        <x:v>19</x:v>
      </x:c>
      <x:c r="E56" s="48" t="str">
        <x:v>1.1.3.7</x:v>
      </x:c>
      <x:c r="F56" s="48" t="str">
        <x:v>1.1.3.7 "Defects Notification Period” means the period for notifying defects in the Works or a Section (as the case may be) under Sub-Clause 11.1 [Completion of Outstanding Work and Remedying Defects], as stated in the Appendix to Tender (with any extension under Sub-Clause 11.3 [Extension of Defects Notification Period]), calculated from the date on which the Works or Section is completed as certified under Sub-Clause 10.1 [Taking Over of the Works and Sections].</x:v>
      </x:c>
      <x:c r="G56" s="48" t="str">
        <x:v>Definition</x:v>
      </x:c>
      <x:c r="H56" s="48" t="str"/>
      <x:c r="I56" s="48" t="n">
        <x:v>0.97</x:v>
      </x:c>
      <x:c r="J56" s="48" t="n">
        <x:v>0.99</x:v>
      </x:c>
      <x:c r="K56" s="48" t="str">
        <x:v>No</x:v>
      </x:c>
      <x:c r="L56" s="48" t="str">
        <x:v>PDF text</x:v>
      </x:c>
    </x:row>
    <x:row r="57">
      <x:c r="A57" s="48" t="str">
        <x:v>YELLOW-0056</x:v>
      </x:c>
      <x:c r="B57" s="48" t="str">
        <x:v>YELLOW</x:v>
      </x:c>
      <x:c r="C57" s="48" t="str">
        <x:v>English</x:v>
      </x:c>
      <x:c r="D57" s="48" t="n">
        <x:v>19</x:v>
      </x:c>
      <x:c r="E57" s="48" t="str">
        <x:v>1.1.3.8</x:v>
      </x:c>
      <x:c r="F57" s="48" t="str">
        <x:v>1.1.3.8 "Performance Certificate" means the certificate issued under Sub-Clause</x:v>
      </x:c>
      <x:c r="G57" s="48" t="str">
        <x:v>Definition</x:v>
      </x:c>
      <x:c r="H57" s="48" t="str"/>
      <x:c r="I57" s="48" t="n">
        <x:v>0.97</x:v>
      </x:c>
      <x:c r="J57" s="48" t="n">
        <x:v>0.99</x:v>
      </x:c>
      <x:c r="K57" s="48" t="str">
        <x:v>No</x:v>
      </x:c>
      <x:c r="L57" s="48" t="str">
        <x:v>PDF text</x:v>
      </x:c>
    </x:row>
    <x:row r="58">
      <x:c r="A58" s="48" t="str">
        <x:v>YELLOW-0057</x:v>
      </x:c>
      <x:c r="B58" s="48" t="str">
        <x:v>YELLOW</x:v>
      </x:c>
      <x:c r="C58" s="48" t="str">
        <x:v>English</x:v>
      </x:c>
      <x:c r="D58" s="48" t="n">
        <x:v>19</x:v>
      </x:c>
      <x:c r="E58" s="48" t="str">
        <x:v>11.9</x:v>
      </x:c>
      <x:c r="F58" s="48" t="str">
        <x:v>11.9 [Performance Certificate].</x:v>
      </x:c>
      <x:c r="G58" s="48" t="str">
        <x:v>Obligation</x:v>
      </x:c>
      <x:c r="H58" s="48" t="str">
        <x:v>Shared</x:v>
      </x:c>
      <x:c r="I58" s="48" t="n">
        <x:v>0.55</x:v>
      </x:c>
      <x:c r="J58" s="48" t="n">
        <x:v>0.4</x:v>
      </x:c>
      <x:c r="K58" s="48" t="str">
        <x:v>Yes</x:v>
      </x:c>
      <x:c r="L58" s="48" t="str">
        <x:v>PDF text</x:v>
      </x:c>
    </x:row>
    <x:row r="59">
      <x:c r="A59" s="48" t="str">
        <x:v>YELLOW-0058</x:v>
      </x:c>
      <x:c r="B59" s="48" t="str">
        <x:v>YELLOW</x:v>
      </x:c>
      <x:c r="C59" s="48" t="str">
        <x:v>English</x:v>
      </x:c>
      <x:c r="D59" s="48" t="n">
        <x:v>19</x:v>
      </x:c>
      <x:c r="E59" s="48" t="str">
        <x:v>1.1.3.9</x:v>
      </x:c>
      <x:c r="F59" s="48" t="str">
        <x:v>1.1.3.9 "day" means a calendar day and "year" means 365 days.</x:v>
      </x:c>
      <x:c r="G59" s="48" t="str">
        <x:v>Definition</x:v>
      </x:c>
      <x:c r="H59" s="48" t="str"/>
      <x:c r="I59" s="48" t="n">
        <x:v>0.97</x:v>
      </x:c>
      <x:c r="J59" s="48" t="n">
        <x:v>0.99</x:v>
      </x:c>
      <x:c r="K59" s="48" t="str">
        <x:v>No</x:v>
      </x:c>
      <x:c r="L59" s="48" t="str">
        <x:v>PDF text</x:v>
      </x:c>
    </x:row>
    <x:row r="60">
      <x:c r="A60" s="48" t="str">
        <x:v>YELLOW-0059</x:v>
      </x:c>
      <x:c r="B60" s="48" t="str">
        <x:v>YELLOW</x:v>
      </x:c>
      <x:c r="C60" s="48" t="str">
        <x:v>English</x:v>
      </x:c>
      <x:c r="D60" s="48" t="n">
        <x:v>19</x:v>
      </x:c>
      <x:c r="E60" s="48" t="str">
        <x:v>1.1.4.1</x:v>
      </x:c>
      <x:c r="F60" s="48" t="str">
        <x:v>1.1.4.1 "Accepted Contract Amount" means the amount accepted in the Letter of</x:v>
      </x:c>
      <x:c r="G60" s="48" t="str">
        <x:v>Definition</x:v>
      </x:c>
      <x:c r="H60" s="48" t="str"/>
      <x:c r="I60" s="48" t="n">
        <x:v>0.97</x:v>
      </x:c>
      <x:c r="J60" s="48" t="n">
        <x:v>0.99</x:v>
      </x:c>
      <x:c r="K60" s="48" t="str">
        <x:v>No</x:v>
      </x:c>
      <x:c r="L60" s="48" t="str">
        <x:v>PDF text</x:v>
      </x:c>
    </x:row>
    <x:row r="61">
      <x:c r="A61" s="48" t="str">
        <x:v>YELLOW-0060</x:v>
      </x:c>
      <x:c r="B61" s="48" t="str">
        <x:v>YELLOW</x:v>
      </x:c>
      <x:c r="C61" s="48" t="str">
        <x:v>English</x:v>
      </x:c>
      <x:c r="D61" s="48" t="n">
        <x:v>19</x:v>
      </x:c>
      <x:c r="E61" s="48" t="str"/>
      <x:c r="F61" s="48" t="str">
        <x:v>Acceptance for the execution and completion of the Works and the</x:v>
      </x:c>
      <x:c r="G61" s="48" t="str">
        <x:v>Obligation</x:v>
      </x:c>
      <x:c r="H61" s="48" t="str">
        <x:v>Shared</x:v>
      </x:c>
      <x:c r="I61" s="48" t="n">
        <x:v>0.45</x:v>
      </x:c>
      <x:c r="J61" s="48" t="n">
        <x:v>0.4</x:v>
      </x:c>
      <x:c r="K61" s="48" t="str">
        <x:v>Yes</x:v>
      </x:c>
      <x:c r="L61" s="48" t="str">
        <x:v>PDF text</x:v>
      </x:c>
    </x:row>
    <x:row r="62">
      <x:c r="A62" s="48" t="str">
        <x:v>YELLOW-0061</x:v>
      </x:c>
      <x:c r="B62" s="48" t="str">
        <x:v>YELLOW</x:v>
      </x:c>
      <x:c r="C62" s="48" t="str">
        <x:v>English</x:v>
      </x:c>
      <x:c r="D62" s="48" t="n">
        <x:v>19</x:v>
      </x:c>
      <x:c r="E62" s="48" t="str"/>
      <x:c r="F62" s="48" t="str">
        <x:v>remedying of any defects.</x:v>
      </x:c>
      <x:c r="G62" s="48" t="str">
        <x:v>Obligation</x:v>
      </x:c>
      <x:c r="H62" s="48" t="str">
        <x:v>Shared</x:v>
      </x:c>
      <x:c r="I62" s="48" t="n">
        <x:v>0.45</x:v>
      </x:c>
      <x:c r="J62" s="48" t="n">
        <x:v>0.4</x:v>
      </x:c>
      <x:c r="K62" s="48" t="str">
        <x:v>Yes</x:v>
      </x:c>
      <x:c r="L62" s="48" t="str">
        <x:v>PDF text</x:v>
      </x:c>
    </x:row>
    <x:row r="63">
      <x:c r="A63" s="48" t="str">
        <x:v>YELLOW-0062</x:v>
      </x:c>
      <x:c r="B63" s="48" t="str">
        <x:v>YELLOW</x:v>
      </x:c>
      <x:c r="C63" s="48" t="str">
        <x:v>English</x:v>
      </x:c>
      <x:c r="D63" s="48" t="n">
        <x:v>19</x:v>
      </x:c>
      <x:c r="E63" s="48" t="str">
        <x:v>1.1.4.2</x:v>
      </x:c>
      <x:c r="F63" s="48" t="str">
        <x:v>1.1.4.2 "Contract Price" means the price defined in Sub-Clause 14.1 [The Contract Price], and includes adjustments in accordance with the Contract.</x:v>
      </x:c>
      <x:c r="G63" s="48" t="str">
        <x:v>Definition</x:v>
      </x:c>
      <x:c r="H63" s="48" t="str"/>
      <x:c r="I63" s="48" t="n">
        <x:v>0.97</x:v>
      </x:c>
      <x:c r="J63" s="48" t="n">
        <x:v>0.99</x:v>
      </x:c>
      <x:c r="K63" s="48" t="str">
        <x:v>No</x:v>
      </x:c>
      <x:c r="L63" s="48" t="str">
        <x:v>PDF text</x:v>
      </x:c>
    </x:row>
    <x:row r="64">
      <x:c r="A64" s="48" t="str">
        <x:v>YELLOW-0063</x:v>
      </x:c>
      <x:c r="B64" s="48" t="str">
        <x:v>YELLOW</x:v>
      </x:c>
      <x:c r="C64" s="48" t="str">
        <x:v>English</x:v>
      </x:c>
      <x:c r="D64" s="48" t="n">
        <x:v>19</x:v>
      </x:c>
      <x:c r="E64" s="48" t="str">
        <x:v>1.1.4.3</x:v>
      </x:c>
      <x:c r="F64" s="48" t="str">
        <x:v>1.1.4.3 "Cost” means all expenditure reasonably incurred (or to be incurred) by the</x:v>
      </x:c>
      <x:c r="G64" s="48" t="str">
        <x:v>Definition</x:v>
      </x:c>
      <x:c r="H64" s="48" t="str"/>
      <x:c r="I64" s="48" t="n">
        <x:v>0.97</x:v>
      </x:c>
      <x:c r="J64" s="48" t="n">
        <x:v>0.99</x:v>
      </x:c>
      <x:c r="K64" s="48" t="str">
        <x:v>No</x:v>
      </x:c>
      <x:c r="L64" s="48" t="str">
        <x:v>PDF text</x:v>
      </x:c>
    </x:row>
    <x:row r="65">
      <x:c r="A65" s="48" t="str">
        <x:v>YELLOW-0064</x:v>
      </x:c>
      <x:c r="B65" s="48" t="str">
        <x:v>YELLOW</x:v>
      </x:c>
      <x:c r="C65" s="48" t="str">
        <x:v>English</x:v>
      </x:c>
      <x:c r="D65" s="48" t="n">
        <x:v>19</x:v>
      </x:c>
      <x:c r="E65" s="48" t="str"/>
      <x:c r="F65" s="48" t="str">
        <x:v>Contractor, whether on or off the Site, including overhead and similar</x:v>
      </x:c>
      <x:c r="G65" s="48" t="str">
        <x:v>Obligation</x:v>
      </x:c>
      <x:c r="H65" s="48" t="str">
        <x:v>Contractor</x:v>
      </x:c>
      <x:c r="I65" s="48" t="n">
        <x:v>0.45</x:v>
      </x:c>
      <x:c r="J65" s="48" t="n">
        <x:v>0.68</x:v>
      </x:c>
      <x:c r="K65" s="48" t="str">
        <x:v>Yes</x:v>
      </x:c>
      <x:c r="L65" s="48" t="str">
        <x:v>PDF text</x:v>
      </x:c>
    </x:row>
    <x:row r="66">
      <x:c r="A66" s="48" t="str">
        <x:v>YELLOW-0065</x:v>
      </x:c>
      <x:c r="B66" s="48" t="str">
        <x:v>YELLOW</x:v>
      </x:c>
      <x:c r="C66" s="48" t="str">
        <x:v>English</x:v>
      </x:c>
      <x:c r="D66" s="48" t="n">
        <x:v>19</x:v>
      </x:c>
      <x:c r="E66" s="48" t="str"/>
      <x:c r="F66" s="48" t="str">
        <x:v>charges, but does not include profit.</x:v>
      </x:c>
      <x:c r="G66" s="48" t="str">
        <x:v>Obligation</x:v>
      </x:c>
      <x:c r="H66" s="48" t="str">
        <x:v>Shared</x:v>
      </x:c>
      <x:c r="I66" s="48" t="n">
        <x:v>0.45</x:v>
      </x:c>
      <x:c r="J66" s="48" t="n">
        <x:v>0.4</x:v>
      </x:c>
      <x:c r="K66" s="48" t="str">
        <x:v>Yes</x:v>
      </x:c>
      <x:c r="L66" s="48" t="str">
        <x:v>PDF text</x:v>
      </x:c>
    </x:row>
    <x:row r="67">
      <x:c r="A67" s="48" t="str">
        <x:v>YELLOW-0066</x:v>
      </x:c>
      <x:c r="B67" s="48" t="str">
        <x:v>YELLOW</x:v>
      </x:c>
      <x:c r="C67" s="48" t="str">
        <x:v>English</x:v>
      </x:c>
      <x:c r="D67" s="48" t="n">
        <x:v>19</x:v>
      </x:c>
      <x:c r="E67" s="48" t="str">
        <x:v>1.1.4.4</x:v>
      </x:c>
      <x:c r="F67" s="48" t="str">
        <x:v>1.1.4.4 “Final Payment Certificate” means the payment certificate issued under Sub-Clause 14.13 [Issue of Final Payment Certificate].</x:v>
      </x:c>
      <x:c r="G67" s="48" t="str">
        <x:v>Definition</x:v>
      </x:c>
      <x:c r="H67" s="48" t="str"/>
      <x:c r="I67" s="48" t="n">
        <x:v>0.97</x:v>
      </x:c>
      <x:c r="J67" s="48" t="n">
        <x:v>0.99</x:v>
      </x:c>
      <x:c r="K67" s="48" t="str">
        <x:v>No</x:v>
      </x:c>
      <x:c r="L67" s="48" t="str">
        <x:v>PDF text</x:v>
      </x:c>
    </x:row>
    <x:row r="68">
      <x:c r="A68" s="48" t="str">
        <x:v>YELLOW-0067</x:v>
      </x:c>
      <x:c r="B68" s="48" t="str">
        <x:v>YELLOW</x:v>
      </x:c>
      <x:c r="C68" s="48" t="str">
        <x:v>English</x:v>
      </x:c>
      <x:c r="D68" s="48" t="n">
        <x:v>19</x:v>
      </x:c>
      <x:c r="E68" s="48" t="str">
        <x:v>1.1.4.5</x:v>
      </x:c>
      <x:c r="F68" s="48" t="str">
        <x:v>1.1.4.5 “Final Statement” means the statement defined in Sub-Clause 14.11 [Application for Final Payment Certificate].</x:v>
      </x:c>
      <x:c r="G68" s="48" t="str">
        <x:v>Definition</x:v>
      </x:c>
      <x:c r="H68" s="48" t="str"/>
      <x:c r="I68" s="48" t="n">
        <x:v>0.97</x:v>
      </x:c>
      <x:c r="J68" s="48" t="n">
        <x:v>0.99</x:v>
      </x:c>
      <x:c r="K68" s="48" t="str">
        <x:v>No</x:v>
      </x:c>
      <x:c r="L68" s="48" t="str">
        <x:v>PDF text</x:v>
      </x:c>
    </x:row>
    <x:row r="69">
      <x:c r="A69" s="48" t="str">
        <x:v>YELLOW-0068</x:v>
      </x:c>
      <x:c r="B69" s="48" t="str">
        <x:v>YELLOW</x:v>
      </x:c>
      <x:c r="C69" s="48" t="str">
        <x:v>English</x:v>
      </x:c>
      <x:c r="D69" s="48" t="n">
        <x:v>19</x:v>
      </x:c>
      <x:c r="E69" s="48" t="str">
        <x:v>1.1.4.6</x:v>
      </x:c>
      <x:c r="F69" s="48" t="str">
        <x:v>1.1.4.6 “Foreign Currency” means a currency in which part (or all) of the Contract Price is payable, but not the Local Currency.</x:v>
      </x:c>
      <x:c r="G69" s="48" t="str">
        <x:v>Definition</x:v>
      </x:c>
      <x:c r="H69" s="48" t="str"/>
      <x:c r="I69" s="48" t="n">
        <x:v>0.97</x:v>
      </x:c>
      <x:c r="J69" s="48" t="n">
        <x:v>0.99</x:v>
      </x:c>
      <x:c r="K69" s="48" t="str">
        <x:v>No</x:v>
      </x:c>
      <x:c r="L69" s="48" t="str">
        <x:v>PDF text</x:v>
      </x:c>
    </x:row>
    <x:row r="70">
      <x:c r="A70" s="48" t="str">
        <x:v>YELLOW-0069</x:v>
      </x:c>
      <x:c r="B70" s="48" t="str">
        <x:v>YELLOW</x:v>
      </x:c>
      <x:c r="C70" s="48" t="str">
        <x:v>English</x:v>
      </x:c>
      <x:c r="D70" s="48" t="n">
        <x:v>19</x:v>
      </x:c>
      <x:c r="E70" s="48" t="str">
        <x:v>1.1.4.7</x:v>
      </x:c>
      <x:c r="F70" s="48" t="str">
        <x:v>1.1.4.7 “Interim Payment Certificate” means a payment certificate issued under Clause 14 [Contract Price and Payment], other than the Final Payment Certificate.</x:v>
      </x:c>
      <x:c r="G70" s="48" t="str">
        <x:v>Definition</x:v>
      </x:c>
      <x:c r="H70" s="48" t="str"/>
      <x:c r="I70" s="48" t="n">
        <x:v>0.97</x:v>
      </x:c>
      <x:c r="J70" s="48" t="n">
        <x:v>0.99</x:v>
      </x:c>
      <x:c r="K70" s="48" t="str">
        <x:v>No</x:v>
      </x:c>
      <x:c r="L70" s="48" t="str">
        <x:v>PDF text</x:v>
      </x:c>
    </x:row>
    <x:row r="71">
      <x:c r="A71" s="48" t="str">
        <x:v>YELLOW-0070</x:v>
      </x:c>
      <x:c r="B71" s="48" t="str">
        <x:v>YELLOW</x:v>
      </x:c>
      <x:c r="C71" s="48" t="str">
        <x:v>English</x:v>
      </x:c>
      <x:c r="D71" s="48" t="n">
        <x:v>19</x:v>
      </x:c>
      <x:c r="E71" s="48" t="str">
        <x:v>1.1.4.8</x:v>
      </x:c>
      <x:c r="F71" s="48" t="str">
        <x:v>1.1.4.8 “Local Currency” means the currency of the Country.</x:v>
      </x:c>
      <x:c r="G71" s="48" t="str">
        <x:v>Definition</x:v>
      </x:c>
      <x:c r="H71" s="48" t="str"/>
      <x:c r="I71" s="48" t="n">
        <x:v>0.97</x:v>
      </x:c>
      <x:c r="J71" s="48" t="n">
        <x:v>0.99</x:v>
      </x:c>
      <x:c r="K71" s="48" t="str">
        <x:v>No</x:v>
      </x:c>
      <x:c r="L71" s="48" t="str">
        <x:v>PDF text</x:v>
      </x:c>
    </x:row>
    <x:row r="72">
      <x:c r="A72" s="48" t="str">
        <x:v>YELLOW-0071</x:v>
      </x:c>
      <x:c r="B72" s="48" t="str">
        <x:v>YELLOW</x:v>
      </x:c>
      <x:c r="C72" s="48" t="str">
        <x:v>English</x:v>
      </x:c>
      <x:c r="D72" s="48" t="n">
        <x:v>19</x:v>
      </x:c>
      <x:c r="E72" s="48" t="str">
        <x:v>1.1.4.9</x:v>
      </x:c>
      <x:c r="F72" s="48" t="str">
        <x:v>1.1.4.9 “Payment Certificate” means a payment certificate issued under Clause 14 [Contract Price and Payment].</x:v>
      </x:c>
      <x:c r="G72" s="48" t="str">
        <x:v>Definition</x:v>
      </x:c>
      <x:c r="H72" s="48" t="str"/>
      <x:c r="I72" s="48" t="n">
        <x:v>0.97</x:v>
      </x:c>
      <x:c r="J72" s="48" t="n">
        <x:v>0.99</x:v>
      </x:c>
      <x:c r="K72" s="48" t="str">
        <x:v>No</x:v>
      </x:c>
      <x:c r="L72" s="48" t="str">
        <x:v>PDF text</x:v>
      </x:c>
    </x:row>
    <x:row r="73">
      <x:c r="A73" s="48" t="str">
        <x:v>YELLOW-0072</x:v>
      </x:c>
      <x:c r="B73" s="48" t="str">
        <x:v>YELLOW</x:v>
      </x:c>
      <x:c r="C73" s="48" t="str">
        <x:v>English</x:v>
      </x:c>
      <x:c r="D73" s="48" t="n">
        <x:v>19</x:v>
      </x:c>
      <x:c r="E73" s="48" t="str"/>
      <x:c r="F73" s="48" t="str">
        <x:v>Money and Payments</x:v>
      </x:c>
      <x:c r="G73" s="48" t="str">
        <x:v>Obligation</x:v>
      </x:c>
      <x:c r="H73" s="48" t="str">
        <x:v>Shared</x:v>
      </x:c>
      <x:c r="I73" s="48" t="n">
        <x:v>0.45</x:v>
      </x:c>
      <x:c r="J73" s="48" t="n">
        <x:v>0.4</x:v>
      </x:c>
      <x:c r="K73" s="48" t="str">
        <x:v>Yes</x:v>
      </x:c>
      <x:c r="L73" s="48" t="str">
        <x:v>PDF text</x:v>
      </x:c>
    </x:row>
    <x:row r="74">
      <x:c r="A74" s="48" t="str">
        <x:v>YELLOW-0073</x:v>
      </x:c>
      <x:c r="B74" s="48" t="str">
        <x:v>YELLOW</x:v>
      </x:c>
      <x:c r="C74" s="48" t="str">
        <x:v>English</x:v>
      </x:c>
      <x:c r="D74" s="48" t="n">
        <x:v>20</x:v>
      </x:c>
      <x:c r="E74" s="48" t="str">
        <x:v>1.1.4.10</x:v>
      </x:c>
      <x:c r="F74" s="48" t="str">
        <x:v>1.1.4.10 “Provisional Sum” means a sum (if any) which is specified in the Contract as</x:v>
      </x:c>
      <x:c r="G74" s="48" t="str">
        <x:v>Definition</x:v>
      </x:c>
      <x:c r="H74" s="48" t="str"/>
      <x:c r="I74" s="48" t="n">
        <x:v>0.97</x:v>
      </x:c>
      <x:c r="J74" s="48" t="n">
        <x:v>0.99</x:v>
      </x:c>
      <x:c r="K74" s="48" t="str">
        <x:v>No</x:v>
      </x:c>
      <x:c r="L74" s="48" t="str">
        <x:v>PDF text</x:v>
      </x:c>
    </x:row>
    <x:row r="75">
      <x:c r="A75" s="48" t="str">
        <x:v>YELLOW-0074</x:v>
      </x:c>
      <x:c r="B75" s="48" t="str">
        <x:v>YELLOW</x:v>
      </x:c>
      <x:c r="C75" s="48" t="str">
        <x:v>English</x:v>
      </x:c>
      <x:c r="D75" s="48" t="n">
        <x:v>20</x:v>
      </x:c>
      <x:c r="E75" s="48" t="str"/>
      <x:c r="F75" s="48" t="str">
        <x:v>a provisional sum, for the execution of any part of the Works or for the supply of Plant, Materials or services under Sub-Clause 13.5 [Provisional Sums].</x:v>
      </x:c>
      <x:c r="G75" s="48" t="str">
        <x:v>Obligation</x:v>
      </x:c>
      <x:c r="H75" s="48" t="str">
        <x:v>Shared</x:v>
      </x:c>
      <x:c r="I75" s="48" t="n">
        <x:v>0.45</x:v>
      </x:c>
      <x:c r="J75" s="48" t="n">
        <x:v>0.4</x:v>
      </x:c>
      <x:c r="K75" s="48" t="str">
        <x:v>Yes</x:v>
      </x:c>
      <x:c r="L75" s="48" t="str">
        <x:v>PDF text</x:v>
      </x:c>
    </x:row>
    <x:row r="76">
      <x:c r="A76" s="48" t="str">
        <x:v>YELLOW-0075</x:v>
      </x:c>
      <x:c r="B76" s="48" t="str">
        <x:v>YELLOW</x:v>
      </x:c>
      <x:c r="C76" s="48" t="str">
        <x:v>English</x:v>
      </x:c>
      <x:c r="D76" s="48" t="n">
        <x:v>20</x:v>
      </x:c>
      <x:c r="E76" s="48" t="str">
        <x:v>1.1.4.11</x:v>
      </x:c>
      <x:c r="F76" s="48" t="str">
        <x:v>1.1.4.11 “Retention Money” means the accumulated retention moneys which the</x:v>
      </x:c>
      <x:c r="G76" s="48" t="str">
        <x:v>Definition</x:v>
      </x:c>
      <x:c r="H76" s="48" t="str"/>
      <x:c r="I76" s="48" t="n">
        <x:v>0.97</x:v>
      </x:c>
      <x:c r="J76" s="48" t="n">
        <x:v>0.99</x:v>
      </x:c>
      <x:c r="K76" s="48" t="str">
        <x:v>No</x:v>
      </x:c>
      <x:c r="L76" s="48" t="str">
        <x:v>PDF text</x:v>
      </x:c>
    </x:row>
    <x:row r="77">
      <x:c r="A77" s="48" t="str">
        <x:v>YELLOW-0076</x:v>
      </x:c>
      <x:c r="B77" s="48" t="str">
        <x:v>YELLOW</x:v>
      </x:c>
      <x:c r="C77" s="48" t="str">
        <x:v>English</x:v>
      </x:c>
      <x:c r="D77" s="48" t="n">
        <x:v>20</x:v>
      </x:c>
      <x:c r="E77" s="48" t="str"/>
      <x:c r="F77" s="48" t="str">
        <x:v>Employer retains under Sub-Clause 14.3 [Application for Interim Payment Certificates] and pays under Sub-Clause 14.9 [Payment of Retention Money].</x:v>
      </x:c>
      <x:c r="G77" s="48" t="str">
        <x:v>Obligation</x:v>
      </x:c>
      <x:c r="H77" s="48" t="str">
        <x:v>Employer</x:v>
      </x:c>
      <x:c r="I77" s="48" t="n">
        <x:v>0.55</x:v>
      </x:c>
      <x:c r="J77" s="48" t="n">
        <x:v>0.68</x:v>
      </x:c>
      <x:c r="K77" s="48" t="str">
        <x:v>Yes</x:v>
      </x:c>
      <x:c r="L77" s="48" t="str">
        <x:v>PDF text</x:v>
      </x:c>
    </x:row>
    <x:row r="78">
      <x:c r="A78" s="48" t="str">
        <x:v>YELLOW-0077</x:v>
      </x:c>
      <x:c r="B78" s="48" t="str">
        <x:v>YELLOW</x:v>
      </x:c>
      <x:c r="C78" s="48" t="str">
        <x:v>English</x:v>
      </x:c>
      <x:c r="D78" s="48" t="n">
        <x:v>20</x:v>
      </x:c>
      <x:c r="E78" s="48" t="str">
        <x:v>1.1.4.12</x:v>
      </x:c>
      <x:c r="F78" s="48" t="str">
        <x:v>1.1.4.12 “Statement” means a statement submitted by the Contractor as part of an</x:v>
      </x:c>
      <x:c r="G78" s="48" t="str">
        <x:v>Definition</x:v>
      </x:c>
      <x:c r="H78" s="48" t="str"/>
      <x:c r="I78" s="48" t="n">
        <x:v>0.97</x:v>
      </x:c>
      <x:c r="J78" s="48" t="n">
        <x:v>0.99</x:v>
      </x:c>
      <x:c r="K78" s="48" t="str">
        <x:v>No</x:v>
      </x:c>
      <x:c r="L78" s="48" t="str">
        <x:v>PDF text</x:v>
      </x:c>
    </x:row>
    <x:row r="79">
      <x:c r="A79" s="48" t="str">
        <x:v>YELLOW-0078</x:v>
      </x:c>
      <x:c r="B79" s="48" t="str">
        <x:v>YELLOW</x:v>
      </x:c>
      <x:c r="C79" s="48" t="str">
        <x:v>English</x:v>
      </x:c>
      <x:c r="D79" s="48" t="n">
        <x:v>20</x:v>
      </x:c>
      <x:c r="E79" s="48" t="str"/>
      <x:c r="F79" s="48" t="str">
        <x:v>application, under Clause 14 [Contract Price and Payment], for a payment certificate.</x:v>
      </x:c>
      <x:c r="G79" s="48" t="str">
        <x:v>Obligation</x:v>
      </x:c>
      <x:c r="H79" s="48" t="str">
        <x:v>Shared</x:v>
      </x:c>
      <x:c r="I79" s="48" t="n">
        <x:v>0.55</x:v>
      </x:c>
      <x:c r="J79" s="48" t="n">
        <x:v>0.4</x:v>
      </x:c>
      <x:c r="K79" s="48" t="str">
        <x:v>Yes</x:v>
      </x:c>
      <x:c r="L79" s="48" t="str">
        <x:v>PDF text</x:v>
      </x:c>
    </x:row>
    <x:row r="80">
      <x:c r="A80" s="48" t="str">
        <x:v>YELLOW-0079</x:v>
      </x:c>
      <x:c r="B80" s="48" t="str">
        <x:v>YELLOW</x:v>
      </x:c>
      <x:c r="C80" s="48" t="str">
        <x:v>English</x:v>
      </x:c>
      <x:c r="D80" s="48" t="n">
        <x:v>20</x:v>
      </x:c>
      <x:c r="E80" s="48" t="str">
        <x:v>1.1.5.1</x:v>
      </x:c>
      <x:c r="F80" s="48" t="str">
        <x:v>1.1.5.1 “Contractor’s Equipment” means all apparatus, machinery, vehicles and other things required for the execution and completion of the Works and the remedying of any defects.</x:v>
      </x:c>
      <x:c r="G80" s="48" t="str">
        <x:v>Definition</x:v>
      </x:c>
      <x:c r="H80" s="48" t="str"/>
      <x:c r="I80" s="48" t="n">
        <x:v>0.97</x:v>
      </x:c>
      <x:c r="J80" s="48" t="n">
        <x:v>0.99</x:v>
      </x:c>
      <x:c r="K80" s="48" t="str">
        <x:v>No</x:v>
      </x:c>
      <x:c r="L80" s="48" t="str">
        <x:v>PDF text</x:v>
      </x:c>
    </x:row>
    <x:row r="81">
      <x:c r="A81" s="48" t="str">
        <x:v>YELLOW-0080</x:v>
      </x:c>
      <x:c r="B81" s="48" t="str">
        <x:v>YELLOW</x:v>
      </x:c>
      <x:c r="C81" s="48" t="str">
        <x:v>English</x:v>
      </x:c>
      <x:c r="D81" s="48" t="n">
        <x:v>20</x:v>
      </x:c>
      <x:c r="E81" s="48" t="str"/>
      <x:c r="F81" s="48" t="str">
        <x:v>However, Contractor’s Equipment excludes</x:v>
      </x:c>
      <x:c r="G81" s="48" t="str">
        <x:v>Obligation</x:v>
      </x:c>
      <x:c r="H81" s="48" t="str">
        <x:v>Contractor</x:v>
      </x:c>
      <x:c r="I81" s="48" t="n">
        <x:v>0.45</x:v>
      </x:c>
      <x:c r="J81" s="48" t="n">
        <x:v>0.68</x:v>
      </x:c>
      <x:c r="K81" s="48" t="str">
        <x:v>Yes</x:v>
      </x:c>
      <x:c r="L81" s="48" t="str">
        <x:v>PDF text</x:v>
      </x:c>
    </x:row>
    <x:row r="82">
      <x:c r="A82" s="48" t="str">
        <x:v>YELLOW-0081</x:v>
      </x:c>
      <x:c r="B82" s="48" t="str">
        <x:v>YELLOW</x:v>
      </x:c>
      <x:c r="C82" s="48" t="str">
        <x:v>English</x:v>
      </x:c>
      <x:c r="D82" s="48" t="n">
        <x:v>20</x:v>
      </x:c>
      <x:c r="E82" s="48" t="str"/>
      <x:c r="F82" s="48" t="str">
        <x:v>Temporary Works, Employer’s Equipment (if any), Plant, Materials and any</x:v>
      </x:c>
      <x:c r="G82" s="48" t="str">
        <x:v>Obligation</x:v>
      </x:c>
      <x:c r="H82" s="48" t="str">
        <x:v>Employer</x:v>
      </x:c>
      <x:c r="I82" s="48" t="n">
        <x:v>0.45</x:v>
      </x:c>
      <x:c r="J82" s="48" t="n">
        <x:v>0.68</x:v>
      </x:c>
      <x:c r="K82" s="48" t="str">
        <x:v>Yes</x:v>
      </x:c>
      <x:c r="L82" s="48" t="str">
        <x:v>PDF text</x:v>
      </x:c>
    </x:row>
    <x:row r="83">
      <x:c r="A83" s="48" t="str">
        <x:v>YELLOW-0082</x:v>
      </x:c>
      <x:c r="B83" s="48" t="str">
        <x:v>YELLOW</x:v>
      </x:c>
      <x:c r="C83" s="48" t="str">
        <x:v>English</x:v>
      </x:c>
      <x:c r="D83" s="48" t="n">
        <x:v>20</x:v>
      </x:c>
      <x:c r="E83" s="48" t="str"/>
      <x:c r="F83" s="48" t="str">
        <x:v>other things intended to form or forming part of the Permanent Works.</x:v>
      </x:c>
      <x:c r="G83" s="48" t="str">
        <x:v>Obligation</x:v>
      </x:c>
      <x:c r="H83" s="48" t="str">
        <x:v>Shared</x:v>
      </x:c>
      <x:c r="I83" s="48" t="n">
        <x:v>0.45</x:v>
      </x:c>
      <x:c r="J83" s="48" t="n">
        <x:v>0.4</x:v>
      </x:c>
      <x:c r="K83" s="48" t="str">
        <x:v>Yes</x:v>
      </x:c>
      <x:c r="L83" s="48" t="str">
        <x:v>PDF text</x:v>
      </x:c>
    </x:row>
    <x:row r="84">
      <x:c r="A84" s="48" t="str">
        <x:v>YELLOW-0083</x:v>
      </x:c>
      <x:c r="B84" s="48" t="str">
        <x:v>YELLOW</x:v>
      </x:c>
      <x:c r="C84" s="48" t="str">
        <x:v>English</x:v>
      </x:c>
      <x:c r="D84" s="48" t="n">
        <x:v>20</x:v>
      </x:c>
      <x:c r="E84" s="48" t="str">
        <x:v>1.1.5.2</x:v>
      </x:c>
      <x:c r="F84" s="48" t="str">
        <x:v>1.1.5.2 “Goods” means Contractor’s Equipment, Materials, Plant and Temporary Works, or any of them as appropriate.</x:v>
      </x:c>
      <x:c r="G84" s="48" t="str">
        <x:v>Definition</x:v>
      </x:c>
      <x:c r="H84" s="48" t="str"/>
      <x:c r="I84" s="48" t="n">
        <x:v>0.97</x:v>
      </x:c>
      <x:c r="J84" s="48" t="n">
        <x:v>0.99</x:v>
      </x:c>
      <x:c r="K84" s="48" t="str">
        <x:v>No</x:v>
      </x:c>
      <x:c r="L84" s="48" t="str">
        <x:v>PDF text</x:v>
      </x:c>
    </x:row>
    <x:row r="85">
      <x:c r="A85" s="48" t="str">
        <x:v>YELLOW-0084</x:v>
      </x:c>
      <x:c r="B85" s="48" t="str">
        <x:v>YELLOW</x:v>
      </x:c>
      <x:c r="C85" s="48" t="str">
        <x:v>English</x:v>
      </x:c>
      <x:c r="D85" s="48" t="n">
        <x:v>20</x:v>
      </x:c>
      <x:c r="E85" s="48" t="str">
        <x:v>1.1.5.3</x:v>
      </x:c>
      <x:c r="F85" s="48" t="str">
        <x:v>1.1.5.3 “Materials” means things of all kinds (other than Plant) intended to form or forming part of the Permanent Works, including the supply-only materials (if any) to be supplied by the Contractor under the Contract.</x:v>
      </x:c>
      <x:c r="G85" s="48" t="str">
        <x:v>Definition</x:v>
      </x:c>
      <x:c r="H85" s="48" t="str"/>
      <x:c r="I85" s="48" t="n">
        <x:v>0.97</x:v>
      </x:c>
      <x:c r="J85" s="48" t="n">
        <x:v>0.99</x:v>
      </x:c>
      <x:c r="K85" s="48" t="str">
        <x:v>No</x:v>
      </x:c>
      <x:c r="L85" s="48" t="str">
        <x:v>PDF text</x:v>
      </x:c>
    </x:row>
    <x:row r="86">
      <x:c r="A86" s="48" t="str">
        <x:v>YELLOW-0085</x:v>
      </x:c>
      <x:c r="B86" s="48" t="str">
        <x:v>YELLOW</x:v>
      </x:c>
      <x:c r="C86" s="48" t="str">
        <x:v>English</x:v>
      </x:c>
      <x:c r="D86" s="48" t="n">
        <x:v>20</x:v>
      </x:c>
      <x:c r="E86" s="48" t="str">
        <x:v>1.1.5.4</x:v>
      </x:c>
      <x:c r="F86" s="48" t="str">
        <x:v>1.1.5.4 “Permanent Works” means the permanent works to be executed by the Contractor under the Contract.</x:v>
      </x:c>
      <x:c r="G86" s="48" t="str">
        <x:v>Definition</x:v>
      </x:c>
      <x:c r="H86" s="48" t="str"/>
      <x:c r="I86" s="48" t="n">
        <x:v>0.97</x:v>
      </x:c>
      <x:c r="J86" s="48" t="n">
        <x:v>0.99</x:v>
      </x:c>
      <x:c r="K86" s="48" t="str">
        <x:v>No</x:v>
      </x:c>
      <x:c r="L86" s="48" t="str">
        <x:v>PDF text</x:v>
      </x:c>
    </x:row>
    <x:row r="87">
      <x:c r="A87" s="48" t="str">
        <x:v>YELLOW-0086</x:v>
      </x:c>
      <x:c r="B87" s="48" t="str">
        <x:v>YELLOW</x:v>
      </x:c>
      <x:c r="C87" s="48" t="str">
        <x:v>English</x:v>
      </x:c>
      <x:c r="D87" s="48" t="n">
        <x:v>20</x:v>
      </x:c>
      <x:c r="E87" s="48" t="str">
        <x:v>1.1.5.5</x:v>
      </x:c>
      <x:c r="F87" s="48" t="str">
        <x:v>1.1.5.5 “Plant” means the apparatus, machinery and vehicles intended to form or forming part of the Permanent Works.</x:v>
      </x:c>
      <x:c r="G87" s="48" t="str">
        <x:v>Definition</x:v>
      </x:c>
      <x:c r="H87" s="48" t="str"/>
      <x:c r="I87" s="48" t="n">
        <x:v>0.97</x:v>
      </x:c>
      <x:c r="J87" s="48" t="n">
        <x:v>0.99</x:v>
      </x:c>
      <x:c r="K87" s="48" t="str">
        <x:v>No</x:v>
      </x:c>
      <x:c r="L87" s="48" t="str">
        <x:v>PDF text</x:v>
      </x:c>
    </x:row>
    <x:row r="88">
      <x:c r="A88" s="48" t="str">
        <x:v>YELLOW-0087</x:v>
      </x:c>
      <x:c r="B88" s="48" t="str">
        <x:v>YELLOW</x:v>
      </x:c>
      <x:c r="C88" s="48" t="str">
        <x:v>English</x:v>
      </x:c>
      <x:c r="D88" s="48" t="n">
        <x:v>20</x:v>
      </x:c>
      <x:c r="E88" s="48" t="str">
        <x:v>1.1.5.6</x:v>
      </x:c>
      <x:c r="F88" s="48" t="str">
        <x:v>1.1.5.6 “Section” means a part of the Works specified in the Appendix to Tender as a Section (if any).</x:v>
      </x:c>
      <x:c r="G88" s="48" t="str">
        <x:v>Definition</x:v>
      </x:c>
      <x:c r="H88" s="48" t="str"/>
      <x:c r="I88" s="48" t="n">
        <x:v>0.97</x:v>
      </x:c>
      <x:c r="J88" s="48" t="n">
        <x:v>0.99</x:v>
      </x:c>
      <x:c r="K88" s="48" t="str">
        <x:v>No</x:v>
      </x:c>
      <x:c r="L88" s="48" t="str">
        <x:v>PDF text</x:v>
      </x:c>
    </x:row>
    <x:row r="89">
      <x:c r="A89" s="48" t="str">
        <x:v>YELLOW-0088</x:v>
      </x:c>
      <x:c r="B89" s="48" t="str">
        <x:v>YELLOW</x:v>
      </x:c>
      <x:c r="C89" s="48" t="str">
        <x:v>English</x:v>
      </x:c>
      <x:c r="D89" s="48" t="n">
        <x:v>20</x:v>
      </x:c>
      <x:c r="E89" s="48" t="str">
        <x:v>1.1.5.7</x:v>
      </x:c>
      <x:c r="F89" s="48" t="str">
        <x:v>1.1.5.7 “Temporary Works” means all temporary works of every kind (other than</x:v>
      </x:c>
      <x:c r="G89" s="48" t="str">
        <x:v>Definition</x:v>
      </x:c>
      <x:c r="H89" s="48" t="str"/>
      <x:c r="I89" s="48" t="n">
        <x:v>0.97</x:v>
      </x:c>
      <x:c r="J89" s="48" t="n">
        <x:v>0.99</x:v>
      </x:c>
      <x:c r="K89" s="48" t="str">
        <x:v>No</x:v>
      </x:c>
      <x:c r="L89" s="48" t="str">
        <x:v>PDF text</x:v>
      </x:c>
    </x:row>
    <x:row r="90">
      <x:c r="A90" s="48" t="str">
        <x:v>YELLOW-0089</x:v>
      </x:c>
      <x:c r="B90" s="48" t="str">
        <x:v>YELLOW</x:v>
      </x:c>
      <x:c r="C90" s="48" t="str">
        <x:v>English</x:v>
      </x:c>
      <x:c r="D90" s="48" t="n">
        <x:v>20</x:v>
      </x:c>
      <x:c r="E90" s="48" t="str"/>
      <x:c r="F90" s="48" t="str">
        <x:v>Contractor’s Equipment) required on Site for the execution and completion</x:v>
      </x:c>
      <x:c r="G90" s="48" t="str">
        <x:v>Obligation</x:v>
      </x:c>
      <x:c r="H90" s="48" t="str">
        <x:v>Contractor</x:v>
      </x:c>
      <x:c r="I90" s="48" t="n">
        <x:v>0.45</x:v>
      </x:c>
      <x:c r="J90" s="48" t="n">
        <x:v>0.68</x:v>
      </x:c>
      <x:c r="K90" s="48" t="str">
        <x:v>Yes</x:v>
      </x:c>
      <x:c r="L90" s="48" t="str">
        <x:v>PDF text</x:v>
      </x:c>
    </x:row>
    <x:row r="91">
      <x:c r="A91" s="48" t="str">
        <x:v>YELLOW-0090</x:v>
      </x:c>
      <x:c r="B91" s="48" t="str">
        <x:v>YELLOW</x:v>
      </x:c>
      <x:c r="C91" s="48" t="str">
        <x:v>English</x:v>
      </x:c>
      <x:c r="D91" s="48" t="n">
        <x:v>20</x:v>
      </x:c>
      <x:c r="E91" s="48" t="str"/>
      <x:c r="F91" s="48" t="str">
        <x:v>of the Permanent Works and the remedying of any defects.</x:v>
      </x:c>
      <x:c r="G91" s="48" t="str">
        <x:v>Obligation</x:v>
      </x:c>
      <x:c r="H91" s="48" t="str">
        <x:v>Shared</x:v>
      </x:c>
      <x:c r="I91" s="48" t="n">
        <x:v>0.45</x:v>
      </x:c>
      <x:c r="J91" s="48" t="n">
        <x:v>0.4</x:v>
      </x:c>
      <x:c r="K91" s="48" t="str">
        <x:v>Yes</x:v>
      </x:c>
      <x:c r="L91" s="48" t="str">
        <x:v>PDF text</x:v>
      </x:c>
    </x:row>
    <x:row r="92">
      <x:c r="A92" s="48" t="str">
        <x:v>YELLOW-0091</x:v>
      </x:c>
      <x:c r="B92" s="48" t="str">
        <x:v>YELLOW</x:v>
      </x:c>
      <x:c r="C92" s="48" t="str">
        <x:v>English</x:v>
      </x:c>
      <x:c r="D92" s="48" t="n">
        <x:v>20</x:v>
      </x:c>
      <x:c r="E92" s="48" t="str">
        <x:v>1.1.5.8</x:v>
      </x:c>
      <x:c r="F92" s="48" t="str">
        <x:v>1.1.5.8 “Works” mean the Permanent Works and the Temporary Works, or either of them as appropriate.</x:v>
      </x:c>
      <x:c r="G92" s="48" t="str">
        <x:v>Obligation</x:v>
      </x:c>
      <x:c r="H92" s="48" t="str">
        <x:v>Shared</x:v>
      </x:c>
      <x:c r="I92" s="48" t="n">
        <x:v>0.45</x:v>
      </x:c>
      <x:c r="J92" s="48" t="n">
        <x:v>0.4</x:v>
      </x:c>
      <x:c r="K92" s="48" t="str">
        <x:v>Yes</x:v>
      </x:c>
      <x:c r="L92" s="48" t="str">
        <x:v>PDF text</x:v>
      </x:c>
    </x:row>
    <x:row r="93">
      <x:c r="A93" s="48" t="str">
        <x:v>YELLOW-0092</x:v>
      </x:c>
      <x:c r="B93" s="48" t="str">
        <x:v>YELLOW</x:v>
      </x:c>
      <x:c r="C93" s="48" t="str">
        <x:v>English</x:v>
      </x:c>
      <x:c r="D93" s="48" t="n">
        <x:v>20</x:v>
      </x:c>
      <x:c r="E93" s="48" t="str">
        <x:v>1.1.6.1</x:v>
      </x:c>
      <x:c r="F93" s="48" t="str">
        <x:v>1.1.6.1 “Contractor’s Documents” means the calculations, computer programs and other software, drawings, manuals, models and other documents of a technical nature (if any) supplied by the Contractor under the Contract; as described in Sub-Clause 5.2 [Contractor’s Documents].</x:v>
      </x:c>
      <x:c r="G93" s="48" t="str">
        <x:v>Definition</x:v>
      </x:c>
      <x:c r="H93" s="48" t="str"/>
      <x:c r="I93" s="48" t="n">
        <x:v>0.97</x:v>
      </x:c>
      <x:c r="J93" s="48" t="n">
        <x:v>0.99</x:v>
      </x:c>
      <x:c r="K93" s="48" t="str">
        <x:v>No</x:v>
      </x:c>
      <x:c r="L93" s="48" t="str">
        <x:v>PDF text</x:v>
      </x:c>
    </x:row>
    <x:row r="94">
      <x:c r="A94" s="48" t="str">
        <x:v>YELLOW-0093</x:v>
      </x:c>
      <x:c r="B94" s="48" t="str">
        <x:v>YELLOW</x:v>
      </x:c>
      <x:c r="C94" s="48" t="str">
        <x:v>English</x:v>
      </x:c>
      <x:c r="D94" s="48" t="n">
        <x:v>20</x:v>
      </x:c>
      <x:c r="E94" s="48" t="str">
        <x:v>1.1.6.2</x:v>
      </x:c>
      <x:c r="F94" s="48" t="str">
        <x:v>1.1.6.2 “Country” means the country in which the Site (or most of it) is located, where the Permanent Works are to be executed.</x:v>
      </x:c>
      <x:c r="G94" s="48" t="str">
        <x:v>Definition</x:v>
      </x:c>
      <x:c r="H94" s="48" t="str"/>
      <x:c r="I94" s="48" t="n">
        <x:v>0.97</x:v>
      </x:c>
      <x:c r="J94" s="48" t="n">
        <x:v>0.99</x:v>
      </x:c>
      <x:c r="K94" s="48" t="str">
        <x:v>No</x:v>
      </x:c>
      <x:c r="L94" s="48" t="str">
        <x:v>PDF text</x:v>
      </x:c>
    </x:row>
    <x:row r="95">
      <x:c r="A95" s="48" t="str">
        <x:v>YELLOW-0094</x:v>
      </x:c>
      <x:c r="B95" s="48" t="str">
        <x:v>YELLOW</x:v>
      </x:c>
      <x:c r="C95" s="48" t="str">
        <x:v>English</x:v>
      </x:c>
      <x:c r="D95" s="48" t="n">
        <x:v>20</x:v>
      </x:c>
      <x:c r="E95" s="48" t="str">
        <x:v>1.1.6.3</x:v>
      </x:c>
      <x:c r="F95" s="48" t="str">
        <x:v>1.1.6.3 “Employer’s Equipment” means the apparatus, machinery and vehicles (if any) made available by the Employer for the use of the Contractor in the execution of the Works, as stated in the Employer’s Requirements; but does not include Plant which has not been taken over by the Employer.</x:v>
      </x:c>
      <x:c r="G95" s="48" t="str">
        <x:v>Definition</x:v>
      </x:c>
      <x:c r="H95" s="48" t="str"/>
      <x:c r="I95" s="48" t="n">
        <x:v>0.97</x:v>
      </x:c>
      <x:c r="J95" s="48" t="n">
        <x:v>0.99</x:v>
      </x:c>
      <x:c r="K95" s="48" t="str">
        <x:v>No</x:v>
      </x:c>
      <x:c r="L95" s="48" t="str">
        <x:v>PDF text</x:v>
      </x:c>
    </x:row>
    <x:row r="96">
      <x:c r="A96" s="48" t="str">
        <x:v>YELLOW-0095</x:v>
      </x:c>
      <x:c r="B96" s="48" t="str">
        <x:v>YELLOW</x:v>
      </x:c>
      <x:c r="C96" s="48" t="str">
        <x:v>English</x:v>
      </x:c>
      <x:c r="D96" s="48" t="n">
        <x:v>20</x:v>
      </x:c>
      <x:c r="E96" s="48" t="str">
        <x:v>1.1.6.4</x:v>
      </x:c>
      <x:c r="F96" s="48" t="str">
        <x:v>1.1.6.4 “Force Majeure” is defined in Clause 19 [Force Majeure]. 1.1.5</x:v>
      </x:c>
      <x:c r="G96" s="48" t="str">
        <x:v>Obligation</x:v>
      </x:c>
      <x:c r="H96" s="48" t="str">
        <x:v>Shared</x:v>
      </x:c>
      <x:c r="I96" s="48" t="n">
        <x:v>0.45</x:v>
      </x:c>
      <x:c r="J96" s="48" t="n">
        <x:v>0.4</x:v>
      </x:c>
      <x:c r="K96" s="48" t="str">
        <x:v>Yes</x:v>
      </x:c>
      <x:c r="L96" s="48" t="str">
        <x:v>PDF text</x:v>
      </x:c>
    </x:row>
    <x:row r="97">
      <x:c r="A97" s="48" t="str">
        <x:v>YELLOW-0096</x:v>
      </x:c>
      <x:c r="B97" s="48" t="str">
        <x:v>YELLOW</x:v>
      </x:c>
      <x:c r="C97" s="48" t="str">
        <x:v>English</x:v>
      </x:c>
      <x:c r="D97" s="48" t="n">
        <x:v>20</x:v>
      </x:c>
      <x:c r="E97" s="48" t="str"/>
      <x:c r="F97" s="48" t="str">
        <x:v>Works and Goods</x:v>
      </x:c>
      <x:c r="G97" s="48" t="str">
        <x:v>Obligation</x:v>
      </x:c>
      <x:c r="H97" s="48" t="str">
        <x:v>Shared</x:v>
      </x:c>
      <x:c r="I97" s="48" t="n">
        <x:v>0.45</x:v>
      </x:c>
      <x:c r="J97" s="48" t="n">
        <x:v>0.4</x:v>
      </x:c>
      <x:c r="K97" s="48" t="str">
        <x:v>Yes</x:v>
      </x:c>
      <x:c r="L97" s="48" t="str">
        <x:v>PDF text</x:v>
      </x:c>
    </x:row>
    <x:row r="98">
      <x:c r="A98" s="48" t="str">
        <x:v>YELLOW-0097</x:v>
      </x:c>
      <x:c r="B98" s="48" t="str">
        <x:v>YELLOW</x:v>
      </x:c>
      <x:c r="C98" s="48" t="str">
        <x:v>English</x:v>
      </x:c>
      <x:c r="D98" s="48" t="n">
        <x:v>20</x:v>
      </x:c>
      <x:c r="E98" s="48" t="str"/>
      <x:c r="F98" s="48" t="str">
        <x:v>Other Definitions</x:v>
      </x:c>
      <x:c r="G98" s="48" t="str">
        <x:v>Obligation</x:v>
      </x:c>
      <x:c r="H98" s="48" t="str">
        <x:v>Shared</x:v>
      </x:c>
      <x:c r="I98" s="48" t="n">
        <x:v>0.45</x:v>
      </x:c>
      <x:c r="J98" s="48" t="n">
        <x:v>0.4</x:v>
      </x:c>
      <x:c r="K98" s="48" t="str">
        <x:v>Yes</x:v>
      </x:c>
      <x:c r="L98" s="48" t="str">
        <x:v>PDF text</x:v>
      </x:c>
    </x:row>
    <x:row r="99">
      <x:c r="A99" s="48" t="str">
        <x:v>YELLOW-0098</x:v>
      </x:c>
      <x:c r="B99" s="48" t="str">
        <x:v>YELLOW</x:v>
      </x:c>
      <x:c r="C99" s="48" t="str">
        <x:v>English</x:v>
      </x:c>
      <x:c r="D99" s="48" t="n">
        <x:v>21</x:v>
      </x:c>
      <x:c r="E99" s="48" t="str">
        <x:v>1.1.6.5</x:v>
      </x:c>
      <x:c r="F99" s="48" t="str">
        <x:v>1.1.6.5 “Laws” means all national (or state) legislation, statutes, ordinances and other laws, and regulations and by-laws of any legally constituted public authority.</x:v>
      </x:c>
      <x:c r="G99" s="48" t="str">
        <x:v>Definition</x:v>
      </x:c>
      <x:c r="H99" s="48" t="str"/>
      <x:c r="I99" s="48" t="n">
        <x:v>0.97</x:v>
      </x:c>
      <x:c r="J99" s="48" t="n">
        <x:v>0.99</x:v>
      </x:c>
      <x:c r="K99" s="48" t="str">
        <x:v>No</x:v>
      </x:c>
      <x:c r="L99" s="48" t="str">
        <x:v>PDF text</x:v>
      </x:c>
    </x:row>
    <x:row r="100">
      <x:c r="A100" s="48" t="str">
        <x:v>YELLOW-0099</x:v>
      </x:c>
      <x:c r="B100" s="48" t="str">
        <x:v>YELLOW</x:v>
      </x:c>
      <x:c r="C100" s="48" t="str">
        <x:v>English</x:v>
      </x:c>
      <x:c r="D100" s="48" t="n">
        <x:v>21</x:v>
      </x:c>
      <x:c r="E100" s="48" t="str">
        <x:v>1.1.6.6</x:v>
      </x:c>
      <x:c r="F100" s="48" t="str">
        <x:v>1.1.6.6 “Performance Security” means the security (or securities, if any) under Sub-Clause 4.2 [Performance Security].</x:v>
      </x:c>
      <x:c r="G100" s="48" t="str">
        <x:v>Definition</x:v>
      </x:c>
      <x:c r="H100" s="48" t="str"/>
      <x:c r="I100" s="48" t="n">
        <x:v>0.97</x:v>
      </x:c>
      <x:c r="J100" s="48" t="n">
        <x:v>0.99</x:v>
      </x:c>
      <x:c r="K100" s="48" t="str">
        <x:v>No</x:v>
      </x:c>
      <x:c r="L100" s="48" t="str">
        <x:v>PDF text</x:v>
      </x:c>
    </x:row>
    <x:row r="101">
      <x:c r="A101" s="48" t="str">
        <x:v>YELLOW-0100</x:v>
      </x:c>
      <x:c r="B101" s="48" t="str">
        <x:v>YELLOW</x:v>
      </x:c>
      <x:c r="C101" s="48" t="str">
        <x:v>English</x:v>
      </x:c>
      <x:c r="D101" s="48" t="n">
        <x:v>21</x:v>
      </x:c>
      <x:c r="E101" s="48" t="str">
        <x:v>1.1.6.7</x:v>
      </x:c>
      <x:c r="F101" s="48" t="str">
        <x:v>1.1.6.7 “Site” means the places where the Permanent Works are to be executed and to which Plant and Materials are to be delivered, and any other places as may be specified in the Contract as forming part of the Site.</x:v>
      </x:c>
      <x:c r="G101" s="48" t="str">
        <x:v>Definition</x:v>
      </x:c>
      <x:c r="H101" s="48" t="str"/>
      <x:c r="I101" s="48" t="n">
        <x:v>0.97</x:v>
      </x:c>
      <x:c r="J101" s="48" t="n">
        <x:v>0.99</x:v>
      </x:c>
      <x:c r="K101" s="48" t="str">
        <x:v>No</x:v>
      </x:c>
      <x:c r="L101" s="48" t="str">
        <x:v>PDF text</x:v>
      </x:c>
    </x:row>
    <x:row r="102">
      <x:c r="A102" s="48" t="str">
        <x:v>YELLOW-0101</x:v>
      </x:c>
      <x:c r="B102" s="48" t="str">
        <x:v>YELLOW</x:v>
      </x:c>
      <x:c r="C102" s="48" t="str">
        <x:v>English</x:v>
      </x:c>
      <x:c r="D102" s="48" t="n">
        <x:v>21</x:v>
      </x:c>
      <x:c r="E102" s="48" t="str">
        <x:v>1.1.6.8</x:v>
      </x:c>
      <x:c r="F102" s="48" t="str">
        <x:v>1.1.6.8 “Unforeseeable” means not reasonably foreseeable by an experienced contractor by the date for submission of the Tender.</x:v>
      </x:c>
      <x:c r="G102" s="48" t="str">
        <x:v>Definition</x:v>
      </x:c>
      <x:c r="H102" s="48" t="str"/>
      <x:c r="I102" s="48" t="n">
        <x:v>0.97</x:v>
      </x:c>
      <x:c r="J102" s="48" t="n">
        <x:v>0.99</x:v>
      </x:c>
      <x:c r="K102" s="48" t="str">
        <x:v>No</x:v>
      </x:c>
      <x:c r="L102" s="48" t="str">
        <x:v>PDF text</x:v>
      </x:c>
    </x:row>
    <x:row r="103">
      <x:c r="A103" s="48" t="str">
        <x:v>YELLOW-0102</x:v>
      </x:c>
      <x:c r="B103" s="48" t="str">
        <x:v>YELLOW</x:v>
      </x:c>
      <x:c r="C103" s="48" t="str">
        <x:v>English</x:v>
      </x:c>
      <x:c r="D103" s="48" t="n">
        <x:v>21</x:v>
      </x:c>
      <x:c r="E103" s="48" t="str">
        <x:v>1.1.6.9</x:v>
      </x:c>
      <x:c r="F103" s="48" t="str">
        <x:v>1.1.6.9 “Variation” means any change to the Employer’s Requirements or the Works, which is instructed or approved as a variation under Clause 13 [Variations and Adjustments].</x:v>
      </x:c>
      <x:c r="G103" s="48" t="str">
        <x:v>Definition</x:v>
      </x:c>
      <x:c r="H103" s="48" t="str"/>
      <x:c r="I103" s="48" t="n">
        <x:v>0.97</x:v>
      </x:c>
      <x:c r="J103" s="48" t="n">
        <x:v>0.99</x:v>
      </x:c>
      <x:c r="K103" s="48" t="str">
        <x:v>No</x:v>
      </x:c>
      <x:c r="L103" s="48" t="str">
        <x:v>PDF text</x:v>
      </x:c>
    </x:row>
    <x:row r="104">
      <x:c r="A104" s="48" t="str">
        <x:v>YELLOW-0103</x:v>
      </x:c>
      <x:c r="B104" s="48" t="str">
        <x:v>YELLOW</x:v>
      </x:c>
      <x:c r="C104" s="48" t="str">
        <x:v>English</x:v>
      </x:c>
      <x:c r="D104" s="48" t="n">
        <x:v>21</x:v>
      </x:c>
      <x:c r="E104" s="48" t="str"/>
      <x:c r="F104" s="48" t="str">
        <x:v>In the Contract, except where the context requires otherwise: (a) words indicating one gender include all genders; (b) words indicating the singular also include the plural and words indicating the plural also include the singular; (c) provisions including the word "agree", "agreed" or "agreement" require the agreement to be recorded in writing, and (d) "written" or "in writing" means hand-written, type-written, printed or electronically made, and resulting in a permanent record.</x:v>
      </x:c>
      <x:c r="G104" s="48" t="str">
        <x:v>Definition</x:v>
      </x:c>
      <x:c r="H104" s="48" t="str"/>
      <x:c r="I104" s="48" t="n">
        <x:v>0.97</x:v>
      </x:c>
      <x:c r="J104" s="48" t="n">
        <x:v>0.99</x:v>
      </x:c>
      <x:c r="K104" s="48" t="str">
        <x:v>No</x:v>
      </x:c>
      <x:c r="L104" s="48" t="str">
        <x:v>PDF text</x:v>
      </x:c>
    </x:row>
    <x:row r="105">
      <x:c r="A105" s="48" t="str">
        <x:v>YELLOW-0104</x:v>
      </x:c>
      <x:c r="B105" s="48" t="str">
        <x:v>YELLOW</x:v>
      </x:c>
      <x:c r="C105" s="48" t="str">
        <x:v>English</x:v>
      </x:c>
      <x:c r="D105" s="48" t="n">
        <x:v>21</x:v>
      </x:c>
      <x:c r="E105" s="48" t="str"/>
      <x:c r="F105" s="48" t="str">
        <x:v>The marginal words and other headings shall not be taken into consideration in the interpretation of these Conditions.</x:v>
      </x:c>
      <x:c r="G105" s="48" t="str">
        <x:v>Obligation</x:v>
      </x:c>
      <x:c r="H105" s="48" t="str">
        <x:v>Shared</x:v>
      </x:c>
      <x:c r="I105" s="48" t="n">
        <x:v>0.88</x:v>
      </x:c>
      <x:c r="J105" s="48" t="n">
        <x:v>0.4</x:v>
      </x:c>
      <x:c r="K105" s="48" t="str">
        <x:v>Yes</x:v>
      </x:c>
      <x:c r="L105" s="48" t="str">
        <x:v>PDF text</x:v>
      </x:c>
    </x:row>
    <x:row r="106">
      <x:c r="A106" s="48" t="str">
        <x:v>YELLOW-0105</x:v>
      </x:c>
      <x:c r="B106" s="48" t="str">
        <x:v>YELLOW</x:v>
      </x:c>
      <x:c r="C106" s="48" t="str">
        <x:v>English</x:v>
      </x:c>
      <x:c r="D106" s="48" t="n">
        <x:v>21</x:v>
      </x:c>
      <x:c r="E106" s="48" t="str"/>
      <x:c r="F106" s="48" t="str">
        <x:v>Wherever these Conditions provide for the giving or issuing of approvals, certificates, consents, determinations, notices and requests, these communications shall be: (a) in writing and delivered by hand (against receipt), sent by mail or courier, or transmitted using any of the agreed systems of electronic transmission as stated in the Appendix to Tender; and (b) delivered, sent or transmitted to the address for the recipient's communications as stated in the Appendix to Tender.</x:v>
      </x:c>
      <x:c r="G106" s="48" t="str">
        <x:v>Obligation</x:v>
      </x:c>
      <x:c r="H106" s="48" t="str">
        <x:v>Shared</x:v>
      </x:c>
      <x:c r="I106" s="48" t="n">
        <x:v>0.88</x:v>
      </x:c>
      <x:c r="J106" s="48" t="n">
        <x:v>0.4</x:v>
      </x:c>
      <x:c r="K106" s="48" t="str">
        <x:v>Yes</x:v>
      </x:c>
      <x:c r="L106" s="48" t="str">
        <x:v>PDF text</x:v>
      </x:c>
    </x:row>
    <x:row r="107">
      <x:c r="A107" s="48" t="str">
        <x:v>YELLOW-0106</x:v>
      </x:c>
      <x:c r="B107" s="48" t="str">
        <x:v>YELLOW</x:v>
      </x:c>
      <x:c r="C107" s="48" t="str">
        <x:v>English</x:v>
      </x:c>
      <x:c r="D107" s="48" t="n">
        <x:v>21</x:v>
      </x:c>
      <x:c r="E107" s="48" t="str"/>
      <x:c r="F107" s="48" t="str">
        <x:v>However: (i) if the recipient gives notice of another address, communications shall thereafter be delivered accordingly; and (ii) if the recipient has not stated otherwise when requesting an approval or consent, it may be sent to the address from which the request was issued.</x:v>
      </x:c>
      <x:c r="G107" s="48" t="str">
        <x:v>Obligation</x:v>
      </x:c>
      <x:c r="H107" s="48" t="str">
        <x:v>Shared</x:v>
      </x:c>
      <x:c r="I107" s="48" t="n">
        <x:v>0.88</x:v>
      </x:c>
      <x:c r="J107" s="48" t="n">
        <x:v>0.4</x:v>
      </x:c>
      <x:c r="K107" s="48" t="str">
        <x:v>Yes</x:v>
      </x:c>
      <x:c r="L107" s="48" t="str">
        <x:v>PDF text</x:v>
      </x:c>
    </x:row>
    <x:row r="108">
      <x:c r="A108" s="48" t="str">
        <x:v>YELLOW-0107</x:v>
      </x:c>
      <x:c r="B108" s="48" t="str">
        <x:v>YELLOW</x:v>
      </x:c>
      <x:c r="C108" s="48" t="str">
        <x:v>English</x:v>
      </x:c>
      <x:c r="D108" s="48" t="n">
        <x:v>21</x:v>
      </x:c>
      <x:c r="E108" s="48" t="str"/>
      <x:c r="F108" s="48" t="str">
        <x:v>Approvals, certificates, consents and determinations shall not be unreasonably</x:v>
      </x:c>
      <x:c r="G108" s="48" t="str">
        <x:v>Obligation</x:v>
      </x:c>
      <x:c r="H108" s="48" t="str">
        <x:v>Shared</x:v>
      </x:c>
      <x:c r="I108" s="48" t="n">
        <x:v>0.88</x:v>
      </x:c>
      <x:c r="J108" s="48" t="n">
        <x:v>0.4</x:v>
      </x:c>
      <x:c r="K108" s="48" t="str">
        <x:v>Yes</x:v>
      </x:c>
      <x:c r="L108" s="48" t="str">
        <x:v>PDF text</x:v>
      </x:c>
    </x:row>
    <x:row r="109">
      <x:c r="A109" s="48" t="str">
        <x:v>YELLOW-0108</x:v>
      </x:c>
      <x:c r="B109" s="48" t="str">
        <x:v>YELLOW</x:v>
      </x:c>
      <x:c r="C109" s="48" t="str">
        <x:v>English</x:v>
      </x:c>
      <x:c r="D109" s="48" t="n">
        <x:v>21</x:v>
      </x:c>
      <x:c r="E109" s="48" t="str"/>
      <x:c r="F109" s="48" t="str">
        <x:v>withheld or delayed.</x:v>
      </x:c>
      <x:c r="G109" s="48" t="str">
        <x:v>Obligation</x:v>
      </x:c>
      <x:c r="H109" s="48" t="str">
        <x:v>Shared</x:v>
      </x:c>
      <x:c r="I109" s="48" t="n">
        <x:v>0.45</x:v>
      </x:c>
      <x:c r="J109" s="48" t="n">
        <x:v>0.4</x:v>
      </x:c>
      <x:c r="K109" s="48" t="str">
        <x:v>Yes</x:v>
      </x:c>
      <x:c r="L109" s="48" t="str">
        <x:v>PDF text</x:v>
      </x:c>
    </x:row>
    <x:row r="110">
      <x:c r="A110" s="48" t="str">
        <x:v>YELLOW-0109</x:v>
      </x:c>
      <x:c r="B110" s="48" t="str">
        <x:v>YELLOW</x:v>
      </x:c>
      <x:c r="C110" s="48" t="str">
        <x:v>English</x:v>
      </x:c>
      <x:c r="D110" s="48" t="n">
        <x:v>21</x:v>
      </x:c>
      <x:c r="E110" s="48" t="str"/>
      <x:c r="F110" s="48" t="str">
        <x:v>When a certificate is issued to a Party, the certifier shall send a copy to the other Party.</x:v>
      </x:c>
      <x:c r="G110" s="48" t="str">
        <x:v>Obligation</x:v>
      </x:c>
      <x:c r="H110" s="48" t="str">
        <x:v>Shared</x:v>
      </x:c>
      <x:c r="I110" s="48" t="n">
        <x:v>0.88</x:v>
      </x:c>
      <x:c r="J110" s="48" t="n">
        <x:v>0.4</x:v>
      </x:c>
      <x:c r="K110" s="48" t="str">
        <x:v>Yes</x:v>
      </x:c>
      <x:c r="L110" s="48" t="str">
        <x:v>PDF text</x:v>
      </x:c>
    </x:row>
    <x:row r="111">
      <x:c r="A111" s="48" t="str">
        <x:v>YELLOW-0110</x:v>
      </x:c>
      <x:c r="B111" s="48" t="str">
        <x:v>YELLOW</x:v>
      </x:c>
      <x:c r="C111" s="48" t="str">
        <x:v>English</x:v>
      </x:c>
      <x:c r="D111" s="48" t="n">
        <x:v>21</x:v>
      </x:c>
      <x:c r="E111" s="48" t="str"/>
      <x:c r="F111" s="48" t="str">
        <x:v>When a notice is issued to a Party, by the other Party or the Engineer, a copy shall be sent to the Engineer or the other Party, as the case may be.</x:v>
      </x:c>
      <x:c r="G111" s="48" t="str">
        <x:v>Obligation</x:v>
      </x:c>
      <x:c r="H111" s="48" t="str">
        <x:v>Shared</x:v>
      </x:c>
      <x:c r="I111" s="48" t="n">
        <x:v>0.88</x:v>
      </x:c>
      <x:c r="J111" s="48" t="n">
        <x:v>0.4</x:v>
      </x:c>
      <x:c r="K111" s="48" t="str">
        <x:v>Yes</x:v>
      </x:c>
      <x:c r="L111" s="48" t="str">
        <x:v>PDF text</x:v>
      </x:c>
    </x:row>
    <x:row r="112">
      <x:c r="A112" s="48" t="str">
        <x:v>YELLOW-0111</x:v>
      </x:c>
      <x:c r="B112" s="48" t="str">
        <x:v>YELLOW</x:v>
      </x:c>
      <x:c r="C112" s="48" t="str">
        <x:v>English</x:v>
      </x:c>
      <x:c r="D112" s="48" t="n">
        <x:v>21</x:v>
      </x:c>
      <x:c r="E112" s="48" t="str"/>
      <x:c r="F112" s="48" t="str">
        <x:v>The Contract shall be governed by the law of the country (or other jurisdiction) stated in the Appendix to Tender.</x:v>
      </x:c>
      <x:c r="G112" s="48" t="str">
        <x:v>Obligation</x:v>
      </x:c>
      <x:c r="H112" s="48" t="str">
        <x:v>Shared</x:v>
      </x:c>
      <x:c r="I112" s="48" t="n">
        <x:v>0.88</x:v>
      </x:c>
      <x:c r="J112" s="48" t="n">
        <x:v>0.4</x:v>
      </x:c>
      <x:c r="K112" s="48" t="str">
        <x:v>Yes</x:v>
      </x:c>
      <x:c r="L112" s="48" t="str">
        <x:v>PDF text</x:v>
      </x:c>
    </x:row>
    <x:row r="113">
      <x:c r="A113" s="48" t="str">
        <x:v>YELLOW-0112</x:v>
      </x:c>
      <x:c r="B113" s="48" t="str">
        <x:v>YELLOW</x:v>
      </x:c>
      <x:c r="C113" s="48" t="str">
        <x:v>English</x:v>
      </x:c>
      <x:c r="D113" s="48" t="n">
        <x:v>21</x:v>
      </x:c>
      <x:c r="E113" s="48" t="str"/>
      <x:c r="F113" s="48" t="str">
        <x:v>Interpretation</x:v>
      </x:c>
      <x:c r="G113" s="48" t="str">
        <x:v>Obligation</x:v>
      </x:c>
      <x:c r="H113" s="48" t="str">
        <x:v>Shared</x:v>
      </x:c>
      <x:c r="I113" s="48" t="n">
        <x:v>0.45</x:v>
      </x:c>
      <x:c r="J113" s="48" t="n">
        <x:v>0.4</x:v>
      </x:c>
      <x:c r="K113" s="48" t="str">
        <x:v>Yes</x:v>
      </x:c>
      <x:c r="L113" s="48" t="str">
        <x:v>PDF text</x:v>
      </x:c>
    </x:row>
    <x:row r="114">
      <x:c r="A114" s="48" t="str">
        <x:v>YELLOW-0113</x:v>
      </x:c>
      <x:c r="B114" s="48" t="str">
        <x:v>YELLOW</x:v>
      </x:c>
      <x:c r="C114" s="48" t="str">
        <x:v>English</x:v>
      </x:c>
      <x:c r="D114" s="48" t="n">
        <x:v>21</x:v>
      </x:c>
      <x:c r="E114" s="48" t="str"/>
      <x:c r="F114" s="48" t="str">
        <x:v>Communications</x:v>
      </x:c>
      <x:c r="G114" s="48" t="str">
        <x:v>Obligation</x:v>
      </x:c>
      <x:c r="H114" s="48" t="str">
        <x:v>Shared</x:v>
      </x:c>
      <x:c r="I114" s="48" t="n">
        <x:v>0.45</x:v>
      </x:c>
      <x:c r="J114" s="48" t="n">
        <x:v>0.4</x:v>
      </x:c>
      <x:c r="K114" s="48" t="str">
        <x:v>Yes</x:v>
      </x:c>
      <x:c r="L114" s="48" t="str">
        <x:v>PDF text</x:v>
      </x:c>
    </x:row>
    <x:row r="115">
      <x:c r="A115" s="48" t="str">
        <x:v>YELLOW-0114</x:v>
      </x:c>
      <x:c r="B115" s="48" t="str">
        <x:v>YELLOW</x:v>
      </x:c>
      <x:c r="C115" s="48" t="str">
        <x:v>English</x:v>
      </x:c>
      <x:c r="D115" s="48" t="n">
        <x:v>21</x:v>
      </x:c>
      <x:c r="E115" s="48" t="str"/>
      <x:c r="F115" s="48" t="str">
        <x:v>Law and Language</x:v>
      </x:c>
      <x:c r="G115" s="48" t="str">
        <x:v>Obligation</x:v>
      </x:c>
      <x:c r="H115" s="48" t="str">
        <x:v>Shared</x:v>
      </x:c>
      <x:c r="I115" s="48" t="n">
        <x:v>0.45</x:v>
      </x:c>
      <x:c r="J115" s="48" t="n">
        <x:v>0.4</x:v>
      </x:c>
      <x:c r="K115" s="48" t="str">
        <x:v>Yes</x:v>
      </x:c>
      <x:c r="L115" s="48" t="str">
        <x:v>PDF text</x:v>
      </x:c>
    </x:row>
    <x:row r="116">
      <x:c r="A116" s="48" t="str">
        <x:v>YELLOW-0115</x:v>
      </x:c>
      <x:c r="B116" s="48" t="str">
        <x:v>YELLOW</x:v>
      </x:c>
      <x:c r="C116" s="48" t="str">
        <x:v>English</x:v>
      </x:c>
      <x:c r="D116" s="48" t="n">
        <x:v>22</x:v>
      </x:c>
      <x:c r="E116" s="48" t="str"/>
      <x:c r="F116" s="48" t="str">
        <x:v>If there are versions of any part of the Contract which are written in more than one language, the version which is in the ruling language stated in the Appendix to Tender shall prevail.</x:v>
      </x:c>
      <x:c r="G116" s="48" t="str">
        <x:v>Obligation</x:v>
      </x:c>
      <x:c r="H116" s="48" t="str">
        <x:v>Shared</x:v>
      </x:c>
      <x:c r="I116" s="48" t="n">
        <x:v>0.88</x:v>
      </x:c>
      <x:c r="J116" s="48" t="n">
        <x:v>0.4</x:v>
      </x:c>
      <x:c r="K116" s="48" t="str">
        <x:v>Yes</x:v>
      </x:c>
      <x:c r="L116" s="48" t="str">
        <x:v>PDF text</x:v>
      </x:c>
    </x:row>
    <x:row r="117">
      <x:c r="A117" s="48" t="str">
        <x:v>YELLOW-0116</x:v>
      </x:c>
      <x:c r="B117" s="48" t="str">
        <x:v>YELLOW</x:v>
      </x:c>
      <x:c r="C117" s="48" t="str">
        <x:v>English</x:v>
      </x:c>
      <x:c r="D117" s="48" t="n">
        <x:v>22</x:v>
      </x:c>
      <x:c r="E117" s="48" t="str"/>
      <x:c r="F117" s="48" t="str">
        <x:v>The language for communications shall be that stated in the Appendix to Tender.</x:v>
      </x:c>
      <x:c r="G117" s="48" t="str">
        <x:v>Obligation</x:v>
      </x:c>
      <x:c r="H117" s="48" t="str">
        <x:v>Shared</x:v>
      </x:c>
      <x:c r="I117" s="48" t="n">
        <x:v>0.88</x:v>
      </x:c>
      <x:c r="J117" s="48" t="n">
        <x:v>0.4</x:v>
      </x:c>
      <x:c r="K117" s="48" t="str">
        <x:v>Yes</x:v>
      </x:c>
      <x:c r="L117" s="48" t="str">
        <x:v>PDF text</x:v>
      </x:c>
    </x:row>
    <x:row r="118">
      <x:c r="A118" s="48" t="str">
        <x:v>YELLOW-0117</x:v>
      </x:c>
      <x:c r="B118" s="48" t="str">
        <x:v>YELLOW</x:v>
      </x:c>
      <x:c r="C118" s="48" t="str">
        <x:v>English</x:v>
      </x:c>
      <x:c r="D118" s="48" t="n">
        <x:v>22</x:v>
      </x:c>
      <x:c r="E118" s="48" t="str"/>
      <x:c r="F118" s="48" t="str">
        <x:v>If no language is stated there, the language for communications shall be the language in which the Contract (or most of it) is written.</x:v>
      </x:c>
      <x:c r="G118" s="48" t="str">
        <x:v>Obligation</x:v>
      </x:c>
      <x:c r="H118" s="48" t="str">
        <x:v>Shared</x:v>
      </x:c>
      <x:c r="I118" s="48" t="n">
        <x:v>0.88</x:v>
      </x:c>
      <x:c r="J118" s="48" t="n">
        <x:v>0.4</x:v>
      </x:c>
      <x:c r="K118" s="48" t="str">
        <x:v>Yes</x:v>
      </x:c>
      <x:c r="L118" s="48" t="str">
        <x:v>PDF text</x:v>
      </x:c>
    </x:row>
    <x:row r="119">
      <x:c r="A119" s="48" t="str">
        <x:v>YELLOW-0118</x:v>
      </x:c>
      <x:c r="B119" s="48" t="str">
        <x:v>YELLOW</x:v>
      </x:c>
      <x:c r="C119" s="48" t="str">
        <x:v>English</x:v>
      </x:c>
      <x:c r="D119" s="48" t="n">
        <x:v>22</x:v>
      </x:c>
      <x:c r="E119" s="48" t="str"/>
      <x:c r="F119" s="48" t="str">
        <x:v>The documents forming the Contract are to be taken as mutually explanatory of one</x:v>
      </x:c>
      <x:c r="G119" s="48" t="str">
        <x:v>Obligation</x:v>
      </x:c>
      <x:c r="H119" s="48" t="str">
        <x:v>Shared</x:v>
      </x:c>
      <x:c r="I119" s="48" t="n">
        <x:v>0.45</x:v>
      </x:c>
      <x:c r="J119" s="48" t="n">
        <x:v>0.4</x:v>
      </x:c>
      <x:c r="K119" s="48" t="str">
        <x:v>Yes</x:v>
      </x:c>
      <x:c r="L119" s="48" t="str">
        <x:v>PDF text</x:v>
      </x:c>
    </x:row>
    <x:row r="120">
      <x:c r="A120" s="48" t="str">
        <x:v>YELLOW-0119</x:v>
      </x:c>
      <x:c r="B120" s="48" t="str">
        <x:v>YELLOW</x:v>
      </x:c>
      <x:c r="C120" s="48" t="str">
        <x:v>English</x:v>
      </x:c>
      <x:c r="D120" s="48" t="n">
        <x:v>22</x:v>
      </x:c>
      <x:c r="E120" s="48" t="str"/>
      <x:c r="F120" s="48" t="str">
        <x:v>another.</x:v>
      </x:c>
      <x:c r="G120" s="48" t="str">
        <x:v>Obligation</x:v>
      </x:c>
      <x:c r="H120" s="48" t="str">
        <x:v>Shared</x:v>
      </x:c>
      <x:c r="I120" s="48" t="n">
        <x:v>0.45</x:v>
      </x:c>
      <x:c r="J120" s="48" t="n">
        <x:v>0.4</x:v>
      </x:c>
      <x:c r="K120" s="48" t="str">
        <x:v>Yes</x:v>
      </x:c>
      <x:c r="L120" s="48" t="str">
        <x:v>PDF text</x:v>
      </x:c>
    </x:row>
    <x:row r="121">
      <x:c r="A121" s="48" t="str">
        <x:v>YELLOW-0120</x:v>
      </x:c>
      <x:c r="B121" s="48" t="str">
        <x:v>YELLOW</x:v>
      </x:c>
      <x:c r="C121" s="48" t="str">
        <x:v>English</x:v>
      </x:c>
      <x:c r="D121" s="48" t="n">
        <x:v>22</x:v>
      </x:c>
      <x:c r="E121" s="48" t="str"/>
      <x:c r="F121" s="48" t="str">
        <x:v>For the purposes of interpretation, the priority of the documents shall be in accordance with the following sequence: (a) the Contract Agreement (if any), (b) the Letter of Acceptance, (c) the Letter of Tender, (d) the Particular Conditions, (e) these General Conditions, (f) the Employer's Requirements, (g) the Schedules, and (h) the Contractor's Proposal and any other documents forming part of the Contract.</x:v>
      </x:c>
      <x:c r="G121" s="48" t="str">
        <x:v>Obligation</x:v>
      </x:c>
      <x:c r="H121" s="48" t="str">
        <x:v>Shared</x:v>
      </x:c>
      <x:c r="I121" s="48" t="n">
        <x:v>0.88</x:v>
      </x:c>
      <x:c r="J121" s="48" t="n">
        <x:v>0.6</x:v>
      </x:c>
      <x:c r="K121" s="48" t="str">
        <x:v>Yes</x:v>
      </x:c>
      <x:c r="L121" s="48" t="str">
        <x:v>PDF text</x:v>
      </x:c>
    </x:row>
    <x:row r="122">
      <x:c r="A122" s="48" t="str">
        <x:v>YELLOW-0121</x:v>
      </x:c>
      <x:c r="B122" s="48" t="str">
        <x:v>YELLOW</x:v>
      </x:c>
      <x:c r="C122" s="48" t="str">
        <x:v>English</x:v>
      </x:c>
      <x:c r="D122" s="48" t="n">
        <x:v>22</x:v>
      </x:c>
      <x:c r="E122" s="48" t="str"/>
      <x:c r="F122" s="48" t="str">
        <x:v>If an ambiguity or discrepancy is found in the documents, the Engineer shall issue any necessary clarification or instruction.</x:v>
      </x:c>
      <x:c r="G122" s="48" t="str">
        <x:v>Obligation</x:v>
      </x:c>
      <x:c r="H122" s="48" t="str">
        <x:v>Shared</x:v>
      </x:c>
      <x:c r="I122" s="48" t="n">
        <x:v>0.88</x:v>
      </x:c>
      <x:c r="J122" s="48" t="n">
        <x:v>0.4</x:v>
      </x:c>
      <x:c r="K122" s="48" t="str">
        <x:v>Yes</x:v>
      </x:c>
      <x:c r="L122" s="48" t="str">
        <x:v>PDF text</x:v>
      </x:c>
    </x:row>
    <x:row r="123">
      <x:c r="A123" s="48" t="str">
        <x:v>YELLOW-0122</x:v>
      </x:c>
      <x:c r="B123" s="48" t="str">
        <x:v>YELLOW</x:v>
      </x:c>
      <x:c r="C123" s="48" t="str">
        <x:v>English</x:v>
      </x:c>
      <x:c r="D123" s="48" t="n">
        <x:v>22</x:v>
      </x:c>
      <x:c r="E123" s="48" t="str"/>
      <x:c r="F123" s="48" t="str">
        <x:v>The Parties shall enter into a Contract Agreement within 28 days after the Contractor receives the Letter of Acceptance, unless they agree otherwise.</x:v>
      </x:c>
      <x:c r="G123" s="48" t="str">
        <x:v>Obligation</x:v>
      </x:c>
      <x:c r="H123" s="48" t="str">
        <x:v>Shared</x:v>
      </x:c>
      <x:c r="I123" s="48" t="n">
        <x:v>0.88</x:v>
      </x:c>
      <x:c r="J123" s="48" t="n">
        <x:v>0.93</x:v>
      </x:c>
      <x:c r="K123" s="48" t="str">
        <x:v>No</x:v>
      </x:c>
      <x:c r="L123" s="48" t="str">
        <x:v>PDF text</x:v>
      </x:c>
    </x:row>
    <x:row r="124">
      <x:c r="A124" s="48" t="str">
        <x:v>YELLOW-0123</x:v>
      </x:c>
      <x:c r="B124" s="48" t="str">
        <x:v>YELLOW</x:v>
      </x:c>
      <x:c r="C124" s="48" t="str">
        <x:v>English</x:v>
      </x:c>
      <x:c r="D124" s="48" t="n">
        <x:v>22</x:v>
      </x:c>
      <x:c r="E124" s="48" t="str"/>
      <x:c r="F124" s="48" t="str">
        <x:v>The Contract Agreement shall be based upon the form annexed to the Particular Conditions.</x:v>
      </x:c>
      <x:c r="G124" s="48" t="str">
        <x:v>Obligation</x:v>
      </x:c>
      <x:c r="H124" s="48" t="str">
        <x:v>Shared</x:v>
      </x:c>
      <x:c r="I124" s="48" t="n">
        <x:v>0.88</x:v>
      </x:c>
      <x:c r="J124" s="48" t="n">
        <x:v>0.4</x:v>
      </x:c>
      <x:c r="K124" s="48" t="str">
        <x:v>Yes</x:v>
      </x:c>
      <x:c r="L124" s="48" t="str">
        <x:v>PDF text</x:v>
      </x:c>
    </x:row>
    <x:row r="125">
      <x:c r="A125" s="48" t="str">
        <x:v>YELLOW-0124</x:v>
      </x:c>
      <x:c r="B125" s="48" t="str">
        <x:v>YELLOW</x:v>
      </x:c>
      <x:c r="C125" s="48" t="str">
        <x:v>English</x:v>
      </x:c>
      <x:c r="D125" s="48" t="n">
        <x:v>22</x:v>
      </x:c>
      <x:c r="E125" s="48" t="str"/>
      <x:c r="F125" s="48" t="str">
        <x:v>The costs of stamp duties and similar charges (if any) imposed by law in connection with entry into the Contract Agreement shall be borne by the Employer.</x:v>
      </x:c>
      <x:c r="G125" s="48" t="str">
        <x:v>Obligation</x:v>
      </x:c>
      <x:c r="H125" s="48" t="str">
        <x:v>Employer</x:v>
      </x:c>
      <x:c r="I125" s="48" t="n">
        <x:v>0.88</x:v>
      </x:c>
      <x:c r="J125" s="48" t="n">
        <x:v>0.68</x:v>
      </x:c>
      <x:c r="K125" s="48" t="str">
        <x:v>Yes</x:v>
      </x:c>
      <x:c r="L125" s="48" t="str">
        <x:v>PDF text</x:v>
      </x:c>
    </x:row>
    <x:row r="126">
      <x:c r="A126" s="48" t="str">
        <x:v>YELLOW-0125</x:v>
      </x:c>
      <x:c r="B126" s="48" t="str">
        <x:v>YELLOW</x:v>
      </x:c>
      <x:c r="C126" s="48" t="str">
        <x:v>English</x:v>
      </x:c>
      <x:c r="D126" s="48" t="n">
        <x:v>22</x:v>
      </x:c>
      <x:c r="E126" s="48" t="str"/>
      <x:c r="F126" s="48" t="str">
        <x:v>Neither Party shall assign the whole or any part of the Contract or any benefit or interest in or under the Contract.</x:v>
      </x:c>
      <x:c r="G126" s="48" t="str">
        <x:v>Obligation</x:v>
      </x:c>
      <x:c r="H126" s="48" t="str">
        <x:v>Shared</x:v>
      </x:c>
      <x:c r="I126" s="48" t="n">
        <x:v>0.88</x:v>
      </x:c>
      <x:c r="J126" s="48" t="n">
        <x:v>0.4</x:v>
      </x:c>
      <x:c r="K126" s="48" t="str">
        <x:v>Yes</x:v>
      </x:c>
      <x:c r="L126" s="48" t="str">
        <x:v>PDF text</x:v>
      </x:c>
    </x:row>
    <x:row r="127">
      <x:c r="A127" s="48" t="str">
        <x:v>YELLOW-0126</x:v>
      </x:c>
      <x:c r="B127" s="48" t="str">
        <x:v>YELLOW</x:v>
      </x:c>
      <x:c r="C127" s="48" t="str">
        <x:v>English</x:v>
      </x:c>
      <x:c r="D127" s="48" t="n">
        <x:v>22</x:v>
      </x:c>
      <x:c r="E127" s="48" t="str"/>
      <x:c r="F127" s="48" t="str">
        <x:v>However, either Party: (a) may assign the whole or any part with the prior agreement of the other Party, at the sole discretion of such other Party, and (b) may, as security in favour of a bank or financial institution, assign its right to any moneys due, or to become due, under the Contract.</x:v>
      </x:c>
      <x:c r="G127" s="48" t="str">
        <x:v>Right</x:v>
      </x:c>
      <x:c r="H127" s="48" t="str">
        <x:v>Shared</x:v>
      </x:c>
      <x:c r="I127" s="48" t="n">
        <x:v>0.78</x:v>
      </x:c>
      <x:c r="J127" s="48" t="n">
        <x:v>0.93</x:v>
      </x:c>
      <x:c r="K127" s="48" t="str">
        <x:v>No</x:v>
      </x:c>
      <x:c r="L127" s="48" t="str">
        <x:v>PDF text</x:v>
      </x:c>
    </x:row>
    <x:row r="128">
      <x:c r="A128" s="48" t="str">
        <x:v>YELLOW-0127</x:v>
      </x:c>
      <x:c r="B128" s="48" t="str">
        <x:v>YELLOW</x:v>
      </x:c>
      <x:c r="C128" s="48" t="str">
        <x:v>English</x:v>
      </x:c>
      <x:c r="D128" s="48" t="n">
        <x:v>22</x:v>
      </x:c>
      <x:c r="E128" s="48" t="str"/>
      <x:c r="F128" s="48" t="str">
        <x:v>Each of the Contractor's Documents shall be in the custody and care of the</x:v>
      </x:c>
      <x:c r="G128" s="48" t="str">
        <x:v>Obligation</x:v>
      </x:c>
      <x:c r="H128" s="48" t="str">
        <x:v>Contractor</x:v>
      </x:c>
      <x:c r="I128" s="48" t="n">
        <x:v>0.88</x:v>
      </x:c>
      <x:c r="J128" s="48" t="n">
        <x:v>0.68</x:v>
      </x:c>
      <x:c r="K128" s="48" t="str">
        <x:v>Yes</x:v>
      </x:c>
      <x:c r="L128" s="48" t="str">
        <x:v>PDF text</x:v>
      </x:c>
    </x:row>
    <x:row r="129">
      <x:c r="A129" s="48" t="str">
        <x:v>YELLOW-0128</x:v>
      </x:c>
      <x:c r="B129" s="48" t="str">
        <x:v>YELLOW</x:v>
      </x:c>
      <x:c r="C129" s="48" t="str">
        <x:v>English</x:v>
      </x:c>
      <x:c r="D129" s="48" t="n">
        <x:v>22</x:v>
      </x:c>
      <x:c r="E129" s="48" t="str"/>
      <x:c r="F129" s="48" t="str">
        <x:v>Contractor, unless and until taken over by the Employer.</x:v>
      </x:c>
      <x:c r="G129" s="48" t="str">
        <x:v>Obligation</x:v>
      </x:c>
      <x:c r="H129" s="48" t="str">
        <x:v>Shared</x:v>
      </x:c>
      <x:c r="I129" s="48" t="n">
        <x:v>0.45</x:v>
      </x:c>
      <x:c r="J129" s="48" t="n">
        <x:v>0.6</x:v>
      </x:c>
      <x:c r="K129" s="48" t="str">
        <x:v>Yes</x:v>
      </x:c>
      <x:c r="L129" s="48" t="str">
        <x:v>PDF text</x:v>
      </x:c>
    </x:row>
    <x:row r="130">
      <x:c r="A130" s="48" t="str">
        <x:v>YELLOW-0129</x:v>
      </x:c>
      <x:c r="B130" s="48" t="str">
        <x:v>YELLOW</x:v>
      </x:c>
      <x:c r="C130" s="48" t="str">
        <x:v>English</x:v>
      </x:c>
      <x:c r="D130" s="48" t="n">
        <x:v>22</x:v>
      </x:c>
      <x:c r="E130" s="48" t="str"/>
      <x:c r="F130" s="48" t="str">
        <x:v>Unless otherwise stated in the Contract, the Contractor shall supply to the Engineer six copies of each of the Contractor's Documents.</x:v>
      </x:c>
      <x:c r="G130" s="48" t="str">
        <x:v>Obligation</x:v>
      </x:c>
      <x:c r="H130" s="48" t="str">
        <x:v>Contractor</x:v>
      </x:c>
      <x:c r="I130" s="48" t="n">
        <x:v>0.88</x:v>
      </x:c>
      <x:c r="J130" s="48" t="n">
        <x:v>0.92</x:v>
      </x:c>
      <x:c r="K130" s="48" t="str">
        <x:v>No</x:v>
      </x:c>
      <x:c r="L130" s="48" t="str">
        <x:v>PDF text</x:v>
      </x:c>
    </x:row>
    <x:row r="131">
      <x:c r="A131" s="48" t="str">
        <x:v>YELLOW-0130</x:v>
      </x:c>
      <x:c r="B131" s="48" t="str">
        <x:v>YELLOW</x:v>
      </x:c>
      <x:c r="C131" s="48" t="str">
        <x:v>English</x:v>
      </x:c>
      <x:c r="D131" s="48" t="n">
        <x:v>22</x:v>
      </x:c>
      <x:c r="E131" s="48" t="str"/>
      <x:c r="F131" s="48" t="str">
        <x:v>The Contractor shall keep, on the Site, a copy of the Contract, publications named in the Employer's Requirements, the Contractor's Documents, and Variations and other communications given under the Contract.</x:v>
      </x:c>
      <x:c r="G131" s="48" t="str">
        <x:v>Obligation</x:v>
      </x:c>
      <x:c r="H131" s="48" t="str">
        <x:v>Contractor</x:v>
      </x:c>
      <x:c r="I131" s="48" t="n">
        <x:v>0.88</x:v>
      </x:c>
      <x:c r="J131" s="48" t="n">
        <x:v>0.92</x:v>
      </x:c>
      <x:c r="K131" s="48" t="str">
        <x:v>No</x:v>
      </x:c>
      <x:c r="L131" s="48" t="str">
        <x:v>PDF text</x:v>
      </x:c>
    </x:row>
    <x:row r="132">
      <x:c r="A132" s="48" t="str">
        <x:v>YELLOW-0131</x:v>
      </x:c>
      <x:c r="B132" s="48" t="str">
        <x:v>YELLOW</x:v>
      </x:c>
      <x:c r="C132" s="48" t="str">
        <x:v>English</x:v>
      </x:c>
      <x:c r="D132" s="48" t="n">
        <x:v>22</x:v>
      </x:c>
      <x:c r="E132" s="48" t="str"/>
      <x:c r="F132" s="48" t="str">
        <x:v>The Employer's Personnel shall have the right of access to all these documents at all reasonable times.</x:v>
      </x:c>
      <x:c r="G132" s="48" t="str">
        <x:v>Obligation</x:v>
      </x:c>
      <x:c r="H132" s="48" t="str">
        <x:v>Employer</x:v>
      </x:c>
      <x:c r="I132" s="48" t="n">
        <x:v>0.88</x:v>
      </x:c>
      <x:c r="J132" s="48" t="n">
        <x:v>0.68</x:v>
      </x:c>
      <x:c r="K132" s="48" t="str">
        <x:v>Yes</x:v>
      </x:c>
      <x:c r="L132" s="48" t="str">
        <x:v>PDF text</x:v>
      </x:c>
    </x:row>
    <x:row r="133">
      <x:c r="A133" s="48" t="str">
        <x:v>YELLOW-0132</x:v>
      </x:c>
      <x:c r="B133" s="48" t="str">
        <x:v>YELLOW</x:v>
      </x:c>
      <x:c r="C133" s="48" t="str">
        <x:v>English</x:v>
      </x:c>
      <x:c r="D133" s="48" t="n">
        <x:v>22</x:v>
      </x:c>
      <x:c r="E133" s="48" t="str"/>
      <x:c r="F133" s="48" t="str">
        <x:v>If a Party becomes aware of an error or defect of a technical nature in a document which was prepared for use in executing the Works, the Party shall promptly give notice to the other Party of such error or defect.</x:v>
      </x:c>
      <x:c r="G133" s="48" t="str">
        <x:v>Risk</x:v>
      </x:c>
      <x:c r="H133" s="48" t="str">
        <x:v>Shared</x:v>
      </x:c>
      <x:c r="I133" s="48" t="n">
        <x:v>0.78</x:v>
      </x:c>
      <x:c r="J133" s="48" t="n">
        <x:v>0.4</x:v>
      </x:c>
      <x:c r="K133" s="48" t="str">
        <x:v>Yes</x:v>
      </x:c>
      <x:c r="L133" s="48" t="str">
        <x:v>PDF text</x:v>
      </x:c>
    </x:row>
    <x:row r="134">
      <x:c r="A134" s="48" t="str">
        <x:v>YELLOW-0133</x:v>
      </x:c>
      <x:c r="B134" s="48" t="str">
        <x:v>YELLOW</x:v>
      </x:c>
      <x:c r="C134" s="48" t="str">
        <x:v>English</x:v>
      </x:c>
      <x:c r="D134" s="48" t="n">
        <x:v>22</x:v>
      </x:c>
      <x:c r="E134" s="48" t="str"/>
      <x:c r="F134" s="48" t="str">
        <x:v>Priority of Documents</x:v>
      </x:c>
      <x:c r="G134" s="48" t="str">
        <x:v>Obligation</x:v>
      </x:c>
      <x:c r="H134" s="48" t="str">
        <x:v>Shared</x:v>
      </x:c>
      <x:c r="I134" s="48" t="n">
        <x:v>0.45</x:v>
      </x:c>
      <x:c r="J134" s="48" t="n">
        <x:v>0.4</x:v>
      </x:c>
      <x:c r="K134" s="48" t="str">
        <x:v>Yes</x:v>
      </x:c>
      <x:c r="L134" s="48" t="str">
        <x:v>PDF text</x:v>
      </x:c>
    </x:row>
    <x:row r="135">
      <x:c r="A135" s="48" t="str">
        <x:v>YELLOW-0134</x:v>
      </x:c>
      <x:c r="B135" s="48" t="str">
        <x:v>YELLOW</x:v>
      </x:c>
      <x:c r="C135" s="48" t="str">
        <x:v>English</x:v>
      </x:c>
      <x:c r="D135" s="48" t="n">
        <x:v>22</x:v>
      </x:c>
      <x:c r="E135" s="48" t="str"/>
      <x:c r="F135" s="48" t="str">
        <x:v>Contract Agreement</x:v>
      </x:c>
      <x:c r="G135" s="48" t="str">
        <x:v>Obligation</x:v>
      </x:c>
      <x:c r="H135" s="48" t="str">
        <x:v>Shared</x:v>
      </x:c>
      <x:c r="I135" s="48" t="n">
        <x:v>0.45</x:v>
      </x:c>
      <x:c r="J135" s="48" t="n">
        <x:v>0.4</x:v>
      </x:c>
      <x:c r="K135" s="48" t="str">
        <x:v>Yes</x:v>
      </x:c>
      <x:c r="L135" s="48" t="str">
        <x:v>PDF text</x:v>
      </x:c>
    </x:row>
    <x:row r="136">
      <x:c r="A136" s="48" t="str">
        <x:v>YELLOW-0135</x:v>
      </x:c>
      <x:c r="B136" s="48" t="str">
        <x:v>YELLOW</x:v>
      </x:c>
      <x:c r="C136" s="48" t="str">
        <x:v>English</x:v>
      </x:c>
      <x:c r="D136" s="48" t="n">
        <x:v>22</x:v>
      </x:c>
      <x:c r="E136" s="48" t="str"/>
      <x:c r="F136" s="48" t="str">
        <x:v>Assignment</x:v>
      </x:c>
      <x:c r="G136" s="48" t="str">
        <x:v>Obligation</x:v>
      </x:c>
      <x:c r="H136" s="48" t="str">
        <x:v>Shared</x:v>
      </x:c>
      <x:c r="I136" s="48" t="n">
        <x:v>0.45</x:v>
      </x:c>
      <x:c r="J136" s="48" t="n">
        <x:v>0.4</x:v>
      </x:c>
      <x:c r="K136" s="48" t="str">
        <x:v>Yes</x:v>
      </x:c>
      <x:c r="L136" s="48" t="str">
        <x:v>PDF text</x:v>
      </x:c>
    </x:row>
    <x:row r="137">
      <x:c r="A137" s="48" t="str">
        <x:v>YELLOW-0136</x:v>
      </x:c>
      <x:c r="B137" s="48" t="str">
        <x:v>YELLOW</x:v>
      </x:c>
      <x:c r="C137" s="48" t="str">
        <x:v>English</x:v>
      </x:c>
      <x:c r="D137" s="48" t="n">
        <x:v>22</x:v>
      </x:c>
      <x:c r="E137" s="48" t="str"/>
      <x:c r="F137" s="48" t="str">
        <x:v>Care and Supply of</x:v>
      </x:c>
      <x:c r="G137" s="48" t="str">
        <x:v>Obligation</x:v>
      </x:c>
      <x:c r="H137" s="48" t="str">
        <x:v>Shared</x:v>
      </x:c>
      <x:c r="I137" s="48" t="n">
        <x:v>0.45</x:v>
      </x:c>
      <x:c r="J137" s="48" t="n">
        <x:v>0.4</x:v>
      </x:c>
      <x:c r="K137" s="48" t="str">
        <x:v>Yes</x:v>
      </x:c>
      <x:c r="L137" s="48" t="str">
        <x:v>PDF text</x:v>
      </x:c>
    </x:row>
    <x:row r="138">
      <x:c r="A138" s="48" t="str">
        <x:v>YELLOW-0137</x:v>
      </x:c>
      <x:c r="B138" s="48" t="str">
        <x:v>YELLOW</x:v>
      </x:c>
      <x:c r="C138" s="48" t="str">
        <x:v>English</x:v>
      </x:c>
      <x:c r="D138" s="48" t="n">
        <x:v>22</x:v>
      </x:c>
      <x:c r="E138" s="48" t="str"/>
      <x:c r="F138" s="48" t="str">
        <x:v>Documents</x:v>
      </x:c>
      <x:c r="G138" s="48" t="str">
        <x:v>Obligation</x:v>
      </x:c>
      <x:c r="H138" s="48" t="str">
        <x:v>Shared</x:v>
      </x:c>
      <x:c r="I138" s="48" t="n">
        <x:v>0.45</x:v>
      </x:c>
      <x:c r="J138" s="48" t="n">
        <x:v>0.4</x:v>
      </x:c>
      <x:c r="K138" s="48" t="str">
        <x:v>Yes</x:v>
      </x:c>
      <x:c r="L138" s="48" t="str">
        <x:v>PDF text</x:v>
      </x:c>
    </x:row>
    <x:row r="139">
      <x:c r="A139" s="48" t="str">
        <x:v>YELLOW-0138</x:v>
      </x:c>
      <x:c r="B139" s="48" t="str">
        <x:v>YELLOW</x:v>
      </x:c>
      <x:c r="C139" s="48" t="str">
        <x:v>English</x:v>
      </x:c>
      <x:c r="D139" s="48" t="n">
        <x:v>23</x:v>
      </x:c>
      <x:c r="E139" s="48" t="str"/>
      <x:c r="F139" s="48" t="str">
        <x:v>If the Contractor suffers delay and/or incurs Cost as a result of an error in the</x:v>
      </x:c>
      <x:c r="G139" s="48" t="str">
        <x:v>Risk</x:v>
      </x:c>
      <x:c r="H139" s="48" t="str">
        <x:v>Contractor</x:v>
      </x:c>
      <x:c r="I139" s="48" t="n">
        <x:v>0.78</x:v>
      </x:c>
      <x:c r="J139" s="48" t="n">
        <x:v>0.68</x:v>
      </x:c>
      <x:c r="K139" s="48" t="str">
        <x:v>Yes</x:v>
      </x:c>
      <x:c r="L139" s="48" t="str">
        <x:v>PDF text</x:v>
      </x:c>
    </x:row>
    <x:row r="140">
      <x:c r="A140" s="48" t="str">
        <x:v>YELLOW-0139</x:v>
      </x:c>
      <x:c r="B140" s="48" t="str">
        <x:v>YELLOW</x:v>
      </x:c>
      <x:c r="C140" s="48" t="str">
        <x:v>English</x:v>
      </x:c>
      <x:c r="D140" s="48" t="n">
        <x:v>23</x:v>
      </x:c>
      <x:c r="E140" s="48" t="str"/>
      <x:c r="F140" s="48" t="str">
        <x:v>Employer's Requirements, and an experienced contractor exercising due care</x:v>
      </x:c>
      <x:c r="G140" s="48" t="str">
        <x:v>Obligation</x:v>
      </x:c>
      <x:c r="H140" s="48" t="str">
        <x:v>Shared</x:v>
      </x:c>
      <x:c r="I140" s="48" t="n">
        <x:v>0.45</x:v>
      </x:c>
      <x:c r="J140" s="48" t="n">
        <x:v>0.6</x:v>
      </x:c>
      <x:c r="K140" s="48" t="str">
        <x:v>Yes</x:v>
      </x:c>
      <x:c r="L140" s="48" t="str">
        <x:v>PDF text</x:v>
      </x:c>
    </x:row>
    <x:row r="141">
      <x:c r="A141" s="48" t="str">
        <x:v>YELLOW-0140</x:v>
      </x:c>
      <x:c r="B141" s="48" t="str">
        <x:v>YELLOW</x:v>
      </x:c>
      <x:c r="C141" s="48" t="str">
        <x:v>English</x:v>
      </x:c>
      <x:c r="D141" s="48" t="n">
        <x:v>23</x:v>
      </x:c>
      <x:c r="E141" s="48" t="str"/>
      <x:c r="F141" s="48" t="str">
        <x:v>would not have discovered the error when scrutinising the Employer's Requirements under Sub-Clause 5.1 [General Design Obligations], the Contractor shall give notice to the Engineer and shall be entitled subject to Sub-Clause 20.1 [Contractor's Claims] to: (a) an extension of time for any such delay, if completion is or will be delayed, under Sub-Clause 8.4 [Extension of Time for Completion], and (b) payment of any such Cost plus reasonable profit, which shall be included in the Contract Price.</x:v>
      </x:c>
      <x:c r="G141" s="48" t="str">
        <x:v>Risk</x:v>
      </x:c>
      <x:c r="H141" s="48" t="str">
        <x:v>Contractor</x:v>
      </x:c>
      <x:c r="I141" s="48" t="n">
        <x:v>0.78</x:v>
      </x:c>
      <x:c r="J141" s="48" t="n">
        <x:v>0.92</x:v>
      </x:c>
      <x:c r="K141" s="48" t="str">
        <x:v>No</x:v>
      </x:c>
      <x:c r="L141" s="48" t="str">
        <x:v>PDF text</x:v>
      </x:c>
    </x:row>
    <x:row r="142">
      <x:c r="A142" s="48" t="str">
        <x:v>YELLOW-0141</x:v>
      </x:c>
      <x:c r="B142" s="48" t="str">
        <x:v>YELLOW</x:v>
      </x:c>
      <x:c r="C142" s="48" t="str">
        <x:v>English</x:v>
      </x:c>
      <x:c r="D142" s="48" t="n">
        <x:v>23</x:v>
      </x:c>
      <x:c r="E142" s="48" t="str"/>
      <x:c r="F142" s="48" t="str">
        <x:v>After receiving this notice, the Engineer shall proceed in accordance with Sub-Clause</x:v>
      </x:c>
      <x:c r="G142" s="48" t="str">
        <x:v>Obligation</x:v>
      </x:c>
      <x:c r="H142" s="48" t="str">
        <x:v>Shared</x:v>
      </x:c>
      <x:c r="I142" s="48" t="n">
        <x:v>0.88</x:v>
      </x:c>
      <x:c r="J142" s="48" t="n">
        <x:v>0.4</x:v>
      </x:c>
      <x:c r="K142" s="48" t="str">
        <x:v>Yes</x:v>
      </x:c>
      <x:c r="L142" s="48" t="str">
        <x:v>PDF text</x:v>
      </x:c>
    </x:row>
    <x:row r="143">
      <x:c r="A143" s="48" t="str">
        <x:v>YELLOW-0142</x:v>
      </x:c>
      <x:c r="B143" s="48" t="str">
        <x:v>YELLOW</x:v>
      </x:c>
      <x:c r="C143" s="48" t="str">
        <x:v>English</x:v>
      </x:c>
      <x:c r="D143" s="48" t="n">
        <x:v>23</x:v>
      </x:c>
      <x:c r="E143" s="48" t="str">
        <x:v>3.5</x:v>
      </x:c>
      <x:c r="F143" s="48" t="str">
        <x:v>3.5 [Determinations] to agree or determine (i) whether and (if so) to what extent the</x:v>
      </x:c>
      <x:c r="G143" s="48" t="str">
        <x:v>Obligation</x:v>
      </x:c>
      <x:c r="H143" s="48" t="str">
        <x:v>Shared</x:v>
      </x:c>
      <x:c r="I143" s="48" t="n">
        <x:v>0.45</x:v>
      </x:c>
      <x:c r="J143" s="48" t="n">
        <x:v>0.4</x:v>
      </x:c>
      <x:c r="K143" s="48" t="str">
        <x:v>Yes</x:v>
      </x:c>
      <x:c r="L143" s="48" t="str">
        <x:v>PDF text</x:v>
      </x:c>
    </x:row>
    <x:row r="144">
      <x:c r="A144" s="48" t="str">
        <x:v>YELLOW-0143</x:v>
      </x:c>
      <x:c r="B144" s="48" t="str">
        <x:v>YELLOW</x:v>
      </x:c>
      <x:c r="C144" s="48" t="str">
        <x:v>English</x:v>
      </x:c>
      <x:c r="D144" s="48" t="n">
        <x:v>23</x:v>
      </x:c>
      <x:c r="E144" s="48" t="str"/>
      <x:c r="F144" s="48" t="str">
        <x:v>error could not reasonably have been so discovered, and (ii) the matters described in sub-paragraphs (a) and (b) above related to this extent.</x:v>
      </x:c>
      <x:c r="G144" s="48" t="str">
        <x:v>Obligation</x:v>
      </x:c>
      <x:c r="H144" s="48" t="str">
        <x:v>Shared</x:v>
      </x:c>
      <x:c r="I144" s="48" t="n">
        <x:v>0.45</x:v>
      </x:c>
      <x:c r="J144" s="48" t="n">
        <x:v>0.4</x:v>
      </x:c>
      <x:c r="K144" s="48" t="str">
        <x:v>Yes</x:v>
      </x:c>
      <x:c r="L144" s="48" t="str">
        <x:v>PDF text</x:v>
      </x:c>
    </x:row>
    <x:row r="145">
      <x:c r="A145" s="48" t="str">
        <x:v>YELLOW-0144</x:v>
      </x:c>
      <x:c r="B145" s="48" t="str">
        <x:v>YELLOW</x:v>
      </x:c>
      <x:c r="C145" s="48" t="str">
        <x:v>English</x:v>
      </x:c>
      <x:c r="D145" s="48" t="n">
        <x:v>23</x:v>
      </x:c>
      <x:c r="E145" s="48" t="str"/>
      <x:c r="F145" s="48" t="str">
        <x:v>The Contractor shall be deemed (by signing the Contract) to give to the Employer a non-terminable transferable non-exclusive royalty-free licence to copy, use and communicate the Contractor's Documents, including making and using modifications of them.</x:v>
      </x:c>
      <x:c r="G145" s="48" t="str">
        <x:v>Obligation</x:v>
      </x:c>
      <x:c r="H145" s="48" t="str">
        <x:v>Contractor</x:v>
      </x:c>
      <x:c r="I145" s="48" t="n">
        <x:v>0.88</x:v>
      </x:c>
      <x:c r="J145" s="48" t="n">
        <x:v>0.92</x:v>
      </x:c>
      <x:c r="K145" s="48" t="str">
        <x:v>No</x:v>
      </x:c>
      <x:c r="L145" s="48" t="str">
        <x:v>PDF text</x:v>
      </x:c>
    </x:row>
    <x:row r="146">
      <x:c r="A146" s="48" t="str">
        <x:v>YELLOW-0145</x:v>
      </x:c>
      <x:c r="B146" s="48" t="str">
        <x:v>YELLOW</x:v>
      </x:c>
      <x:c r="C146" s="48" t="str">
        <x:v>English</x:v>
      </x:c>
      <x:c r="D146" s="48" t="n">
        <x:v>23</x:v>
      </x:c>
      <x:c r="E146" s="48" t="str"/>
      <x:c r="F146" s="48" t="str">
        <x:v>This licence shall: (a) apply throughout the actual or intended working life (whichever is longer) of the relevant parts of the Works, (b) entitle any person in proper possession of the relevant part of the Works to copy, use and communicate the Contractor's Documents for the purposes of completing, operating, maintaining, altering, adjusting, repairing and demolishing the Works, and (c) in the case of Contractor's Documents which are in the form of computer programs and other software, permit their use on any computer on the Site and other places as envisaged by the Contract, including replacements of any computers supplied by the Contractor.</x:v>
      </x:c>
      <x:c r="G146" s="48" t="str">
        <x:v>Obligation</x:v>
      </x:c>
      <x:c r="H146" s="48" t="str">
        <x:v>Contractor</x:v>
      </x:c>
      <x:c r="I146" s="48" t="n">
        <x:v>0.88</x:v>
      </x:c>
      <x:c r="J146" s="48" t="n">
        <x:v>0.68</x:v>
      </x:c>
      <x:c r="K146" s="48" t="str">
        <x:v>Yes</x:v>
      </x:c>
      <x:c r="L146" s="48" t="str">
        <x:v>PDF text</x:v>
      </x:c>
    </x:row>
    <x:row r="147">
      <x:c r="A147" s="48" t="str">
        <x:v>YELLOW-0146</x:v>
      </x:c>
      <x:c r="B147" s="48" t="str">
        <x:v>YELLOW</x:v>
      </x:c>
      <x:c r="C147" s="48" t="str">
        <x:v>English</x:v>
      </x:c>
      <x:c r="D147" s="48" t="n">
        <x:v>23</x:v>
      </x:c>
      <x:c r="E147" s="48" t="str"/>
      <x:c r="F147" s="48" t="str">
        <x:v>The Contractor's Documents and other design documents made by (or on behalf of)</x:v>
      </x:c>
      <x:c r="G147" s="48" t="str">
        <x:v>Obligation</x:v>
      </x:c>
      <x:c r="H147" s="48" t="str">
        <x:v>Contractor</x:v>
      </x:c>
      <x:c r="I147" s="48" t="n">
        <x:v>0.45</x:v>
      </x:c>
      <x:c r="J147" s="48" t="n">
        <x:v>0.68</x:v>
      </x:c>
      <x:c r="K147" s="48" t="str">
        <x:v>Yes</x:v>
      </x:c>
      <x:c r="L147" s="48" t="str">
        <x:v>PDF text</x:v>
      </x:c>
    </x:row>
    <x:row r="148">
      <x:c r="A148" s="48" t="str">
        <x:v>YELLOW-0147</x:v>
      </x:c>
      <x:c r="B148" s="48" t="str">
        <x:v>YELLOW</x:v>
      </x:c>
      <x:c r="C148" s="48" t="str">
        <x:v>English</x:v>
      </x:c>
      <x:c r="D148" s="48" t="n">
        <x:v>23</x:v>
      </x:c>
      <x:c r="E148" s="48" t="str"/>
      <x:c r="F148" s="48" t="str">
        <x:v>the Contractor shall not, without the Contractor's consent, be used, copied or communicated to a third party by (or on behalf of) the Employer for purposes other than those permitted under this Sub-Clause.</x:v>
      </x:c>
      <x:c r="G148" s="48" t="str">
        <x:v>Obligation</x:v>
      </x:c>
      <x:c r="H148" s="48" t="str">
        <x:v>Contractor</x:v>
      </x:c>
      <x:c r="I148" s="48" t="n">
        <x:v>0.88</x:v>
      </x:c>
      <x:c r="J148" s="48" t="n">
        <x:v>0.92</x:v>
      </x:c>
      <x:c r="K148" s="48" t="str">
        <x:v>No</x:v>
      </x:c>
      <x:c r="L148" s="48" t="str">
        <x:v>PDF text</x:v>
      </x:c>
    </x:row>
    <x:row r="149">
      <x:c r="A149" s="48" t="str">
        <x:v>YELLOW-0148</x:v>
      </x:c>
      <x:c r="B149" s="48" t="str">
        <x:v>YELLOW</x:v>
      </x:c>
      <x:c r="C149" s="48" t="str">
        <x:v>English</x:v>
      </x:c>
      <x:c r="D149" s="48" t="n">
        <x:v>23</x:v>
      </x:c>
      <x:c r="E149" s="48" t="str"/>
      <x:c r="F149" s="48" t="str">
        <x:v>intellectual property rights in the Employer's Requirements and other documents made by (or on behalf of) the Employer.</x:v>
      </x:c>
      <x:c r="G149" s="48" t="str">
        <x:v>Obligation</x:v>
      </x:c>
      <x:c r="H149" s="48" t="str">
        <x:v>Employer</x:v>
      </x:c>
      <x:c r="I149" s="48" t="n">
        <x:v>0.45</x:v>
      </x:c>
      <x:c r="J149" s="48" t="n">
        <x:v>0.68</x:v>
      </x:c>
      <x:c r="K149" s="48" t="str">
        <x:v>Yes</x:v>
      </x:c>
      <x:c r="L149" s="48" t="str">
        <x:v>PDF text</x:v>
      </x:c>
    </x:row>
    <x:row r="150">
      <x:c r="A150" s="48" t="str">
        <x:v>YELLOW-0149</x:v>
      </x:c>
      <x:c r="B150" s="48" t="str">
        <x:v>YELLOW</x:v>
      </x:c>
      <x:c r="C150" s="48" t="str">
        <x:v>English</x:v>
      </x:c>
      <x:c r="D150" s="48" t="n">
        <x:v>23</x:v>
      </x:c>
      <x:c r="E150" s="48" t="str"/>
      <x:c r="F150" s="48" t="str">
        <x:v>The Contractor may, at his cost, copy, use, and obtain communication of these documents for the purposes of the Contract.</x:v>
      </x:c>
      <x:c r="G150" s="48" t="str">
        <x:v>Obligation</x:v>
      </x:c>
      <x:c r="H150" s="48" t="str">
        <x:v>Contractor</x:v>
      </x:c>
      <x:c r="I150" s="48" t="n">
        <x:v>0.45</x:v>
      </x:c>
      <x:c r="J150" s="48" t="n">
        <x:v>0.68</x:v>
      </x:c>
      <x:c r="K150" s="48" t="str">
        <x:v>Yes</x:v>
      </x:c>
      <x:c r="L150" s="48" t="str">
        <x:v>PDF text</x:v>
      </x:c>
    </x:row>
    <x:row r="151">
      <x:c r="A151" s="48" t="str">
        <x:v>YELLOW-0150</x:v>
      </x:c>
      <x:c r="B151" s="48" t="str">
        <x:v>YELLOW</x:v>
      </x:c>
      <x:c r="C151" s="48" t="str">
        <x:v>English</x:v>
      </x:c>
      <x:c r="D151" s="48" t="n">
        <x:v>23</x:v>
      </x:c>
      <x:c r="E151" s="48" t="str"/>
      <x:c r="F151" s="48" t="str">
        <x:v>They shall not, without the Employer's consent, be copied, used or communicated</x:v>
      </x:c>
      <x:c r="G151" s="48" t="str">
        <x:v>Obligation</x:v>
      </x:c>
      <x:c r="H151" s="48" t="str">
        <x:v>Employer</x:v>
      </x:c>
      <x:c r="I151" s="48" t="n">
        <x:v>0.88</x:v>
      </x:c>
      <x:c r="J151" s="48" t="n">
        <x:v>0.68</x:v>
      </x:c>
      <x:c r="K151" s="48" t="str">
        <x:v>Yes</x:v>
      </x:c>
      <x:c r="L151" s="48" t="str">
        <x:v>PDF text</x:v>
      </x:c>
    </x:row>
    <x:row r="152">
      <x:c r="A152" s="48" t="str">
        <x:v>YELLOW-0151</x:v>
      </x:c>
      <x:c r="B152" s="48" t="str">
        <x:v>YELLOW</x:v>
      </x:c>
      <x:c r="C152" s="48" t="str">
        <x:v>English</x:v>
      </x:c>
      <x:c r="D152" s="48" t="n">
        <x:v>23</x:v>
      </x:c>
      <x:c r="E152" s="48" t="str"/>
      <x:c r="F152" s="48" t="str">
        <x:v>to a third party by the Contractor, except as necessary for the purposes of the Contract.</x:v>
      </x:c>
      <x:c r="G152" s="48" t="str">
        <x:v>Obligation</x:v>
      </x:c>
      <x:c r="H152" s="48" t="str">
        <x:v>Contractor</x:v>
      </x:c>
      <x:c r="I152" s="48" t="n">
        <x:v>0.45</x:v>
      </x:c>
      <x:c r="J152" s="48" t="n">
        <x:v>0.68</x:v>
      </x:c>
      <x:c r="K152" s="48" t="str">
        <x:v>Yes</x:v>
      </x:c>
      <x:c r="L152" s="48" t="str">
        <x:v>PDF text</x:v>
      </x:c>
    </x:row>
    <x:row r="153">
      <x:c r="A153" s="48" t="str">
        <x:v>YELLOW-0152</x:v>
      </x:c>
      <x:c r="B153" s="48" t="str">
        <x:v>YELLOW</x:v>
      </x:c>
      <x:c r="C153" s="48" t="str">
        <x:v>English</x:v>
      </x:c>
      <x:c r="D153" s="48" t="n">
        <x:v>23</x:v>
      </x:c>
      <x:c r="E153" s="48" t="str"/>
      <x:c r="F153" s="48" t="str">
        <x:v>The Contractor shall disclose all such confidential and other information as the</x:v>
      </x:c>
      <x:c r="G153" s="48" t="str">
        <x:v>Obligation</x:v>
      </x:c>
      <x:c r="H153" s="48" t="str">
        <x:v>Contractor</x:v>
      </x:c>
      <x:c r="I153" s="48" t="n">
        <x:v>0.88</x:v>
      </x:c>
      <x:c r="J153" s="48" t="n">
        <x:v>0.92</x:v>
      </x:c>
      <x:c r="K153" s="48" t="str">
        <x:v>No</x:v>
      </x:c>
      <x:c r="L153" s="48" t="str">
        <x:v>PDF text</x:v>
      </x:c>
    </x:row>
    <x:row r="154">
      <x:c r="A154" s="48" t="str">
        <x:v>YELLOW-0153</x:v>
      </x:c>
      <x:c r="B154" s="48" t="str">
        <x:v>YELLOW</x:v>
      </x:c>
      <x:c r="C154" s="48" t="str">
        <x:v>English</x:v>
      </x:c>
      <x:c r="D154" s="48" t="n">
        <x:v>23</x:v>
      </x:c>
      <x:c r="E154" s="48" t="str"/>
      <x:c r="F154" s="48" t="str">
        <x:v>Engineer may reasonably require in order to verify the Contractor's compliance with the Contract.</x:v>
      </x:c>
      <x:c r="G154" s="48" t="str">
        <x:v>Right</x:v>
      </x:c>
      <x:c r="H154" s="48" t="str">
        <x:v>Contractor</x:v>
      </x:c>
      <x:c r="I154" s="48" t="n">
        <x:v>0.78</x:v>
      </x:c>
      <x:c r="J154" s="48" t="n">
        <x:v>0.68</x:v>
      </x:c>
      <x:c r="K154" s="48" t="str">
        <x:v>Yes</x:v>
      </x:c>
      <x:c r="L154" s="48" t="str">
        <x:v>PDF text</x:v>
      </x:c>
    </x:row>
    <x:row r="155">
      <x:c r="A155" s="48" t="str">
        <x:v>YELLOW-0154</x:v>
      </x:c>
      <x:c r="B155" s="48" t="str">
        <x:v>YELLOW</x:v>
      </x:c>
      <x:c r="C155" s="48" t="str">
        <x:v>English</x:v>
      </x:c>
      <x:c r="D155" s="48" t="n">
        <x:v>23</x:v>
      </x:c>
      <x:c r="E155" s="48" t="str"/>
      <x:c r="F155" s="48" t="str">
        <x:v>Errors in the Employer's</x:v>
      </x:c>
      <x:c r="G155" s="48" t="str">
        <x:v>Obligation</x:v>
      </x:c>
      <x:c r="H155" s="48" t="str">
        <x:v>Employer</x:v>
      </x:c>
      <x:c r="I155" s="48" t="n">
        <x:v>0.45</x:v>
      </x:c>
      <x:c r="J155" s="48" t="n">
        <x:v>0.68</x:v>
      </x:c>
      <x:c r="K155" s="48" t="str">
        <x:v>Yes</x:v>
      </x:c>
      <x:c r="L155" s="48" t="str">
        <x:v>PDF text</x:v>
      </x:c>
    </x:row>
    <x:row r="156">
      <x:c r="A156" s="48" t="str">
        <x:v>YELLOW-0155</x:v>
      </x:c>
      <x:c r="B156" s="48" t="str">
        <x:v>YELLOW</x:v>
      </x:c>
      <x:c r="C156" s="48" t="str">
        <x:v>English</x:v>
      </x:c>
      <x:c r="D156" s="48" t="n">
        <x:v>23</x:v>
      </x:c>
      <x:c r="E156" s="48" t="str"/>
      <x:c r="F156" s="48" t="str">
        <x:v>Requirements</x:v>
      </x:c>
      <x:c r="G156" s="48" t="str">
        <x:v>Obligation</x:v>
      </x:c>
      <x:c r="H156" s="48" t="str">
        <x:v>Shared</x:v>
      </x:c>
      <x:c r="I156" s="48" t="n">
        <x:v>0.45</x:v>
      </x:c>
      <x:c r="J156" s="48" t="n">
        <x:v>0.4</x:v>
      </x:c>
      <x:c r="K156" s="48" t="str">
        <x:v>Yes</x:v>
      </x:c>
      <x:c r="L156" s="48" t="str">
        <x:v>PDF text</x:v>
      </x:c>
    </x:row>
    <x:row r="157">
      <x:c r="A157" s="48" t="str">
        <x:v>YELLOW-0156</x:v>
      </x:c>
      <x:c r="B157" s="48" t="str">
        <x:v>YELLOW</x:v>
      </x:c>
      <x:c r="C157" s="48" t="str">
        <x:v>English</x:v>
      </x:c>
      <x:c r="D157" s="48" t="n">
        <x:v>23</x:v>
      </x:c>
      <x:c r="E157" s="48" t="str"/>
      <x:c r="F157" s="48" t="str">
        <x:v>Employer’s Use of</x:v>
      </x:c>
      <x:c r="G157" s="48" t="str">
        <x:v>Obligation</x:v>
      </x:c>
      <x:c r="H157" s="48" t="str">
        <x:v>Employer</x:v>
      </x:c>
      <x:c r="I157" s="48" t="n">
        <x:v>0.45</x:v>
      </x:c>
      <x:c r="J157" s="48" t="n">
        <x:v>0.68</x:v>
      </x:c>
      <x:c r="K157" s="48" t="str">
        <x:v>Yes</x:v>
      </x:c>
      <x:c r="L157" s="48" t="str">
        <x:v>PDF text</x:v>
      </x:c>
    </x:row>
    <x:row r="158">
      <x:c r="A158" s="48" t="str">
        <x:v>YELLOW-0157</x:v>
      </x:c>
      <x:c r="B158" s="48" t="str">
        <x:v>YELLOW</x:v>
      </x:c>
      <x:c r="C158" s="48" t="str">
        <x:v>English</x:v>
      </x:c>
      <x:c r="D158" s="48" t="n">
        <x:v>23</x:v>
      </x:c>
      <x:c r="E158" s="48" t="str"/>
      <x:c r="F158" s="48" t="str">
        <x:v>Contractor’s Documents</x:v>
      </x:c>
      <x:c r="G158" s="48" t="str">
        <x:v>Obligation</x:v>
      </x:c>
      <x:c r="H158" s="48" t="str">
        <x:v>Contractor</x:v>
      </x:c>
      <x:c r="I158" s="48" t="n">
        <x:v>0.45</x:v>
      </x:c>
      <x:c r="J158" s="48" t="n">
        <x:v>0.68</x:v>
      </x:c>
      <x:c r="K158" s="48" t="str">
        <x:v>Yes</x:v>
      </x:c>
      <x:c r="L158" s="48" t="str">
        <x:v>PDF text</x:v>
      </x:c>
    </x:row>
    <x:row r="159">
      <x:c r="A159" s="48" t="str">
        <x:v>YELLOW-0158</x:v>
      </x:c>
      <x:c r="B159" s="48" t="str">
        <x:v>YELLOW</x:v>
      </x:c>
      <x:c r="C159" s="48" t="str">
        <x:v>English</x:v>
      </x:c>
      <x:c r="D159" s="48" t="n">
        <x:v>23</x:v>
      </x:c>
      <x:c r="E159" s="48" t="str"/>
      <x:c r="F159" s="48" t="str">
        <x:v>Contractor’s Use of</x:v>
      </x:c>
      <x:c r="G159" s="48" t="str">
        <x:v>Obligation</x:v>
      </x:c>
      <x:c r="H159" s="48" t="str">
        <x:v>Contractor</x:v>
      </x:c>
      <x:c r="I159" s="48" t="n">
        <x:v>0.45</x:v>
      </x:c>
      <x:c r="J159" s="48" t="n">
        <x:v>0.68</x:v>
      </x:c>
      <x:c r="K159" s="48" t="str">
        <x:v>Yes</x:v>
      </x:c>
      <x:c r="L159" s="48" t="str">
        <x:v>PDF text</x:v>
      </x:c>
    </x:row>
    <x:row r="160">
      <x:c r="A160" s="48" t="str">
        <x:v>YELLOW-0159</x:v>
      </x:c>
      <x:c r="B160" s="48" t="str">
        <x:v>YELLOW</x:v>
      </x:c>
      <x:c r="C160" s="48" t="str">
        <x:v>English</x:v>
      </x:c>
      <x:c r="D160" s="48" t="n">
        <x:v>23</x:v>
      </x:c>
      <x:c r="E160" s="48" t="str"/>
      <x:c r="F160" s="48" t="str">
        <x:v>Employer’s Documents</x:v>
      </x:c>
      <x:c r="G160" s="48" t="str">
        <x:v>Obligation</x:v>
      </x:c>
      <x:c r="H160" s="48" t="str">
        <x:v>Employer</x:v>
      </x:c>
      <x:c r="I160" s="48" t="n">
        <x:v>0.45</x:v>
      </x:c>
      <x:c r="J160" s="48" t="n">
        <x:v>0.68</x:v>
      </x:c>
      <x:c r="K160" s="48" t="str">
        <x:v>Yes</x:v>
      </x:c>
      <x:c r="L160" s="48" t="str">
        <x:v>PDF text</x:v>
      </x:c>
    </x:row>
    <x:row r="161">
      <x:c r="A161" s="48" t="str">
        <x:v>YELLOW-0160</x:v>
      </x:c>
      <x:c r="B161" s="48" t="str">
        <x:v>YELLOW</x:v>
      </x:c>
      <x:c r="C161" s="48" t="str">
        <x:v>English</x:v>
      </x:c>
      <x:c r="D161" s="48" t="n">
        <x:v>23</x:v>
      </x:c>
      <x:c r="E161" s="48" t="str"/>
      <x:c r="F161" s="48" t="str">
        <x:v>Confidential Details</x:v>
      </x:c>
      <x:c r="G161" s="48" t="str">
        <x:v>Obligation</x:v>
      </x:c>
      <x:c r="H161" s="48" t="str">
        <x:v>Shared</x:v>
      </x:c>
      <x:c r="I161" s="48" t="n">
        <x:v>0.45</x:v>
      </x:c>
      <x:c r="J161" s="48" t="n">
        <x:v>0.4</x:v>
      </x:c>
      <x:c r="K161" s="48" t="str">
        <x:v>Yes</x:v>
      </x:c>
      <x:c r="L161" s="48" t="str">
        <x:v>PDF text</x:v>
      </x:c>
    </x:row>
    <x:row r="162">
      <x:c r="A162" s="48" t="str">
        <x:v>YELLOW-0161</x:v>
      </x:c>
      <x:c r="B162" s="48" t="str">
        <x:v>YELLOW</x:v>
      </x:c>
      <x:c r="C162" s="48" t="str">
        <x:v>English</x:v>
      </x:c>
      <x:c r="D162" s="48" t="n">
        <x:v>24</x:v>
      </x:c>
      <x:c r="E162" s="48" t="str"/>
      <x:c r="F162" s="48" t="str">
        <x:v>The Contractor shall, in performing the Contract, comply with applicable Laws.</x:v>
      </x:c>
      <x:c r="G162" s="48" t="str">
        <x:v>Obligation</x:v>
      </x:c>
      <x:c r="H162" s="48" t="str">
        <x:v>Contractor</x:v>
      </x:c>
      <x:c r="I162" s="48" t="n">
        <x:v>0.88</x:v>
      </x:c>
      <x:c r="J162" s="48" t="n">
        <x:v>0.92</x:v>
      </x:c>
      <x:c r="K162" s="48" t="str">
        <x:v>No</x:v>
      </x:c>
      <x:c r="L162" s="48" t="str">
        <x:v>PDF text</x:v>
      </x:c>
    </x:row>
    <x:row r="163">
      <x:c r="A163" s="48" t="str">
        <x:v>YELLOW-0162</x:v>
      </x:c>
      <x:c r="B163" s="48" t="str">
        <x:v>YELLOW</x:v>
      </x:c>
      <x:c r="C163" s="48" t="str">
        <x:v>English</x:v>
      </x:c>
      <x:c r="D163" s="48" t="n">
        <x:v>24</x:v>
      </x:c>
      <x:c r="E163" s="48" t="str"/>
      <x:c r="F163" s="48" t="str">
        <x:v>Unless otherwise stated in the Particular Conditions: (a) the Employer shall have obtained (or shall obtain) the planning, zoning or similar permission for the Permanent Works, and any other permissions described in the Employer's Requirements as having been (or being) obtained by the Employer; and the Employer shall indemnify and hold the Contractor harmless against and from the consequences of any failure to do so; and (b) the Contractor shall give all notices, pay all taxes, duties and fees, and obtain all permits, licences and approvals, as required by the Laws in relation to the design, execution and completion of the Works and the remedying of any defects; and the Contractor shall indemnify and hold the Employer harmless against and from the consequences of any failure to do so.</x:v>
      </x:c>
      <x:c r="G163" s="48" t="str">
        <x:v>Obligation</x:v>
      </x:c>
      <x:c r="H163" s="48" t="str">
        <x:v>Contractor</x:v>
      </x:c>
      <x:c r="I163" s="48" t="n">
        <x:v>0.88</x:v>
      </x:c>
      <x:c r="J163" s="48" t="n">
        <x:v>0.92</x:v>
      </x:c>
      <x:c r="K163" s="48" t="str">
        <x:v>No</x:v>
      </x:c>
      <x:c r="L163" s="48" t="str">
        <x:v>PDF text</x:v>
      </x:c>
    </x:row>
    <x:row r="164">
      <x:c r="A164" s="48" t="str">
        <x:v>YELLOW-0163</x:v>
      </x:c>
      <x:c r="B164" s="48" t="str">
        <x:v>YELLOW</x:v>
      </x:c>
      <x:c r="C164" s="48" t="str">
        <x:v>English</x:v>
      </x:c>
      <x:c r="D164" s="48" t="n">
        <x:v>24</x:v>
      </x:c>
      <x:c r="E164" s="48" t="str"/>
      <x:c r="F164" s="48" t="str">
        <x:v>If the Contractor constitutes (under applicable Laws) a joint venture, consortium or other unincorporated grouping of two or more persons: (a) these persons shall be deemed to be jointly and severally liable to the Employer for the performance of the Contract; (b) these persons shall notify the Employer of their leader who shall have authority to bind the Contractor and each of these persons; and (c) the Contractor shall not alter its composition or legal status without the prior consent of the Employer.</x:v>
      </x:c>
      <x:c r="G164" s="48" t="str">
        <x:v>Risk</x:v>
      </x:c>
      <x:c r="H164" s="48" t="str">
        <x:v>Contractor</x:v>
      </x:c>
      <x:c r="I164" s="48" t="n">
        <x:v>0.78</x:v>
      </x:c>
      <x:c r="J164" s="48" t="n">
        <x:v>0.92</x:v>
      </x:c>
      <x:c r="K164" s="48" t="str">
        <x:v>No</x:v>
      </x:c>
      <x:c r="L164" s="48" t="str">
        <x:v>PDF text</x:v>
      </x:c>
    </x:row>
    <x:row r="165">
      <x:c r="A165" s="48" t="str">
        <x:v>YELLOW-0164</x:v>
      </x:c>
      <x:c r="B165" s="48" t="str">
        <x:v>YELLOW</x:v>
      </x:c>
      <x:c r="C165" s="48" t="str">
        <x:v>English</x:v>
      </x:c>
      <x:c r="D165" s="48" t="n">
        <x:v>24</x:v>
      </x:c>
      <x:c r="E165" s="48" t="str"/>
      <x:c r="F165" s="48" t="str">
        <x:v>The Employer shall give the Contractor right of access to, and possession of, all</x:v>
      </x:c>
      <x:c r="G165" s="48" t="str">
        <x:v>Obligation</x:v>
      </x:c>
      <x:c r="H165" s="48" t="str">
        <x:v>Employer</x:v>
      </x:c>
      <x:c r="I165" s="48" t="n">
        <x:v>0.88</x:v>
      </x:c>
      <x:c r="J165" s="48" t="n">
        <x:v>0.92</x:v>
      </x:c>
      <x:c r="K165" s="48" t="str">
        <x:v>No</x:v>
      </x:c>
      <x:c r="L165" s="48" t="str">
        <x:v>PDF text</x:v>
      </x:c>
    </x:row>
    <x:row r="166">
      <x:c r="A166" s="48" t="str">
        <x:v>YELLOW-0165</x:v>
      </x:c>
      <x:c r="B166" s="48" t="str">
        <x:v>YELLOW</x:v>
      </x:c>
      <x:c r="C166" s="48" t="str">
        <x:v>English</x:v>
      </x:c>
      <x:c r="D166" s="48" t="n">
        <x:v>24</x:v>
      </x:c>
      <x:c r="E166" s="48" t="str"/>
      <x:c r="F166" s="48" t="str">
        <x:v>parts of the Site within the time (or times) stated in the Appendix to Tender.</x:v>
      </x:c>
      <x:c r="G166" s="48" t="str">
        <x:v>Obligation</x:v>
      </x:c>
      <x:c r="H166" s="48" t="str">
        <x:v>Shared</x:v>
      </x:c>
      <x:c r="I166" s="48" t="n">
        <x:v>0.45</x:v>
      </x:c>
      <x:c r="J166" s="48" t="n">
        <x:v>0.4</x:v>
      </x:c>
      <x:c r="K166" s="48" t="str">
        <x:v>Yes</x:v>
      </x:c>
      <x:c r="L166" s="48" t="str">
        <x:v>PDF text</x:v>
      </x:c>
    </x:row>
    <x:row r="167">
      <x:c r="A167" s="48" t="str">
        <x:v>YELLOW-0166</x:v>
      </x:c>
      <x:c r="B167" s="48" t="str">
        <x:v>YELLOW</x:v>
      </x:c>
      <x:c r="C167" s="48" t="str">
        <x:v>English</x:v>
      </x:c>
      <x:c r="D167" s="48" t="n">
        <x:v>24</x:v>
      </x:c>
      <x:c r="E167" s="48" t="str"/>
      <x:c r="F167" s="48" t="str">
        <x:v>The right and possession may not be exclusive to the Contractor.</x:v>
      </x:c>
      <x:c r="G167" s="48" t="str">
        <x:v>Right</x:v>
      </x:c>
      <x:c r="H167" s="48" t="str">
        <x:v>Contractor</x:v>
      </x:c>
      <x:c r="I167" s="48" t="n">
        <x:v>0.78</x:v>
      </x:c>
      <x:c r="J167" s="48" t="n">
        <x:v>0.68</x:v>
      </x:c>
      <x:c r="K167" s="48" t="str">
        <x:v>Yes</x:v>
      </x:c>
      <x:c r="L167" s="48" t="str">
        <x:v>PDF text</x:v>
      </x:c>
    </x:row>
    <x:row r="168">
      <x:c r="A168" s="48" t="str">
        <x:v>YELLOW-0167</x:v>
      </x:c>
      <x:c r="B168" s="48" t="str">
        <x:v>YELLOW</x:v>
      </x:c>
      <x:c r="C168" s="48" t="str">
        <x:v>English</x:v>
      </x:c>
      <x:c r="D168" s="48" t="n">
        <x:v>24</x:v>
      </x:c>
      <x:c r="E168" s="48" t="str"/>
      <x:c r="F168" s="48" t="str">
        <x:v>If, under the Contract, the</x:v>
      </x:c>
      <x:c r="G168" s="48" t="str">
        <x:v>Obligation</x:v>
      </x:c>
      <x:c r="H168" s="48" t="str">
        <x:v>Shared</x:v>
      </x:c>
      <x:c r="I168" s="48" t="n">
        <x:v>0.45</x:v>
      </x:c>
      <x:c r="J168" s="48" t="n">
        <x:v>0.4</x:v>
      </x:c>
      <x:c r="K168" s="48" t="str">
        <x:v>Yes</x:v>
      </x:c>
      <x:c r="L168" s="48" t="str">
        <x:v>PDF text</x:v>
      </x:c>
    </x:row>
    <x:row r="169">
      <x:c r="A169" s="48" t="str">
        <x:v>YELLOW-0168</x:v>
      </x:c>
      <x:c r="B169" s="48" t="str">
        <x:v>YELLOW</x:v>
      </x:c>
      <x:c r="C169" s="48" t="str">
        <x:v>English</x:v>
      </x:c>
      <x:c r="D169" s="48" t="n">
        <x:v>24</x:v>
      </x:c>
      <x:c r="E169" s="48" t="str"/>
      <x:c r="F169" s="48" t="str">
        <x:v>Employer is required to give (to the Contractor) possession of any foundation,</x:v>
      </x:c>
      <x:c r="G169" s="48" t="str">
        <x:v>Obligation</x:v>
      </x:c>
      <x:c r="H169" s="48" t="str">
        <x:v>Shared</x:v>
      </x:c>
      <x:c r="I169" s="48" t="n">
        <x:v>0.88</x:v>
      </x:c>
      <x:c r="J169" s="48" t="n">
        <x:v>0.6</x:v>
      </x:c>
      <x:c r="K169" s="48" t="str">
        <x:v>Yes</x:v>
      </x:c>
      <x:c r="L169" s="48" t="str">
        <x:v>PDF text</x:v>
      </x:c>
    </x:row>
    <x:row r="170">
      <x:c r="A170" s="48" t="str">
        <x:v>YELLOW-0169</x:v>
      </x:c>
      <x:c r="B170" s="48" t="str">
        <x:v>YELLOW</x:v>
      </x:c>
      <x:c r="C170" s="48" t="str">
        <x:v>English</x:v>
      </x:c>
      <x:c r="D170" s="48" t="n">
        <x:v>24</x:v>
      </x:c>
      <x:c r="E170" s="48" t="str"/>
      <x:c r="F170" s="48" t="str">
        <x:v>structure, plant or means of access, the Employer shall do so in the time and manner stated in the Employer's Requirements.</x:v>
      </x:c>
      <x:c r="G170" s="48" t="str">
        <x:v>Obligation</x:v>
      </x:c>
      <x:c r="H170" s="48" t="str">
        <x:v>Employer</x:v>
      </x:c>
      <x:c r="I170" s="48" t="n">
        <x:v>0.88</x:v>
      </x:c>
      <x:c r="J170" s="48" t="n">
        <x:v>0.92</x:v>
      </x:c>
      <x:c r="K170" s="48" t="str">
        <x:v>No</x:v>
      </x:c>
      <x:c r="L170" s="48" t="str">
        <x:v>PDF text</x:v>
      </x:c>
    </x:row>
    <x:row r="171">
      <x:c r="A171" s="48" t="str">
        <x:v>YELLOW-0170</x:v>
      </x:c>
      <x:c r="B171" s="48" t="str">
        <x:v>YELLOW</x:v>
      </x:c>
      <x:c r="C171" s="48" t="str">
        <x:v>English</x:v>
      </x:c>
      <x:c r="D171" s="48" t="n">
        <x:v>24</x:v>
      </x:c>
      <x:c r="E171" s="48" t="str"/>
      <x:c r="F171" s="48" t="str">
        <x:v>However, the Employer may withhold any such right or possession until the Performance Security has been received.</x:v>
      </x:c>
      <x:c r="G171" s="48" t="str">
        <x:v>Right</x:v>
      </x:c>
      <x:c r="H171" s="48" t="str">
        <x:v>Employer</x:v>
      </x:c>
      <x:c r="I171" s="48" t="n">
        <x:v>0.78</x:v>
      </x:c>
      <x:c r="J171" s="48" t="n">
        <x:v>0.92</x:v>
      </x:c>
      <x:c r="K171" s="48" t="str">
        <x:v>No</x:v>
      </x:c>
      <x:c r="L171" s="48" t="str">
        <x:v>PDF text</x:v>
      </x:c>
    </x:row>
    <x:row r="172">
      <x:c r="A172" s="48" t="str">
        <x:v>YELLOW-0171</x:v>
      </x:c>
      <x:c r="B172" s="48" t="str">
        <x:v>YELLOW</x:v>
      </x:c>
      <x:c r="C172" s="48" t="str">
        <x:v>English</x:v>
      </x:c>
      <x:c r="D172" s="48" t="n">
        <x:v>24</x:v>
      </x:c>
      <x:c r="E172" s="48" t="str"/>
      <x:c r="F172" s="48" t="str">
        <x:v>If no such time is stated in the Appendix to Tender, the Employer shall give the</x:v>
      </x:c>
      <x:c r="G172" s="48" t="str">
        <x:v>Obligation</x:v>
      </x:c>
      <x:c r="H172" s="48" t="str">
        <x:v>Employer</x:v>
      </x:c>
      <x:c r="I172" s="48" t="n">
        <x:v>0.88</x:v>
      </x:c>
      <x:c r="J172" s="48" t="n">
        <x:v>0.92</x:v>
      </x:c>
      <x:c r="K172" s="48" t="str">
        <x:v>No</x:v>
      </x:c>
      <x:c r="L172" s="48" t="str">
        <x:v>PDF text</x:v>
      </x:c>
    </x:row>
    <x:row r="173">
      <x:c r="A173" s="48" t="str">
        <x:v>YELLOW-0172</x:v>
      </x:c>
      <x:c r="B173" s="48" t="str">
        <x:v>YELLOW</x:v>
      </x:c>
      <x:c r="C173" s="48" t="str">
        <x:v>English</x:v>
      </x:c>
      <x:c r="D173" s="48" t="n">
        <x:v>24</x:v>
      </x:c>
      <x:c r="E173" s="48" t="str"/>
      <x:c r="F173" s="48" t="str">
        <x:v>Contractor right of access to, and possession of, the Site within such times as may be required to enable the Contractor to proceed in accordance with the programme submitted under Sub-Clause 8.3 [Programme].</x:v>
      </x:c>
      <x:c r="G173" s="48" t="str">
        <x:v>Right</x:v>
      </x:c>
      <x:c r="H173" s="48" t="str">
        <x:v>Contractor</x:v>
      </x:c>
      <x:c r="I173" s="48" t="n">
        <x:v>0.78</x:v>
      </x:c>
      <x:c r="J173" s="48" t="n">
        <x:v>0.68</x:v>
      </x:c>
      <x:c r="K173" s="48" t="str">
        <x:v>Yes</x:v>
      </x:c>
      <x:c r="L173" s="48" t="str">
        <x:v>PDF text</x:v>
      </x:c>
    </x:row>
    <x:row r="174">
      <x:c r="A174" s="48" t="str">
        <x:v>YELLOW-0173</x:v>
      </x:c>
      <x:c r="B174" s="48" t="str">
        <x:v>YELLOW</x:v>
      </x:c>
      <x:c r="C174" s="48" t="str">
        <x:v>English</x:v>
      </x:c>
      <x:c r="D174" s="48" t="n">
        <x:v>24</x:v>
      </x:c>
      <x:c r="E174" s="48" t="str"/>
      <x:c r="F174" s="48" t="str">
        <x:v>If the Contractor suffers delay and/or incurs Cost as a result of a failure by the Employer to give any such right or possession within such time, the Contractor shall give notice to the Engineer and shall be entitled subject to Sub-Clause 20.1 [Contractor's Claims] to: (a) an extension of time for any such delay, if completion is or will be delayed, under Sub-Clause 8.4 [Extension of Time for Completion], and (b) payment of any such Cost plus reasonable profit, which shall be included in the Contract Price.</x:v>
      </x:c>
      <x:c r="G174" s="48" t="str">
        <x:v>Risk</x:v>
      </x:c>
      <x:c r="H174" s="48" t="str">
        <x:v>Employer</x:v>
      </x:c>
      <x:c r="I174" s="48" t="n">
        <x:v>0.78</x:v>
      </x:c>
      <x:c r="J174" s="48" t="n">
        <x:v>0.85</x:v>
      </x:c>
      <x:c r="K174" s="48" t="str">
        <x:v>No</x:v>
      </x:c>
      <x:c r="L174" s="48" t="str">
        <x:v>PDF text</x:v>
      </x:c>
    </x:row>
    <x:row r="175">
      <x:c r="A175" s="48" t="str">
        <x:v>YELLOW-0174</x:v>
      </x:c>
      <x:c r="B175" s="48" t="str">
        <x:v>YELLOW</x:v>
      </x:c>
      <x:c r="C175" s="48" t="str">
        <x:v>English</x:v>
      </x:c>
      <x:c r="D175" s="48" t="n">
        <x:v>24</x:v>
      </x:c>
      <x:c r="E175" s="48" t="str">
        <x:v>3.5</x:v>
      </x:c>
      <x:c r="F175" s="48" t="str">
        <x:v>3.5 [Determinations] to agree or determine these matters.</x:v>
      </x:c>
      <x:c r="G175" s="48" t="str">
        <x:v>Obligation</x:v>
      </x:c>
      <x:c r="H175" s="48" t="str">
        <x:v>Shared</x:v>
      </x:c>
      <x:c r="I175" s="48" t="n">
        <x:v>0.45</x:v>
      </x:c>
      <x:c r="J175" s="48" t="n">
        <x:v>0.4</x:v>
      </x:c>
      <x:c r="K175" s="48" t="str">
        <x:v>Yes</x:v>
      </x:c>
      <x:c r="L175" s="48" t="str">
        <x:v>PDF text</x:v>
      </x:c>
    </x:row>
    <x:row r="176">
      <x:c r="A176" s="48" t="str">
        <x:v>YELLOW-0175</x:v>
      </x:c>
      <x:c r="B176" s="48" t="str">
        <x:v>YELLOW</x:v>
      </x:c>
      <x:c r="C176" s="48" t="str">
        <x:v>English</x:v>
      </x:c>
      <x:c r="D176" s="48" t="n">
        <x:v>24</x:v>
      </x:c>
      <x:c r="E176" s="48" t="str"/>
      <x:c r="F176" s="48" t="str">
        <x:v>Compliance with Laws</x:v>
      </x:c>
      <x:c r="G176" s="48" t="str">
        <x:v>Obligation</x:v>
      </x:c>
      <x:c r="H176" s="48" t="str">
        <x:v>Shared</x:v>
      </x:c>
      <x:c r="I176" s="48" t="n">
        <x:v>0.45</x:v>
      </x:c>
      <x:c r="J176" s="48" t="n">
        <x:v>0.4</x:v>
      </x:c>
      <x:c r="K176" s="48" t="str">
        <x:v>Yes</x:v>
      </x:c>
      <x:c r="L176" s="48" t="str">
        <x:v>PDF text</x:v>
      </x:c>
    </x:row>
    <x:row r="177">
      <x:c r="A177" s="48" t="str">
        <x:v>YELLOW-0176</x:v>
      </x:c>
      <x:c r="B177" s="48" t="str">
        <x:v>YELLOW</x:v>
      </x:c>
      <x:c r="C177" s="48" t="str">
        <x:v>English</x:v>
      </x:c>
      <x:c r="D177" s="48" t="n">
        <x:v>24</x:v>
      </x:c>
      <x:c r="E177" s="48" t="str"/>
      <x:c r="F177" s="48" t="str">
        <x:v>Joint Several Liability</x:v>
      </x:c>
      <x:c r="G177" s="48" t="str">
        <x:v>Risk</x:v>
      </x:c>
      <x:c r="H177" s="48" t="str">
        <x:v>Shared</x:v>
      </x:c>
      <x:c r="I177" s="48" t="n">
        <x:v>0.78</x:v>
      </x:c>
      <x:c r="J177" s="48" t="n">
        <x:v>0.4</x:v>
      </x:c>
      <x:c r="K177" s="48" t="str">
        <x:v>Yes</x:v>
      </x:c>
      <x:c r="L177" s="48" t="str">
        <x:v>PDF text</x:v>
      </x:c>
    </x:row>
    <x:row r="178">
      <x:c r="A178" s="48" t="str">
        <x:v>YELLOW-0177</x:v>
      </x:c>
      <x:c r="B178" s="48" t="str">
        <x:v>YELLOW</x:v>
      </x:c>
      <x:c r="C178" s="48" t="str">
        <x:v>English</x:v>
      </x:c>
      <x:c r="D178" s="48" t="n">
        <x:v>24</x:v>
      </x:c>
      <x:c r="E178" s="48" t="str"/>
      <x:c r="F178" s="48" t="str">
        <x:v>Right of Access to</x:v>
      </x:c>
      <x:c r="G178" s="48" t="str">
        <x:v>Obligation</x:v>
      </x:c>
      <x:c r="H178" s="48" t="str">
        <x:v>Shared</x:v>
      </x:c>
      <x:c r="I178" s="48" t="n">
        <x:v>0.45</x:v>
      </x:c>
      <x:c r="J178" s="48" t="n">
        <x:v>0.4</x:v>
      </x:c>
      <x:c r="K178" s="48" t="str">
        <x:v>Yes</x:v>
      </x:c>
      <x:c r="L178" s="48" t="str">
        <x:v>PDF text</x:v>
      </x:c>
    </x:row>
    <x:row r="179">
      <x:c r="A179" s="48" t="str">
        <x:v>YELLOW-0178</x:v>
      </x:c>
      <x:c r="B179" s="48" t="str">
        <x:v>YELLOW</x:v>
      </x:c>
      <x:c r="C179" s="48" t="str">
        <x:v>English</x:v>
      </x:c>
      <x:c r="D179" s="48" t="n">
        <x:v>24</x:v>
      </x:c>
      <x:c r="E179" s="48" t="str"/>
      <x:c r="F179" s="48" t="str">
        <x:v>the Site</x:v>
      </x:c>
      <x:c r="G179" s="48" t="str">
        <x:v>Obligation</x:v>
      </x:c>
      <x:c r="H179" s="48" t="str">
        <x:v>Shared</x:v>
      </x:c>
      <x:c r="I179" s="48" t="n">
        <x:v>0.45</x:v>
      </x:c>
      <x:c r="J179" s="48" t="n">
        <x:v>0.4</x:v>
      </x:c>
      <x:c r="K179" s="48" t="str">
        <x:v>Yes</x:v>
      </x:c>
      <x:c r="L179" s="48" t="str">
        <x:v>PDF text</x:v>
      </x:c>
    </x:row>
    <x:row r="180">
      <x:c r="A180" s="48" t="str">
        <x:v>YELLOW-0179</x:v>
      </x:c>
      <x:c r="B180" s="48" t="str">
        <x:v>YELLOW</x:v>
      </x:c>
      <x:c r="C180" s="48" t="str">
        <x:v>English</x:v>
      </x:c>
      <x:c r="D180" s="48" t="n">
        <x:v>24</x:v>
      </x:c>
      <x:c r="E180" s="48" t="str"/>
      <x:c r="F180" s="48" t="str">
        <x:v>The Employer</x:v>
      </x:c>
      <x:c r="G180" s="48" t="str">
        <x:v>Obligation</x:v>
      </x:c>
      <x:c r="H180" s="48" t="str">
        <x:v>Employer</x:v>
      </x:c>
      <x:c r="I180" s="48" t="n">
        <x:v>0.45</x:v>
      </x:c>
      <x:c r="J180" s="48" t="n">
        <x:v>0.68</x:v>
      </x:c>
      <x:c r="K180" s="48" t="str">
        <x:v>Yes</x:v>
      </x:c>
      <x:c r="L180" s="48" t="str">
        <x:v>PDF text</x:v>
      </x:c>
    </x:row>
    <x:row r="181">
      <x:c r="A181" s="48" t="str">
        <x:v>YELLOW-0180</x:v>
      </x:c>
      <x:c r="B181" s="48" t="str">
        <x:v>YELLOW</x:v>
      </x:c>
      <x:c r="C181" s="48" t="str">
        <x:v>English</x:v>
      </x:c>
      <x:c r="D181" s="48" t="n">
        <x:v>25</x:v>
      </x:c>
      <x:c r="E181" s="48" t="str"/>
      <x:c r="F181" s="48" t="str">
        <x:v>However, if and to the extent that the Employer's failure was caused by any error or delay by the Contractor, including an error in, or delay in the submission of, any of the</x:v>
      </x:c>
      <x:c r="G181" s="48" t="str">
        <x:v>Risk</x:v>
      </x:c>
      <x:c r="H181" s="48" t="str">
        <x:v>Shared</x:v>
      </x:c>
      <x:c r="I181" s="48" t="n">
        <x:v>0.78</x:v>
      </x:c>
      <x:c r="J181" s="48" t="n">
        <x:v>0.6</x:v>
      </x:c>
      <x:c r="K181" s="48" t="str">
        <x:v>Yes</x:v>
      </x:c>
      <x:c r="L181" s="48" t="str">
        <x:v>PDF text</x:v>
      </x:c>
    </x:row>
    <x:row r="182">
      <x:c r="A182" s="48" t="str">
        <x:v>YELLOW-0181</x:v>
      </x:c>
      <x:c r="B182" s="48" t="str">
        <x:v>YELLOW</x:v>
      </x:c>
      <x:c r="C182" s="48" t="str">
        <x:v>English</x:v>
      </x:c>
      <x:c r="D182" s="48" t="n">
        <x:v>25</x:v>
      </x:c>
      <x:c r="E182" s="48" t="str"/>
      <x:c r="F182" s="48" t="str">
        <x:v>Contractor's Documents, the Contractor shall not be entitled to such extension of</x:v>
      </x:c>
      <x:c r="G182" s="48" t="str">
        <x:v>Obligation</x:v>
      </x:c>
      <x:c r="H182" s="48" t="str">
        <x:v>Contractor</x:v>
      </x:c>
      <x:c r="I182" s="48" t="n">
        <x:v>0.88</x:v>
      </x:c>
      <x:c r="J182" s="48" t="n">
        <x:v>0.92</x:v>
      </x:c>
      <x:c r="K182" s="48" t="str">
        <x:v>No</x:v>
      </x:c>
      <x:c r="L182" s="48" t="str">
        <x:v>PDF text</x:v>
      </x:c>
    </x:row>
    <x:row r="183">
      <x:c r="A183" s="48" t="str">
        <x:v>YELLOW-0182</x:v>
      </x:c>
      <x:c r="B183" s="48" t="str">
        <x:v>YELLOW</x:v>
      </x:c>
      <x:c r="C183" s="48" t="str">
        <x:v>English</x:v>
      </x:c>
      <x:c r="D183" s="48" t="n">
        <x:v>25</x:v>
      </x:c>
      <x:c r="E183" s="48" t="str"/>
      <x:c r="F183" s="48" t="str">
        <x:v>time, Cost or profit.</x:v>
      </x:c>
      <x:c r="G183" s="48" t="str">
        <x:v>Obligation</x:v>
      </x:c>
      <x:c r="H183" s="48" t="str">
        <x:v>Shared</x:v>
      </x:c>
      <x:c r="I183" s="48" t="n">
        <x:v>0.45</x:v>
      </x:c>
      <x:c r="J183" s="48" t="n">
        <x:v>0.4</x:v>
      </x:c>
      <x:c r="K183" s="48" t="str">
        <x:v>Yes</x:v>
      </x:c>
      <x:c r="L183" s="48" t="str">
        <x:v>PDF text</x:v>
      </x:c>
    </x:row>
    <x:row r="184">
      <x:c r="A184" s="48" t="str">
        <x:v>YELLOW-0183</x:v>
      </x:c>
      <x:c r="B184" s="48" t="str">
        <x:v>YELLOW</x:v>
      </x:c>
      <x:c r="C184" s="48" t="str">
        <x:v>English</x:v>
      </x:c>
      <x:c r="D184" s="48" t="n">
        <x:v>25</x:v>
      </x:c>
      <x:c r="E184" s="48" t="str"/>
      <x:c r="F184" s="48" t="str">
        <x:v>The Employer shall (where he is in a position to do so) provide reasonable assistance to the Contractor at the request of the Contractor: (a) by obtaining copies of the Laws of the Country which are relevant to the</x:v>
      </x:c>
      <x:c r="G184" s="48" t="str">
        <x:v>Obligation</x:v>
      </x:c>
      <x:c r="H184" s="48" t="str">
        <x:v>Employer</x:v>
      </x:c>
      <x:c r="I184" s="48" t="n">
        <x:v>0.88</x:v>
      </x:c>
      <x:c r="J184" s="48" t="n">
        <x:v>0.92</x:v>
      </x:c>
      <x:c r="K184" s="48" t="str">
        <x:v>No</x:v>
      </x:c>
      <x:c r="L184" s="48" t="str">
        <x:v>PDF text</x:v>
      </x:c>
    </x:row>
    <x:row r="185">
      <x:c r="A185" s="48" t="str">
        <x:v>YELLOW-0184</x:v>
      </x:c>
      <x:c r="B185" s="48" t="str">
        <x:v>YELLOW</x:v>
      </x:c>
      <x:c r="C185" s="48" t="str">
        <x:v>English</x:v>
      </x:c>
      <x:c r="D185" s="48" t="n">
        <x:v>25</x:v>
      </x:c>
      <x:c r="E185" s="48" t="str"/>
      <x:c r="F185" s="48" t="str">
        <x:v>Contract but are not readily available, and</x:v>
      </x:c>
      <x:c r="G185" s="48" t="str">
        <x:v>Obligation</x:v>
      </x:c>
      <x:c r="H185" s="48" t="str">
        <x:v>Shared</x:v>
      </x:c>
      <x:c r="I185" s="48" t="n">
        <x:v>0.45</x:v>
      </x:c>
      <x:c r="J185" s="48" t="n">
        <x:v>0.4</x:v>
      </x:c>
      <x:c r="K185" s="48" t="str">
        <x:v>Yes</x:v>
      </x:c>
      <x:c r="L185" s="48" t="str">
        <x:v>PDF text</x:v>
      </x:c>
    </x:row>
    <x:row r="186">
      <x:c r="A186" s="48" t="str">
        <x:v>YELLOW-0185</x:v>
      </x:c>
      <x:c r="B186" s="48" t="str">
        <x:v>YELLOW</x:v>
      </x:c>
      <x:c r="C186" s="48" t="str">
        <x:v>English</x:v>
      </x:c>
      <x:c r="D186" s="48" t="n">
        <x:v>25</x:v>
      </x:c>
      <x:c r="E186" s="48" t="str"/>
      <x:c r="F186" s="48" t="str">
        <x:v>(b) for the Contractor's applications for any permits, licences or approvals required by the Laws of the Country: (i) which the Contractor is required to obtain under Sub-Clause 1.13 [Compliance with Laws], (ii) for the delivery of Goods, including clearance through customs, and (iii) for the export of Contractor's Equipment when it is removed from the Site.</x:v>
      </x:c>
      <x:c r="G186" s="48" t="str">
        <x:v>Obligation</x:v>
      </x:c>
      <x:c r="H186" s="48" t="str">
        <x:v>Contractor</x:v>
      </x:c>
      <x:c r="I186" s="48" t="n">
        <x:v>0.88</x:v>
      </x:c>
      <x:c r="J186" s="48" t="n">
        <x:v>0.68</x:v>
      </x:c>
      <x:c r="K186" s="48" t="str">
        <x:v>Yes</x:v>
      </x:c>
      <x:c r="L186" s="48" t="str">
        <x:v>PDF text</x:v>
      </x:c>
    </x:row>
    <x:row r="187">
      <x:c r="A187" s="48" t="str">
        <x:v>YELLOW-0186</x:v>
      </x:c>
      <x:c r="B187" s="48" t="str">
        <x:v>YELLOW</x:v>
      </x:c>
      <x:c r="C187" s="48" t="str">
        <x:v>English</x:v>
      </x:c>
      <x:c r="D187" s="48" t="n">
        <x:v>25</x:v>
      </x:c>
      <x:c r="E187" s="48" t="str"/>
      <x:c r="F187" s="48" t="str">
        <x:v>The Employer shall be responsible for ensuring that the Employer's Personnel and the Employer's other contractors on the Site: (a) co-operate with the Contractor's efforts under Sub-Clause 4.6 [Co-operation], and (b) take actions similar to those which the Contractor is required to take under subparagraphs (a), (b) and (c) of Sub-Clause 4.8 [Safety Procedures] and under Sub-Clause 4.18 [Protection of the Environment].</x:v>
      </x:c>
      <x:c r="G187" s="48" t="str">
        <x:v>Obligation</x:v>
      </x:c>
      <x:c r="H187" s="48" t="str">
        <x:v>Employer</x:v>
      </x:c>
      <x:c r="I187" s="48" t="n">
        <x:v>0.88</x:v>
      </x:c>
      <x:c r="J187" s="48" t="n">
        <x:v>0.92</x:v>
      </x:c>
      <x:c r="K187" s="48" t="str">
        <x:v>No</x:v>
      </x:c>
      <x:c r="L187" s="48" t="str">
        <x:v>PDF text</x:v>
      </x:c>
    </x:row>
    <x:row r="188">
      <x:c r="A188" s="48" t="str">
        <x:v>YELLOW-0187</x:v>
      </x:c>
      <x:c r="B188" s="48" t="str">
        <x:v>YELLOW</x:v>
      </x:c>
      <x:c r="C188" s="48" t="str">
        <x:v>English</x:v>
      </x:c>
      <x:c r="D188" s="48" t="n">
        <x:v>25</x:v>
      </x:c>
      <x:c r="E188" s="48" t="str"/>
      <x:c r="F188" s="48" t="str">
        <x:v>The Employer shall submit, within 28 days after receiving any request from the Contractor, reasonable evidence that financial arrangements have been made and are being maintained which will enable the Employer to pay the Contract Price (as estimated at that time) in accordance with Clause 14 [Contract Price and Payment].</x:v>
      </x:c>
      <x:c r="G188" s="48" t="str">
        <x:v>Obligation</x:v>
      </x:c>
      <x:c r="H188" s="48" t="str">
        <x:v>Employer</x:v>
      </x:c>
      <x:c r="I188" s="48" t="n">
        <x:v>0.88</x:v>
      </x:c>
      <x:c r="J188" s="48" t="n">
        <x:v>0.92</x:v>
      </x:c>
      <x:c r="K188" s="48" t="str">
        <x:v>No</x:v>
      </x:c>
      <x:c r="L188" s="48" t="str">
        <x:v>PDF text</x:v>
      </x:c>
    </x:row>
    <x:row r="189">
      <x:c r="A189" s="48" t="str">
        <x:v>YELLOW-0188</x:v>
      </x:c>
      <x:c r="B189" s="48" t="str">
        <x:v>YELLOW</x:v>
      </x:c>
      <x:c r="C189" s="48" t="str">
        <x:v>English</x:v>
      </x:c>
      <x:c r="D189" s="48" t="n">
        <x:v>25</x:v>
      </x:c>
      <x:c r="E189" s="48" t="str"/>
      <x:c r="F189" s="48" t="str">
        <x:v>If the Employer intends to make any material change to his financial arrangements, the Employer shall give notice to the Contractor with detailed particulars.</x:v>
      </x:c>
      <x:c r="G189" s="48" t="str">
        <x:v>Obligation</x:v>
      </x:c>
      <x:c r="H189" s="48" t="str">
        <x:v>Employer</x:v>
      </x:c>
      <x:c r="I189" s="48" t="n">
        <x:v>0.88</x:v>
      </x:c>
      <x:c r="J189" s="48" t="n">
        <x:v>0.92</x:v>
      </x:c>
      <x:c r="K189" s="48" t="str">
        <x:v>No</x:v>
      </x:c>
      <x:c r="L189" s="48" t="str">
        <x:v>PDF text</x:v>
      </x:c>
    </x:row>
    <x:row r="190">
      <x:c r="A190" s="48" t="str">
        <x:v>YELLOW-0189</x:v>
      </x:c>
      <x:c r="B190" s="48" t="str">
        <x:v>YELLOW</x:v>
      </x:c>
      <x:c r="C190" s="48" t="str">
        <x:v>English</x:v>
      </x:c>
      <x:c r="D190" s="48" t="n">
        <x:v>25</x:v>
      </x:c>
      <x:c r="E190" s="48" t="str"/>
      <x:c r="F190" s="48" t="str">
        <x:v>If the Employer considers himself to be entitled to any payment under any Clause of these Conditions or otherwise in connection with the Contract, and/or to any extension of the Defects Notification Period, the Employer or the Engineer shall give notice and particulars to the Contractor.</x:v>
      </x:c>
      <x:c r="G190" s="48" t="str">
        <x:v>Obligation</x:v>
      </x:c>
      <x:c r="H190" s="48" t="str">
        <x:v>Shared</x:v>
      </x:c>
      <x:c r="I190" s="48" t="n">
        <x:v>0.88</x:v>
      </x:c>
      <x:c r="J190" s="48" t="n">
        <x:v>0.6</x:v>
      </x:c>
      <x:c r="K190" s="48" t="str">
        <x:v>Yes</x:v>
      </x:c>
      <x:c r="L190" s="48" t="str">
        <x:v>PDF text</x:v>
      </x:c>
    </x:row>
    <x:row r="191">
      <x:c r="A191" s="48" t="str">
        <x:v>YELLOW-0190</x:v>
      </x:c>
      <x:c r="B191" s="48" t="str">
        <x:v>YELLOW</x:v>
      </x:c>
      <x:c r="C191" s="48" t="str">
        <x:v>English</x:v>
      </x:c>
      <x:c r="D191" s="48" t="n">
        <x:v>25</x:v>
      </x:c>
      <x:c r="E191" s="48" t="str"/>
      <x:c r="F191" s="48" t="str">
        <x:v>However, notice is not required for payments due under Sub-Clause 4.19 [Electricity, Water and Gas], under Sub-Clause 4.20 [Employer's Equipment and Free-Issue Material], or for other services requested by the Contractor.</x:v>
      </x:c>
      <x:c r="G191" s="48" t="str">
        <x:v>Obligation</x:v>
      </x:c>
      <x:c r="H191" s="48" t="str">
        <x:v>Shared</x:v>
      </x:c>
      <x:c r="I191" s="48" t="n">
        <x:v>0.55</x:v>
      </x:c>
      <x:c r="J191" s="48" t="n">
        <x:v>0.6</x:v>
      </x:c>
      <x:c r="K191" s="48" t="str">
        <x:v>Yes</x:v>
      </x:c>
      <x:c r="L191" s="48" t="str">
        <x:v>PDF text</x:v>
      </x:c>
    </x:row>
    <x:row r="192">
      <x:c r="A192" s="48" t="str">
        <x:v>YELLOW-0191</x:v>
      </x:c>
      <x:c r="B192" s="48" t="str">
        <x:v>YELLOW</x:v>
      </x:c>
      <x:c r="C192" s="48" t="str">
        <x:v>English</x:v>
      </x:c>
      <x:c r="D192" s="48" t="n">
        <x:v>25</x:v>
      </x:c>
      <x:c r="E192" s="48" t="str"/>
      <x:c r="F192" s="48" t="str">
        <x:v>The notice shall be given as soon as practicable after the Employer became aware of the event or circumstances giving rise to the claim.</x:v>
      </x:c>
      <x:c r="G192" s="48" t="str">
        <x:v>Obligation</x:v>
      </x:c>
      <x:c r="H192" s="48" t="str">
        <x:v>Employer</x:v>
      </x:c>
      <x:c r="I192" s="48" t="n">
        <x:v>0.88</x:v>
      </x:c>
      <x:c r="J192" s="48" t="n">
        <x:v>0.68</x:v>
      </x:c>
      <x:c r="K192" s="48" t="str">
        <x:v>Yes</x:v>
      </x:c>
      <x:c r="L192" s="48" t="str">
        <x:v>PDF text</x:v>
      </x:c>
    </x:row>
    <x:row r="193">
      <x:c r="A193" s="48" t="str">
        <x:v>YELLOW-0192</x:v>
      </x:c>
      <x:c r="B193" s="48" t="str">
        <x:v>YELLOW</x:v>
      </x:c>
      <x:c r="C193" s="48" t="str">
        <x:v>English</x:v>
      </x:c>
      <x:c r="D193" s="48" t="n">
        <x:v>25</x:v>
      </x:c>
      <x:c r="E193" s="48" t="str"/>
      <x:c r="F193" s="48" t="str">
        <x:v>A notice relating to any extension of the Defects Notification Period shall be given before the expiry of such period.</x:v>
      </x:c>
      <x:c r="G193" s="48" t="str">
        <x:v>Obligation</x:v>
      </x:c>
      <x:c r="H193" s="48" t="str">
        <x:v>Shared</x:v>
      </x:c>
      <x:c r="I193" s="48" t="n">
        <x:v>0.88</x:v>
      </x:c>
      <x:c r="J193" s="48" t="n">
        <x:v>0.4</x:v>
      </x:c>
      <x:c r="K193" s="48" t="str">
        <x:v>Yes</x:v>
      </x:c>
      <x:c r="L193" s="48" t="str">
        <x:v>PDF text</x:v>
      </x:c>
    </x:row>
    <x:row r="194">
      <x:c r="A194" s="48" t="str">
        <x:v>YELLOW-0193</x:v>
      </x:c>
      <x:c r="B194" s="48" t="str">
        <x:v>YELLOW</x:v>
      </x:c>
      <x:c r="C194" s="48" t="str">
        <x:v>English</x:v>
      </x:c>
      <x:c r="D194" s="48" t="n">
        <x:v>25</x:v>
      </x:c>
      <x:c r="E194" s="48" t="str"/>
      <x:c r="F194" s="48" t="str">
        <x:v>The particulars shall specify the Clause or other basis of the claim, and shall include substantiation of the amount and/or extension to which the Employer considers himself to be entitled in connection with the Contract.</x:v>
      </x:c>
      <x:c r="G194" s="48" t="str">
        <x:v>Obligation</x:v>
      </x:c>
      <x:c r="H194" s="48" t="str">
        <x:v>Employer</x:v>
      </x:c>
      <x:c r="I194" s="48" t="n">
        <x:v>0.88</x:v>
      </x:c>
      <x:c r="J194" s="48" t="n">
        <x:v>0.68</x:v>
      </x:c>
      <x:c r="K194" s="48" t="str">
        <x:v>Yes</x:v>
      </x:c>
      <x:c r="L194" s="48" t="str">
        <x:v>PDF text</x:v>
      </x:c>
    </x:row>
    <x:row r="195">
      <x:c r="A195" s="48" t="str">
        <x:v>YELLOW-0194</x:v>
      </x:c>
      <x:c r="B195" s="48" t="str">
        <x:v>YELLOW</x:v>
      </x:c>
      <x:c r="C195" s="48" t="str">
        <x:v>English</x:v>
      </x:c>
      <x:c r="D195" s="48" t="n">
        <x:v>25</x:v>
      </x:c>
      <x:c r="E195" s="48" t="str"/>
      <x:c r="F195" s="48" t="str">
        <x:v>The Engineer shall then proceed in accordance with Sub-Clause 3.5 [Determinations] to agree or determine (i) the amount (if any) which the Employer is entitled to be paid by the Contractor, 2.2</x:v>
      </x:c>
      <x:c r="G195" s="48" t="str">
        <x:v>Obligation</x:v>
      </x:c>
      <x:c r="H195" s="48" t="str">
        <x:v>Shared</x:v>
      </x:c>
      <x:c r="I195" s="48" t="n">
        <x:v>0.88</x:v>
      </x:c>
      <x:c r="J195" s="48" t="n">
        <x:v>0.6</x:v>
      </x:c>
      <x:c r="K195" s="48" t="str">
        <x:v>Yes</x:v>
      </x:c>
      <x:c r="L195" s="48" t="str">
        <x:v>PDF text</x:v>
      </x:c>
    </x:row>
    <x:row r="196">
      <x:c r="A196" s="48" t="str">
        <x:v>YELLOW-0195</x:v>
      </x:c>
      <x:c r="B196" s="48" t="str">
        <x:v>YELLOW</x:v>
      </x:c>
      <x:c r="C196" s="48" t="str">
        <x:v>English</x:v>
      </x:c>
      <x:c r="D196" s="48" t="n">
        <x:v>25</x:v>
      </x:c>
      <x:c r="E196" s="48" t="str"/>
      <x:c r="F196" s="48" t="str">
        <x:v>Permits, Licences or</x:v>
      </x:c>
      <x:c r="G196" s="48" t="str">
        <x:v>Obligation</x:v>
      </x:c>
      <x:c r="H196" s="48" t="str">
        <x:v>Shared</x:v>
      </x:c>
      <x:c r="I196" s="48" t="n">
        <x:v>0.45</x:v>
      </x:c>
      <x:c r="J196" s="48" t="n">
        <x:v>0.4</x:v>
      </x:c>
      <x:c r="K196" s="48" t="str">
        <x:v>Yes</x:v>
      </x:c>
      <x:c r="L196" s="48" t="str">
        <x:v>PDF text</x:v>
      </x:c>
    </x:row>
    <x:row r="197">
      <x:c r="A197" s="48" t="str">
        <x:v>YELLOW-0196</x:v>
      </x:c>
      <x:c r="B197" s="48" t="str">
        <x:v>YELLOW</x:v>
      </x:c>
      <x:c r="C197" s="48" t="str">
        <x:v>English</x:v>
      </x:c>
      <x:c r="D197" s="48" t="n">
        <x:v>25</x:v>
      </x:c>
      <x:c r="E197" s="48" t="str"/>
      <x:c r="F197" s="48" t="str">
        <x:v>Approvals</x:v>
      </x:c>
      <x:c r="G197" s="48" t="str">
        <x:v>Obligation</x:v>
      </x:c>
      <x:c r="H197" s="48" t="str">
        <x:v>Shared</x:v>
      </x:c>
      <x:c r="I197" s="48" t="n">
        <x:v>0.45</x:v>
      </x:c>
      <x:c r="J197" s="48" t="n">
        <x:v>0.4</x:v>
      </x:c>
      <x:c r="K197" s="48" t="str">
        <x:v>Yes</x:v>
      </x:c>
      <x:c r="L197" s="48" t="str">
        <x:v>PDF text</x:v>
      </x:c>
    </x:row>
    <x:row r="198">
      <x:c r="A198" s="48" t="str">
        <x:v>YELLOW-0197</x:v>
      </x:c>
      <x:c r="B198" s="48" t="str">
        <x:v>YELLOW</x:v>
      </x:c>
      <x:c r="C198" s="48" t="str">
        <x:v>English</x:v>
      </x:c>
      <x:c r="D198" s="48" t="n">
        <x:v>25</x:v>
      </x:c>
      <x:c r="E198" s="48" t="str"/>
      <x:c r="F198" s="48" t="str">
        <x:v>Employer’s Personnel</x:v>
      </x:c>
      <x:c r="G198" s="48" t="str">
        <x:v>Obligation</x:v>
      </x:c>
      <x:c r="H198" s="48" t="str">
        <x:v>Employer</x:v>
      </x:c>
      <x:c r="I198" s="48" t="n">
        <x:v>0.45</x:v>
      </x:c>
      <x:c r="J198" s="48" t="n">
        <x:v>0.68</x:v>
      </x:c>
      <x:c r="K198" s="48" t="str">
        <x:v>Yes</x:v>
      </x:c>
      <x:c r="L198" s="48" t="str">
        <x:v>PDF text</x:v>
      </x:c>
    </x:row>
    <x:row r="199">
      <x:c r="A199" s="48" t="str">
        <x:v>YELLOW-0198</x:v>
      </x:c>
      <x:c r="B199" s="48" t="str">
        <x:v>YELLOW</x:v>
      </x:c>
      <x:c r="C199" s="48" t="str">
        <x:v>English</x:v>
      </x:c>
      <x:c r="D199" s="48" t="n">
        <x:v>25</x:v>
      </x:c>
      <x:c r="E199" s="48" t="str"/>
      <x:c r="F199" s="48" t="str">
        <x:v>Employer’s Financial</x:v>
      </x:c>
      <x:c r="G199" s="48" t="str">
        <x:v>Obligation</x:v>
      </x:c>
      <x:c r="H199" s="48" t="str">
        <x:v>Employer</x:v>
      </x:c>
      <x:c r="I199" s="48" t="n">
        <x:v>0.45</x:v>
      </x:c>
      <x:c r="J199" s="48" t="n">
        <x:v>0.68</x:v>
      </x:c>
      <x:c r="K199" s="48" t="str">
        <x:v>Yes</x:v>
      </x:c>
      <x:c r="L199" s="48" t="str">
        <x:v>PDF text</x:v>
      </x:c>
    </x:row>
    <x:row r="200">
      <x:c r="A200" s="48" t="str">
        <x:v>YELLOW-0199</x:v>
      </x:c>
      <x:c r="B200" s="48" t="str">
        <x:v>YELLOW</x:v>
      </x:c>
      <x:c r="C200" s="48" t="str">
        <x:v>English</x:v>
      </x:c>
      <x:c r="D200" s="48" t="n">
        <x:v>25</x:v>
      </x:c>
      <x:c r="E200" s="48" t="str"/>
      <x:c r="F200" s="48" t="str">
        <x:v>Arrangements</x:v>
      </x:c>
      <x:c r="G200" s="48" t="str">
        <x:v>Obligation</x:v>
      </x:c>
      <x:c r="H200" s="48" t="str">
        <x:v>Shared</x:v>
      </x:c>
      <x:c r="I200" s="48" t="n">
        <x:v>0.45</x:v>
      </x:c>
      <x:c r="J200" s="48" t="n">
        <x:v>0.4</x:v>
      </x:c>
      <x:c r="K200" s="48" t="str">
        <x:v>Yes</x:v>
      </x:c>
      <x:c r="L200" s="48" t="str">
        <x:v>PDF text</x:v>
      </x:c>
    </x:row>
    <x:row r="201">
      <x:c r="A201" s="48" t="str">
        <x:v>YELLOW-0200</x:v>
      </x:c>
      <x:c r="B201" s="48" t="str">
        <x:v>YELLOW</x:v>
      </x:c>
      <x:c r="C201" s="48" t="str">
        <x:v>English</x:v>
      </x:c>
      <x:c r="D201" s="48" t="n">
        <x:v>25</x:v>
      </x:c>
      <x:c r="E201" s="48" t="str"/>
      <x:c r="F201" s="48" t="str">
        <x:v>Employer’s Claims</x:v>
      </x:c>
      <x:c r="G201" s="48" t="str">
        <x:v>Obligation</x:v>
      </x:c>
      <x:c r="H201" s="48" t="str">
        <x:v>Employer</x:v>
      </x:c>
      <x:c r="I201" s="48" t="n">
        <x:v>0.45</x:v>
      </x:c>
      <x:c r="J201" s="48" t="n">
        <x:v>0.68</x:v>
      </x:c>
      <x:c r="K201" s="48" t="str">
        <x:v>Yes</x:v>
      </x:c>
      <x:c r="L201" s="48" t="str">
        <x:v>PDF text</x:v>
      </x:c>
    </x:row>
    <x:row r="202">
      <x:c r="A202" s="48" t="str">
        <x:v>YELLOW-0201</x:v>
      </x:c>
      <x:c r="B202" s="48" t="str">
        <x:v>YELLOW</x:v>
      </x:c>
      <x:c r="C202" s="48" t="str">
        <x:v>English</x:v>
      </x:c>
      <x:c r="D202" s="48" t="n">
        <x:v>26</x:v>
      </x:c>
      <x:c r="E202" s="48" t="str"/>
      <x:c r="F202" s="48" t="str">
        <x:v>and/or (ii) the extension (if any) of the Defects Notification Period in accordance with Sub-Clause 11.3 [Extension of Defects Notification Period].</x:v>
      </x:c>
      <x:c r="G202" s="48" t="str">
        <x:v>Obligation</x:v>
      </x:c>
      <x:c r="H202" s="48" t="str">
        <x:v>Shared</x:v>
      </x:c>
      <x:c r="I202" s="48" t="n">
        <x:v>0.45</x:v>
      </x:c>
      <x:c r="J202" s="48" t="n">
        <x:v>0.4</x:v>
      </x:c>
      <x:c r="K202" s="48" t="str">
        <x:v>Yes</x:v>
      </x:c>
      <x:c r="L202" s="48" t="str">
        <x:v>PDF text</x:v>
      </x:c>
    </x:row>
    <x:row r="203">
      <x:c r="A203" s="48" t="str">
        <x:v>YELLOW-0202</x:v>
      </x:c>
      <x:c r="B203" s="48" t="str">
        <x:v>YELLOW</x:v>
      </x:c>
      <x:c r="C203" s="48" t="str">
        <x:v>English</x:v>
      </x:c>
      <x:c r="D203" s="48" t="n">
        <x:v>26</x:v>
      </x:c>
      <x:c r="E203" s="48" t="str"/>
      <x:c r="F203" s="48" t="str">
        <x:v>This amount may be included as a deduction in the Contract Price and Payment</x:v>
      </x:c>
      <x:c r="G203" s="48" t="str">
        <x:v>Right</x:v>
      </x:c>
      <x:c r="H203" s="48" t="str">
        <x:v>Shared</x:v>
      </x:c>
      <x:c r="I203" s="48" t="n">
        <x:v>0.78</x:v>
      </x:c>
      <x:c r="J203" s="48" t="n">
        <x:v>0.4</x:v>
      </x:c>
      <x:c r="K203" s="48" t="str">
        <x:v>Yes</x:v>
      </x:c>
      <x:c r="L203" s="48" t="str">
        <x:v>PDF text</x:v>
      </x:c>
    </x:row>
    <x:row r="204">
      <x:c r="A204" s="48" t="str">
        <x:v>YELLOW-0203</x:v>
      </x:c>
      <x:c r="B204" s="48" t="str">
        <x:v>YELLOW</x:v>
      </x:c>
      <x:c r="C204" s="48" t="str">
        <x:v>English</x:v>
      </x:c>
      <x:c r="D204" s="48" t="n">
        <x:v>26</x:v>
      </x:c>
      <x:c r="E204" s="48" t="str"/>
      <x:c r="F204" s="48" t="str">
        <x:v>Certificates.</x:v>
      </x:c>
      <x:c r="G204" s="48" t="str">
        <x:v>Obligation</x:v>
      </x:c>
      <x:c r="H204" s="48" t="str">
        <x:v>Shared</x:v>
      </x:c>
      <x:c r="I204" s="48" t="n">
        <x:v>0.45</x:v>
      </x:c>
      <x:c r="J204" s="48" t="n">
        <x:v>0.4</x:v>
      </x:c>
      <x:c r="K204" s="48" t="str">
        <x:v>Yes</x:v>
      </x:c>
      <x:c r="L204" s="48" t="str">
        <x:v>PDF text</x:v>
      </x:c>
    </x:row>
    <x:row r="205">
      <x:c r="A205" s="48" t="str">
        <x:v>YELLOW-0204</x:v>
      </x:c>
      <x:c r="B205" s="48" t="str">
        <x:v>YELLOW</x:v>
      </x:c>
      <x:c r="C205" s="48" t="str">
        <x:v>English</x:v>
      </x:c>
      <x:c r="D205" s="48" t="n">
        <x:v>26</x:v>
      </x:c>
      <x:c r="E205" s="48" t="str"/>
      <x:c r="F205" s="48" t="str">
        <x:v>The Employer shall only be entitled to set off against or make any deduction from an amount certified in a Payment Certificate, or to otherwise claim against the Contractor, in accordance with this Sub-Clause.</x:v>
      </x:c>
      <x:c r="G205" s="48" t="str">
        <x:v>Obligation</x:v>
      </x:c>
      <x:c r="H205" s="48" t="str">
        <x:v>Employer</x:v>
      </x:c>
      <x:c r="I205" s="48" t="n">
        <x:v>0.88</x:v>
      </x:c>
      <x:c r="J205" s="48" t="n">
        <x:v>0.92</x:v>
      </x:c>
      <x:c r="K205" s="48" t="str">
        <x:v>No</x:v>
      </x:c>
      <x:c r="L205" s="48" t="str">
        <x:v>PDF text</x:v>
      </x:c>
    </x:row>
    <x:row r="206">
      <x:c r="A206" s="48" t="str">
        <x:v>YELLOW-0205</x:v>
      </x:c>
      <x:c r="B206" s="48" t="str">
        <x:v>YELLOW</x:v>
      </x:c>
      <x:c r="C206" s="48" t="str">
        <x:v>English</x:v>
      </x:c>
      <x:c r="D206" s="48" t="n">
        <x:v>26</x:v>
      </x:c>
      <x:c r="E206" s="48" t="str"/>
      <x:c r="F206" s="48" t="str">
        <x:v>The Employer shall appoint the Engineer who shall carry out the duties assigned to him in the Contract.</x:v>
      </x:c>
      <x:c r="G206" s="48" t="str">
        <x:v>Obligation</x:v>
      </x:c>
      <x:c r="H206" s="48" t="str">
        <x:v>Employer</x:v>
      </x:c>
      <x:c r="I206" s="48" t="n">
        <x:v>0.88</x:v>
      </x:c>
      <x:c r="J206" s="48" t="n">
        <x:v>0.92</x:v>
      </x:c>
      <x:c r="K206" s="48" t="str">
        <x:v>No</x:v>
      </x:c>
      <x:c r="L206" s="48" t="str">
        <x:v>PDF text</x:v>
      </x:c>
    </x:row>
    <x:row r="207">
      <x:c r="A207" s="48" t="str">
        <x:v>YELLOW-0206</x:v>
      </x:c>
      <x:c r="B207" s="48" t="str">
        <x:v>YELLOW</x:v>
      </x:c>
      <x:c r="C207" s="48" t="str">
        <x:v>English</x:v>
      </x:c>
      <x:c r="D207" s="48" t="n">
        <x:v>26</x:v>
      </x:c>
      <x:c r="E207" s="48" t="str"/>
      <x:c r="F207" s="48" t="str">
        <x:v>The Engineer's staff shall include suitably qualified engineers and other professionals who are competent to carry out these duties.</x:v>
      </x:c>
      <x:c r="G207" s="48" t="str">
        <x:v>Obligation</x:v>
      </x:c>
      <x:c r="H207" s="48" t="str">
        <x:v>Shared</x:v>
      </x:c>
      <x:c r="I207" s="48" t="n">
        <x:v>0.88</x:v>
      </x:c>
      <x:c r="J207" s="48" t="n">
        <x:v>0.4</x:v>
      </x:c>
      <x:c r="K207" s="48" t="str">
        <x:v>Yes</x:v>
      </x:c>
      <x:c r="L207" s="48" t="str">
        <x:v>PDF text</x:v>
      </x:c>
    </x:row>
    <x:row r="208">
      <x:c r="A208" s="48" t="str">
        <x:v>YELLOW-0207</x:v>
      </x:c>
      <x:c r="B208" s="48" t="str">
        <x:v>YELLOW</x:v>
      </x:c>
      <x:c r="C208" s="48" t="str">
        <x:v>English</x:v>
      </x:c>
      <x:c r="D208" s="48" t="n">
        <x:v>26</x:v>
      </x:c>
      <x:c r="E208" s="48" t="str"/>
      <x:c r="F208" s="48" t="str">
        <x:v>The Engineer shall have no authority to amend the Contract.</x:v>
      </x:c>
      <x:c r="G208" s="48" t="str">
        <x:v>Obligation</x:v>
      </x:c>
      <x:c r="H208" s="48" t="str">
        <x:v>Shared</x:v>
      </x:c>
      <x:c r="I208" s="48" t="n">
        <x:v>0.88</x:v>
      </x:c>
      <x:c r="J208" s="48" t="n">
        <x:v>0.4</x:v>
      </x:c>
      <x:c r="K208" s="48" t="str">
        <x:v>Yes</x:v>
      </x:c>
      <x:c r="L208" s="48" t="str">
        <x:v>PDF text</x:v>
      </x:c>
    </x:row>
    <x:row r="209">
      <x:c r="A209" s="48" t="str">
        <x:v>YELLOW-0208</x:v>
      </x:c>
      <x:c r="B209" s="48" t="str">
        <x:v>YELLOW</x:v>
      </x:c>
      <x:c r="C209" s="48" t="str">
        <x:v>English</x:v>
      </x:c>
      <x:c r="D209" s="48" t="n">
        <x:v>26</x:v>
      </x:c>
      <x:c r="E209" s="48" t="str"/>
      <x:c r="F209" s="48" t="str">
        <x:v>The Engineer may exercise the authority attributable to the Engineer as specified in or necessarily to be implied from the Contract.</x:v>
      </x:c>
      <x:c r="G209" s="48" t="str">
        <x:v>Right</x:v>
      </x:c>
      <x:c r="H209" s="48" t="str">
        <x:v>Shared</x:v>
      </x:c>
      <x:c r="I209" s="48" t="n">
        <x:v>0.78</x:v>
      </x:c>
      <x:c r="J209" s="48" t="n">
        <x:v>0.4</x:v>
      </x:c>
      <x:c r="K209" s="48" t="str">
        <x:v>Yes</x:v>
      </x:c>
      <x:c r="L209" s="48" t="str">
        <x:v>PDF text</x:v>
      </x:c>
    </x:row>
    <x:row r="210">
      <x:c r="A210" s="48" t="str">
        <x:v>YELLOW-0209</x:v>
      </x:c>
      <x:c r="B210" s="48" t="str">
        <x:v>YELLOW</x:v>
      </x:c>
      <x:c r="C210" s="48" t="str">
        <x:v>English</x:v>
      </x:c>
      <x:c r="D210" s="48" t="n">
        <x:v>26</x:v>
      </x:c>
      <x:c r="E210" s="48" t="str"/>
      <x:c r="F210" s="48" t="str">
        <x:v>If the Engineer is required to obtain the approval of the Employer before exercising a specified authority, the requirements shall be as stated in the Particular Conditions.</x:v>
      </x:c>
      <x:c r="G210" s="48" t="str">
        <x:v>Obligation</x:v>
      </x:c>
      <x:c r="H210" s="48" t="str">
        <x:v>Employer</x:v>
      </x:c>
      <x:c r="I210" s="48" t="n">
        <x:v>0.88</x:v>
      </x:c>
      <x:c r="J210" s="48" t="n">
        <x:v>0.68</x:v>
      </x:c>
      <x:c r="K210" s="48" t="str">
        <x:v>Yes</x:v>
      </x:c>
      <x:c r="L210" s="48" t="str">
        <x:v>PDF text</x:v>
      </x:c>
    </x:row>
    <x:row r="211">
      <x:c r="A211" s="48" t="str">
        <x:v>YELLOW-0210</x:v>
      </x:c>
      <x:c r="B211" s="48" t="str">
        <x:v>YELLOW</x:v>
      </x:c>
      <x:c r="C211" s="48" t="str">
        <x:v>English</x:v>
      </x:c>
      <x:c r="D211" s="48" t="n">
        <x:v>26</x:v>
      </x:c>
      <x:c r="E211" s="48" t="str"/>
      <x:c r="F211" s="48" t="str">
        <x:v>The Employer undertakes not to impose further constraints on the Engineer's authority, except as agreed with the Contractor.</x:v>
      </x:c>
      <x:c r="G211" s="48" t="str">
        <x:v>Obligation</x:v>
      </x:c>
      <x:c r="H211" s="48" t="str">
        <x:v>Shared</x:v>
      </x:c>
      <x:c r="I211" s="48" t="n">
        <x:v>0.45</x:v>
      </x:c>
      <x:c r="J211" s="48" t="n">
        <x:v>0.6</x:v>
      </x:c>
      <x:c r="K211" s="48" t="str">
        <x:v>Yes</x:v>
      </x:c>
      <x:c r="L211" s="48" t="str">
        <x:v>PDF text</x:v>
      </x:c>
    </x:row>
    <x:row r="212">
      <x:c r="A212" s="48" t="str">
        <x:v>YELLOW-0211</x:v>
      </x:c>
      <x:c r="B212" s="48" t="str">
        <x:v>YELLOW</x:v>
      </x:c>
      <x:c r="C212" s="48" t="str">
        <x:v>English</x:v>
      </x:c>
      <x:c r="D212" s="48" t="n">
        <x:v>26</x:v>
      </x:c>
      <x:c r="E212" s="48" t="str"/>
      <x:c r="F212" s="48" t="str">
        <x:v>However, whenever the Engineer exercises a specified authority for which the</x:v>
      </x:c>
      <x:c r="G212" s="48" t="str">
        <x:v>Obligation</x:v>
      </x:c>
      <x:c r="H212" s="48" t="str">
        <x:v>Shared</x:v>
      </x:c>
      <x:c r="I212" s="48" t="n">
        <x:v>0.45</x:v>
      </x:c>
      <x:c r="J212" s="48" t="n">
        <x:v>0.4</x:v>
      </x:c>
      <x:c r="K212" s="48" t="str">
        <x:v>Yes</x:v>
      </x:c>
      <x:c r="L212" s="48" t="str">
        <x:v>PDF text</x:v>
      </x:c>
    </x:row>
    <x:row r="213">
      <x:c r="A213" s="48" t="str">
        <x:v>YELLOW-0212</x:v>
      </x:c>
      <x:c r="B213" s="48" t="str">
        <x:v>YELLOW</x:v>
      </x:c>
      <x:c r="C213" s="48" t="str">
        <x:v>English</x:v>
      </x:c>
      <x:c r="D213" s="48" t="n">
        <x:v>26</x:v>
      </x:c>
      <x:c r="E213" s="48" t="str"/>
      <x:c r="F213" s="48" t="str">
        <x:v>Employer's approval is required, then (for the purposes of the Contract) the Employer shall be deemed to have given approval.</x:v>
      </x:c>
      <x:c r="G213" s="48" t="str">
        <x:v>Obligation</x:v>
      </x:c>
      <x:c r="H213" s="48" t="str">
        <x:v>Employer</x:v>
      </x:c>
      <x:c r="I213" s="48" t="n">
        <x:v>0.88</x:v>
      </x:c>
      <x:c r="J213" s="48" t="n">
        <x:v>0.92</x:v>
      </x:c>
      <x:c r="K213" s="48" t="str">
        <x:v>No</x:v>
      </x:c>
      <x:c r="L213" s="48" t="str">
        <x:v>PDF text</x:v>
      </x:c>
    </x:row>
    <x:row r="214">
      <x:c r="A214" s="48" t="str">
        <x:v>YELLOW-0213</x:v>
      </x:c>
      <x:c r="B214" s="48" t="str">
        <x:v>YELLOW</x:v>
      </x:c>
      <x:c r="C214" s="48" t="str">
        <x:v>English</x:v>
      </x:c>
      <x:c r="D214" s="48" t="n">
        <x:v>26</x:v>
      </x:c>
      <x:c r="E214" s="48" t="str"/>
      <x:c r="F214" s="48" t="str">
        <x:v>Except as otherwise stated in these Conditions: (a) whenever carrying out duties or exercising authority, specified in or implied by the Contract, the Engineer shall be deemed to act for the Employer; (b) the Engineer has no authority to relieve either Party of any duties, obligations or responsibilities under the Contract; and (c) any approval, check, certificate, consent, examination, inspection, instruction, notice, proposal, request, test, or similar act by the Engineer (including absence of disapproval) shall not relieve the Contractor from any responsibility he has under the Contract, including responsibility for errors, omissions, discrepancies and non-compliances.</x:v>
      </x:c>
      <x:c r="G214" s="48" t="str">
        <x:v>Obligation</x:v>
      </x:c>
      <x:c r="H214" s="48" t="str">
        <x:v>Shared</x:v>
      </x:c>
      <x:c r="I214" s="48" t="n">
        <x:v>0.88</x:v>
      </x:c>
      <x:c r="J214" s="48" t="n">
        <x:v>0.93</x:v>
      </x:c>
      <x:c r="K214" s="48" t="str">
        <x:v>No</x:v>
      </x:c>
      <x:c r="L214" s="48" t="str">
        <x:v>PDF text</x:v>
      </x:c>
    </x:row>
    <x:row r="215">
      <x:c r="A215" s="48" t="str">
        <x:v>YELLOW-0214</x:v>
      </x:c>
      <x:c r="B215" s="48" t="str">
        <x:v>YELLOW</x:v>
      </x:c>
      <x:c r="C215" s="48" t="str">
        <x:v>English</x:v>
      </x:c>
      <x:c r="D215" s="48" t="n">
        <x:v>26</x:v>
      </x:c>
      <x:c r="E215" s="48" t="str"/>
      <x:c r="F215" s="48" t="str">
        <x:v>The Engineer may from time to time assign duties and delegate authority to assistants, and may also revoke such assignment or delegation.</x:v>
      </x:c>
      <x:c r="G215" s="48" t="str">
        <x:v>Right</x:v>
      </x:c>
      <x:c r="H215" s="48" t="str">
        <x:v>Shared</x:v>
      </x:c>
      <x:c r="I215" s="48" t="n">
        <x:v>0.78</x:v>
      </x:c>
      <x:c r="J215" s="48" t="n">
        <x:v>0.4</x:v>
      </x:c>
      <x:c r="K215" s="48" t="str">
        <x:v>Yes</x:v>
      </x:c>
      <x:c r="L215" s="48" t="str">
        <x:v>PDF text</x:v>
      </x:c>
    </x:row>
    <x:row r="216">
      <x:c r="A216" s="48" t="str">
        <x:v>YELLOW-0215</x:v>
      </x:c>
      <x:c r="B216" s="48" t="str">
        <x:v>YELLOW</x:v>
      </x:c>
      <x:c r="C216" s="48" t="str">
        <x:v>English</x:v>
      </x:c>
      <x:c r="D216" s="48" t="n">
        <x:v>26</x:v>
      </x:c>
      <x:c r="E216" s="48" t="str"/>
      <x:c r="F216" s="48" t="str">
        <x:v>These assistants may include a resident engineer, and/or independent inspectors appointed to inspect and/or test items of Plant and/or Materials.</x:v>
      </x:c>
      <x:c r="G216" s="48" t="str">
        <x:v>Right</x:v>
      </x:c>
      <x:c r="H216" s="48" t="str">
        <x:v>Shared</x:v>
      </x:c>
      <x:c r="I216" s="48" t="n">
        <x:v>0.78</x:v>
      </x:c>
      <x:c r="J216" s="48" t="n">
        <x:v>0.4</x:v>
      </x:c>
      <x:c r="K216" s="48" t="str">
        <x:v>Yes</x:v>
      </x:c>
      <x:c r="L216" s="48" t="str">
        <x:v>PDF text</x:v>
      </x:c>
    </x:row>
    <x:row r="217">
      <x:c r="A217" s="48" t="str">
        <x:v>YELLOW-0216</x:v>
      </x:c>
      <x:c r="B217" s="48" t="str">
        <x:v>YELLOW</x:v>
      </x:c>
      <x:c r="C217" s="48" t="str">
        <x:v>English</x:v>
      </x:c>
      <x:c r="D217" s="48" t="n">
        <x:v>26</x:v>
      </x:c>
      <x:c r="E217" s="48" t="str"/>
      <x:c r="F217" s="48" t="str">
        <x:v>The assignment, delegation or revocation shall be in writing and shall not take effect until copies have been received by both Parties.</x:v>
      </x:c>
      <x:c r="G217" s="48" t="str">
        <x:v>Obligation</x:v>
      </x:c>
      <x:c r="H217" s="48" t="str">
        <x:v>Shared</x:v>
      </x:c>
      <x:c r="I217" s="48" t="n">
        <x:v>0.88</x:v>
      </x:c>
      <x:c r="J217" s="48" t="n">
        <x:v>0.93</x:v>
      </x:c>
      <x:c r="K217" s="48" t="str">
        <x:v>No</x:v>
      </x:c>
      <x:c r="L217" s="48" t="str">
        <x:v>PDF text</x:v>
      </x:c>
    </x:row>
    <x:row r="218">
      <x:c r="A218" s="48" t="str">
        <x:v>YELLOW-0217</x:v>
      </x:c>
      <x:c r="B218" s="48" t="str">
        <x:v>YELLOW</x:v>
      </x:c>
      <x:c r="C218" s="48" t="str">
        <x:v>English</x:v>
      </x:c>
      <x:c r="D218" s="48" t="n">
        <x:v>26</x:v>
      </x:c>
      <x:c r="E218" s="48" t="str"/>
      <x:c r="F218" s="48" t="str">
        <x:v>However, unless otherwise agreed by both Parties, the Engineer shall not delegate the authority to determine any matter in accordance with Sub-Clause 3.5 [Determinations].</x:v>
      </x:c>
      <x:c r="G218" s="48" t="str">
        <x:v>Obligation</x:v>
      </x:c>
      <x:c r="H218" s="48" t="str">
        <x:v>Shared</x:v>
      </x:c>
      <x:c r="I218" s="48" t="n">
        <x:v>0.88</x:v>
      </x:c>
      <x:c r="J218" s="48" t="n">
        <x:v>0.93</x:v>
      </x:c>
      <x:c r="K218" s="48" t="str">
        <x:v>No</x:v>
      </x:c>
      <x:c r="L218" s="48" t="str">
        <x:v>PDF text</x:v>
      </x:c>
    </x:row>
    <x:row r="219">
      <x:c r="A219" s="48" t="str">
        <x:v>YELLOW-0218</x:v>
      </x:c>
      <x:c r="B219" s="48" t="str">
        <x:v>YELLOW</x:v>
      </x:c>
      <x:c r="C219" s="48" t="str">
        <x:v>English</x:v>
      </x:c>
      <x:c r="D219" s="48" t="n">
        <x:v>26</x:v>
      </x:c>
      <x:c r="E219" s="48" t="str"/>
      <x:c r="F219" s="48" t="str">
        <x:v>Assistants shall be suitably qualified persons, who are competent to carry out these duties and exercise this authority, and who are fluent in the language for communications defined in Sub-Clause 1.4 [Law and Language].</x:v>
      </x:c>
      <x:c r="G219" s="48" t="str">
        <x:v>Obligation</x:v>
      </x:c>
      <x:c r="H219" s="48" t="str">
        <x:v>Shared</x:v>
      </x:c>
      <x:c r="I219" s="48" t="n">
        <x:v>0.88</x:v>
      </x:c>
      <x:c r="J219" s="48" t="n">
        <x:v>0.4</x:v>
      </x:c>
      <x:c r="K219" s="48" t="str">
        <x:v>Yes</x:v>
      </x:c>
      <x:c r="L219" s="48" t="str">
        <x:v>PDF text</x:v>
      </x:c>
    </x:row>
    <x:row r="220">
      <x:c r="A220" s="48" t="str">
        <x:v>YELLOW-0219</x:v>
      </x:c>
      <x:c r="B220" s="48" t="str">
        <x:v>YELLOW</x:v>
      </x:c>
      <x:c r="C220" s="48" t="str">
        <x:v>English</x:v>
      </x:c>
      <x:c r="D220" s="48" t="n">
        <x:v>26</x:v>
      </x:c>
      <x:c r="E220" s="48" t="str"/>
      <x:c r="F220" s="48" t="str">
        <x:v>Each assistant, to whom duties have been assigned or authority has been delegated, shall only be authorised to issue instructions to the Contractor to the extent defined 3.1</x:v>
      </x:c>
      <x:c r="G220" s="48" t="str">
        <x:v>Obligation</x:v>
      </x:c>
      <x:c r="H220" s="48" t="str">
        <x:v>Contractor</x:v>
      </x:c>
      <x:c r="I220" s="48" t="n">
        <x:v>0.88</x:v>
      </x:c>
      <x:c r="J220" s="48" t="n">
        <x:v>0.68</x:v>
      </x:c>
      <x:c r="K220" s="48" t="str">
        <x:v>Yes</x:v>
      </x:c>
      <x:c r="L220" s="48" t="str">
        <x:v>PDF text</x:v>
      </x:c>
    </x:row>
    <x:row r="221">
      <x:c r="A221" s="48" t="str">
        <x:v>YELLOW-0220</x:v>
      </x:c>
      <x:c r="B221" s="48" t="str">
        <x:v>YELLOW</x:v>
      </x:c>
      <x:c r="C221" s="48" t="str">
        <x:v>English</x:v>
      </x:c>
      <x:c r="D221" s="48" t="n">
        <x:v>26</x:v>
      </x:c>
      <x:c r="E221" s="48" t="str"/>
      <x:c r="F221" s="48" t="str">
        <x:v>Engineer’s Duties and</x:v>
      </x:c>
      <x:c r="G221" s="48" t="str">
        <x:v>Obligation</x:v>
      </x:c>
      <x:c r="H221" s="48" t="str">
        <x:v>Shared</x:v>
      </x:c>
      <x:c r="I221" s="48" t="n">
        <x:v>0.45</x:v>
      </x:c>
      <x:c r="J221" s="48" t="n">
        <x:v>0.4</x:v>
      </x:c>
      <x:c r="K221" s="48" t="str">
        <x:v>Yes</x:v>
      </x:c>
      <x:c r="L221" s="48" t="str">
        <x:v>PDF text</x:v>
      </x:c>
    </x:row>
    <x:row r="222">
      <x:c r="A222" s="48" t="str">
        <x:v>YELLOW-0221</x:v>
      </x:c>
      <x:c r="B222" s="48" t="str">
        <x:v>YELLOW</x:v>
      </x:c>
      <x:c r="C222" s="48" t="str">
        <x:v>English</x:v>
      </x:c>
      <x:c r="D222" s="48" t="n">
        <x:v>26</x:v>
      </x:c>
      <x:c r="E222" s="48" t="str"/>
      <x:c r="F222" s="48" t="str">
        <x:v>Authority</x:v>
      </x:c>
      <x:c r="G222" s="48" t="str">
        <x:v>Obligation</x:v>
      </x:c>
      <x:c r="H222" s="48" t="str">
        <x:v>Shared</x:v>
      </x:c>
      <x:c r="I222" s="48" t="n">
        <x:v>0.45</x:v>
      </x:c>
      <x:c r="J222" s="48" t="n">
        <x:v>0.4</x:v>
      </x:c>
      <x:c r="K222" s="48" t="str">
        <x:v>Yes</x:v>
      </x:c>
      <x:c r="L222" s="48" t="str">
        <x:v>PDF text</x:v>
      </x:c>
    </x:row>
    <x:row r="223">
      <x:c r="A223" s="48" t="str">
        <x:v>YELLOW-0222</x:v>
      </x:c>
      <x:c r="B223" s="48" t="str">
        <x:v>YELLOW</x:v>
      </x:c>
      <x:c r="C223" s="48" t="str">
        <x:v>English</x:v>
      </x:c>
      <x:c r="D223" s="48" t="n">
        <x:v>26</x:v>
      </x:c>
      <x:c r="E223" s="48" t="str"/>
      <x:c r="F223" s="48" t="str">
        <x:v>Delegation by the</x:v>
      </x:c>
      <x:c r="G223" s="48" t="str">
        <x:v>Obligation</x:v>
      </x:c>
      <x:c r="H223" s="48" t="str">
        <x:v>Shared</x:v>
      </x:c>
      <x:c r="I223" s="48" t="n">
        <x:v>0.45</x:v>
      </x:c>
      <x:c r="J223" s="48" t="n">
        <x:v>0.4</x:v>
      </x:c>
      <x:c r="K223" s="48" t="str">
        <x:v>Yes</x:v>
      </x:c>
      <x:c r="L223" s="48" t="str">
        <x:v>PDF text</x:v>
      </x:c>
    </x:row>
    <x:row r="224">
      <x:c r="A224" s="48" t="str">
        <x:v>YELLOW-0223</x:v>
      </x:c>
      <x:c r="B224" s="48" t="str">
        <x:v>YELLOW</x:v>
      </x:c>
      <x:c r="C224" s="48" t="str">
        <x:v>English</x:v>
      </x:c>
      <x:c r="D224" s="48" t="n">
        <x:v>26</x:v>
      </x:c>
      <x:c r="E224" s="48" t="str"/>
      <x:c r="F224" s="48" t="str">
        <x:v>Engineer</x:v>
      </x:c>
      <x:c r="G224" s="48" t="str">
        <x:v>Obligation</x:v>
      </x:c>
      <x:c r="H224" s="48" t="str">
        <x:v>Shared</x:v>
      </x:c>
      <x:c r="I224" s="48" t="n">
        <x:v>0.45</x:v>
      </x:c>
      <x:c r="J224" s="48" t="n">
        <x:v>0.4</x:v>
      </x:c>
      <x:c r="K224" s="48" t="str">
        <x:v>Yes</x:v>
      </x:c>
      <x:c r="L224" s="48" t="str">
        <x:v>PDF text</x:v>
      </x:c>
    </x:row>
    <x:row r="225">
      <x:c r="A225" s="48" t="str">
        <x:v>YELLOW-0224</x:v>
      </x:c>
      <x:c r="B225" s="48" t="str">
        <x:v>YELLOW</x:v>
      </x:c>
      <x:c r="C225" s="48" t="str">
        <x:v>English</x:v>
      </x:c>
      <x:c r="D225" s="48" t="n">
        <x:v>26</x:v>
      </x:c>
      <x:c r="E225" s="48" t="str"/>
      <x:c r="F225" s="48" t="str">
        <x:v>The Engineer</x:v>
      </x:c>
      <x:c r="G225" s="48" t="str">
        <x:v>Obligation</x:v>
      </x:c>
      <x:c r="H225" s="48" t="str">
        <x:v>Shared</x:v>
      </x:c>
      <x:c r="I225" s="48" t="n">
        <x:v>0.45</x:v>
      </x:c>
      <x:c r="J225" s="48" t="n">
        <x:v>0.4</x:v>
      </x:c>
      <x:c r="K225" s="48" t="str">
        <x:v>Yes</x:v>
      </x:c>
      <x:c r="L225" s="48" t="str">
        <x:v>PDF text</x:v>
      </x:c>
    </x:row>
    <x:row r="226">
      <x:c r="A226" s="48" t="str">
        <x:v>YELLOW-0225</x:v>
      </x:c>
      <x:c r="B226" s="48" t="str">
        <x:v>YELLOW</x:v>
      </x:c>
      <x:c r="C226" s="48" t="str">
        <x:v>English</x:v>
      </x:c>
      <x:c r="D226" s="48" t="n">
        <x:v>27</x:v>
      </x:c>
      <x:c r="E226" s="48" t="str"/>
      <x:c r="F226" s="48" t="str">
        <x:v>by the delegation.</x:v>
      </x:c>
      <x:c r="G226" s="48" t="str">
        <x:v>Obligation</x:v>
      </x:c>
      <x:c r="H226" s="48" t="str">
        <x:v>Shared</x:v>
      </x:c>
      <x:c r="I226" s="48" t="n">
        <x:v>0.45</x:v>
      </x:c>
      <x:c r="J226" s="48" t="n">
        <x:v>0.4</x:v>
      </x:c>
      <x:c r="K226" s="48" t="str">
        <x:v>Yes</x:v>
      </x:c>
      <x:c r="L226" s="48" t="str">
        <x:v>PDF text</x:v>
      </x:c>
    </x:row>
    <x:row r="227">
      <x:c r="A227" s="48" t="str">
        <x:v>YELLOW-0226</x:v>
      </x:c>
      <x:c r="B227" s="48" t="str">
        <x:v>YELLOW</x:v>
      </x:c>
      <x:c r="C227" s="48" t="str">
        <x:v>English</x:v>
      </x:c>
      <x:c r="D227" s="48" t="n">
        <x:v>27</x:v>
      </x:c>
      <x:c r="E227" s="48" t="str"/>
      <x:c r="F227" s="48" t="str">
        <x:v>Any approval, check, certificate, consent, examination, inspection, instruction, notice, proposal, request, test, or similar act by an assistant, in accordance with the delegation, shall have the same effect as though the act had been an act of the Engineer.</x:v>
      </x:c>
      <x:c r="G227" s="48" t="str">
        <x:v>Obligation</x:v>
      </x:c>
      <x:c r="H227" s="48" t="str">
        <x:v>Shared</x:v>
      </x:c>
      <x:c r="I227" s="48" t="n">
        <x:v>0.88</x:v>
      </x:c>
      <x:c r="J227" s="48" t="n">
        <x:v>0.4</x:v>
      </x:c>
      <x:c r="K227" s="48" t="str">
        <x:v>Yes</x:v>
      </x:c>
      <x:c r="L227" s="48" t="str">
        <x:v>PDF text</x:v>
      </x:c>
    </x:row>
    <x:row r="228">
      <x:c r="A228" s="48" t="str">
        <x:v>YELLOW-0227</x:v>
      </x:c>
      <x:c r="B228" s="48" t="str">
        <x:v>YELLOW</x:v>
      </x:c>
      <x:c r="C228" s="48" t="str">
        <x:v>English</x:v>
      </x:c>
      <x:c r="D228" s="48" t="n">
        <x:v>27</x:v>
      </x:c>
      <x:c r="E228" s="48" t="str"/>
      <x:c r="F228" s="48" t="str">
        <x:v>However: (a) any failure to disapprove any work, Plant or Materials shall not constitute approval, and shall therefore not prejudice the right of the Engineer to reject the work, Plant or Materials; (b) if the Contractor questions any determination or instruction of an assistant, the</x:v>
      </x:c>
      <x:c r="G228" s="48" t="str">
        <x:v>Risk</x:v>
      </x:c>
      <x:c r="H228" s="48" t="str">
        <x:v>Contractor</x:v>
      </x:c>
      <x:c r="I228" s="48" t="n">
        <x:v>0.78</x:v>
      </x:c>
      <x:c r="J228" s="48" t="n">
        <x:v>0.68</x:v>
      </x:c>
      <x:c r="K228" s="48" t="str">
        <x:v>Yes</x:v>
      </x:c>
      <x:c r="L228" s="48" t="str">
        <x:v>PDF text</x:v>
      </x:c>
    </x:row>
    <x:row r="229">
      <x:c r="A229" s="48" t="str">
        <x:v>YELLOW-0228</x:v>
      </x:c>
      <x:c r="B229" s="48" t="str">
        <x:v>YELLOW</x:v>
      </x:c>
      <x:c r="C229" s="48" t="str">
        <x:v>English</x:v>
      </x:c>
      <x:c r="D229" s="48" t="n">
        <x:v>27</x:v>
      </x:c>
      <x:c r="E229" s="48" t="str"/>
      <x:c r="F229" s="48" t="str">
        <x:v>Contractor may refer the matter to the Engineer, who shall promptly confirm,</x:v>
      </x:c>
      <x:c r="G229" s="48" t="str">
        <x:v>Obligation</x:v>
      </x:c>
      <x:c r="H229" s="48" t="str">
        <x:v>Contractor</x:v>
      </x:c>
      <x:c r="I229" s="48" t="n">
        <x:v>0.88</x:v>
      </x:c>
      <x:c r="J229" s="48" t="n">
        <x:v>0.68</x:v>
      </x:c>
      <x:c r="K229" s="48" t="str">
        <x:v>Yes</x:v>
      </x:c>
      <x:c r="L229" s="48" t="str">
        <x:v>PDF text</x:v>
      </x:c>
    </x:row>
    <x:row r="230">
      <x:c r="A230" s="48" t="str">
        <x:v>YELLOW-0229</x:v>
      </x:c>
      <x:c r="B230" s="48" t="str">
        <x:v>YELLOW</x:v>
      </x:c>
      <x:c r="C230" s="48" t="str">
        <x:v>English</x:v>
      </x:c>
      <x:c r="D230" s="48" t="n">
        <x:v>27</x:v>
      </x:c>
      <x:c r="E230" s="48" t="str"/>
      <x:c r="F230" s="48" t="str">
        <x:v>reverse or vary the determination or instruction.</x:v>
      </x:c>
      <x:c r="G230" s="48" t="str">
        <x:v>Obligation</x:v>
      </x:c>
      <x:c r="H230" s="48" t="str">
        <x:v>Shared</x:v>
      </x:c>
      <x:c r="I230" s="48" t="n">
        <x:v>0.45</x:v>
      </x:c>
      <x:c r="J230" s="48" t="n">
        <x:v>0.4</x:v>
      </x:c>
      <x:c r="K230" s="48" t="str">
        <x:v>Yes</x:v>
      </x:c>
      <x:c r="L230" s="48" t="str">
        <x:v>PDF text</x:v>
      </x:c>
    </x:row>
    <x:row r="231">
      <x:c r="A231" s="48" t="str">
        <x:v>YELLOW-0230</x:v>
      </x:c>
      <x:c r="B231" s="48" t="str">
        <x:v>YELLOW</x:v>
      </x:c>
      <x:c r="C231" s="48" t="str">
        <x:v>English</x:v>
      </x:c>
      <x:c r="D231" s="48" t="n">
        <x:v>27</x:v>
      </x:c>
      <x:c r="E231" s="48" t="str"/>
      <x:c r="F231" s="48" t="str">
        <x:v>The Engineer may issue to the Contractor (at any time) instructions which may be</x:v>
      </x:c>
      <x:c r="G231" s="48" t="str">
        <x:v>Right</x:v>
      </x:c>
      <x:c r="H231" s="48" t="str">
        <x:v>Contractor</x:v>
      </x:c>
      <x:c r="I231" s="48" t="n">
        <x:v>0.78</x:v>
      </x:c>
      <x:c r="J231" s="48" t="n">
        <x:v>0.68</x:v>
      </x:c>
      <x:c r="K231" s="48" t="str">
        <x:v>Yes</x:v>
      </x:c>
      <x:c r="L231" s="48" t="str">
        <x:v>PDF text</x:v>
      </x:c>
    </x:row>
    <x:row r="232">
      <x:c r="A232" s="48" t="str">
        <x:v>YELLOW-0231</x:v>
      </x:c>
      <x:c r="B232" s="48" t="str">
        <x:v>YELLOW</x:v>
      </x:c>
      <x:c r="C232" s="48" t="str">
        <x:v>English</x:v>
      </x:c>
      <x:c r="D232" s="48" t="n">
        <x:v>27</x:v>
      </x:c>
      <x:c r="E232" s="48" t="str"/>
      <x:c r="F232" s="48" t="str">
        <x:v>necessary for the execution of the Works and the remedying of any defects, all in accordance with the Contract.</x:v>
      </x:c>
      <x:c r="G232" s="48" t="str">
        <x:v>Obligation</x:v>
      </x:c>
      <x:c r="H232" s="48" t="str">
        <x:v>Shared</x:v>
      </x:c>
      <x:c r="I232" s="48" t="n">
        <x:v>0.45</x:v>
      </x:c>
      <x:c r="J232" s="48" t="n">
        <x:v>0.4</x:v>
      </x:c>
      <x:c r="K232" s="48" t="str">
        <x:v>Yes</x:v>
      </x:c>
      <x:c r="L232" s="48" t="str">
        <x:v>PDF text</x:v>
      </x:c>
    </x:row>
    <x:row r="233">
      <x:c r="A233" s="48" t="str">
        <x:v>YELLOW-0232</x:v>
      </x:c>
      <x:c r="B233" s="48" t="str">
        <x:v>YELLOW</x:v>
      </x:c>
      <x:c r="C233" s="48" t="str">
        <x:v>English</x:v>
      </x:c>
      <x:c r="D233" s="48" t="n">
        <x:v>27</x:v>
      </x:c>
      <x:c r="E233" s="48" t="str"/>
      <x:c r="F233" s="48" t="str">
        <x:v>The Contractor shall only take instructions from the Engineer, or from an assistant to whom the appropriate authority has been delegated under this Clause.</x:v>
      </x:c>
      <x:c r="G233" s="48" t="str">
        <x:v>Obligation</x:v>
      </x:c>
      <x:c r="H233" s="48" t="str">
        <x:v>Contractor</x:v>
      </x:c>
      <x:c r="I233" s="48" t="n">
        <x:v>0.88</x:v>
      </x:c>
      <x:c r="J233" s="48" t="n">
        <x:v>0.92</x:v>
      </x:c>
      <x:c r="K233" s="48" t="str">
        <x:v>No</x:v>
      </x:c>
      <x:c r="L233" s="48" t="str">
        <x:v>PDF text</x:v>
      </x:c>
    </x:row>
    <x:row r="234">
      <x:c r="A234" s="48" t="str">
        <x:v>YELLOW-0233</x:v>
      </x:c>
      <x:c r="B234" s="48" t="str">
        <x:v>YELLOW</x:v>
      </x:c>
      <x:c r="C234" s="48" t="str">
        <x:v>English</x:v>
      </x:c>
      <x:c r="D234" s="48" t="n">
        <x:v>27</x:v>
      </x:c>
      <x:c r="E234" s="48" t="str"/>
      <x:c r="F234" s="48" t="str">
        <x:v>If an instruction constitutes a Variation, Clause 13 [Variations and Adjustments] shall apply.</x:v>
      </x:c>
      <x:c r="G234" s="48" t="str">
        <x:v>Obligation</x:v>
      </x:c>
      <x:c r="H234" s="48" t="str">
        <x:v>Shared</x:v>
      </x:c>
      <x:c r="I234" s="48" t="n">
        <x:v>0.88</x:v>
      </x:c>
      <x:c r="J234" s="48" t="n">
        <x:v>0.4</x:v>
      </x:c>
      <x:c r="K234" s="48" t="str">
        <x:v>Yes</x:v>
      </x:c>
      <x:c r="L234" s="48" t="str">
        <x:v>PDF text</x:v>
      </x:c>
    </x:row>
    <x:row r="235">
      <x:c r="A235" s="48" t="str">
        <x:v>YELLOW-0234</x:v>
      </x:c>
      <x:c r="B235" s="48" t="str">
        <x:v>YELLOW</x:v>
      </x:c>
      <x:c r="C235" s="48" t="str">
        <x:v>English</x:v>
      </x:c>
      <x:c r="D235" s="48" t="n">
        <x:v>27</x:v>
      </x:c>
      <x:c r="E235" s="48" t="str"/>
      <x:c r="F235" s="48" t="str">
        <x:v>The Contractor shall comply with the instructions given by the Engineer or delegated assistant, on any matter related to the Contract.</x:v>
      </x:c>
      <x:c r="G235" s="48" t="str">
        <x:v>Obligation</x:v>
      </x:c>
      <x:c r="H235" s="48" t="str">
        <x:v>Contractor</x:v>
      </x:c>
      <x:c r="I235" s="48" t="n">
        <x:v>0.88</x:v>
      </x:c>
      <x:c r="J235" s="48" t="n">
        <x:v>0.92</x:v>
      </x:c>
      <x:c r="K235" s="48" t="str">
        <x:v>No</x:v>
      </x:c>
      <x:c r="L235" s="48" t="str">
        <x:v>PDF text</x:v>
      </x:c>
    </x:row>
    <x:row r="236">
      <x:c r="A236" s="48" t="str">
        <x:v>YELLOW-0235</x:v>
      </x:c>
      <x:c r="B236" s="48" t="str">
        <x:v>YELLOW</x:v>
      </x:c>
      <x:c r="C236" s="48" t="str">
        <x:v>English</x:v>
      </x:c>
      <x:c r="D236" s="48" t="n">
        <x:v>27</x:v>
      </x:c>
      <x:c r="E236" s="48" t="str"/>
      <x:c r="F236" s="48" t="str">
        <x:v>These instructions shall be given in writing.</x:v>
      </x:c>
      <x:c r="G236" s="48" t="str">
        <x:v>Obligation</x:v>
      </x:c>
      <x:c r="H236" s="48" t="str">
        <x:v>Shared</x:v>
      </x:c>
      <x:c r="I236" s="48" t="n">
        <x:v>0.88</x:v>
      </x:c>
      <x:c r="J236" s="48" t="n">
        <x:v>0.4</x:v>
      </x:c>
      <x:c r="K236" s="48" t="str">
        <x:v>Yes</x:v>
      </x:c>
      <x:c r="L236" s="48" t="str">
        <x:v>PDF text</x:v>
      </x:c>
    </x:row>
    <x:row r="237">
      <x:c r="A237" s="48" t="str">
        <x:v>YELLOW-0236</x:v>
      </x:c>
      <x:c r="B237" s="48" t="str">
        <x:v>YELLOW</x:v>
      </x:c>
      <x:c r="C237" s="48" t="str">
        <x:v>English</x:v>
      </x:c>
      <x:c r="D237" s="48" t="n">
        <x:v>27</x:v>
      </x:c>
      <x:c r="E237" s="48" t="str"/>
      <x:c r="F237" s="48" t="str">
        <x:v>If the Employer intends to replace the Engineer, the Employer shall, not less than 42 days before the intended date of replacement, give notice to the Contractor of the name, address and relevant experience of the intended replacement Engineer.</x:v>
      </x:c>
      <x:c r="G237" s="48" t="str">
        <x:v>Obligation</x:v>
      </x:c>
      <x:c r="H237" s="48" t="str">
        <x:v>Employer</x:v>
      </x:c>
      <x:c r="I237" s="48" t="n">
        <x:v>0.88</x:v>
      </x:c>
      <x:c r="J237" s="48" t="n">
        <x:v>0.92</x:v>
      </x:c>
      <x:c r="K237" s="48" t="str">
        <x:v>No</x:v>
      </x:c>
      <x:c r="L237" s="48" t="str">
        <x:v>PDF text</x:v>
      </x:c>
    </x:row>
    <x:row r="238">
      <x:c r="A238" s="48" t="str">
        <x:v>YELLOW-0237</x:v>
      </x:c>
      <x:c r="B238" s="48" t="str">
        <x:v>YELLOW</x:v>
      </x:c>
      <x:c r="C238" s="48" t="str">
        <x:v>English</x:v>
      </x:c>
      <x:c r="D238" s="48" t="n">
        <x:v>27</x:v>
      </x:c>
      <x:c r="E238" s="48" t="str"/>
      <x:c r="F238" s="48" t="str">
        <x:v>Employer shall not replace the Engineer with a person against whom the Contractor</x:v>
      </x:c>
      <x:c r="G238" s="48" t="str">
        <x:v>Obligation</x:v>
      </x:c>
      <x:c r="H238" s="48" t="str">
        <x:v>Shared</x:v>
      </x:c>
      <x:c r="I238" s="48" t="n">
        <x:v>0.88</x:v>
      </x:c>
      <x:c r="J238" s="48" t="n">
        <x:v>0.6</x:v>
      </x:c>
      <x:c r="K238" s="48" t="str">
        <x:v>Yes</x:v>
      </x:c>
      <x:c r="L238" s="48" t="str">
        <x:v>PDF text</x:v>
      </x:c>
    </x:row>
    <x:row r="239">
      <x:c r="A239" s="48" t="str">
        <x:v>YELLOW-0238</x:v>
      </x:c>
      <x:c r="B239" s="48" t="str">
        <x:v>YELLOW</x:v>
      </x:c>
      <x:c r="C239" s="48" t="str">
        <x:v>English</x:v>
      </x:c>
      <x:c r="D239" s="48" t="n">
        <x:v>27</x:v>
      </x:c>
      <x:c r="E239" s="48" t="str"/>
      <x:c r="F239" s="48" t="str">
        <x:v>raises reasonable objection by notice to the Employer, with supporting particulars.</x:v>
      </x:c>
      <x:c r="G239" s="48" t="str">
        <x:v>Obligation</x:v>
      </x:c>
      <x:c r="H239" s="48" t="str">
        <x:v>Employer</x:v>
      </x:c>
      <x:c r="I239" s="48" t="n">
        <x:v>0.55</x:v>
      </x:c>
      <x:c r="J239" s="48" t="n">
        <x:v>0.68</x:v>
      </x:c>
      <x:c r="K239" s="48" t="str">
        <x:v>Yes</x:v>
      </x:c>
      <x:c r="L239" s="48" t="str">
        <x:v>PDF text</x:v>
      </x:c>
    </x:row>
    <x:row r="240">
      <x:c r="A240" s="48" t="str">
        <x:v>YELLOW-0239</x:v>
      </x:c>
      <x:c r="B240" s="48" t="str">
        <x:v>YELLOW</x:v>
      </x:c>
      <x:c r="C240" s="48" t="str">
        <x:v>English</x:v>
      </x:c>
      <x:c r="D240" s="48" t="n">
        <x:v>27</x:v>
      </x:c>
      <x:c r="E240" s="48" t="str"/>
      <x:c r="F240" s="48" t="str">
        <x:v>Whenever these Conditions provide that the Engineer shall proceed in accordance</x:v>
      </x:c>
      <x:c r="G240" s="48" t="str">
        <x:v>Obligation</x:v>
      </x:c>
      <x:c r="H240" s="48" t="str">
        <x:v>Shared</x:v>
      </x:c>
      <x:c r="I240" s="48" t="n">
        <x:v>0.88</x:v>
      </x:c>
      <x:c r="J240" s="48" t="n">
        <x:v>0.4</x:v>
      </x:c>
      <x:c r="K240" s="48" t="str">
        <x:v>Yes</x:v>
      </x:c>
      <x:c r="L240" s="48" t="str">
        <x:v>PDF text</x:v>
      </x:c>
    </x:row>
    <x:row r="241">
      <x:c r="A241" s="48" t="str">
        <x:v>YELLOW-0240</x:v>
      </x:c>
      <x:c r="B241" s="48" t="str">
        <x:v>YELLOW</x:v>
      </x:c>
      <x:c r="C241" s="48" t="str">
        <x:v>English</x:v>
      </x:c>
      <x:c r="D241" s="48" t="n">
        <x:v>27</x:v>
      </x:c>
      <x:c r="E241" s="48" t="str"/>
      <x:c r="F241" s="48" t="str">
        <x:v>with this Sub-Clause 3.5 to agree or determine any matter, the Engineer shall consult with each Party in an endeavour to reach agreement.</x:v>
      </x:c>
      <x:c r="G241" s="48" t="str">
        <x:v>Obligation</x:v>
      </x:c>
      <x:c r="H241" s="48" t="str">
        <x:v>Shared</x:v>
      </x:c>
      <x:c r="I241" s="48" t="n">
        <x:v>0.88</x:v>
      </x:c>
      <x:c r="J241" s="48" t="n">
        <x:v>0.93</x:v>
      </x:c>
      <x:c r="K241" s="48" t="str">
        <x:v>No</x:v>
      </x:c>
      <x:c r="L241" s="48" t="str">
        <x:v>PDF text</x:v>
      </x:c>
    </x:row>
    <x:row r="242">
      <x:c r="A242" s="48" t="str">
        <x:v>YELLOW-0241</x:v>
      </x:c>
      <x:c r="B242" s="48" t="str">
        <x:v>YELLOW</x:v>
      </x:c>
      <x:c r="C242" s="48" t="str">
        <x:v>English</x:v>
      </x:c>
      <x:c r="D242" s="48" t="n">
        <x:v>27</x:v>
      </x:c>
      <x:c r="E242" s="48" t="str"/>
      <x:c r="F242" s="48" t="str">
        <x:v>If agreement is not achieved, the Engineer shall make a fair determination in accordance with the Contract, taking due regard of all relevant circumstances.</x:v>
      </x:c>
      <x:c r="G242" s="48" t="str">
        <x:v>Obligation</x:v>
      </x:c>
      <x:c r="H242" s="48" t="str">
        <x:v>Shared</x:v>
      </x:c>
      <x:c r="I242" s="48" t="n">
        <x:v>0.88</x:v>
      </x:c>
      <x:c r="J242" s="48" t="n">
        <x:v>0.4</x:v>
      </x:c>
      <x:c r="K242" s="48" t="str">
        <x:v>Yes</x:v>
      </x:c>
      <x:c r="L242" s="48" t="str">
        <x:v>PDF text</x:v>
      </x:c>
    </x:row>
    <x:row r="243">
      <x:c r="A243" s="48" t="str">
        <x:v>YELLOW-0242</x:v>
      </x:c>
      <x:c r="B243" s="48" t="str">
        <x:v>YELLOW</x:v>
      </x:c>
      <x:c r="C243" s="48" t="str">
        <x:v>English</x:v>
      </x:c>
      <x:c r="D243" s="48" t="n">
        <x:v>27</x:v>
      </x:c>
      <x:c r="E243" s="48" t="str"/>
      <x:c r="F243" s="48" t="str">
        <x:v>The Engineer shall give notice to both Parties of each agreement or determination, with supporting particulars.</x:v>
      </x:c>
      <x:c r="G243" s="48" t="str">
        <x:v>Obligation</x:v>
      </x:c>
      <x:c r="H243" s="48" t="str">
        <x:v>Shared</x:v>
      </x:c>
      <x:c r="I243" s="48" t="n">
        <x:v>0.88</x:v>
      </x:c>
      <x:c r="J243" s="48" t="n">
        <x:v>0.93</x:v>
      </x:c>
      <x:c r="K243" s="48" t="str">
        <x:v>No</x:v>
      </x:c>
      <x:c r="L243" s="48" t="str">
        <x:v>PDF text</x:v>
      </x:c>
    </x:row>
    <x:row r="244">
      <x:c r="A244" s="48" t="str">
        <x:v>YELLOW-0243</x:v>
      </x:c>
      <x:c r="B244" s="48" t="str">
        <x:v>YELLOW</x:v>
      </x:c>
      <x:c r="C244" s="48" t="str">
        <x:v>English</x:v>
      </x:c>
      <x:c r="D244" s="48" t="n">
        <x:v>27</x:v>
      </x:c>
      <x:c r="E244" s="48" t="str"/>
      <x:c r="F244" s="48" t="str">
        <x:v>Each Party shall give effect to each agreement or determination unless and until revised under Clause 20 [Claims, Disputes and Arbitration].</x:v>
      </x:c>
      <x:c r="G244" s="48" t="str">
        <x:v>Obligation</x:v>
      </x:c>
      <x:c r="H244" s="48" t="str">
        <x:v>Shared</x:v>
      </x:c>
      <x:c r="I244" s="48" t="n">
        <x:v>0.88</x:v>
      </x:c>
      <x:c r="J244" s="48" t="n">
        <x:v>0.93</x:v>
      </x:c>
      <x:c r="K244" s="48" t="str">
        <x:v>No</x:v>
      </x:c>
      <x:c r="L244" s="48" t="str">
        <x:v>PDF text</x:v>
      </x:c>
    </x:row>
    <x:row r="245">
      <x:c r="A245" s="48" t="str">
        <x:v>YELLOW-0244</x:v>
      </x:c>
      <x:c r="B245" s="48" t="str">
        <x:v>YELLOW</x:v>
      </x:c>
      <x:c r="C245" s="48" t="str">
        <x:v>English</x:v>
      </x:c>
      <x:c r="D245" s="48" t="n">
        <x:v>27</x:v>
      </x:c>
      <x:c r="E245" s="48" t="str"/>
      <x:c r="F245" s="48" t="str">
        <x:v>The Contractor shall design, execute and complete the Works in accordance with the Contract, and shall remedy any defects in the Works.</x:v>
      </x:c>
      <x:c r="G245" s="48" t="str">
        <x:v>Obligation</x:v>
      </x:c>
      <x:c r="H245" s="48" t="str">
        <x:v>Contractor</x:v>
      </x:c>
      <x:c r="I245" s="48" t="n">
        <x:v>0.88</x:v>
      </x:c>
      <x:c r="J245" s="48" t="n">
        <x:v>0.92</x:v>
      </x:c>
      <x:c r="K245" s="48" t="str">
        <x:v>No</x:v>
      </x:c>
      <x:c r="L245" s="48" t="str">
        <x:v>PDF text</x:v>
      </x:c>
    </x:row>
    <x:row r="246">
      <x:c r="A246" s="48" t="str">
        <x:v>YELLOW-0245</x:v>
      </x:c>
      <x:c r="B246" s="48" t="str">
        <x:v>YELLOW</x:v>
      </x:c>
      <x:c r="C246" s="48" t="str">
        <x:v>English</x:v>
      </x:c>
      <x:c r="D246" s="48" t="n">
        <x:v>27</x:v>
      </x:c>
      <x:c r="E246" s="48" t="str"/>
      <x:c r="F246" s="48" t="str">
        <x:v>When completed, the Works shall be fit for the purposes for which the Works are intended as defined in the Contract.</x:v>
      </x:c>
      <x:c r="G246" s="48" t="str">
        <x:v>Obligation</x:v>
      </x:c>
      <x:c r="H246" s="48" t="str">
        <x:v>Shared</x:v>
      </x:c>
      <x:c r="I246" s="48" t="n">
        <x:v>0.88</x:v>
      </x:c>
      <x:c r="J246" s="48" t="n">
        <x:v>0.4</x:v>
      </x:c>
      <x:c r="K246" s="48" t="str">
        <x:v>Yes</x:v>
      </x:c>
      <x:c r="L246" s="48" t="str">
        <x:v>PDF text</x:v>
      </x:c>
    </x:row>
    <x:row r="247">
      <x:c r="A247" s="48" t="str">
        <x:v>YELLOW-0246</x:v>
      </x:c>
      <x:c r="B247" s="48" t="str">
        <x:v>YELLOW</x:v>
      </x:c>
      <x:c r="C247" s="48" t="str">
        <x:v>English</x:v>
      </x:c>
      <x:c r="D247" s="48" t="n">
        <x:v>27</x:v>
      </x:c>
      <x:c r="E247" s="48" t="str"/>
      <x:c r="F247" s="48" t="str">
        <x:v>The Contractor shall provide the Plant and Contractor's Documents specified in the</x:v>
      </x:c>
      <x:c r="G247" s="48" t="str">
        <x:v>Obligation</x:v>
      </x:c>
      <x:c r="H247" s="48" t="str">
        <x:v>Contractor</x:v>
      </x:c>
      <x:c r="I247" s="48" t="n">
        <x:v>0.88</x:v>
      </x:c>
      <x:c r="J247" s="48" t="n">
        <x:v>0.92</x:v>
      </x:c>
      <x:c r="K247" s="48" t="str">
        <x:v>No</x:v>
      </x:c>
      <x:c r="L247" s="48" t="str">
        <x:v>PDF text</x:v>
      </x:c>
    </x:row>
    <x:row r="248">
      <x:c r="A248" s="48" t="str">
        <x:v>YELLOW-0247</x:v>
      </x:c>
      <x:c r="B248" s="48" t="str">
        <x:v>YELLOW</x:v>
      </x:c>
      <x:c r="C248" s="48" t="str">
        <x:v>English</x:v>
      </x:c>
      <x:c r="D248" s="48" t="n">
        <x:v>27</x:v>
      </x:c>
      <x:c r="E248" s="48" t="str"/>
      <x:c r="F248" s="48" t="str">
        <x:v>Contract, and all Contractor's Personnel, Goods, consumables and other things and</x:v>
      </x:c>
      <x:c r="G248" s="48" t="str">
        <x:v>Obligation</x:v>
      </x:c>
      <x:c r="H248" s="48" t="str">
        <x:v>Contractor</x:v>
      </x:c>
      <x:c r="I248" s="48" t="n">
        <x:v>0.45</x:v>
      </x:c>
      <x:c r="J248" s="48" t="n">
        <x:v>0.68</x:v>
      </x:c>
      <x:c r="K248" s="48" t="str">
        <x:v>Yes</x:v>
      </x:c>
      <x:c r="L248" s="48" t="str">
        <x:v>PDF text</x:v>
      </x:c>
    </x:row>
    <x:row r="249">
      <x:c r="A249" s="48" t="str">
        <x:v>YELLOW-0248</x:v>
      </x:c>
      <x:c r="B249" s="48" t="str">
        <x:v>YELLOW</x:v>
      </x:c>
      <x:c r="C249" s="48" t="str">
        <x:v>English</x:v>
      </x:c>
      <x:c r="D249" s="48" t="n">
        <x:v>27</x:v>
      </x:c>
      <x:c r="E249" s="48" t="str"/>
      <x:c r="F249" s="48" t="str">
        <x:v>services, whether of a temporary or permanent nature, required in and for this design, execution, completion and remedying of defects.</x:v>
      </x:c>
      <x:c r="G249" s="48" t="str">
        <x:v>Obligation</x:v>
      </x:c>
      <x:c r="H249" s="48" t="str">
        <x:v>Shared</x:v>
      </x:c>
      <x:c r="I249" s="48" t="n">
        <x:v>0.45</x:v>
      </x:c>
      <x:c r="J249" s="48" t="n">
        <x:v>0.4</x:v>
      </x:c>
      <x:c r="K249" s="48" t="str">
        <x:v>Yes</x:v>
      </x:c>
      <x:c r="L249" s="48" t="str">
        <x:v>PDF text</x:v>
      </x:c>
    </x:row>
    <x:row r="250">
      <x:c r="A250" s="48" t="str">
        <x:v>YELLOW-0249</x:v>
      </x:c>
      <x:c r="B250" s="48" t="str">
        <x:v>YELLOW</x:v>
      </x:c>
      <x:c r="C250" s="48" t="str">
        <x:v>English</x:v>
      </x:c>
      <x:c r="D250" s="48" t="n">
        <x:v>27</x:v>
      </x:c>
      <x:c r="E250" s="48" t="str"/>
      <x:c r="F250" s="48" t="str">
        <x:v>Instructions of the</x:v>
      </x:c>
      <x:c r="G250" s="48" t="str">
        <x:v>Obligation</x:v>
      </x:c>
      <x:c r="H250" s="48" t="str">
        <x:v>Shared</x:v>
      </x:c>
      <x:c r="I250" s="48" t="n">
        <x:v>0.45</x:v>
      </x:c>
      <x:c r="J250" s="48" t="n">
        <x:v>0.4</x:v>
      </x:c>
      <x:c r="K250" s="48" t="str">
        <x:v>Yes</x:v>
      </x:c>
      <x:c r="L250" s="48" t="str">
        <x:v>PDF text</x:v>
      </x:c>
    </x:row>
    <x:row r="251">
      <x:c r="A251" s="48" t="str">
        <x:v>YELLOW-0250</x:v>
      </x:c>
      <x:c r="B251" s="48" t="str">
        <x:v>YELLOW</x:v>
      </x:c>
      <x:c r="C251" s="48" t="str">
        <x:v>English</x:v>
      </x:c>
      <x:c r="D251" s="48" t="n">
        <x:v>27</x:v>
      </x:c>
      <x:c r="E251" s="48" t="str"/>
      <x:c r="F251" s="48" t="str">
        <x:v>Replacement of the</x:v>
      </x:c>
      <x:c r="G251" s="48" t="str">
        <x:v>Obligation</x:v>
      </x:c>
      <x:c r="H251" s="48" t="str">
        <x:v>Shared</x:v>
      </x:c>
      <x:c r="I251" s="48" t="n">
        <x:v>0.45</x:v>
      </x:c>
      <x:c r="J251" s="48" t="n">
        <x:v>0.4</x:v>
      </x:c>
      <x:c r="K251" s="48" t="str">
        <x:v>Yes</x:v>
      </x:c>
      <x:c r="L251" s="48" t="str">
        <x:v>PDF text</x:v>
      </x:c>
    </x:row>
    <x:row r="252">
      <x:c r="A252" s="48" t="str">
        <x:v>YELLOW-0251</x:v>
      </x:c>
      <x:c r="B252" s="48" t="str">
        <x:v>YELLOW</x:v>
      </x:c>
      <x:c r="C252" s="48" t="str">
        <x:v>English</x:v>
      </x:c>
      <x:c r="D252" s="48" t="n">
        <x:v>27</x:v>
      </x:c>
      <x:c r="E252" s="48" t="str"/>
      <x:c r="F252" s="48" t="str">
        <x:v>Determinations</x:v>
      </x:c>
      <x:c r="G252" s="48" t="str">
        <x:v>Obligation</x:v>
      </x:c>
      <x:c r="H252" s="48" t="str">
        <x:v>Shared</x:v>
      </x:c>
      <x:c r="I252" s="48" t="n">
        <x:v>0.45</x:v>
      </x:c>
      <x:c r="J252" s="48" t="n">
        <x:v>0.4</x:v>
      </x:c>
      <x:c r="K252" s="48" t="str">
        <x:v>Yes</x:v>
      </x:c>
      <x:c r="L252" s="48" t="str">
        <x:v>PDF text</x:v>
      </x:c>
    </x:row>
    <x:row r="253">
      <x:c r="A253" s="48" t="str">
        <x:v>YELLOW-0252</x:v>
      </x:c>
      <x:c r="B253" s="48" t="str">
        <x:v>YELLOW</x:v>
      </x:c>
      <x:c r="C253" s="48" t="str">
        <x:v>English</x:v>
      </x:c>
      <x:c r="D253" s="48" t="n">
        <x:v>27</x:v>
      </x:c>
      <x:c r="E253" s="48" t="str"/>
      <x:c r="F253" s="48" t="str">
        <x:v>Contractor’s General</x:v>
      </x:c>
      <x:c r="G253" s="48" t="str">
        <x:v>Obligation</x:v>
      </x:c>
      <x:c r="H253" s="48" t="str">
        <x:v>Contractor</x:v>
      </x:c>
      <x:c r="I253" s="48" t="n">
        <x:v>0.45</x:v>
      </x:c>
      <x:c r="J253" s="48" t="n">
        <x:v>0.68</x:v>
      </x:c>
      <x:c r="K253" s="48" t="str">
        <x:v>Yes</x:v>
      </x:c>
      <x:c r="L253" s="48" t="str">
        <x:v>PDF text</x:v>
      </x:c>
    </x:row>
    <x:row r="254">
      <x:c r="A254" s="48" t="str">
        <x:v>YELLOW-0253</x:v>
      </x:c>
      <x:c r="B254" s="48" t="str">
        <x:v>YELLOW</x:v>
      </x:c>
      <x:c r="C254" s="48" t="str">
        <x:v>English</x:v>
      </x:c>
      <x:c r="D254" s="48" t="n">
        <x:v>27</x:v>
      </x:c>
      <x:c r="E254" s="48" t="str"/>
      <x:c r="F254" s="48" t="str">
        <x:v>Obligations</x:v>
      </x:c>
      <x:c r="G254" s="48" t="str">
        <x:v>Obligation</x:v>
      </x:c>
      <x:c r="H254" s="48" t="str">
        <x:v>Shared</x:v>
      </x:c>
      <x:c r="I254" s="48" t="n">
        <x:v>0.45</x:v>
      </x:c>
      <x:c r="J254" s="48" t="n">
        <x:v>0.4</x:v>
      </x:c>
      <x:c r="K254" s="48" t="str">
        <x:v>Yes</x:v>
      </x:c>
      <x:c r="L254" s="48" t="str">
        <x:v>PDF text</x:v>
      </x:c>
    </x:row>
    <x:row r="255">
      <x:c r="A255" s="48" t="str">
        <x:v>YELLOW-0254</x:v>
      </x:c>
      <x:c r="B255" s="48" t="str">
        <x:v>YELLOW</x:v>
      </x:c>
      <x:c r="C255" s="48" t="str">
        <x:v>English</x:v>
      </x:c>
      <x:c r="D255" s="48" t="n">
        <x:v>27</x:v>
      </x:c>
      <x:c r="E255" s="48" t="str"/>
      <x:c r="F255" s="48" t="str">
        <x:v>The Contractor</x:v>
      </x:c>
      <x:c r="G255" s="48" t="str">
        <x:v>Obligation</x:v>
      </x:c>
      <x:c r="H255" s="48" t="str">
        <x:v>Contractor</x:v>
      </x:c>
      <x:c r="I255" s="48" t="n">
        <x:v>0.45</x:v>
      </x:c>
      <x:c r="J255" s="48" t="n">
        <x:v>0.68</x:v>
      </x:c>
      <x:c r="K255" s="48" t="str">
        <x:v>Yes</x:v>
      </x:c>
      <x:c r="L255" s="48" t="str">
        <x:v>PDF text</x:v>
      </x:c>
    </x:row>
    <x:row r="256">
      <x:c r="A256" s="48" t="str">
        <x:v>YELLOW-0255</x:v>
      </x:c>
      <x:c r="B256" s="48" t="str">
        <x:v>YELLOW</x:v>
      </x:c>
      <x:c r="C256" s="48" t="str">
        <x:v>English</x:v>
      </x:c>
      <x:c r="D256" s="48" t="n">
        <x:v>28</x:v>
      </x:c>
      <x:c r="E256" s="48" t="str"/>
      <x:c r="F256" s="48" t="str">
        <x:v>The Works shall include any work which is necessary to satisfy the Employer's</x:v>
      </x:c>
      <x:c r="G256" s="48" t="str">
        <x:v>Obligation</x:v>
      </x:c>
      <x:c r="H256" s="48" t="str">
        <x:v>Employer</x:v>
      </x:c>
      <x:c r="I256" s="48" t="n">
        <x:v>0.88</x:v>
      </x:c>
      <x:c r="J256" s="48" t="n">
        <x:v>0.68</x:v>
      </x:c>
      <x:c r="K256" s="48" t="str">
        <x:v>Yes</x:v>
      </x:c>
      <x:c r="L256" s="48" t="str">
        <x:v>PDF text</x:v>
      </x:c>
    </x:row>
    <x:row r="257">
      <x:c r="A257" s="48" t="str">
        <x:v>YELLOW-0256</x:v>
      </x:c>
      <x:c r="B257" s="48" t="str">
        <x:v>YELLOW</x:v>
      </x:c>
      <x:c r="C257" s="48" t="str">
        <x:v>English</x:v>
      </x:c>
      <x:c r="D257" s="48" t="n">
        <x:v>28</x:v>
      </x:c>
      <x:c r="E257" s="48" t="str"/>
      <x:c r="F257" s="48" t="str">
        <x:v>Requirements, Contractor's Proposal and Schedules, or is implied by the Contract,</x:v>
      </x:c>
      <x:c r="G257" s="48" t="str">
        <x:v>Obligation</x:v>
      </x:c>
      <x:c r="H257" s="48" t="str">
        <x:v>Contractor</x:v>
      </x:c>
      <x:c r="I257" s="48" t="n">
        <x:v>0.45</x:v>
      </x:c>
      <x:c r="J257" s="48" t="n">
        <x:v>0.68</x:v>
      </x:c>
      <x:c r="K257" s="48" t="str">
        <x:v>Yes</x:v>
      </x:c>
      <x:c r="L257" s="48" t="str">
        <x:v>PDF text</x:v>
      </x:c>
    </x:row>
    <x:row r="258">
      <x:c r="A258" s="48" t="str">
        <x:v>YELLOW-0257</x:v>
      </x:c>
      <x:c r="B258" s="48" t="str">
        <x:v>YELLOW</x:v>
      </x:c>
      <x:c r="C258" s="48" t="str">
        <x:v>English</x:v>
      </x:c>
      <x:c r="D258" s="48" t="n">
        <x:v>28</x:v>
      </x:c>
      <x:c r="E258" s="48" t="str"/>
      <x:c r="F258" s="48" t="str">
        <x:v>and all works which (although not mentioned in the Contract) are necessary for stability or for the completion, or safe and proper operation, of the Works.</x:v>
      </x:c>
      <x:c r="G258" s="48" t="str">
        <x:v>Obligation</x:v>
      </x:c>
      <x:c r="H258" s="48" t="str">
        <x:v>Shared</x:v>
      </x:c>
      <x:c r="I258" s="48" t="n">
        <x:v>0.45</x:v>
      </x:c>
      <x:c r="J258" s="48" t="n">
        <x:v>0.4</x:v>
      </x:c>
      <x:c r="K258" s="48" t="str">
        <x:v>Yes</x:v>
      </x:c>
      <x:c r="L258" s="48" t="str">
        <x:v>PDF text</x:v>
      </x:c>
    </x:row>
    <x:row r="259">
      <x:c r="A259" s="48" t="str">
        <x:v>YELLOW-0258</x:v>
      </x:c>
      <x:c r="B259" s="48" t="str">
        <x:v>YELLOW</x:v>
      </x:c>
      <x:c r="C259" s="48" t="str">
        <x:v>English</x:v>
      </x:c>
      <x:c r="D259" s="48" t="n">
        <x:v>28</x:v>
      </x:c>
      <x:c r="E259" s="48" t="str"/>
      <x:c r="F259" s="48" t="str">
        <x:v>The Contractor shall be responsible for the adequacy, stability and safety of all Site operations, of all methods of construction and of all the Works.</x:v>
      </x:c>
      <x:c r="G259" s="48" t="str">
        <x:v>Obligation</x:v>
      </x:c>
      <x:c r="H259" s="48" t="str">
        <x:v>Contractor</x:v>
      </x:c>
      <x:c r="I259" s="48" t="n">
        <x:v>0.88</x:v>
      </x:c>
      <x:c r="J259" s="48" t="n">
        <x:v>0.92</x:v>
      </x:c>
      <x:c r="K259" s="48" t="str">
        <x:v>No</x:v>
      </x:c>
      <x:c r="L259" s="48" t="str">
        <x:v>PDF text</x:v>
      </x:c>
    </x:row>
    <x:row r="260">
      <x:c r="A260" s="48" t="str">
        <x:v>YELLOW-0259</x:v>
      </x:c>
      <x:c r="B260" s="48" t="str">
        <x:v>YELLOW</x:v>
      </x:c>
      <x:c r="C260" s="48" t="str">
        <x:v>English</x:v>
      </x:c>
      <x:c r="D260" s="48" t="n">
        <x:v>28</x:v>
      </x:c>
      <x:c r="E260" s="48" t="str"/>
      <x:c r="F260" s="48" t="str">
        <x:v>The Contractor shall, whenever required by the Engineer, submit details of the</x:v>
      </x:c>
      <x:c r="G260" s="48" t="str">
        <x:v>Obligation</x:v>
      </x:c>
      <x:c r="H260" s="48" t="str">
        <x:v>Contractor</x:v>
      </x:c>
      <x:c r="I260" s="48" t="n">
        <x:v>0.88</x:v>
      </x:c>
      <x:c r="J260" s="48" t="n">
        <x:v>0.92</x:v>
      </x:c>
      <x:c r="K260" s="48" t="str">
        <x:v>No</x:v>
      </x:c>
      <x:c r="L260" s="48" t="str">
        <x:v>PDF text</x:v>
      </x:c>
    </x:row>
    <x:row r="261">
      <x:c r="A261" s="48" t="str">
        <x:v>YELLOW-0260</x:v>
      </x:c>
      <x:c r="B261" s="48" t="str">
        <x:v>YELLOW</x:v>
      </x:c>
      <x:c r="C261" s="48" t="str">
        <x:v>English</x:v>
      </x:c>
      <x:c r="D261" s="48" t="n">
        <x:v>28</x:v>
      </x:c>
      <x:c r="E261" s="48" t="str"/>
      <x:c r="F261" s="48" t="str">
        <x:v>arrangements and methods which the Contractor proposes to adopt for the execution of the Works.</x:v>
      </x:c>
      <x:c r="G261" s="48" t="str">
        <x:v>Obligation</x:v>
      </x:c>
      <x:c r="H261" s="48" t="str">
        <x:v>Contractor</x:v>
      </x:c>
      <x:c r="I261" s="48" t="n">
        <x:v>0.45</x:v>
      </x:c>
      <x:c r="J261" s="48" t="n">
        <x:v>0.68</x:v>
      </x:c>
      <x:c r="K261" s="48" t="str">
        <x:v>Yes</x:v>
      </x:c>
      <x:c r="L261" s="48" t="str">
        <x:v>PDF text</x:v>
      </x:c>
    </x:row>
    <x:row r="262">
      <x:c r="A262" s="48" t="str">
        <x:v>YELLOW-0261</x:v>
      </x:c>
      <x:c r="B262" s="48" t="str">
        <x:v>YELLOW</x:v>
      </x:c>
      <x:c r="C262" s="48" t="str">
        <x:v>English</x:v>
      </x:c>
      <x:c r="D262" s="48" t="n">
        <x:v>28</x:v>
      </x:c>
      <x:c r="E262" s="48" t="str"/>
      <x:c r="F262" s="48" t="str">
        <x:v>No significant alteration to these arrangements and methods shall be made without this having previously been notified to the</x:v>
      </x:c>
      <x:c r="G262" s="48" t="str">
        <x:v>Obligation</x:v>
      </x:c>
      <x:c r="H262" s="48" t="str">
        <x:v>Shared</x:v>
      </x:c>
      <x:c r="I262" s="48" t="n">
        <x:v>0.88</x:v>
      </x:c>
      <x:c r="J262" s="48" t="n">
        <x:v>0.4</x:v>
      </x:c>
      <x:c r="K262" s="48" t="str">
        <x:v>Yes</x:v>
      </x:c>
      <x:c r="L262" s="48" t="str">
        <x:v>PDF text</x:v>
      </x:c>
    </x:row>
    <x:row r="263">
      <x:c r="A263" s="48" t="str">
        <x:v>YELLOW-0262</x:v>
      </x:c>
      <x:c r="B263" s="48" t="str">
        <x:v>YELLOW</x:v>
      </x:c>
      <x:c r="C263" s="48" t="str">
        <x:v>English</x:v>
      </x:c>
      <x:c r="D263" s="48" t="n">
        <x:v>28</x:v>
      </x:c>
      <x:c r="E263" s="48" t="str"/>
      <x:c r="F263" s="48" t="str">
        <x:v>The Contractor shall obtain (at his cost) a Performance Security for proper</x:v>
      </x:c>
      <x:c r="G263" s="48" t="str">
        <x:v>Obligation</x:v>
      </x:c>
      <x:c r="H263" s="48" t="str">
        <x:v>Contractor</x:v>
      </x:c>
      <x:c r="I263" s="48" t="n">
        <x:v>0.88</x:v>
      </x:c>
      <x:c r="J263" s="48" t="n">
        <x:v>0.92</x:v>
      </x:c>
      <x:c r="K263" s="48" t="str">
        <x:v>No</x:v>
      </x:c>
      <x:c r="L263" s="48" t="str">
        <x:v>PDF text</x:v>
      </x:c>
    </x:row>
    <x:row r="264">
      <x:c r="A264" s="48" t="str">
        <x:v>YELLOW-0263</x:v>
      </x:c>
      <x:c r="B264" s="48" t="str">
        <x:v>YELLOW</x:v>
      </x:c>
      <x:c r="C264" s="48" t="str">
        <x:v>English</x:v>
      </x:c>
      <x:c r="D264" s="48" t="n">
        <x:v>28</x:v>
      </x:c>
      <x:c r="E264" s="48" t="str"/>
      <x:c r="F264" s="48" t="str">
        <x:v>performance, in the amount and currencies stated in the Appendix to Tender.</x:v>
      </x:c>
      <x:c r="G264" s="48" t="str">
        <x:v>Obligation</x:v>
      </x:c>
      <x:c r="H264" s="48" t="str">
        <x:v>Shared</x:v>
      </x:c>
      <x:c r="I264" s="48" t="n">
        <x:v>0.45</x:v>
      </x:c>
      <x:c r="J264" s="48" t="n">
        <x:v>0.4</x:v>
      </x:c>
      <x:c r="K264" s="48" t="str">
        <x:v>Yes</x:v>
      </x:c>
      <x:c r="L264" s="48" t="str">
        <x:v>PDF text</x:v>
      </x:c>
    </x:row>
    <x:row r="265">
      <x:c r="A265" s="48" t="str">
        <x:v>YELLOW-0264</x:v>
      </x:c>
      <x:c r="B265" s="48" t="str">
        <x:v>YELLOW</x:v>
      </x:c>
      <x:c r="C265" s="48" t="str">
        <x:v>English</x:v>
      </x:c>
      <x:c r="D265" s="48" t="n">
        <x:v>28</x:v>
      </x:c>
      <x:c r="E265" s="48" t="str"/>
      <x:c r="F265" s="48" t="str">
        <x:v>If an amount is not stated in the Appendix to Tender, this Sub-Clause shall not apply.</x:v>
      </x:c>
      <x:c r="G265" s="48" t="str">
        <x:v>Obligation</x:v>
      </x:c>
      <x:c r="H265" s="48" t="str">
        <x:v>Shared</x:v>
      </x:c>
      <x:c r="I265" s="48" t="n">
        <x:v>0.88</x:v>
      </x:c>
      <x:c r="J265" s="48" t="n">
        <x:v>0.4</x:v>
      </x:c>
      <x:c r="K265" s="48" t="str">
        <x:v>Yes</x:v>
      </x:c>
      <x:c r="L265" s="48" t="str">
        <x:v>PDF text</x:v>
      </x:c>
    </x:row>
    <x:row r="266">
      <x:c r="A266" s="48" t="str">
        <x:v>YELLOW-0265</x:v>
      </x:c>
      <x:c r="B266" s="48" t="str">
        <x:v>YELLOW</x:v>
      </x:c>
      <x:c r="C266" s="48" t="str">
        <x:v>English</x:v>
      </x:c>
      <x:c r="D266" s="48" t="n">
        <x:v>28</x:v>
      </x:c>
      <x:c r="E266" s="48" t="str"/>
      <x:c r="F266" s="48" t="str">
        <x:v>The Contractor shall deliver the Performance Security to the Employer within 28 days after receiving the Letter of Acceptance, and shall send a copy to the Engineer.</x:v>
      </x:c>
      <x:c r="G266" s="48" t="str">
        <x:v>Obligation</x:v>
      </x:c>
      <x:c r="H266" s="48" t="str">
        <x:v>Contractor</x:v>
      </x:c>
      <x:c r="I266" s="48" t="n">
        <x:v>0.88</x:v>
      </x:c>
      <x:c r="J266" s="48" t="n">
        <x:v>0.92</x:v>
      </x:c>
      <x:c r="K266" s="48" t="str">
        <x:v>No</x:v>
      </x:c>
      <x:c r="L266" s="48" t="str">
        <x:v>PDF text</x:v>
      </x:c>
    </x:row>
    <x:row r="267">
      <x:c r="A267" s="48" t="str">
        <x:v>YELLOW-0266</x:v>
      </x:c>
      <x:c r="B267" s="48" t="str">
        <x:v>YELLOW</x:v>
      </x:c>
      <x:c r="C267" s="48" t="str">
        <x:v>English</x:v>
      </x:c>
      <x:c r="D267" s="48" t="n">
        <x:v>28</x:v>
      </x:c>
      <x:c r="E267" s="48" t="str"/>
      <x:c r="F267" s="48" t="str">
        <x:v>The Performance Security shall be issued by an entity and from within a country (or other jurisdiction) approved by the Employer, and shall be in the form annexed to the Particular Conditions or in another form approved by the Employer.</x:v>
      </x:c>
      <x:c r="G267" s="48" t="str">
        <x:v>Obligation</x:v>
      </x:c>
      <x:c r="H267" s="48" t="str">
        <x:v>Employer</x:v>
      </x:c>
      <x:c r="I267" s="48" t="n">
        <x:v>0.88</x:v>
      </x:c>
      <x:c r="J267" s="48" t="n">
        <x:v>0.68</x:v>
      </x:c>
      <x:c r="K267" s="48" t="str">
        <x:v>Yes</x:v>
      </x:c>
      <x:c r="L267" s="48" t="str">
        <x:v>PDF text</x:v>
      </x:c>
    </x:row>
    <x:row r="268">
      <x:c r="A268" s="48" t="str">
        <x:v>YELLOW-0267</x:v>
      </x:c>
      <x:c r="B268" s="48" t="str">
        <x:v>YELLOW</x:v>
      </x:c>
      <x:c r="C268" s="48" t="str">
        <x:v>English</x:v>
      </x:c>
      <x:c r="D268" s="48" t="n">
        <x:v>28</x:v>
      </x:c>
      <x:c r="E268" s="48" t="str"/>
      <x:c r="F268" s="48" t="str">
        <x:v>The Contractor shall ensure that the Performance Security is valid and enforceable until the Contractor has executed and completed the Works and remedied any defects.</x:v>
      </x:c>
      <x:c r="G268" s="48" t="str">
        <x:v>Obligation</x:v>
      </x:c>
      <x:c r="H268" s="48" t="str">
        <x:v>Contractor</x:v>
      </x:c>
      <x:c r="I268" s="48" t="n">
        <x:v>0.88</x:v>
      </x:c>
      <x:c r="J268" s="48" t="n">
        <x:v>0.92</x:v>
      </x:c>
      <x:c r="K268" s="48" t="str">
        <x:v>No</x:v>
      </x:c>
      <x:c r="L268" s="48" t="str">
        <x:v>PDF text</x:v>
      </x:c>
    </x:row>
    <x:row r="269">
      <x:c r="A269" s="48" t="str">
        <x:v>YELLOW-0268</x:v>
      </x:c>
      <x:c r="B269" s="48" t="str">
        <x:v>YELLOW</x:v>
      </x:c>
      <x:c r="C269" s="48" t="str">
        <x:v>English</x:v>
      </x:c>
      <x:c r="D269" s="48" t="n">
        <x:v>28</x:v>
      </x:c>
      <x:c r="E269" s="48" t="str"/>
      <x:c r="F269" s="48" t="str">
        <x:v>If the terms of the Performance Security specify its expiry date, and the Contractor has not become entitled to receive the Performance Certificate by the date 28 days prior to the expiry date, the Contractor shall extend the validity of the</x:v>
      </x:c>
      <x:c r="G269" s="48" t="str">
        <x:v>Obligation</x:v>
      </x:c>
      <x:c r="H269" s="48" t="str">
        <x:v>Contractor</x:v>
      </x:c>
      <x:c r="I269" s="48" t="n">
        <x:v>0.88</x:v>
      </x:c>
      <x:c r="J269" s="48" t="n">
        <x:v>0.92</x:v>
      </x:c>
      <x:c r="K269" s="48" t="str">
        <x:v>No</x:v>
      </x:c>
      <x:c r="L269" s="48" t="str">
        <x:v>PDF text</x:v>
      </x:c>
    </x:row>
    <x:row r="270">
      <x:c r="A270" s="48" t="str">
        <x:v>YELLOW-0269</x:v>
      </x:c>
      <x:c r="B270" s="48" t="str">
        <x:v>YELLOW</x:v>
      </x:c>
      <x:c r="C270" s="48" t="str">
        <x:v>English</x:v>
      </x:c>
      <x:c r="D270" s="48" t="n">
        <x:v>28</x:v>
      </x:c>
      <x:c r="E270" s="48" t="str"/>
      <x:c r="F270" s="48" t="str">
        <x:v>Performance Security until the Works have been completed and any defects have</x:v>
      </x:c>
      <x:c r="G270" s="48" t="str">
        <x:v>Obligation</x:v>
      </x:c>
      <x:c r="H270" s="48" t="str">
        <x:v>Shared</x:v>
      </x:c>
      <x:c r="I270" s="48" t="n">
        <x:v>0.45</x:v>
      </x:c>
      <x:c r="J270" s="48" t="n">
        <x:v>0.4</x:v>
      </x:c>
      <x:c r="K270" s="48" t="str">
        <x:v>Yes</x:v>
      </x:c>
      <x:c r="L270" s="48" t="str">
        <x:v>PDF text</x:v>
      </x:c>
    </x:row>
    <x:row r="271">
      <x:c r="A271" s="48" t="str">
        <x:v>YELLOW-0270</x:v>
      </x:c>
      <x:c r="B271" s="48" t="str">
        <x:v>YELLOW</x:v>
      </x:c>
      <x:c r="C271" s="48" t="str">
        <x:v>English</x:v>
      </x:c>
      <x:c r="D271" s="48" t="n">
        <x:v>28</x:v>
      </x:c>
      <x:c r="E271" s="48" t="str"/>
      <x:c r="F271" s="48" t="str">
        <x:v>been remedied.</x:v>
      </x:c>
      <x:c r="G271" s="48" t="str">
        <x:v>Obligation</x:v>
      </x:c>
      <x:c r="H271" s="48" t="str">
        <x:v>Shared</x:v>
      </x:c>
      <x:c r="I271" s="48" t="n">
        <x:v>0.45</x:v>
      </x:c>
      <x:c r="J271" s="48" t="n">
        <x:v>0.4</x:v>
      </x:c>
      <x:c r="K271" s="48" t="str">
        <x:v>Yes</x:v>
      </x:c>
      <x:c r="L271" s="48" t="str">
        <x:v>PDF text</x:v>
      </x:c>
    </x:row>
    <x:row r="272">
      <x:c r="A272" s="48" t="str">
        <x:v>YELLOW-0271</x:v>
      </x:c>
      <x:c r="B272" s="48" t="str">
        <x:v>YELLOW</x:v>
      </x:c>
      <x:c r="C272" s="48" t="str">
        <x:v>English</x:v>
      </x:c>
      <x:c r="D272" s="48" t="n">
        <x:v>28</x:v>
      </x:c>
      <x:c r="E272" s="48" t="str"/>
      <x:c r="F272" s="48" t="str">
        <x:v>The Employer shall not make a claim under the Performance Security, except for</x:v>
      </x:c>
      <x:c r="G272" s="48" t="str">
        <x:v>Obligation</x:v>
      </x:c>
      <x:c r="H272" s="48" t="str">
        <x:v>Employer</x:v>
      </x:c>
      <x:c r="I272" s="48" t="n">
        <x:v>0.88</x:v>
      </x:c>
      <x:c r="J272" s="48" t="n">
        <x:v>0.92</x:v>
      </x:c>
      <x:c r="K272" s="48" t="str">
        <x:v>No</x:v>
      </x:c>
      <x:c r="L272" s="48" t="str">
        <x:v>PDF text</x:v>
      </x:c>
    </x:row>
    <x:row r="273">
      <x:c r="A273" s="48" t="str">
        <x:v>YELLOW-0272</x:v>
      </x:c>
      <x:c r="B273" s="48" t="str">
        <x:v>YELLOW</x:v>
      </x:c>
      <x:c r="C273" s="48" t="str">
        <x:v>English</x:v>
      </x:c>
      <x:c r="D273" s="48" t="n">
        <x:v>28</x:v>
      </x:c>
      <x:c r="E273" s="48" t="str"/>
      <x:c r="F273" s="48" t="str">
        <x:v>amounts to which the Employer is entitled under the Contract in the event of: (a) failure by the Contractor to extend the validity of the Performance Security as described in the preceding paragraph, in which event the Employer may claim the full amount of the Performance Security, (b) failure by the Contractor to pay the Employer an amount due, as either agreed by the Contractor or determined under Sub-Clause 2.5 [Employer's Claims] or Clause 20 [Claims, Disputes and Arbitration], within 42 days after this agreement or determination, (c) failure by the Contractor to remedy a default within 42 days after receiving the</x:v>
      </x:c>
      <x:c r="G273" s="48" t="str">
        <x:v>Risk</x:v>
      </x:c>
      <x:c r="H273" s="48" t="str">
        <x:v>Shared</x:v>
      </x:c>
      <x:c r="I273" s="48" t="n">
        <x:v>0.78</x:v>
      </x:c>
      <x:c r="J273" s="48" t="n">
        <x:v>0.6</x:v>
      </x:c>
      <x:c r="K273" s="48" t="str">
        <x:v>Yes</x:v>
      </x:c>
      <x:c r="L273" s="48" t="str">
        <x:v>PDF text</x:v>
      </x:c>
    </x:row>
    <x:row r="274">
      <x:c r="A274" s="48" t="str">
        <x:v>YELLOW-0273</x:v>
      </x:c>
      <x:c r="B274" s="48" t="str">
        <x:v>YELLOW</x:v>
      </x:c>
      <x:c r="C274" s="48" t="str">
        <x:v>English</x:v>
      </x:c>
      <x:c r="D274" s="48" t="n">
        <x:v>28</x:v>
      </x:c>
      <x:c r="E274" s="48" t="str"/>
      <x:c r="F274" s="48" t="str">
        <x:v>Employer's notice requiring the default to be remedied, or</x:v>
      </x:c>
      <x:c r="G274" s="48" t="str">
        <x:v>Obligation</x:v>
      </x:c>
      <x:c r="H274" s="48" t="str">
        <x:v>Employer</x:v>
      </x:c>
      <x:c r="I274" s="48" t="n">
        <x:v>0.55</x:v>
      </x:c>
      <x:c r="J274" s="48" t="n">
        <x:v>0.68</x:v>
      </x:c>
      <x:c r="K274" s="48" t="str">
        <x:v>Yes</x:v>
      </x:c>
      <x:c r="L274" s="48" t="str">
        <x:v>PDF text</x:v>
      </x:c>
    </x:row>
    <x:row r="275">
      <x:c r="A275" s="48" t="str">
        <x:v>YELLOW-0274</x:v>
      </x:c>
      <x:c r="B275" s="48" t="str">
        <x:v>YELLOW</x:v>
      </x:c>
      <x:c r="C275" s="48" t="str">
        <x:v>English</x:v>
      </x:c>
      <x:c r="D275" s="48" t="n">
        <x:v>28</x:v>
      </x:c>
      <x:c r="E275" s="48" t="str"/>
      <x:c r="F275" s="48" t="str">
        <x:v>(d) circumstances which entitle the Employer to termination under Sub-Clause</x:v>
      </x:c>
      <x:c r="G275" s="48" t="str">
        <x:v>Obligation</x:v>
      </x:c>
      <x:c r="H275" s="48" t="str">
        <x:v>Employer</x:v>
      </x:c>
      <x:c r="I275" s="48" t="n">
        <x:v>0.55</x:v>
      </x:c>
      <x:c r="J275" s="48" t="n">
        <x:v>0.68</x:v>
      </x:c>
      <x:c r="K275" s="48" t="str">
        <x:v>Yes</x:v>
      </x:c>
      <x:c r="L275" s="48" t="str">
        <x:v>PDF text</x:v>
      </x:c>
    </x:row>
    <x:row r="276">
      <x:c r="A276" s="48" t="str">
        <x:v>YELLOW-0275</x:v>
      </x:c>
      <x:c r="B276" s="48" t="str">
        <x:v>YELLOW</x:v>
      </x:c>
      <x:c r="C276" s="48" t="str">
        <x:v>English</x:v>
      </x:c>
      <x:c r="D276" s="48" t="n">
        <x:v>28</x:v>
      </x:c>
      <x:c r="E276" s="48" t="str">
        <x:v>15.2</x:v>
      </x:c>
      <x:c r="F276" s="48" t="str">
        <x:v>15.2 [Termination by Employer], irrespective of whether notice of termination</x:v>
      </x:c>
      <x:c r="G276" s="48" t="str">
        <x:v>Obligation</x:v>
      </x:c>
      <x:c r="H276" s="48" t="str">
        <x:v>Employer</x:v>
      </x:c>
      <x:c r="I276" s="48" t="n">
        <x:v>0.55</x:v>
      </x:c>
      <x:c r="J276" s="48" t="n">
        <x:v>0.68</x:v>
      </x:c>
      <x:c r="K276" s="48" t="str">
        <x:v>Yes</x:v>
      </x:c>
      <x:c r="L276" s="48" t="str">
        <x:v>PDF text</x:v>
      </x:c>
    </x:row>
    <x:row r="277">
      <x:c r="A277" s="48" t="str">
        <x:v>YELLOW-0276</x:v>
      </x:c>
      <x:c r="B277" s="48" t="str">
        <x:v>YELLOW</x:v>
      </x:c>
      <x:c r="C277" s="48" t="str">
        <x:v>English</x:v>
      </x:c>
      <x:c r="D277" s="48" t="n">
        <x:v>28</x:v>
      </x:c>
      <x:c r="E277" s="48" t="str"/>
      <x:c r="F277" s="48" t="str">
        <x:v>has been given.</x:v>
      </x:c>
      <x:c r="G277" s="48" t="str">
        <x:v>Obligation</x:v>
      </x:c>
      <x:c r="H277" s="48" t="str">
        <x:v>Shared</x:v>
      </x:c>
      <x:c r="I277" s="48" t="n">
        <x:v>0.45</x:v>
      </x:c>
      <x:c r="J277" s="48" t="n">
        <x:v>0.4</x:v>
      </x:c>
      <x:c r="K277" s="48" t="str">
        <x:v>Yes</x:v>
      </x:c>
      <x:c r="L277" s="48" t="str">
        <x:v>PDF text</x:v>
      </x:c>
    </x:row>
    <x:row r="278">
      <x:c r="A278" s="48" t="str">
        <x:v>YELLOW-0277</x:v>
      </x:c>
      <x:c r="B278" s="48" t="str">
        <x:v>YELLOW</x:v>
      </x:c>
      <x:c r="C278" s="48" t="str">
        <x:v>English</x:v>
      </x:c>
      <x:c r="D278" s="48" t="n">
        <x:v>28</x:v>
      </x:c>
      <x:c r="E278" s="48" t="str"/>
      <x:c r="F278" s="48" t="str">
        <x:v>The Employer shall indemnify and hold the Contractor harmless against and from all damages, losses and expenses (including legal fees and expenses) resulting from a claim under the Performance Security to the extent to which the Employer was not entitled to make the claim.</x:v>
      </x:c>
      <x:c r="G278" s="48" t="str">
        <x:v>Obligation</x:v>
      </x:c>
      <x:c r="H278" s="48" t="str">
        <x:v>Employer</x:v>
      </x:c>
      <x:c r="I278" s="48" t="n">
        <x:v>0.88</x:v>
      </x:c>
      <x:c r="J278" s="48" t="n">
        <x:v>0.92</x:v>
      </x:c>
      <x:c r="K278" s="48" t="str">
        <x:v>No</x:v>
      </x:c>
      <x:c r="L278" s="48" t="str">
        <x:v>PDF text</x:v>
      </x:c>
    </x:row>
    <x:row r="279">
      <x:c r="A279" s="48" t="str">
        <x:v>YELLOW-0278</x:v>
      </x:c>
      <x:c r="B279" s="48" t="str">
        <x:v>YELLOW</x:v>
      </x:c>
      <x:c r="C279" s="48" t="str">
        <x:v>English</x:v>
      </x:c>
      <x:c r="D279" s="48" t="n">
        <x:v>28</x:v>
      </x:c>
      <x:c r="E279" s="48" t="str"/>
      <x:c r="F279" s="48" t="str">
        <x:v>The Employer shall return the Performance Security to the Contractor within 21 days after receiving a copy of the Performance Certificate.</x:v>
      </x:c>
      <x:c r="G279" s="48" t="str">
        <x:v>Obligation</x:v>
      </x:c>
      <x:c r="H279" s="48" t="str">
        <x:v>Employer</x:v>
      </x:c>
      <x:c r="I279" s="48" t="n">
        <x:v>0.88</x:v>
      </x:c>
      <x:c r="J279" s="48" t="n">
        <x:v>0.92</x:v>
      </x:c>
      <x:c r="K279" s="48" t="str">
        <x:v>No</x:v>
      </x:c>
      <x:c r="L279" s="48" t="str">
        <x:v>PDF text</x:v>
      </x:c>
    </x:row>
    <x:row r="280">
      <x:c r="A280" s="48" t="str">
        <x:v>YELLOW-0279</x:v>
      </x:c>
      <x:c r="B280" s="48" t="str">
        <x:v>YELLOW</x:v>
      </x:c>
      <x:c r="C280" s="48" t="str">
        <x:v>English</x:v>
      </x:c>
      <x:c r="D280" s="48" t="n">
        <x:v>28</x:v>
      </x:c>
      <x:c r="E280" s="48" t="str"/>
      <x:c r="F280" s="48" t="str">
        <x:v>Performance Security</x:v>
      </x:c>
      <x:c r="G280" s="48" t="str">
        <x:v>Obligation</x:v>
      </x:c>
      <x:c r="H280" s="48" t="str">
        <x:v>Shared</x:v>
      </x:c>
      <x:c r="I280" s="48" t="n">
        <x:v>0.45</x:v>
      </x:c>
      <x:c r="J280" s="48" t="n">
        <x:v>0.4</x:v>
      </x:c>
      <x:c r="K280" s="48" t="str">
        <x:v>Yes</x:v>
      </x:c>
      <x:c r="L280" s="48" t="str">
        <x:v>PDF text</x:v>
      </x:c>
    </x:row>
    <x:row r="281">
      <x:c r="A281" s="48" t="str">
        <x:v>YELLOW-0280</x:v>
      </x:c>
      <x:c r="B281" s="48" t="str">
        <x:v>YELLOW</x:v>
      </x:c>
      <x:c r="C281" s="48" t="str">
        <x:v>English</x:v>
      </x:c>
      <x:c r="D281" s="48" t="n">
        <x:v>29</x:v>
      </x:c>
      <x:c r="E281" s="48" t="str"/>
      <x:c r="F281" s="48" t="str">
        <x:v>The Contractor shall appoint the Contractor's Representative and shall give him all authority necessary to act on the Contractor's behalf under the Contract.</x:v>
      </x:c>
      <x:c r="G281" s="48" t="str">
        <x:v>Obligation</x:v>
      </x:c>
      <x:c r="H281" s="48" t="str">
        <x:v>Contractor</x:v>
      </x:c>
      <x:c r="I281" s="48" t="n">
        <x:v>0.88</x:v>
      </x:c>
      <x:c r="J281" s="48" t="n">
        <x:v>0.92</x:v>
      </x:c>
      <x:c r="K281" s="48" t="str">
        <x:v>No</x:v>
      </x:c>
      <x:c r="L281" s="48" t="str">
        <x:v>PDF text</x:v>
      </x:c>
    </x:row>
    <x:row r="282">
      <x:c r="A282" s="48" t="str">
        <x:v>YELLOW-0281</x:v>
      </x:c>
      <x:c r="B282" s="48" t="str">
        <x:v>YELLOW</x:v>
      </x:c>
      <x:c r="C282" s="48" t="str">
        <x:v>English</x:v>
      </x:c>
      <x:c r="D282" s="48" t="n">
        <x:v>29</x:v>
      </x:c>
      <x:c r="E282" s="48" t="str"/>
      <x:c r="F282" s="48" t="str">
        <x:v>Unless the Contractor's Representative is named in the Contract, the Contractor shall, prior to the Commencement Date, submit to the Engineer for consent the name and particulars of the person the Contractor proposes to appoint as Contractor's Representative.</x:v>
      </x:c>
      <x:c r="G282" s="48" t="str">
        <x:v>Obligation</x:v>
      </x:c>
      <x:c r="H282" s="48" t="str">
        <x:v>Contractor</x:v>
      </x:c>
      <x:c r="I282" s="48" t="n">
        <x:v>0.88</x:v>
      </x:c>
      <x:c r="J282" s="48" t="n">
        <x:v>0.92</x:v>
      </x:c>
      <x:c r="K282" s="48" t="str">
        <x:v>No</x:v>
      </x:c>
      <x:c r="L282" s="48" t="str">
        <x:v>PDF text</x:v>
      </x:c>
    </x:row>
    <x:row r="283">
      <x:c r="A283" s="48" t="str">
        <x:v>YELLOW-0282</x:v>
      </x:c>
      <x:c r="B283" s="48" t="str">
        <x:v>YELLOW</x:v>
      </x:c>
      <x:c r="C283" s="48" t="str">
        <x:v>English</x:v>
      </x:c>
      <x:c r="D283" s="48" t="n">
        <x:v>29</x:v>
      </x:c>
      <x:c r="E283" s="48" t="str"/>
      <x:c r="F283" s="48" t="str">
        <x:v>If consent is withheld or subsequently revoked, or if the appointed person fails to act as Contractor's Representative, the Contractor shall similarly submit the name and particulars of another suitable person for such appointment.</x:v>
      </x:c>
      <x:c r="G283" s="48" t="str">
        <x:v>Obligation</x:v>
      </x:c>
      <x:c r="H283" s="48" t="str">
        <x:v>Contractor</x:v>
      </x:c>
      <x:c r="I283" s="48" t="n">
        <x:v>0.88</x:v>
      </x:c>
      <x:c r="J283" s="48" t="n">
        <x:v>0.92</x:v>
      </x:c>
      <x:c r="K283" s="48" t="str">
        <x:v>No</x:v>
      </x:c>
      <x:c r="L283" s="48" t="str">
        <x:v>PDF text</x:v>
      </x:c>
    </x:row>
    <x:row r="284">
      <x:c r="A284" s="48" t="str">
        <x:v>YELLOW-0283</x:v>
      </x:c>
      <x:c r="B284" s="48" t="str">
        <x:v>YELLOW</x:v>
      </x:c>
      <x:c r="C284" s="48" t="str">
        <x:v>English</x:v>
      </x:c>
      <x:c r="D284" s="48" t="n">
        <x:v>29</x:v>
      </x:c>
      <x:c r="E284" s="48" t="str"/>
      <x:c r="F284" s="48" t="str">
        <x:v>The Contractor shall not, without the prior consent of the Engineer, revoke the</x:v>
      </x:c>
      <x:c r="G284" s="48" t="str">
        <x:v>Obligation</x:v>
      </x:c>
      <x:c r="H284" s="48" t="str">
        <x:v>Contractor</x:v>
      </x:c>
      <x:c r="I284" s="48" t="n">
        <x:v>0.88</x:v>
      </x:c>
      <x:c r="J284" s="48" t="n">
        <x:v>0.92</x:v>
      </x:c>
      <x:c r="K284" s="48" t="str">
        <x:v>No</x:v>
      </x:c>
      <x:c r="L284" s="48" t="str">
        <x:v>PDF text</x:v>
      </x:c>
    </x:row>
    <x:row r="285">
      <x:c r="A285" s="48" t="str">
        <x:v>YELLOW-0284</x:v>
      </x:c>
      <x:c r="B285" s="48" t="str">
        <x:v>YELLOW</x:v>
      </x:c>
      <x:c r="C285" s="48" t="str">
        <x:v>English</x:v>
      </x:c>
      <x:c r="D285" s="48" t="n">
        <x:v>29</x:v>
      </x:c>
      <x:c r="E285" s="48" t="str"/>
      <x:c r="F285" s="48" t="str">
        <x:v>appointment of the Contractor's Representative or appoint a replacement.</x:v>
      </x:c>
      <x:c r="G285" s="48" t="str">
        <x:v>Obligation</x:v>
      </x:c>
      <x:c r="H285" s="48" t="str">
        <x:v>Contractor</x:v>
      </x:c>
      <x:c r="I285" s="48" t="n">
        <x:v>0.45</x:v>
      </x:c>
      <x:c r="J285" s="48" t="n">
        <x:v>0.68</x:v>
      </x:c>
      <x:c r="K285" s="48" t="str">
        <x:v>Yes</x:v>
      </x:c>
      <x:c r="L285" s="48" t="str">
        <x:v>PDF text</x:v>
      </x:c>
    </x:row>
    <x:row r="286">
      <x:c r="A286" s="48" t="str">
        <x:v>YELLOW-0285</x:v>
      </x:c>
      <x:c r="B286" s="48" t="str">
        <x:v>YELLOW</x:v>
      </x:c>
      <x:c r="C286" s="48" t="str">
        <x:v>English</x:v>
      </x:c>
      <x:c r="D286" s="48" t="n">
        <x:v>29</x:v>
      </x:c>
      <x:c r="E286" s="48" t="str"/>
      <x:c r="F286" s="48" t="str">
        <x:v>The whole time of the Contractor's Representative shall be given to directing the</x:v>
      </x:c>
      <x:c r="G286" s="48" t="str">
        <x:v>Obligation</x:v>
      </x:c>
      <x:c r="H286" s="48" t="str">
        <x:v>Contractor</x:v>
      </x:c>
      <x:c r="I286" s="48" t="n">
        <x:v>0.88</x:v>
      </x:c>
      <x:c r="J286" s="48" t="n">
        <x:v>0.68</x:v>
      </x:c>
      <x:c r="K286" s="48" t="str">
        <x:v>Yes</x:v>
      </x:c>
      <x:c r="L286" s="48" t="str">
        <x:v>PDF text</x:v>
      </x:c>
    </x:row>
    <x:row r="287">
      <x:c r="A287" s="48" t="str">
        <x:v>YELLOW-0286</x:v>
      </x:c>
      <x:c r="B287" s="48" t="str">
        <x:v>YELLOW</x:v>
      </x:c>
      <x:c r="C287" s="48" t="str">
        <x:v>English</x:v>
      </x:c>
      <x:c r="D287" s="48" t="n">
        <x:v>29</x:v>
      </x:c>
      <x:c r="E287" s="48" t="str"/>
      <x:c r="F287" s="48" t="str">
        <x:v>Contractor's performance of the Contract.</x:v>
      </x:c>
      <x:c r="G287" s="48" t="str">
        <x:v>Obligation</x:v>
      </x:c>
      <x:c r="H287" s="48" t="str">
        <x:v>Contractor</x:v>
      </x:c>
      <x:c r="I287" s="48" t="n">
        <x:v>0.45</x:v>
      </x:c>
      <x:c r="J287" s="48" t="n">
        <x:v>0.68</x:v>
      </x:c>
      <x:c r="K287" s="48" t="str">
        <x:v>Yes</x:v>
      </x:c>
      <x:c r="L287" s="48" t="str">
        <x:v>PDF text</x:v>
      </x:c>
    </x:row>
    <x:row r="288">
      <x:c r="A288" s="48" t="str">
        <x:v>YELLOW-0287</x:v>
      </x:c>
      <x:c r="B288" s="48" t="str">
        <x:v>YELLOW</x:v>
      </x:c>
      <x:c r="C288" s="48" t="str">
        <x:v>English</x:v>
      </x:c>
      <x:c r="D288" s="48" t="n">
        <x:v>29</x:v>
      </x:c>
      <x:c r="E288" s="48" t="str"/>
      <x:c r="F288" s="48" t="str">
        <x:v>If the Contractor's Representative is to be temporarily absent from the Site during the execution of the Works, a suitable replacement person shall be appointed, subject to the Engineer's prior consent, and the Engineer shall be notified accordingly.</x:v>
      </x:c>
      <x:c r="G288" s="48" t="str">
        <x:v>Obligation</x:v>
      </x:c>
      <x:c r="H288" s="48" t="str">
        <x:v>Contractor</x:v>
      </x:c>
      <x:c r="I288" s="48" t="n">
        <x:v>0.88</x:v>
      </x:c>
      <x:c r="J288" s="48" t="n">
        <x:v>0.68</x:v>
      </x:c>
      <x:c r="K288" s="48" t="str">
        <x:v>Yes</x:v>
      </x:c>
      <x:c r="L288" s="48" t="str">
        <x:v>PDF text</x:v>
      </x:c>
    </x:row>
    <x:row r="289">
      <x:c r="A289" s="48" t="str">
        <x:v>YELLOW-0288</x:v>
      </x:c>
      <x:c r="B289" s="48" t="str">
        <x:v>YELLOW</x:v>
      </x:c>
      <x:c r="C289" s="48" t="str">
        <x:v>English</x:v>
      </x:c>
      <x:c r="D289" s="48" t="n">
        <x:v>29</x:v>
      </x:c>
      <x:c r="E289" s="48" t="str"/>
      <x:c r="F289" s="48" t="str">
        <x:v>The Contractor's Representative shall, on behalf of the Contractor, receive instructions under Sub-Clause 3.3 [Instructions of the Engineer].</x:v>
      </x:c>
      <x:c r="G289" s="48" t="str">
        <x:v>Obligation</x:v>
      </x:c>
      <x:c r="H289" s="48" t="str">
        <x:v>Contractor</x:v>
      </x:c>
      <x:c r="I289" s="48" t="n">
        <x:v>0.88</x:v>
      </x:c>
      <x:c r="J289" s="48" t="n">
        <x:v>0.68</x:v>
      </x:c>
      <x:c r="K289" s="48" t="str">
        <x:v>Yes</x:v>
      </x:c>
      <x:c r="L289" s="48" t="str">
        <x:v>PDF text</x:v>
      </x:c>
    </x:row>
    <x:row r="290">
      <x:c r="A290" s="48" t="str">
        <x:v>YELLOW-0289</x:v>
      </x:c>
      <x:c r="B290" s="48" t="str">
        <x:v>YELLOW</x:v>
      </x:c>
      <x:c r="C290" s="48" t="str">
        <x:v>English</x:v>
      </x:c>
      <x:c r="D290" s="48" t="n">
        <x:v>29</x:v>
      </x:c>
      <x:c r="E290" s="48" t="str"/>
      <x:c r="F290" s="48" t="str">
        <x:v>The Contractor's Representative may delegate any powers, functions and authority to any competent person, and may at any time revoke the delegation.</x:v>
      </x:c>
      <x:c r="G290" s="48" t="str">
        <x:v>Right</x:v>
      </x:c>
      <x:c r="H290" s="48" t="str">
        <x:v>Contractor</x:v>
      </x:c>
      <x:c r="I290" s="48" t="n">
        <x:v>0.78</x:v>
      </x:c>
      <x:c r="J290" s="48" t="n">
        <x:v>0.68</x:v>
      </x:c>
      <x:c r="K290" s="48" t="str">
        <x:v>Yes</x:v>
      </x:c>
      <x:c r="L290" s="48" t="str">
        <x:v>PDF text</x:v>
      </x:c>
    </x:row>
    <x:row r="291">
      <x:c r="A291" s="48" t="str">
        <x:v>YELLOW-0290</x:v>
      </x:c>
      <x:c r="B291" s="48" t="str">
        <x:v>YELLOW</x:v>
      </x:c>
      <x:c r="C291" s="48" t="str">
        <x:v>English</x:v>
      </x:c>
      <x:c r="D291" s="48" t="n">
        <x:v>29</x:v>
      </x:c>
      <x:c r="E291" s="48" t="str"/>
      <x:c r="F291" s="48" t="str">
        <x:v>Any delegation or revocation shall not take effect until the Engineer has received prior notice signed by the Contractor's Representative, naming the person and specifying the powers, functions and authority being delegated or revoked.</x:v>
      </x:c>
      <x:c r="G291" s="48" t="str">
        <x:v>Obligation</x:v>
      </x:c>
      <x:c r="H291" s="48" t="str">
        <x:v>Contractor</x:v>
      </x:c>
      <x:c r="I291" s="48" t="n">
        <x:v>0.88</x:v>
      </x:c>
      <x:c r="J291" s="48" t="n">
        <x:v>0.68</x:v>
      </x:c>
      <x:c r="K291" s="48" t="str">
        <x:v>Yes</x:v>
      </x:c>
      <x:c r="L291" s="48" t="str">
        <x:v>PDF text</x:v>
      </x:c>
    </x:row>
    <x:row r="292">
      <x:c r="A292" s="48" t="str">
        <x:v>YELLOW-0291</x:v>
      </x:c>
      <x:c r="B292" s="48" t="str">
        <x:v>YELLOW</x:v>
      </x:c>
      <x:c r="C292" s="48" t="str">
        <x:v>English</x:v>
      </x:c>
      <x:c r="D292" s="48" t="n">
        <x:v>29</x:v>
      </x:c>
      <x:c r="E292" s="48" t="str"/>
      <x:c r="F292" s="48" t="str">
        <x:v>The Contractor's Representative and all these persons shall be fluent in the language for communications defined in Sub-Clause 1.4 [Law and Language].</x:v>
      </x:c>
      <x:c r="G292" s="48" t="str">
        <x:v>Obligation</x:v>
      </x:c>
      <x:c r="H292" s="48" t="str">
        <x:v>Contractor</x:v>
      </x:c>
      <x:c r="I292" s="48" t="n">
        <x:v>0.88</x:v>
      </x:c>
      <x:c r="J292" s="48" t="n">
        <x:v>0.68</x:v>
      </x:c>
      <x:c r="K292" s="48" t="str">
        <x:v>Yes</x:v>
      </x:c>
      <x:c r="L292" s="48" t="str">
        <x:v>PDF text</x:v>
      </x:c>
    </x:row>
    <x:row r="293">
      <x:c r="A293" s="48" t="str">
        <x:v>YELLOW-0292</x:v>
      </x:c>
      <x:c r="B293" s="48" t="str">
        <x:v>YELLOW</x:v>
      </x:c>
      <x:c r="C293" s="48" t="str">
        <x:v>English</x:v>
      </x:c>
      <x:c r="D293" s="48" t="n">
        <x:v>29</x:v>
      </x:c>
      <x:c r="E293" s="48" t="str"/>
      <x:c r="F293" s="48" t="str">
        <x:v>The Contractor shall not subcontract the whole of the Works.</x:v>
      </x:c>
      <x:c r="G293" s="48" t="str">
        <x:v>Obligation</x:v>
      </x:c>
      <x:c r="H293" s="48" t="str">
        <x:v>Contractor</x:v>
      </x:c>
      <x:c r="I293" s="48" t="n">
        <x:v>0.88</x:v>
      </x:c>
      <x:c r="J293" s="48" t="n">
        <x:v>0.92</x:v>
      </x:c>
      <x:c r="K293" s="48" t="str">
        <x:v>No</x:v>
      </x:c>
      <x:c r="L293" s="48" t="str">
        <x:v>PDF text</x:v>
      </x:c>
    </x:row>
    <x:row r="294">
      <x:c r="A294" s="48" t="str">
        <x:v>YELLOW-0293</x:v>
      </x:c>
      <x:c r="B294" s="48" t="str">
        <x:v>YELLOW</x:v>
      </x:c>
      <x:c r="C294" s="48" t="str">
        <x:v>English</x:v>
      </x:c>
      <x:c r="D294" s="48" t="n">
        <x:v>29</x:v>
      </x:c>
      <x:c r="E294" s="48" t="str"/>
      <x:c r="F294" s="48" t="str">
        <x:v>The Contractor shall be responsible for the acts or defaults of any Subcontractor, his agents or employees, as if they were the acts or defaults of the Contractor.</x:v>
      </x:c>
      <x:c r="G294" s="48" t="str">
        <x:v>Obligation</x:v>
      </x:c>
      <x:c r="H294" s="48" t="str">
        <x:v>Contractor</x:v>
      </x:c>
      <x:c r="I294" s="48" t="n">
        <x:v>0.88</x:v>
      </x:c>
      <x:c r="J294" s="48" t="n">
        <x:v>0.92</x:v>
      </x:c>
      <x:c r="K294" s="48" t="str">
        <x:v>No</x:v>
      </x:c>
      <x:c r="L294" s="48" t="str">
        <x:v>PDF text</x:v>
      </x:c>
    </x:row>
    <x:row r="295">
      <x:c r="A295" s="48" t="str">
        <x:v>YELLOW-0294</x:v>
      </x:c>
      <x:c r="B295" s="48" t="str">
        <x:v>YELLOW</x:v>
      </x:c>
      <x:c r="C295" s="48" t="str">
        <x:v>English</x:v>
      </x:c>
      <x:c r="D295" s="48" t="n">
        <x:v>29</x:v>
      </x:c>
      <x:c r="E295" s="48" t="str"/>
      <x:c r="F295" s="48" t="str">
        <x:v>Unless otherwise stated in the Particular Conditions: (a) the Contractor shall not be required to obtain consent to suppliers of Materials, or to a subcontract for which the Subcontractor is named in the Contract; (b) the prior consent of the Engineer shall be obtained to other proposed Subcontractors; and (c) the Contractor shall give the Engineer not less than 28 days' notice of the intended date of the commencement of each Subcontractor's work, and of the commencement of such work on the Site.</x:v>
      </x:c>
      <x:c r="G295" s="48" t="str">
        <x:v>Obligation</x:v>
      </x:c>
      <x:c r="H295" s="48" t="str">
        <x:v>Contractor</x:v>
      </x:c>
      <x:c r="I295" s="48" t="n">
        <x:v>0.88</x:v>
      </x:c>
      <x:c r="J295" s="48" t="n">
        <x:v>0.92</x:v>
      </x:c>
      <x:c r="K295" s="48" t="str">
        <x:v>No</x:v>
      </x:c>
      <x:c r="L295" s="48" t="str">
        <x:v>PDF text</x:v>
      </x:c>
    </x:row>
    <x:row r="296">
      <x:c r="A296" s="48" t="str">
        <x:v>YELLOW-0295</x:v>
      </x:c>
      <x:c r="B296" s="48" t="str">
        <x:v>YELLOW</x:v>
      </x:c>
      <x:c r="C296" s="48" t="str">
        <x:v>English</x:v>
      </x:c>
      <x:c r="D296" s="48" t="n">
        <x:v>29</x:v>
      </x:c>
      <x:c r="E296" s="48" t="str"/>
      <x:c r="F296" s="48" t="str">
        <x:v>In this Sub-Clause, "nominated Subcontractor" means a Subcontractor whom the Engineer, under Clause 13 [Variations and Adjustments], instructs the Contractor to employ as a Subcontractor.</x:v>
      </x:c>
      <x:c r="G296" s="48" t="str">
        <x:v>Definition</x:v>
      </x:c>
      <x:c r="H296" s="48" t="str"/>
      <x:c r="I296" s="48" t="n">
        <x:v>0.97</x:v>
      </x:c>
      <x:c r="J296" s="48" t="n">
        <x:v>0.99</x:v>
      </x:c>
      <x:c r="K296" s="48" t="str">
        <x:v>No</x:v>
      </x:c>
      <x:c r="L296" s="48" t="str">
        <x:v>PDF text</x:v>
      </x:c>
    </x:row>
    <x:row r="297">
      <x:c r="A297" s="48" t="str">
        <x:v>YELLOW-0296</x:v>
      </x:c>
      <x:c r="B297" s="48" t="str">
        <x:v>YELLOW</x:v>
      </x:c>
      <x:c r="C297" s="48" t="str">
        <x:v>English</x:v>
      </x:c>
      <x:c r="D297" s="48" t="n">
        <x:v>29</x:v>
      </x:c>
      <x:c r="E297" s="48" t="str"/>
      <x:c r="F297" s="48" t="str">
        <x:v>The Contractor shall not be under any obligation to employ a nominated Subcontractor against whom the Contractor raises reasonable objection by notice to the Engineer as soon as practicable, with supporting particulars.</x:v>
      </x:c>
      <x:c r="G297" s="48" t="str">
        <x:v>Obligation</x:v>
      </x:c>
      <x:c r="H297" s="48" t="str">
        <x:v>Contractor</x:v>
      </x:c>
      <x:c r="I297" s="48" t="n">
        <x:v>0.88</x:v>
      </x:c>
      <x:c r="J297" s="48" t="n">
        <x:v>0.92</x:v>
      </x:c>
      <x:c r="K297" s="48" t="str">
        <x:v>No</x:v>
      </x:c>
      <x:c r="L297" s="48" t="str">
        <x:v>PDF text</x:v>
      </x:c>
    </x:row>
    <x:row r="298">
      <x:c r="A298" s="48" t="str">
        <x:v>YELLOW-0297</x:v>
      </x:c>
      <x:c r="B298" s="48" t="str">
        <x:v>YELLOW</x:v>
      </x:c>
      <x:c r="C298" s="48" t="str">
        <x:v>English</x:v>
      </x:c>
      <x:c r="D298" s="48" t="n">
        <x:v>29</x:v>
      </x:c>
      <x:c r="E298" s="48" t="str"/>
      <x:c r="F298" s="48" t="str">
        <x:v>The Contractor shall, as specified in the Contract or as instructed by the Engineer, allow appropriate opportunities for carrying out work to: 4.3</x:v>
      </x:c>
      <x:c r="G298" s="48" t="str">
        <x:v>Obligation</x:v>
      </x:c>
      <x:c r="H298" s="48" t="str">
        <x:v>Contractor</x:v>
      </x:c>
      <x:c r="I298" s="48" t="n">
        <x:v>0.88</x:v>
      </x:c>
      <x:c r="J298" s="48" t="n">
        <x:v>0.92</x:v>
      </x:c>
      <x:c r="K298" s="48" t="str">
        <x:v>No</x:v>
      </x:c>
      <x:c r="L298" s="48" t="str">
        <x:v>PDF text</x:v>
      </x:c>
    </x:row>
    <x:row r="299">
      <x:c r="A299" s="48" t="str">
        <x:v>YELLOW-0298</x:v>
      </x:c>
      <x:c r="B299" s="48" t="str">
        <x:v>YELLOW</x:v>
      </x:c>
      <x:c r="C299" s="48" t="str">
        <x:v>English</x:v>
      </x:c>
      <x:c r="D299" s="48" t="n">
        <x:v>29</x:v>
      </x:c>
      <x:c r="E299" s="48" t="str"/>
      <x:c r="F299" s="48" t="str">
        <x:v>Contractor’s</x:v>
      </x:c>
      <x:c r="G299" s="48" t="str">
        <x:v>Obligation</x:v>
      </x:c>
      <x:c r="H299" s="48" t="str">
        <x:v>Contractor</x:v>
      </x:c>
      <x:c r="I299" s="48" t="n">
        <x:v>0.45</x:v>
      </x:c>
      <x:c r="J299" s="48" t="n">
        <x:v>0.68</x:v>
      </x:c>
      <x:c r="K299" s="48" t="str">
        <x:v>Yes</x:v>
      </x:c>
      <x:c r="L299" s="48" t="str">
        <x:v>PDF text</x:v>
      </x:c>
    </x:row>
    <x:row r="300">
      <x:c r="A300" s="48" t="str">
        <x:v>YELLOW-0299</x:v>
      </x:c>
      <x:c r="B300" s="48" t="str">
        <x:v>YELLOW</x:v>
      </x:c>
      <x:c r="C300" s="48" t="str">
        <x:v>English</x:v>
      </x:c>
      <x:c r="D300" s="48" t="n">
        <x:v>29</x:v>
      </x:c>
      <x:c r="E300" s="48" t="str"/>
      <x:c r="F300" s="48" t="str">
        <x:v>Representative</x:v>
      </x:c>
      <x:c r="G300" s="48" t="str">
        <x:v>Obligation</x:v>
      </x:c>
      <x:c r="H300" s="48" t="str">
        <x:v>Shared</x:v>
      </x:c>
      <x:c r="I300" s="48" t="n">
        <x:v>0.45</x:v>
      </x:c>
      <x:c r="J300" s="48" t="n">
        <x:v>0.4</x:v>
      </x:c>
      <x:c r="K300" s="48" t="str">
        <x:v>Yes</x:v>
      </x:c>
      <x:c r="L300" s="48" t="str">
        <x:v>PDF text</x:v>
      </x:c>
    </x:row>
    <x:row r="301">
      <x:c r="A301" s="48" t="str">
        <x:v>YELLOW-0300</x:v>
      </x:c>
      <x:c r="B301" s="48" t="str">
        <x:v>YELLOW</x:v>
      </x:c>
      <x:c r="C301" s="48" t="str">
        <x:v>English</x:v>
      </x:c>
      <x:c r="D301" s="48" t="n">
        <x:v>29</x:v>
      </x:c>
      <x:c r="E301" s="48" t="str"/>
      <x:c r="F301" s="48" t="str">
        <x:v>Subcontractors</x:v>
      </x:c>
      <x:c r="G301" s="48" t="str">
        <x:v>Obligation</x:v>
      </x:c>
      <x:c r="H301" s="48" t="str">
        <x:v>Shared</x:v>
      </x:c>
      <x:c r="I301" s="48" t="n">
        <x:v>0.45</x:v>
      </x:c>
      <x:c r="J301" s="48" t="n">
        <x:v>0.4</x:v>
      </x:c>
      <x:c r="K301" s="48" t="str">
        <x:v>Yes</x:v>
      </x:c>
      <x:c r="L301" s="48" t="str">
        <x:v>PDF text</x:v>
      </x:c>
    </x:row>
    <x:row r="302">
      <x:c r="A302" s="48" t="str">
        <x:v>YELLOW-0301</x:v>
      </x:c>
      <x:c r="B302" s="48" t="str">
        <x:v>YELLOW</x:v>
      </x:c>
      <x:c r="C302" s="48" t="str">
        <x:v>English</x:v>
      </x:c>
      <x:c r="D302" s="48" t="n">
        <x:v>29</x:v>
      </x:c>
      <x:c r="E302" s="48" t="str"/>
      <x:c r="F302" s="48" t="str">
        <x:v>Nominated</x:v>
      </x:c>
      <x:c r="G302" s="48" t="str">
        <x:v>Obligation</x:v>
      </x:c>
      <x:c r="H302" s="48" t="str">
        <x:v>Shared</x:v>
      </x:c>
      <x:c r="I302" s="48" t="n">
        <x:v>0.45</x:v>
      </x:c>
      <x:c r="J302" s="48" t="n">
        <x:v>0.4</x:v>
      </x:c>
      <x:c r="K302" s="48" t="str">
        <x:v>Yes</x:v>
      </x:c>
      <x:c r="L302" s="48" t="str">
        <x:v>PDF text</x:v>
      </x:c>
    </x:row>
    <x:row r="303">
      <x:c r="A303" s="48" t="str">
        <x:v>YELLOW-0302</x:v>
      </x:c>
      <x:c r="B303" s="48" t="str">
        <x:v>YELLOW</x:v>
      </x:c>
      <x:c r="C303" s="48" t="str">
        <x:v>English</x:v>
      </x:c>
      <x:c r="D303" s="48" t="n">
        <x:v>29</x:v>
      </x:c>
      <x:c r="E303" s="48" t="str"/>
      <x:c r="F303" s="48" t="str">
        <x:v>Co-operation</x:v>
      </x:c>
      <x:c r="G303" s="48" t="str">
        <x:v>Obligation</x:v>
      </x:c>
      <x:c r="H303" s="48" t="str">
        <x:v>Shared</x:v>
      </x:c>
      <x:c r="I303" s="48" t="n">
        <x:v>0.45</x:v>
      </x:c>
      <x:c r="J303" s="48" t="n">
        <x:v>0.4</x:v>
      </x:c>
      <x:c r="K303" s="48" t="str">
        <x:v>Yes</x:v>
      </x:c>
      <x:c r="L303" s="48" t="str">
        <x:v>PDF text</x:v>
      </x:c>
    </x:row>
    <x:row r="304">
      <x:c r="A304" s="48" t="str">
        <x:v>YELLOW-0303</x:v>
      </x:c>
      <x:c r="B304" s="48" t="str">
        <x:v>YELLOW</x:v>
      </x:c>
      <x:c r="C304" s="48" t="str">
        <x:v>English</x:v>
      </x:c>
      <x:c r="D304" s="48" t="n">
        <x:v>30</x:v>
      </x:c>
      <x:c r="E304" s="48" t="str"/>
      <x:c r="F304" s="48" t="str">
        <x:v>(a) the Employer's Personnel, (b) any other contractors employed by the Employer, and (c) the personnel of any legally constituted public authorities, who may be employed in the execution on or near the Site of any work not included in the Contract.</x:v>
      </x:c>
      <x:c r="G304" s="48" t="str">
        <x:v>Right</x:v>
      </x:c>
      <x:c r="H304" s="48" t="str">
        <x:v>Employer</x:v>
      </x:c>
      <x:c r="I304" s="48" t="n">
        <x:v>0.78</x:v>
      </x:c>
      <x:c r="J304" s="48" t="n">
        <x:v>0.68</x:v>
      </x:c>
      <x:c r="K304" s="48" t="str">
        <x:v>Yes</x:v>
      </x:c>
      <x:c r="L304" s="48" t="str">
        <x:v>PDF text</x:v>
      </x:c>
    </x:row>
    <x:row r="305">
      <x:c r="A305" s="48" t="str">
        <x:v>YELLOW-0304</x:v>
      </x:c>
      <x:c r="B305" s="48" t="str">
        <x:v>YELLOW</x:v>
      </x:c>
      <x:c r="C305" s="48" t="str">
        <x:v>English</x:v>
      </x:c>
      <x:c r="D305" s="48" t="n">
        <x:v>30</x:v>
      </x:c>
      <x:c r="E305" s="48" t="str"/>
      <x:c r="F305" s="48" t="str">
        <x:v>Any such instruction shall constitute a Variation if and to the extent that it causes the Contractor to incur Unforeseeable Cost.</x:v>
      </x:c>
      <x:c r="G305" s="48" t="str">
        <x:v>Risk</x:v>
      </x:c>
      <x:c r="H305" s="48" t="str">
        <x:v>Contractor</x:v>
      </x:c>
      <x:c r="I305" s="48" t="n">
        <x:v>0.78</x:v>
      </x:c>
      <x:c r="J305" s="48" t="n">
        <x:v>0.68</x:v>
      </x:c>
      <x:c r="K305" s="48" t="str">
        <x:v>Yes</x:v>
      </x:c>
      <x:c r="L305" s="48" t="str">
        <x:v>PDF text</x:v>
      </x:c>
    </x:row>
    <x:row r="306">
      <x:c r="A306" s="48" t="str">
        <x:v>YELLOW-0305</x:v>
      </x:c>
      <x:c r="B306" s="48" t="str">
        <x:v>YELLOW</x:v>
      </x:c>
      <x:c r="C306" s="48" t="str">
        <x:v>English</x:v>
      </x:c>
      <x:c r="D306" s="48" t="n">
        <x:v>30</x:v>
      </x:c>
      <x:c r="E306" s="48" t="str"/>
      <x:c r="F306" s="48" t="str">
        <x:v>Services for these personnel and other contractors may include the use of Contractor's Equipment, Temporary Works or access arrangements which are the responsibility of the Contractor.</x:v>
      </x:c>
      <x:c r="G306" s="48" t="str">
        <x:v>Right</x:v>
      </x:c>
      <x:c r="H306" s="48" t="str">
        <x:v>Contractor</x:v>
      </x:c>
      <x:c r="I306" s="48" t="n">
        <x:v>0.78</x:v>
      </x:c>
      <x:c r="J306" s="48" t="n">
        <x:v>0.68</x:v>
      </x:c>
      <x:c r="K306" s="48" t="str">
        <x:v>Yes</x:v>
      </x:c>
      <x:c r="L306" s="48" t="str">
        <x:v>PDF text</x:v>
      </x:c>
    </x:row>
    <x:row r="307">
      <x:c r="A307" s="48" t="str">
        <x:v>YELLOW-0306</x:v>
      </x:c>
      <x:c r="B307" s="48" t="str">
        <x:v>YELLOW</x:v>
      </x:c>
      <x:c r="C307" s="48" t="str">
        <x:v>English</x:v>
      </x:c>
      <x:c r="D307" s="48" t="n">
        <x:v>30</x:v>
      </x:c>
      <x:c r="E307" s="48" t="str"/>
      <x:c r="F307" s="48" t="str">
        <x:v>The Contractor shall be responsible for his construction activities on the Site, and shall co-ordinate his own activities with those of other contractors to the extent (if any) specified in the Employer's Requirements.</x:v>
      </x:c>
      <x:c r="G307" s="48" t="str">
        <x:v>Obligation</x:v>
      </x:c>
      <x:c r="H307" s="48" t="str">
        <x:v>Contractor</x:v>
      </x:c>
      <x:c r="I307" s="48" t="n">
        <x:v>0.88</x:v>
      </x:c>
      <x:c r="J307" s="48" t="n">
        <x:v>0.92</x:v>
      </x:c>
      <x:c r="K307" s="48" t="str">
        <x:v>No</x:v>
      </x:c>
      <x:c r="L307" s="48" t="str">
        <x:v>PDF text</x:v>
      </x:c>
    </x:row>
    <x:row r="308">
      <x:c r="A308" s="48" t="str">
        <x:v>YELLOW-0307</x:v>
      </x:c>
      <x:c r="B308" s="48" t="str">
        <x:v>YELLOW</x:v>
      </x:c>
      <x:c r="C308" s="48" t="str">
        <x:v>English</x:v>
      </x:c>
      <x:c r="D308" s="48" t="n">
        <x:v>30</x:v>
      </x:c>
      <x:c r="E308" s="48" t="str"/>
      <x:c r="F308" s="48" t="str">
        <x:v>If, under the Contract, the Employer is required to give to the Contractor possession of any foundation, structure, plant or means of access in accordance with</x:v>
      </x:c>
      <x:c r="G308" s="48" t="str">
        <x:v>Obligation</x:v>
      </x:c>
      <x:c r="H308" s="48" t="str">
        <x:v>Shared</x:v>
      </x:c>
      <x:c r="I308" s="48" t="n">
        <x:v>0.88</x:v>
      </x:c>
      <x:c r="J308" s="48" t="n">
        <x:v>0.6</x:v>
      </x:c>
      <x:c r="K308" s="48" t="str">
        <x:v>Yes</x:v>
      </x:c>
      <x:c r="L308" s="48" t="str">
        <x:v>PDF text</x:v>
      </x:c>
    </x:row>
    <x:row r="309">
      <x:c r="A309" s="48" t="str">
        <x:v>YELLOW-0308</x:v>
      </x:c>
      <x:c r="B309" s="48" t="str">
        <x:v>YELLOW</x:v>
      </x:c>
      <x:c r="C309" s="48" t="str">
        <x:v>English</x:v>
      </x:c>
      <x:c r="D309" s="48" t="n">
        <x:v>30</x:v>
      </x:c>
      <x:c r="E309" s="48" t="str"/>
      <x:c r="F309" s="48" t="str">
        <x:v>Contractor's Documents, the Contractor shall submit such documents to the</x:v>
      </x:c>
      <x:c r="G309" s="48" t="str">
        <x:v>Obligation</x:v>
      </x:c>
      <x:c r="H309" s="48" t="str">
        <x:v>Contractor</x:v>
      </x:c>
      <x:c r="I309" s="48" t="n">
        <x:v>0.88</x:v>
      </x:c>
      <x:c r="J309" s="48" t="n">
        <x:v>0.92</x:v>
      </x:c>
      <x:c r="K309" s="48" t="str">
        <x:v>No</x:v>
      </x:c>
      <x:c r="L309" s="48" t="str">
        <x:v>PDF text</x:v>
      </x:c>
    </x:row>
    <x:row r="310">
      <x:c r="A310" s="48" t="str">
        <x:v>YELLOW-0309</x:v>
      </x:c>
      <x:c r="B310" s="48" t="str">
        <x:v>YELLOW</x:v>
      </x:c>
      <x:c r="C310" s="48" t="str">
        <x:v>English</x:v>
      </x:c>
      <x:c r="D310" s="48" t="n">
        <x:v>30</x:v>
      </x:c>
      <x:c r="E310" s="48" t="str"/>
      <x:c r="F310" s="48" t="str">
        <x:v>Engineer in the time and manner stated in the Employer's Requirements.</x:v>
      </x:c>
      <x:c r="G310" s="48" t="str">
        <x:v>Obligation</x:v>
      </x:c>
      <x:c r="H310" s="48" t="str">
        <x:v>Employer</x:v>
      </x:c>
      <x:c r="I310" s="48" t="n">
        <x:v>0.45</x:v>
      </x:c>
      <x:c r="J310" s="48" t="n">
        <x:v>0.68</x:v>
      </x:c>
      <x:c r="K310" s="48" t="str">
        <x:v>Yes</x:v>
      </x:c>
      <x:c r="L310" s="48" t="str">
        <x:v>PDF text</x:v>
      </x:c>
    </x:row>
    <x:row r="311">
      <x:c r="A311" s="48" t="str">
        <x:v>YELLOW-0310</x:v>
      </x:c>
      <x:c r="B311" s="48" t="str">
        <x:v>YELLOW</x:v>
      </x:c>
      <x:c r="C311" s="48" t="str">
        <x:v>English</x:v>
      </x:c>
      <x:c r="D311" s="48" t="n">
        <x:v>30</x:v>
      </x:c>
      <x:c r="E311" s="48" t="str"/>
      <x:c r="F311" s="48" t="str">
        <x:v>The Contractor shall set out the Works in relation to original points, lines and levels of reference specified in the Contract or notified by the Engineer.</x:v>
      </x:c>
      <x:c r="G311" s="48" t="str">
        <x:v>Obligation</x:v>
      </x:c>
      <x:c r="H311" s="48" t="str">
        <x:v>Contractor</x:v>
      </x:c>
      <x:c r="I311" s="48" t="n">
        <x:v>0.88</x:v>
      </x:c>
      <x:c r="J311" s="48" t="n">
        <x:v>0.92</x:v>
      </x:c>
      <x:c r="K311" s="48" t="str">
        <x:v>No</x:v>
      </x:c>
      <x:c r="L311" s="48" t="str">
        <x:v>PDF text</x:v>
      </x:c>
    </x:row>
    <x:row r="312">
      <x:c r="A312" s="48" t="str">
        <x:v>YELLOW-0311</x:v>
      </x:c>
      <x:c r="B312" s="48" t="str">
        <x:v>YELLOW</x:v>
      </x:c>
      <x:c r="C312" s="48" t="str">
        <x:v>English</x:v>
      </x:c>
      <x:c r="D312" s="48" t="n">
        <x:v>30</x:v>
      </x:c>
      <x:c r="E312" s="48" t="str"/>
      <x:c r="F312" s="48" t="str">
        <x:v>The Contractor shall be responsible for the correct positioning of all parts of the Works, and shall rectify any error in the positions, levels, dimensions or alignment of the Works.</x:v>
      </x:c>
      <x:c r="G312" s="48" t="str">
        <x:v>Obligation</x:v>
      </x:c>
      <x:c r="H312" s="48" t="str">
        <x:v>Contractor</x:v>
      </x:c>
      <x:c r="I312" s="48" t="n">
        <x:v>0.88</x:v>
      </x:c>
      <x:c r="J312" s="48" t="n">
        <x:v>0.92</x:v>
      </x:c>
      <x:c r="K312" s="48" t="str">
        <x:v>No</x:v>
      </x:c>
      <x:c r="L312" s="48" t="str">
        <x:v>PDF text</x:v>
      </x:c>
    </x:row>
    <x:row r="313">
      <x:c r="A313" s="48" t="str">
        <x:v>YELLOW-0312</x:v>
      </x:c>
      <x:c r="B313" s="48" t="str">
        <x:v>YELLOW</x:v>
      </x:c>
      <x:c r="C313" s="48" t="str">
        <x:v>English</x:v>
      </x:c>
      <x:c r="D313" s="48" t="n">
        <x:v>30</x:v>
      </x:c>
      <x:c r="E313" s="48" t="str"/>
      <x:c r="F313" s="48" t="str">
        <x:v>The Employer shall be responsible for any errors in these specified or notified items of reference, but the Contractor shall use reasonable efforts to verify their accuracy before they are used.</x:v>
      </x:c>
      <x:c r="G313" s="48" t="str">
        <x:v>Obligation</x:v>
      </x:c>
      <x:c r="H313" s="48" t="str">
        <x:v>Contractor</x:v>
      </x:c>
      <x:c r="I313" s="48" t="n">
        <x:v>0.88</x:v>
      </x:c>
      <x:c r="J313" s="48" t="n">
        <x:v>0.92</x:v>
      </x:c>
      <x:c r="K313" s="48" t="str">
        <x:v>No</x:v>
      </x:c>
      <x:c r="L313" s="48" t="str">
        <x:v>PDF text</x:v>
      </x:c>
    </x:row>
    <x:row r="314">
      <x:c r="A314" s="48" t="str">
        <x:v>YELLOW-0313</x:v>
      </x:c>
      <x:c r="B314" s="48" t="str">
        <x:v>YELLOW</x:v>
      </x:c>
      <x:c r="C314" s="48" t="str">
        <x:v>English</x:v>
      </x:c>
      <x:c r="D314" s="48" t="n">
        <x:v>30</x:v>
      </x:c>
      <x:c r="E314" s="48" t="str"/>
      <x:c r="F314" s="48" t="str">
        <x:v>If the Contractor suffers delay and/or incurs Cost from executing work which was</x:v>
      </x:c>
      <x:c r="G314" s="48" t="str">
        <x:v>Risk</x:v>
      </x:c>
      <x:c r="H314" s="48" t="str">
        <x:v>Contractor</x:v>
      </x:c>
      <x:c r="I314" s="48" t="n">
        <x:v>0.78</x:v>
      </x:c>
      <x:c r="J314" s="48" t="n">
        <x:v>0.68</x:v>
      </x:c>
      <x:c r="K314" s="48" t="str">
        <x:v>Yes</x:v>
      </x:c>
      <x:c r="L314" s="48" t="str">
        <x:v>PDF text</x:v>
      </x:c>
    </x:row>
    <x:row r="315">
      <x:c r="A315" s="48" t="str">
        <x:v>YELLOW-0314</x:v>
      </x:c>
      <x:c r="B315" s="48" t="str">
        <x:v>YELLOW</x:v>
      </x:c>
      <x:c r="C315" s="48" t="str">
        <x:v>English</x:v>
      </x:c>
      <x:c r="D315" s="48" t="n">
        <x:v>30</x:v>
      </x:c>
      <x:c r="E315" s="48" t="str"/>
      <x:c r="F315" s="48" t="str">
        <x:v>necessitated by an error in these items of reference, and an experienced contractor could not reasonably have discovered such error and avoided this delay and/or Cost, the Contractor shall give notice to the Engineer and shall be entitled subject to SubClause 20.1 [Contractor's Claims] to: (a) an extension of time for any such delay, if completion is or will be delayed, under Sub-Clause 8.4 [Extension of Time for Completion], and (b) payment of any such Cost plus reasonable profit, which shall be included in the Contract Price.</x:v>
      </x:c>
      <x:c r="G315" s="48" t="str">
        <x:v>Risk</x:v>
      </x:c>
      <x:c r="H315" s="48" t="str">
        <x:v>Contractor</x:v>
      </x:c>
      <x:c r="I315" s="48" t="n">
        <x:v>0.78</x:v>
      </x:c>
      <x:c r="J315" s="48" t="n">
        <x:v>0.92</x:v>
      </x:c>
      <x:c r="K315" s="48" t="str">
        <x:v>No</x:v>
      </x:c>
      <x:c r="L315" s="48" t="str">
        <x:v>PDF text</x:v>
      </x:c>
    </x:row>
    <x:row r="316">
      <x:c r="A316" s="48" t="str">
        <x:v>YELLOW-0315</x:v>
      </x:c>
      <x:c r="B316" s="48" t="str">
        <x:v>YELLOW</x:v>
      </x:c>
      <x:c r="C316" s="48" t="str">
        <x:v>English</x:v>
      </x:c>
      <x:c r="D316" s="48" t="n">
        <x:v>30</x:v>
      </x:c>
      <x:c r="E316" s="48" t="str"/>
      <x:c r="F316" s="48" t="str">
        <x:v>error could not reasonably have been discovered, and (ii) the matters described in sub-paragraphs (a) and (b) above related to this extent.</x:v>
      </x:c>
      <x:c r="G316" s="48" t="str">
        <x:v>Obligation</x:v>
      </x:c>
      <x:c r="H316" s="48" t="str">
        <x:v>Shared</x:v>
      </x:c>
      <x:c r="I316" s="48" t="n">
        <x:v>0.45</x:v>
      </x:c>
      <x:c r="J316" s="48" t="n">
        <x:v>0.4</x:v>
      </x:c>
      <x:c r="K316" s="48" t="str">
        <x:v>Yes</x:v>
      </x:c>
      <x:c r="L316" s="48" t="str">
        <x:v>PDF text</x:v>
      </x:c>
    </x:row>
    <x:row r="317">
      <x:c r="A317" s="48" t="str">
        <x:v>YELLOW-0316</x:v>
      </x:c>
      <x:c r="B317" s="48" t="str">
        <x:v>YELLOW</x:v>
      </x:c>
      <x:c r="C317" s="48" t="str">
        <x:v>English</x:v>
      </x:c>
      <x:c r="D317" s="48" t="n">
        <x:v>30</x:v>
      </x:c>
      <x:c r="E317" s="48" t="str"/>
      <x:c r="F317" s="48" t="str">
        <x:v>The Contractor shall: (a) comply with all applicable safety regulations, (b) take care for the safety of all persons entitled to be on the Site, (c) use reasonable efforts to keep the Site and Works clear of unnecessary obstruction so as to avoid danger to these persons, (d) provide fencing, lighting, guarding and watching of the Works until completion and taking over under Clause 10 [Employer's Taking Over], and 4.7</x:v>
      </x:c>
      <x:c r="G317" s="48" t="str">
        <x:v>Obligation</x:v>
      </x:c>
      <x:c r="H317" s="48" t="str">
        <x:v>Contractor</x:v>
      </x:c>
      <x:c r="I317" s="48" t="n">
        <x:v>0.88</x:v>
      </x:c>
      <x:c r="J317" s="48" t="n">
        <x:v>0.92</x:v>
      </x:c>
      <x:c r="K317" s="48" t="str">
        <x:v>No</x:v>
      </x:c>
      <x:c r="L317" s="48" t="str">
        <x:v>PDF text</x:v>
      </x:c>
    </x:row>
    <x:row r="318">
      <x:c r="A318" s="48" t="str">
        <x:v>YELLOW-0317</x:v>
      </x:c>
      <x:c r="B318" s="48" t="str">
        <x:v>YELLOW</x:v>
      </x:c>
      <x:c r="C318" s="48" t="str">
        <x:v>English</x:v>
      </x:c>
      <x:c r="D318" s="48" t="n">
        <x:v>30</x:v>
      </x:c>
      <x:c r="E318" s="48" t="str"/>
      <x:c r="F318" s="48" t="str">
        <x:v>Setting Out</x:v>
      </x:c>
      <x:c r="G318" s="48" t="str">
        <x:v>Obligation</x:v>
      </x:c>
      <x:c r="H318" s="48" t="str">
        <x:v>Shared</x:v>
      </x:c>
      <x:c r="I318" s="48" t="n">
        <x:v>0.45</x:v>
      </x:c>
      <x:c r="J318" s="48" t="n">
        <x:v>0.4</x:v>
      </x:c>
      <x:c r="K318" s="48" t="str">
        <x:v>Yes</x:v>
      </x:c>
      <x:c r="L318" s="48" t="str">
        <x:v>PDF text</x:v>
      </x:c>
    </x:row>
    <x:row r="319">
      <x:c r="A319" s="48" t="str">
        <x:v>YELLOW-0318</x:v>
      </x:c>
      <x:c r="B319" s="48" t="str">
        <x:v>YELLOW</x:v>
      </x:c>
      <x:c r="C319" s="48" t="str">
        <x:v>English</x:v>
      </x:c>
      <x:c r="D319" s="48" t="n">
        <x:v>30</x:v>
      </x:c>
      <x:c r="E319" s="48" t="str"/>
      <x:c r="F319" s="48" t="str">
        <x:v>Safety Procedures</x:v>
      </x:c>
      <x:c r="G319" s="48" t="str">
        <x:v>Obligation</x:v>
      </x:c>
      <x:c r="H319" s="48" t="str">
        <x:v>Shared</x:v>
      </x:c>
      <x:c r="I319" s="48" t="n">
        <x:v>0.45</x:v>
      </x:c>
      <x:c r="J319" s="48" t="n">
        <x:v>0.4</x:v>
      </x:c>
      <x:c r="K319" s="48" t="str">
        <x:v>Yes</x:v>
      </x:c>
      <x:c r="L319" s="48" t="str">
        <x:v>PDF text</x:v>
      </x:c>
    </x:row>
    <x:row r="320">
      <x:c r="A320" s="48" t="str">
        <x:v>YELLOW-0319</x:v>
      </x:c>
      <x:c r="B320" s="48" t="str">
        <x:v>YELLOW</x:v>
      </x:c>
      <x:c r="C320" s="48" t="str">
        <x:v>English</x:v>
      </x:c>
      <x:c r="D320" s="48" t="n">
        <x:v>31</x:v>
      </x:c>
      <x:c r="E320" s="48" t="str"/>
      <x:c r="F320" s="48" t="str">
        <x:v>(e) provide any Temporary Works (including roadways, footways, guards and fences) which may be necessary, because of the execution of the Works, for the use and protection of the public and of owners and occupiers of adjacent land.</x:v>
      </x:c>
      <x:c r="G320" s="48" t="str">
        <x:v>Right</x:v>
      </x:c>
      <x:c r="H320" s="48" t="str">
        <x:v>Shared</x:v>
      </x:c>
      <x:c r="I320" s="48" t="n">
        <x:v>0.78</x:v>
      </x:c>
      <x:c r="J320" s="48" t="n">
        <x:v>0.4</x:v>
      </x:c>
      <x:c r="K320" s="48" t="str">
        <x:v>Yes</x:v>
      </x:c>
      <x:c r="L320" s="48" t="str">
        <x:v>PDF text</x:v>
      </x:c>
    </x:row>
    <x:row r="321">
      <x:c r="A321" s="48" t="str">
        <x:v>YELLOW-0320</x:v>
      </x:c>
      <x:c r="B321" s="48" t="str">
        <x:v>YELLOW</x:v>
      </x:c>
      <x:c r="C321" s="48" t="str">
        <x:v>English</x:v>
      </x:c>
      <x:c r="D321" s="48" t="n">
        <x:v>31</x:v>
      </x:c>
      <x:c r="E321" s="48" t="str"/>
      <x:c r="F321" s="48" t="str">
        <x:v>The Contractor shall institute a quality assurance system to demonstrate compliance with the requirements of the Contract.</x:v>
      </x:c>
      <x:c r="G321" s="48" t="str">
        <x:v>Obligation</x:v>
      </x:c>
      <x:c r="H321" s="48" t="str">
        <x:v>Contractor</x:v>
      </x:c>
      <x:c r="I321" s="48" t="n">
        <x:v>0.88</x:v>
      </x:c>
      <x:c r="J321" s="48" t="n">
        <x:v>0.92</x:v>
      </x:c>
      <x:c r="K321" s="48" t="str">
        <x:v>No</x:v>
      </x:c>
      <x:c r="L321" s="48" t="str">
        <x:v>PDF text</x:v>
      </x:c>
    </x:row>
    <x:row r="322">
      <x:c r="A322" s="48" t="str">
        <x:v>YELLOW-0321</x:v>
      </x:c>
      <x:c r="B322" s="48" t="str">
        <x:v>YELLOW</x:v>
      </x:c>
      <x:c r="C322" s="48" t="str">
        <x:v>English</x:v>
      </x:c>
      <x:c r="D322" s="48" t="n">
        <x:v>31</x:v>
      </x:c>
      <x:c r="E322" s="48" t="str"/>
      <x:c r="F322" s="48" t="str">
        <x:v>The system shall be in accordance with the details stated in the Contract.</x:v>
      </x:c>
      <x:c r="G322" s="48" t="str">
        <x:v>Obligation</x:v>
      </x:c>
      <x:c r="H322" s="48" t="str">
        <x:v>Shared</x:v>
      </x:c>
      <x:c r="I322" s="48" t="n">
        <x:v>0.88</x:v>
      </x:c>
      <x:c r="J322" s="48" t="n">
        <x:v>0.4</x:v>
      </x:c>
      <x:c r="K322" s="48" t="str">
        <x:v>Yes</x:v>
      </x:c>
      <x:c r="L322" s="48" t="str">
        <x:v>PDF text</x:v>
      </x:c>
    </x:row>
    <x:row r="323">
      <x:c r="A323" s="48" t="str">
        <x:v>YELLOW-0322</x:v>
      </x:c>
      <x:c r="B323" s="48" t="str">
        <x:v>YELLOW</x:v>
      </x:c>
      <x:c r="C323" s="48" t="str">
        <x:v>English</x:v>
      </x:c>
      <x:c r="D323" s="48" t="n">
        <x:v>31</x:v>
      </x:c>
      <x:c r="E323" s="48" t="str"/>
      <x:c r="F323" s="48" t="str">
        <x:v>The Engineer shall be entitled to audit any aspect of the system.</x:v>
      </x:c>
      <x:c r="G323" s="48" t="str">
        <x:v>Obligation</x:v>
      </x:c>
      <x:c r="H323" s="48" t="str">
        <x:v>Shared</x:v>
      </x:c>
      <x:c r="I323" s="48" t="n">
        <x:v>0.88</x:v>
      </x:c>
      <x:c r="J323" s="48" t="n">
        <x:v>0.4</x:v>
      </x:c>
      <x:c r="K323" s="48" t="str">
        <x:v>Yes</x:v>
      </x:c>
      <x:c r="L323" s="48" t="str">
        <x:v>PDF text</x:v>
      </x:c>
    </x:row>
    <x:row r="324">
      <x:c r="A324" s="48" t="str">
        <x:v>YELLOW-0323</x:v>
      </x:c>
      <x:c r="B324" s="48" t="str">
        <x:v>YELLOW</x:v>
      </x:c>
      <x:c r="C324" s="48" t="str">
        <x:v>English</x:v>
      </x:c>
      <x:c r="D324" s="48" t="n">
        <x:v>31</x:v>
      </x:c>
      <x:c r="E324" s="48" t="str"/>
      <x:c r="F324" s="48" t="str">
        <x:v>Details of all procedures and compliance documents shall be submitted to the</x:v>
      </x:c>
      <x:c r="G324" s="48" t="str">
        <x:v>Obligation</x:v>
      </x:c>
      <x:c r="H324" s="48" t="str">
        <x:v>Shared</x:v>
      </x:c>
      <x:c r="I324" s="48" t="n">
        <x:v>0.88</x:v>
      </x:c>
      <x:c r="J324" s="48" t="n">
        <x:v>0.4</x:v>
      </x:c>
      <x:c r="K324" s="48" t="str">
        <x:v>Yes</x:v>
      </x:c>
      <x:c r="L324" s="48" t="str">
        <x:v>PDF text</x:v>
      </x:c>
    </x:row>
    <x:row r="325">
      <x:c r="A325" s="48" t="str">
        <x:v>YELLOW-0324</x:v>
      </x:c>
      <x:c r="B325" s="48" t="str">
        <x:v>YELLOW</x:v>
      </x:c>
      <x:c r="C325" s="48" t="str">
        <x:v>English</x:v>
      </x:c>
      <x:c r="D325" s="48" t="n">
        <x:v>31</x:v>
      </x:c>
      <x:c r="E325" s="48" t="str"/>
      <x:c r="F325" s="48" t="str">
        <x:v>Engineer for information before each design and execution stage is commenced.</x:v>
      </x:c>
      <x:c r="G325" s="48" t="str">
        <x:v>Obligation</x:v>
      </x:c>
      <x:c r="H325" s="48" t="str">
        <x:v>Shared</x:v>
      </x:c>
      <x:c r="I325" s="48" t="n">
        <x:v>0.45</x:v>
      </x:c>
      <x:c r="J325" s="48" t="n">
        <x:v>0.4</x:v>
      </x:c>
      <x:c r="K325" s="48" t="str">
        <x:v>Yes</x:v>
      </x:c>
      <x:c r="L325" s="48" t="str">
        <x:v>PDF text</x:v>
      </x:c>
    </x:row>
    <x:row r="326">
      <x:c r="A326" s="48" t="str">
        <x:v>YELLOW-0325</x:v>
      </x:c>
      <x:c r="B326" s="48" t="str">
        <x:v>YELLOW</x:v>
      </x:c>
      <x:c r="C326" s="48" t="str">
        <x:v>English</x:v>
      </x:c>
      <x:c r="D326" s="48" t="n">
        <x:v>31</x:v>
      </x:c>
      <x:c r="E326" s="48" t="str"/>
      <x:c r="F326" s="48" t="str">
        <x:v>When any document of a technical nature is issued to the Engineer, evidence of the prior approval by the Contractor himself shall be apparent on the document itself.</x:v>
      </x:c>
      <x:c r="G326" s="48" t="str">
        <x:v>Obligation</x:v>
      </x:c>
      <x:c r="H326" s="48" t="str">
        <x:v>Contractor</x:v>
      </x:c>
      <x:c r="I326" s="48" t="n">
        <x:v>0.88</x:v>
      </x:c>
      <x:c r="J326" s="48" t="n">
        <x:v>0.68</x:v>
      </x:c>
      <x:c r="K326" s="48" t="str">
        <x:v>Yes</x:v>
      </x:c>
      <x:c r="L326" s="48" t="str">
        <x:v>PDF text</x:v>
      </x:c>
    </x:row>
    <x:row r="327">
      <x:c r="A327" s="48" t="str">
        <x:v>YELLOW-0326</x:v>
      </x:c>
      <x:c r="B327" s="48" t="str">
        <x:v>YELLOW</x:v>
      </x:c>
      <x:c r="C327" s="48" t="str">
        <x:v>English</x:v>
      </x:c>
      <x:c r="D327" s="48" t="n">
        <x:v>31</x:v>
      </x:c>
      <x:c r="E327" s="48" t="str"/>
      <x:c r="F327" s="48" t="str">
        <x:v>Compliance with the quality assurance system shall not relieve the Contractor of any of his duties, obligations or responsibilities under the Contract.</x:v>
      </x:c>
      <x:c r="G327" s="48" t="str">
        <x:v>Obligation</x:v>
      </x:c>
      <x:c r="H327" s="48" t="str">
        <x:v>Contractor</x:v>
      </x:c>
      <x:c r="I327" s="48" t="n">
        <x:v>0.88</x:v>
      </x:c>
      <x:c r="J327" s="48" t="n">
        <x:v>0.68</x:v>
      </x:c>
      <x:c r="K327" s="48" t="str">
        <x:v>Yes</x:v>
      </x:c>
      <x:c r="L327" s="48" t="str">
        <x:v>PDF text</x:v>
      </x:c>
    </x:row>
    <x:row r="328">
      <x:c r="A328" s="48" t="str">
        <x:v>YELLOW-0327</x:v>
      </x:c>
      <x:c r="B328" s="48" t="str">
        <x:v>YELLOW</x:v>
      </x:c>
      <x:c r="C328" s="48" t="str">
        <x:v>English</x:v>
      </x:c>
      <x:c r="D328" s="48" t="n">
        <x:v>31</x:v>
      </x:c>
      <x:c r="E328" s="48" t="str"/>
      <x:c r="F328" s="48" t="str">
        <x:v>The Employer shall have made available to the Contractor for his information, prior to the Base Date, all relevant data in the Employer's possession on sub-surface and hydrological conditions at the Site, including environmental aspects.</x:v>
      </x:c>
      <x:c r="G328" s="48" t="str">
        <x:v>Obligation</x:v>
      </x:c>
      <x:c r="H328" s="48" t="str">
        <x:v>Employer</x:v>
      </x:c>
      <x:c r="I328" s="48" t="n">
        <x:v>0.88</x:v>
      </x:c>
      <x:c r="J328" s="48" t="n">
        <x:v>0.92</x:v>
      </x:c>
      <x:c r="K328" s="48" t="str">
        <x:v>No</x:v>
      </x:c>
      <x:c r="L328" s="48" t="str">
        <x:v>PDF text</x:v>
      </x:c>
    </x:row>
    <x:row r="329">
      <x:c r="A329" s="48" t="str">
        <x:v>YELLOW-0328</x:v>
      </x:c>
      <x:c r="B329" s="48" t="str">
        <x:v>YELLOW</x:v>
      </x:c>
      <x:c r="C329" s="48" t="str">
        <x:v>English</x:v>
      </x:c>
      <x:c r="D329" s="48" t="n">
        <x:v>31</x:v>
      </x:c>
      <x:c r="E329" s="48" t="str"/>
      <x:c r="F329" s="48" t="str">
        <x:v>The Employer shall similarly make available to the Contractor all such data which come into the Employer's possession after the Base Date.</x:v>
      </x:c>
      <x:c r="G329" s="48" t="str">
        <x:v>Obligation</x:v>
      </x:c>
      <x:c r="H329" s="48" t="str">
        <x:v>Employer</x:v>
      </x:c>
      <x:c r="I329" s="48" t="n">
        <x:v>0.88</x:v>
      </x:c>
      <x:c r="J329" s="48" t="n">
        <x:v>0.92</x:v>
      </x:c>
      <x:c r="K329" s="48" t="str">
        <x:v>No</x:v>
      </x:c>
      <x:c r="L329" s="48" t="str">
        <x:v>PDF text</x:v>
      </x:c>
    </x:row>
    <x:row r="330">
      <x:c r="A330" s="48" t="str">
        <x:v>YELLOW-0329</x:v>
      </x:c>
      <x:c r="B330" s="48" t="str">
        <x:v>YELLOW</x:v>
      </x:c>
      <x:c r="C330" s="48" t="str">
        <x:v>English</x:v>
      </x:c>
      <x:c r="D330" s="48" t="n">
        <x:v>31</x:v>
      </x:c>
      <x:c r="E330" s="48" t="str"/>
      <x:c r="F330" s="48" t="str">
        <x:v>The Contractor shall be responsible for interpreting all such data.</x:v>
      </x:c>
      <x:c r="G330" s="48" t="str">
        <x:v>Obligation</x:v>
      </x:c>
      <x:c r="H330" s="48" t="str">
        <x:v>Contractor</x:v>
      </x:c>
      <x:c r="I330" s="48" t="n">
        <x:v>0.88</x:v>
      </x:c>
      <x:c r="J330" s="48" t="n">
        <x:v>0.92</x:v>
      </x:c>
      <x:c r="K330" s="48" t="str">
        <x:v>No</x:v>
      </x:c>
      <x:c r="L330" s="48" t="str">
        <x:v>PDF text</x:v>
      </x:c>
    </x:row>
    <x:row r="331">
      <x:c r="A331" s="48" t="str">
        <x:v>YELLOW-0330</x:v>
      </x:c>
      <x:c r="B331" s="48" t="str">
        <x:v>YELLOW</x:v>
      </x:c>
      <x:c r="C331" s="48" t="str">
        <x:v>English</x:v>
      </x:c>
      <x:c r="D331" s="48" t="n">
        <x:v>31</x:v>
      </x:c>
      <x:c r="E331" s="48" t="str"/>
      <x:c r="F331" s="48" t="str">
        <x:v>To the extent which was practicable (taking account of cost and time), the Contractor shall be deemed to have obtained all necessary information as to risks, contingencies and other circumstances which may influence or affect the Tender or Works.</x:v>
      </x:c>
      <x:c r="G331" s="48" t="str">
        <x:v>Obligation</x:v>
      </x:c>
      <x:c r="H331" s="48" t="str">
        <x:v>Contractor</x:v>
      </x:c>
      <x:c r="I331" s="48" t="n">
        <x:v>0.88</x:v>
      </x:c>
      <x:c r="J331" s="48" t="n">
        <x:v>0.92</x:v>
      </x:c>
      <x:c r="K331" s="48" t="str">
        <x:v>No</x:v>
      </x:c>
      <x:c r="L331" s="48" t="str">
        <x:v>PDF text</x:v>
      </x:c>
    </x:row>
    <x:row r="332">
      <x:c r="A332" s="48" t="str">
        <x:v>YELLOW-0331</x:v>
      </x:c>
      <x:c r="B332" s="48" t="str">
        <x:v>YELLOW</x:v>
      </x:c>
      <x:c r="C332" s="48" t="str">
        <x:v>English</x:v>
      </x:c>
      <x:c r="D332" s="48" t="n">
        <x:v>31</x:v>
      </x:c>
      <x:c r="E332" s="48" t="str"/>
      <x:c r="F332" s="48" t="str">
        <x:v>To the same extent, the Contractor shall be deemed to have inspected and examined the Site, its surroundings, the above data and other available information, and to have been satisfied before submitting the Tender as to all relevant matters, including (without limitation): (a) the form and nature of the Site, including sub-surface conditions, (b) the hydrological and climatic conditions, (c) the extent and nature of the work and Goods necessary for the execution and completion of the Works and the remedying of any defects, (d) the Laws, procedures and labour practices of the Country, and (e) the Contractor's requirements for access, accommodation, facilities, personnel, power, transport, water and other services.</x:v>
      </x:c>
      <x:c r="G332" s="48" t="str">
        <x:v>Obligation</x:v>
      </x:c>
      <x:c r="H332" s="48" t="str">
        <x:v>Contractor</x:v>
      </x:c>
      <x:c r="I332" s="48" t="n">
        <x:v>0.88</x:v>
      </x:c>
      <x:c r="J332" s="48" t="n">
        <x:v>0.92</x:v>
      </x:c>
      <x:c r="K332" s="48" t="str">
        <x:v>No</x:v>
      </x:c>
      <x:c r="L332" s="48" t="str">
        <x:v>PDF text</x:v>
      </x:c>
    </x:row>
    <x:row r="333">
      <x:c r="A333" s="48" t="str">
        <x:v>YELLOW-0332</x:v>
      </x:c>
      <x:c r="B333" s="48" t="str">
        <x:v>YELLOW</x:v>
      </x:c>
      <x:c r="C333" s="48" t="str">
        <x:v>English</x:v>
      </x:c>
      <x:c r="D333" s="48" t="n">
        <x:v>31</x:v>
      </x:c>
      <x:c r="E333" s="48" t="str"/>
      <x:c r="F333" s="48" t="str">
        <x:v>The Contractor shall be deemed to: (a) have satisfied himself as to the correctness and sufficiency of the Accepted</x:v>
      </x:c>
      <x:c r="G333" s="48" t="str">
        <x:v>Obligation</x:v>
      </x:c>
      <x:c r="H333" s="48" t="str">
        <x:v>Contractor</x:v>
      </x:c>
      <x:c r="I333" s="48" t="n">
        <x:v>0.88</x:v>
      </x:c>
      <x:c r="J333" s="48" t="n">
        <x:v>0.92</x:v>
      </x:c>
      <x:c r="K333" s="48" t="str">
        <x:v>No</x:v>
      </x:c>
      <x:c r="L333" s="48" t="str">
        <x:v>PDF text</x:v>
      </x:c>
    </x:row>
    <x:row r="334">
      <x:c r="A334" s="48" t="str">
        <x:v>YELLOW-0333</x:v>
      </x:c>
      <x:c r="B334" s="48" t="str">
        <x:v>YELLOW</x:v>
      </x:c>
      <x:c r="C334" s="48" t="str">
        <x:v>English</x:v>
      </x:c>
      <x:c r="D334" s="48" t="n">
        <x:v>31</x:v>
      </x:c>
      <x:c r="E334" s="48" t="str"/>
      <x:c r="F334" s="48" t="str">
        <x:v>Contract Amount, and</x:v>
      </x:c>
      <x:c r="G334" s="48" t="str">
        <x:v>Obligation</x:v>
      </x:c>
      <x:c r="H334" s="48" t="str">
        <x:v>Shared</x:v>
      </x:c>
      <x:c r="I334" s="48" t="n">
        <x:v>0.45</x:v>
      </x:c>
      <x:c r="J334" s="48" t="n">
        <x:v>0.4</x:v>
      </x:c>
      <x:c r="K334" s="48" t="str">
        <x:v>Yes</x:v>
      </x:c>
      <x:c r="L334" s="48" t="str">
        <x:v>PDF text</x:v>
      </x:c>
    </x:row>
    <x:row r="335">
      <x:c r="A335" s="48" t="str">
        <x:v>YELLOW-0334</x:v>
      </x:c>
      <x:c r="B335" s="48" t="str">
        <x:v>YELLOW</x:v>
      </x:c>
      <x:c r="C335" s="48" t="str">
        <x:v>English</x:v>
      </x:c>
      <x:c r="D335" s="48" t="n">
        <x:v>31</x:v>
      </x:c>
      <x:c r="E335" s="48" t="str"/>
      <x:c r="F335" s="48" t="str">
        <x:v>(b) have based the Accepted Contract Amount on the data, interpretations, necessary information, inspections, examinations and satisfaction as to all relevant matters referred to in Sub-Clause 4.10 [Site Data] and any further data relevant to the Contractor's design.</x:v>
      </x:c>
      <x:c r="G335" s="48" t="str">
        <x:v>Obligation</x:v>
      </x:c>
      <x:c r="H335" s="48" t="str">
        <x:v>Contractor</x:v>
      </x:c>
      <x:c r="I335" s="48" t="n">
        <x:v>0.45</x:v>
      </x:c>
      <x:c r="J335" s="48" t="n">
        <x:v>0.68</x:v>
      </x:c>
      <x:c r="K335" s="48" t="str">
        <x:v>Yes</x:v>
      </x:c>
      <x:c r="L335" s="48" t="str">
        <x:v>PDF text</x:v>
      </x:c>
    </x:row>
    <x:row r="336">
      <x:c r="A336" s="48" t="str">
        <x:v>YELLOW-0335</x:v>
      </x:c>
      <x:c r="B336" s="48" t="str">
        <x:v>YELLOW</x:v>
      </x:c>
      <x:c r="C336" s="48" t="str">
        <x:v>English</x:v>
      </x:c>
      <x:c r="D336" s="48" t="n">
        <x:v>31</x:v>
      </x:c>
      <x:c r="E336" s="48" t="str"/>
      <x:c r="F336" s="48" t="str">
        <x:v>Unless otherwise stated in the Contract, the Accepted Contract Amount covers all the Contractor's obligations under the Contract (including those under Provisional Sums, if any) and all things necessary for the proper design, execution and completion of the Works and the remedying of any defects.</x:v>
      </x:c>
      <x:c r="G336" s="48" t="str">
        <x:v>Obligation</x:v>
      </x:c>
      <x:c r="H336" s="48" t="str">
        <x:v>Contractor</x:v>
      </x:c>
      <x:c r="I336" s="48" t="n">
        <x:v>0.45</x:v>
      </x:c>
      <x:c r="J336" s="48" t="n">
        <x:v>0.68</x:v>
      </x:c>
      <x:c r="K336" s="48" t="str">
        <x:v>Yes</x:v>
      </x:c>
      <x:c r="L336" s="48" t="str">
        <x:v>PDF text</x:v>
      </x:c>
    </x:row>
    <x:row r="337">
      <x:c r="A337" s="48" t="str">
        <x:v>YELLOW-0336</x:v>
      </x:c>
      <x:c r="B337" s="48" t="str">
        <x:v>YELLOW</x:v>
      </x:c>
      <x:c r="C337" s="48" t="str">
        <x:v>English</x:v>
      </x:c>
      <x:c r="D337" s="48" t="n">
        <x:v>31</x:v>
      </x:c>
      <x:c r="E337" s="48" t="str"/>
      <x:c r="F337" s="48" t="str">
        <x:v>Quality Assurance</x:v>
      </x:c>
      <x:c r="G337" s="48" t="str">
        <x:v>Obligation</x:v>
      </x:c>
      <x:c r="H337" s="48" t="str">
        <x:v>Shared</x:v>
      </x:c>
      <x:c r="I337" s="48" t="n">
        <x:v>0.45</x:v>
      </x:c>
      <x:c r="J337" s="48" t="n">
        <x:v>0.4</x:v>
      </x:c>
      <x:c r="K337" s="48" t="str">
        <x:v>Yes</x:v>
      </x:c>
      <x:c r="L337" s="48" t="str">
        <x:v>PDF text</x:v>
      </x:c>
    </x:row>
    <x:row r="338">
      <x:c r="A338" s="48" t="str">
        <x:v>YELLOW-0337</x:v>
      </x:c>
      <x:c r="B338" s="48" t="str">
        <x:v>YELLOW</x:v>
      </x:c>
      <x:c r="C338" s="48" t="str">
        <x:v>English</x:v>
      </x:c>
      <x:c r="D338" s="48" t="n">
        <x:v>31</x:v>
      </x:c>
      <x:c r="E338" s="48" t="str"/>
      <x:c r="F338" s="48" t="str">
        <x:v>Site Data</x:v>
      </x:c>
      <x:c r="G338" s="48" t="str">
        <x:v>Obligation</x:v>
      </x:c>
      <x:c r="H338" s="48" t="str">
        <x:v>Shared</x:v>
      </x:c>
      <x:c r="I338" s="48" t="n">
        <x:v>0.45</x:v>
      </x:c>
      <x:c r="J338" s="48" t="n">
        <x:v>0.4</x:v>
      </x:c>
      <x:c r="K338" s="48" t="str">
        <x:v>Yes</x:v>
      </x:c>
      <x:c r="L338" s="48" t="str">
        <x:v>PDF text</x:v>
      </x:c>
    </x:row>
    <x:row r="339">
      <x:c r="A339" s="48" t="str">
        <x:v>YELLOW-0338</x:v>
      </x:c>
      <x:c r="B339" s="48" t="str">
        <x:v>YELLOW</x:v>
      </x:c>
      <x:c r="C339" s="48" t="str">
        <x:v>English</x:v>
      </x:c>
      <x:c r="D339" s="48" t="n">
        <x:v>31</x:v>
      </x:c>
      <x:c r="E339" s="48" t="str"/>
      <x:c r="F339" s="48" t="str">
        <x:v>Sufficiency of the</x:v>
      </x:c>
      <x:c r="G339" s="48" t="str">
        <x:v>Obligation</x:v>
      </x:c>
      <x:c r="H339" s="48" t="str">
        <x:v>Shared</x:v>
      </x:c>
      <x:c r="I339" s="48" t="n">
        <x:v>0.45</x:v>
      </x:c>
      <x:c r="J339" s="48" t="n">
        <x:v>0.4</x:v>
      </x:c>
      <x:c r="K339" s="48" t="str">
        <x:v>Yes</x:v>
      </x:c>
      <x:c r="L339" s="48" t="str">
        <x:v>PDF text</x:v>
      </x:c>
    </x:row>
    <x:row r="340">
      <x:c r="A340" s="48" t="str">
        <x:v>YELLOW-0339</x:v>
      </x:c>
      <x:c r="B340" s="48" t="str">
        <x:v>YELLOW</x:v>
      </x:c>
      <x:c r="C340" s="48" t="str">
        <x:v>English</x:v>
      </x:c>
      <x:c r="D340" s="48" t="n">
        <x:v>31</x:v>
      </x:c>
      <x:c r="E340" s="48" t="str"/>
      <x:c r="F340" s="48" t="str">
        <x:v>Accepted Contract</x:v>
      </x:c>
      <x:c r="G340" s="48" t="str">
        <x:v>Obligation</x:v>
      </x:c>
      <x:c r="H340" s="48" t="str">
        <x:v>Shared</x:v>
      </x:c>
      <x:c r="I340" s="48" t="n">
        <x:v>0.45</x:v>
      </x:c>
      <x:c r="J340" s="48" t="n">
        <x:v>0.4</x:v>
      </x:c>
      <x:c r="K340" s="48" t="str">
        <x:v>Yes</x:v>
      </x:c>
      <x:c r="L340" s="48" t="str">
        <x:v>PDF text</x:v>
      </x:c>
    </x:row>
    <x:row r="341">
      <x:c r="A341" s="48" t="str">
        <x:v>YELLOW-0340</x:v>
      </x:c>
      <x:c r="B341" s="48" t="str">
        <x:v>YELLOW</x:v>
      </x:c>
      <x:c r="C341" s="48" t="str">
        <x:v>English</x:v>
      </x:c>
      <x:c r="D341" s="48" t="n">
        <x:v>32</x:v>
      </x:c>
      <x:c r="E341" s="48" t="str"/>
      <x:c r="F341" s="48" t="str">
        <x:v>In this Sub-Clause, "physical conditions" means natural physical conditions and manmade and other physical obstructions and pollutants, which the Contractor encounters at the Site when executing the Works, including sub-surface and hydrological conditions but excluding climatic conditions.</x:v>
      </x:c>
      <x:c r="G341" s="48" t="str">
        <x:v>Definition</x:v>
      </x:c>
      <x:c r="H341" s="48" t="str"/>
      <x:c r="I341" s="48" t="n">
        <x:v>0.97</x:v>
      </x:c>
      <x:c r="J341" s="48" t="n">
        <x:v>0.99</x:v>
      </x:c>
      <x:c r="K341" s="48" t="str">
        <x:v>No</x:v>
      </x:c>
      <x:c r="L341" s="48" t="str">
        <x:v>PDF text</x:v>
      </x:c>
    </x:row>
    <x:row r="342">
      <x:c r="A342" s="48" t="str">
        <x:v>YELLOW-0341</x:v>
      </x:c>
      <x:c r="B342" s="48" t="str">
        <x:v>YELLOW</x:v>
      </x:c>
      <x:c r="C342" s="48" t="str">
        <x:v>English</x:v>
      </x:c>
      <x:c r="D342" s="48" t="n">
        <x:v>32</x:v>
      </x:c>
      <x:c r="E342" s="48" t="str"/>
      <x:c r="F342" s="48" t="str">
        <x:v>If the Contractor encounters adverse physical conditions which he considers to have been Unforeseeable, the Contractor shall give notice to the Engineer as soon as practicable.</x:v>
      </x:c>
      <x:c r="G342" s="48" t="str">
        <x:v>Risk</x:v>
      </x:c>
      <x:c r="H342" s="48" t="str">
        <x:v>Contractor</x:v>
      </x:c>
      <x:c r="I342" s="48" t="n">
        <x:v>0.78</x:v>
      </x:c>
      <x:c r="J342" s="48" t="n">
        <x:v>0.92</x:v>
      </x:c>
      <x:c r="K342" s="48" t="str">
        <x:v>No</x:v>
      </x:c>
      <x:c r="L342" s="48" t="str">
        <x:v>PDF text</x:v>
      </x:c>
    </x:row>
    <x:row r="343">
      <x:c r="A343" s="48" t="str">
        <x:v>YELLOW-0342</x:v>
      </x:c>
      <x:c r="B343" s="48" t="str">
        <x:v>YELLOW</x:v>
      </x:c>
      <x:c r="C343" s="48" t="str">
        <x:v>English</x:v>
      </x:c>
      <x:c r="D343" s="48" t="n">
        <x:v>32</x:v>
      </x:c>
      <x:c r="E343" s="48" t="str"/>
      <x:c r="F343" s="48" t="str">
        <x:v>This notice shall describe the physical conditions, so that they can be inspected by the Engineer, and shall set out the reasons why the Contractor considers them to be Unforeseeable.</x:v>
      </x:c>
      <x:c r="G343" s="48" t="str">
        <x:v>Obligation</x:v>
      </x:c>
      <x:c r="H343" s="48" t="str">
        <x:v>Contractor</x:v>
      </x:c>
      <x:c r="I343" s="48" t="n">
        <x:v>0.88</x:v>
      </x:c>
      <x:c r="J343" s="48" t="n">
        <x:v>0.68</x:v>
      </x:c>
      <x:c r="K343" s="48" t="str">
        <x:v>Yes</x:v>
      </x:c>
      <x:c r="L343" s="48" t="str">
        <x:v>PDF text</x:v>
      </x:c>
    </x:row>
    <x:row r="344">
      <x:c r="A344" s="48" t="str">
        <x:v>YELLOW-0343</x:v>
      </x:c>
      <x:c r="B344" s="48" t="str">
        <x:v>YELLOW</x:v>
      </x:c>
      <x:c r="C344" s="48" t="str">
        <x:v>English</x:v>
      </x:c>
      <x:c r="D344" s="48" t="n">
        <x:v>32</x:v>
      </x:c>
      <x:c r="E344" s="48" t="str"/>
      <x:c r="F344" s="48" t="str">
        <x:v>The Contractor shall continue executing the Works, using such proper and reasonable measures as are appropriate for the physical conditions, and shall comply with any instructions which the Engineer may give.</x:v>
      </x:c>
      <x:c r="G344" s="48" t="str">
        <x:v>Obligation</x:v>
      </x:c>
      <x:c r="H344" s="48" t="str">
        <x:v>Contractor</x:v>
      </x:c>
      <x:c r="I344" s="48" t="n">
        <x:v>0.88</x:v>
      </x:c>
      <x:c r="J344" s="48" t="n">
        <x:v>0.92</x:v>
      </x:c>
      <x:c r="K344" s="48" t="str">
        <x:v>No</x:v>
      </x:c>
      <x:c r="L344" s="48" t="str">
        <x:v>PDF text</x:v>
      </x:c>
    </x:row>
    <x:row r="345">
      <x:c r="A345" s="48" t="str">
        <x:v>YELLOW-0344</x:v>
      </x:c>
      <x:c r="B345" s="48" t="str">
        <x:v>YELLOW</x:v>
      </x:c>
      <x:c r="C345" s="48" t="str">
        <x:v>English</x:v>
      </x:c>
      <x:c r="D345" s="48" t="n">
        <x:v>32</x:v>
      </x:c>
      <x:c r="E345" s="48" t="str"/>
      <x:c r="F345" s="48" t="str">
        <x:v>If and to the extent that the Contractor encounters physical conditions which are</x:v>
      </x:c>
      <x:c r="G345" s="48" t="str">
        <x:v>Obligation</x:v>
      </x:c>
      <x:c r="H345" s="48" t="str">
        <x:v>Contractor</x:v>
      </x:c>
      <x:c r="I345" s="48" t="n">
        <x:v>0.45</x:v>
      </x:c>
      <x:c r="J345" s="48" t="n">
        <x:v>0.68</x:v>
      </x:c>
      <x:c r="K345" s="48" t="str">
        <x:v>Yes</x:v>
      </x:c>
      <x:c r="L345" s="48" t="str">
        <x:v>PDF text</x:v>
      </x:c>
    </x:row>
    <x:row r="346">
      <x:c r="A346" s="48" t="str">
        <x:v>YELLOW-0345</x:v>
      </x:c>
      <x:c r="B346" s="48" t="str">
        <x:v>YELLOW</x:v>
      </x:c>
      <x:c r="C346" s="48" t="str">
        <x:v>English</x:v>
      </x:c>
      <x:c r="D346" s="48" t="n">
        <x:v>32</x:v>
      </x:c>
      <x:c r="E346" s="48" t="str"/>
      <x:c r="F346" s="48" t="str">
        <x:v>Unforeseeable, gives such a notice, and suffers delay and/or incurs Cost due to these conditions, the Contractor shall be entitled subject to Sub-Clause 20.1 [Contractor's Claims] to: (a) an extension of time for any such delay, if completion is or will be delayed, under Sub-Clause 8.4 [Extension of Time for Completion], and (b) payment of any such Cost, which shall be included in the Contract Price.</x:v>
      </x:c>
      <x:c r="G346" s="48" t="str">
        <x:v>Risk</x:v>
      </x:c>
      <x:c r="H346" s="48" t="str">
        <x:v>Contractor</x:v>
      </x:c>
      <x:c r="I346" s="48" t="n">
        <x:v>0.78</x:v>
      </x:c>
      <x:c r="J346" s="48" t="n">
        <x:v>0.92</x:v>
      </x:c>
      <x:c r="K346" s="48" t="str">
        <x:v>No</x:v>
      </x:c>
      <x:c r="L346" s="48" t="str">
        <x:v>PDF text</x:v>
      </x:c>
    </x:row>
    <x:row r="347">
      <x:c r="A347" s="48" t="str">
        <x:v>YELLOW-0346</x:v>
      </x:c>
      <x:c r="B347" s="48" t="str">
        <x:v>YELLOW</x:v>
      </x:c>
      <x:c r="C347" s="48" t="str">
        <x:v>English</x:v>
      </x:c>
      <x:c r="D347" s="48" t="n">
        <x:v>32</x:v>
      </x:c>
      <x:c r="E347" s="48" t="str"/>
      <x:c r="F347" s="48" t="str">
        <x:v>After receiving such notice and inspecting and/or investigating these physical</x:v>
      </x:c>
      <x:c r="G347" s="48" t="str">
        <x:v>Obligation</x:v>
      </x:c>
      <x:c r="H347" s="48" t="str">
        <x:v>Shared</x:v>
      </x:c>
      <x:c r="I347" s="48" t="n">
        <x:v>0.55</x:v>
      </x:c>
      <x:c r="J347" s="48" t="n">
        <x:v>0.4</x:v>
      </x:c>
      <x:c r="K347" s="48" t="str">
        <x:v>Yes</x:v>
      </x:c>
      <x:c r="L347" s="48" t="str">
        <x:v>PDF text</x:v>
      </x:c>
    </x:row>
    <x:row r="348">
      <x:c r="A348" s="48" t="str">
        <x:v>YELLOW-0347</x:v>
      </x:c>
      <x:c r="B348" s="48" t="str">
        <x:v>YELLOW</x:v>
      </x:c>
      <x:c r="C348" s="48" t="str">
        <x:v>English</x:v>
      </x:c>
      <x:c r="D348" s="48" t="n">
        <x:v>32</x:v>
      </x:c>
      <x:c r="E348" s="48" t="str"/>
      <x:c r="F348" s="48" t="str">
        <x:v>conditions, the Engineer shall proceed in accordance with Sub-Clause 3.5 [Determinations] to agree or determine (i) whether and (if so) to what extent these physical conditions were Unforeseeable, and (ii) the matters described in subparagraphs (a) and (b) above related to this extent.</x:v>
      </x:c>
      <x:c r="G348" s="48" t="str">
        <x:v>Risk</x:v>
      </x:c>
      <x:c r="H348" s="48" t="str">
        <x:v>Shared</x:v>
      </x:c>
      <x:c r="I348" s="48" t="n">
        <x:v>0.78</x:v>
      </x:c>
      <x:c r="J348" s="48" t="n">
        <x:v>0.4</x:v>
      </x:c>
      <x:c r="K348" s="48" t="str">
        <x:v>Yes</x:v>
      </x:c>
      <x:c r="L348" s="48" t="str">
        <x:v>PDF text</x:v>
      </x:c>
    </x:row>
    <x:row r="349">
      <x:c r="A349" s="48" t="str">
        <x:v>YELLOW-0348</x:v>
      </x:c>
      <x:c r="B349" s="48" t="str">
        <x:v>YELLOW</x:v>
      </x:c>
      <x:c r="C349" s="48" t="str">
        <x:v>English</x:v>
      </x:c>
      <x:c r="D349" s="48" t="n">
        <x:v>32</x:v>
      </x:c>
      <x:c r="E349" s="48" t="str"/>
      <x:c r="F349" s="48" t="str">
        <x:v>However, before additional Cost is finally agreed or determined under sub-paragraph (ii), the Engineer may also review whether other physical conditions in similar parts of the</x:v>
      </x:c>
      <x:c r="G349" s="48" t="str">
        <x:v>Right</x:v>
      </x:c>
      <x:c r="H349" s="48" t="str">
        <x:v>Shared</x:v>
      </x:c>
      <x:c r="I349" s="48" t="n">
        <x:v>0.78</x:v>
      </x:c>
      <x:c r="J349" s="48" t="n">
        <x:v>0.4</x:v>
      </x:c>
      <x:c r="K349" s="48" t="str">
        <x:v>Yes</x:v>
      </x:c>
      <x:c r="L349" s="48" t="str">
        <x:v>PDF text</x:v>
      </x:c>
    </x:row>
    <x:row r="350">
      <x:c r="A350" s="48" t="str">
        <x:v>YELLOW-0349</x:v>
      </x:c>
      <x:c r="B350" s="48" t="str">
        <x:v>YELLOW</x:v>
      </x:c>
      <x:c r="C350" s="48" t="str">
        <x:v>English</x:v>
      </x:c>
      <x:c r="D350" s="48" t="n">
        <x:v>32</x:v>
      </x:c>
      <x:c r="E350" s="48" t="str"/>
      <x:c r="F350" s="48" t="str">
        <x:v>Works (if any) were more favourable than could reasonably have been foreseen when</x:v>
      </x:c>
      <x:c r="G350" s="48" t="str">
        <x:v>Obligation</x:v>
      </x:c>
      <x:c r="H350" s="48" t="str">
        <x:v>Shared</x:v>
      </x:c>
      <x:c r="I350" s="48" t="n">
        <x:v>0.45</x:v>
      </x:c>
      <x:c r="J350" s="48" t="n">
        <x:v>0.4</x:v>
      </x:c>
      <x:c r="K350" s="48" t="str">
        <x:v>Yes</x:v>
      </x:c>
      <x:c r="L350" s="48" t="str">
        <x:v>PDF text</x:v>
      </x:c>
    </x:row>
    <x:row r="351">
      <x:c r="A351" s="48" t="str">
        <x:v>YELLOW-0350</x:v>
      </x:c>
      <x:c r="B351" s="48" t="str">
        <x:v>YELLOW</x:v>
      </x:c>
      <x:c r="C351" s="48" t="str">
        <x:v>English</x:v>
      </x:c>
      <x:c r="D351" s="48" t="n">
        <x:v>32</x:v>
      </x:c>
      <x:c r="E351" s="48" t="str"/>
      <x:c r="F351" s="48" t="str">
        <x:v>the Contractor submitted the Tender.</x:v>
      </x:c>
      <x:c r="G351" s="48" t="str">
        <x:v>Obligation</x:v>
      </x:c>
      <x:c r="H351" s="48" t="str">
        <x:v>Contractor</x:v>
      </x:c>
      <x:c r="I351" s="48" t="n">
        <x:v>0.45</x:v>
      </x:c>
      <x:c r="J351" s="48" t="n">
        <x:v>0.68</x:v>
      </x:c>
      <x:c r="K351" s="48" t="str">
        <x:v>Yes</x:v>
      </x:c>
      <x:c r="L351" s="48" t="str">
        <x:v>PDF text</x:v>
      </x:c>
    </x:row>
    <x:row r="352">
      <x:c r="A352" s="48" t="str">
        <x:v>YELLOW-0351</x:v>
      </x:c>
      <x:c r="B352" s="48" t="str">
        <x:v>YELLOW</x:v>
      </x:c>
      <x:c r="C352" s="48" t="str">
        <x:v>English</x:v>
      </x:c>
      <x:c r="D352" s="48" t="n">
        <x:v>32</x:v>
      </x:c>
      <x:c r="E352" s="48" t="str"/>
      <x:c r="F352" s="48" t="str">
        <x:v>If and to the extent that these more favourable conditions were encountered, the Engineer may proceed in accordance with SubClause 3.5 [Determinations] to agree or determine the reductions in Cost which were due to these conditions, which may be included (as deductions) in the Contract Price and Payment Certificates.</x:v>
      </x:c>
      <x:c r="G352" s="48" t="str">
        <x:v>Right</x:v>
      </x:c>
      <x:c r="H352" s="48" t="str">
        <x:v>Shared</x:v>
      </x:c>
      <x:c r="I352" s="48" t="n">
        <x:v>0.78</x:v>
      </x:c>
      <x:c r="J352" s="48" t="n">
        <x:v>0.4</x:v>
      </x:c>
      <x:c r="K352" s="48" t="str">
        <x:v>Yes</x:v>
      </x:c>
      <x:c r="L352" s="48" t="str">
        <x:v>PDF text</x:v>
      </x:c>
    </x:row>
    <x:row r="353">
      <x:c r="A353" s="48" t="str">
        <x:v>YELLOW-0352</x:v>
      </x:c>
      <x:c r="B353" s="48" t="str">
        <x:v>YELLOW</x:v>
      </x:c>
      <x:c r="C353" s="48" t="str">
        <x:v>English</x:v>
      </x:c>
      <x:c r="D353" s="48" t="n">
        <x:v>32</x:v>
      </x:c>
      <x:c r="E353" s="48" t="str"/>
      <x:c r="F353" s="48" t="str">
        <x:v>However, the net effect of all adjustments under subparagraph (b) and all these reductions, for all the physical conditions encountered in similar parts of the Works, shall not result in a net reduction in the Contract Price.</x:v>
      </x:c>
      <x:c r="G353" s="48" t="str">
        <x:v>Obligation</x:v>
      </x:c>
      <x:c r="H353" s="48" t="str">
        <x:v>Shared</x:v>
      </x:c>
      <x:c r="I353" s="48" t="n">
        <x:v>0.88</x:v>
      </x:c>
      <x:c r="J353" s="48" t="n">
        <x:v>0.4</x:v>
      </x:c>
      <x:c r="K353" s="48" t="str">
        <x:v>Yes</x:v>
      </x:c>
      <x:c r="L353" s="48" t="str">
        <x:v>PDF text</x:v>
      </x:c>
    </x:row>
    <x:row r="354">
      <x:c r="A354" s="48" t="str">
        <x:v>YELLOW-0353</x:v>
      </x:c>
      <x:c r="B354" s="48" t="str">
        <x:v>YELLOW</x:v>
      </x:c>
      <x:c r="C354" s="48" t="str">
        <x:v>English</x:v>
      </x:c>
      <x:c r="D354" s="48" t="n">
        <x:v>32</x:v>
      </x:c>
      <x:c r="E354" s="48" t="str"/>
      <x:c r="F354" s="48" t="str">
        <x:v>The Engineer may take account of any evidence of the physical conditions foreseen</x:v>
      </x:c>
      <x:c r="G354" s="48" t="str">
        <x:v>Right</x:v>
      </x:c>
      <x:c r="H354" s="48" t="str">
        <x:v>Shared</x:v>
      </x:c>
      <x:c r="I354" s="48" t="n">
        <x:v>0.78</x:v>
      </x:c>
      <x:c r="J354" s="48" t="n">
        <x:v>0.4</x:v>
      </x:c>
      <x:c r="K354" s="48" t="str">
        <x:v>Yes</x:v>
      </x:c>
      <x:c r="L354" s="48" t="str">
        <x:v>PDF text</x:v>
      </x:c>
    </x:row>
    <x:row r="355">
      <x:c r="A355" s="48" t="str">
        <x:v>YELLOW-0354</x:v>
      </x:c>
      <x:c r="B355" s="48" t="str">
        <x:v>YELLOW</x:v>
      </x:c>
      <x:c r="C355" s="48" t="str">
        <x:v>English</x:v>
      </x:c>
      <x:c r="D355" s="48" t="n">
        <x:v>32</x:v>
      </x:c>
      <x:c r="E355" s="48" t="str"/>
      <x:c r="F355" s="48" t="str">
        <x:v>by the Contractor when submitting the Tender, which may be made available by the Contractor, but shall not be bound by any such evidence.</x:v>
      </x:c>
      <x:c r="G355" s="48" t="str">
        <x:v>Obligation</x:v>
      </x:c>
      <x:c r="H355" s="48" t="str">
        <x:v>Contractor</x:v>
      </x:c>
      <x:c r="I355" s="48" t="n">
        <x:v>0.88</x:v>
      </x:c>
      <x:c r="J355" s="48" t="n">
        <x:v>0.68</x:v>
      </x:c>
      <x:c r="K355" s="48" t="str">
        <x:v>Yes</x:v>
      </x:c>
      <x:c r="L355" s="48" t="str">
        <x:v>PDF text</x:v>
      </x:c>
    </x:row>
    <x:row r="356">
      <x:c r="A356" s="48" t="str">
        <x:v>YELLOW-0355</x:v>
      </x:c>
      <x:c r="B356" s="48" t="str">
        <x:v>YELLOW</x:v>
      </x:c>
      <x:c r="C356" s="48" t="str">
        <x:v>English</x:v>
      </x:c>
      <x:c r="D356" s="48" t="n">
        <x:v>32</x:v>
      </x:c>
      <x:c r="E356" s="48" t="str"/>
      <x:c r="F356" s="48" t="str">
        <x:v>The Contractor shall bear all costs and charges for special and/or temporary rightsof-way which he may require, including those for access to the Site.</x:v>
      </x:c>
      <x:c r="G356" s="48" t="str">
        <x:v>Obligation</x:v>
      </x:c>
      <x:c r="H356" s="48" t="str">
        <x:v>Contractor</x:v>
      </x:c>
      <x:c r="I356" s="48" t="n">
        <x:v>0.88</x:v>
      </x:c>
      <x:c r="J356" s="48" t="n">
        <x:v>0.92</x:v>
      </x:c>
      <x:c r="K356" s="48" t="str">
        <x:v>No</x:v>
      </x:c>
      <x:c r="L356" s="48" t="str">
        <x:v>PDF text</x:v>
      </x:c>
    </x:row>
    <x:row r="357">
      <x:c r="A357" s="48" t="str">
        <x:v>YELLOW-0356</x:v>
      </x:c>
      <x:c r="B357" s="48" t="str">
        <x:v>YELLOW</x:v>
      </x:c>
      <x:c r="C357" s="48" t="str">
        <x:v>English</x:v>
      </x:c>
      <x:c r="D357" s="48" t="n">
        <x:v>32</x:v>
      </x:c>
      <x:c r="E357" s="48" t="str"/>
      <x:c r="F357" s="48" t="str">
        <x:v>The Contractor shall also obtain, at his risk and cost, any additional facilities outside the Site which he may require for the purposes of the Works.</x:v>
      </x:c>
      <x:c r="G357" s="48" t="str">
        <x:v>Risk</x:v>
      </x:c>
      <x:c r="H357" s="48" t="str">
        <x:v>Contractor</x:v>
      </x:c>
      <x:c r="I357" s="48" t="n">
        <x:v>0.78</x:v>
      </x:c>
      <x:c r="J357" s="48" t="n">
        <x:v>0.92</x:v>
      </x:c>
      <x:c r="K357" s="48" t="str">
        <x:v>No</x:v>
      </x:c>
      <x:c r="L357" s="48" t="str">
        <x:v>PDF text</x:v>
      </x:c>
    </x:row>
    <x:row r="358">
      <x:c r="A358" s="48" t="str">
        <x:v>YELLOW-0357</x:v>
      </x:c>
      <x:c r="B358" s="48" t="str">
        <x:v>YELLOW</x:v>
      </x:c>
      <x:c r="C358" s="48" t="str">
        <x:v>English</x:v>
      </x:c>
      <x:c r="D358" s="48" t="n">
        <x:v>32</x:v>
      </x:c>
      <x:c r="E358" s="48" t="str"/>
      <x:c r="F358" s="48" t="str">
        <x:v>The Contractor shall not interfere unnecessarily or improperly with: (a) the convenience of the public, or 4.12</x:v>
      </x:c>
      <x:c r="G358" s="48" t="str">
        <x:v>Obligation</x:v>
      </x:c>
      <x:c r="H358" s="48" t="str">
        <x:v>Contractor</x:v>
      </x:c>
      <x:c r="I358" s="48" t="n">
        <x:v>0.88</x:v>
      </x:c>
      <x:c r="J358" s="48" t="n">
        <x:v>0.92</x:v>
      </x:c>
      <x:c r="K358" s="48" t="str">
        <x:v>No</x:v>
      </x:c>
      <x:c r="L358" s="48" t="str">
        <x:v>PDF text</x:v>
      </x:c>
    </x:row>
    <x:row r="359">
      <x:c r="A359" s="48" t="str">
        <x:v>YELLOW-0358</x:v>
      </x:c>
      <x:c r="B359" s="48" t="str">
        <x:v>YELLOW</x:v>
      </x:c>
      <x:c r="C359" s="48" t="str">
        <x:v>English</x:v>
      </x:c>
      <x:c r="D359" s="48" t="n">
        <x:v>32</x:v>
      </x:c>
      <x:c r="E359" s="48" t="str"/>
      <x:c r="F359" s="48" t="str">
        <x:v>Unforeseeable Physical</x:v>
      </x:c>
      <x:c r="G359" s="48" t="str">
        <x:v>Obligation</x:v>
      </x:c>
      <x:c r="H359" s="48" t="str">
        <x:v>Shared</x:v>
      </x:c>
      <x:c r="I359" s="48" t="n">
        <x:v>0.45</x:v>
      </x:c>
      <x:c r="J359" s="48" t="n">
        <x:v>0.4</x:v>
      </x:c>
      <x:c r="K359" s="48" t="str">
        <x:v>Yes</x:v>
      </x:c>
      <x:c r="L359" s="48" t="str">
        <x:v>PDF text</x:v>
      </x:c>
    </x:row>
    <x:row r="360">
      <x:c r="A360" s="48" t="str">
        <x:v>YELLOW-0359</x:v>
      </x:c>
      <x:c r="B360" s="48" t="str">
        <x:v>YELLOW</x:v>
      </x:c>
      <x:c r="C360" s="48" t="str">
        <x:v>English</x:v>
      </x:c>
      <x:c r="D360" s="48" t="n">
        <x:v>32</x:v>
      </x:c>
      <x:c r="E360" s="48" t="str"/>
      <x:c r="F360" s="48" t="str">
        <x:v>Conditions</x:v>
      </x:c>
      <x:c r="G360" s="48" t="str">
        <x:v>Obligation</x:v>
      </x:c>
      <x:c r="H360" s="48" t="str">
        <x:v>Shared</x:v>
      </x:c>
      <x:c r="I360" s="48" t="n">
        <x:v>0.45</x:v>
      </x:c>
      <x:c r="J360" s="48" t="n">
        <x:v>0.4</x:v>
      </x:c>
      <x:c r="K360" s="48" t="str">
        <x:v>Yes</x:v>
      </x:c>
      <x:c r="L360" s="48" t="str">
        <x:v>PDF text</x:v>
      </x:c>
    </x:row>
    <x:row r="361">
      <x:c r="A361" s="48" t="str">
        <x:v>YELLOW-0360</x:v>
      </x:c>
      <x:c r="B361" s="48" t="str">
        <x:v>YELLOW</x:v>
      </x:c>
      <x:c r="C361" s="48" t="str">
        <x:v>English</x:v>
      </x:c>
      <x:c r="D361" s="48" t="n">
        <x:v>32</x:v>
      </x:c>
      <x:c r="E361" s="48" t="str"/>
      <x:c r="F361" s="48" t="str">
        <x:v>Rights of Way and</x:v>
      </x:c>
      <x:c r="G361" s="48" t="str">
        <x:v>Obligation</x:v>
      </x:c>
      <x:c r="H361" s="48" t="str">
        <x:v>Shared</x:v>
      </x:c>
      <x:c r="I361" s="48" t="n">
        <x:v>0.45</x:v>
      </x:c>
      <x:c r="J361" s="48" t="n">
        <x:v>0.4</x:v>
      </x:c>
      <x:c r="K361" s="48" t="str">
        <x:v>Yes</x:v>
      </x:c>
      <x:c r="L361" s="48" t="str">
        <x:v>PDF text</x:v>
      </x:c>
    </x:row>
    <x:row r="362">
      <x:c r="A362" s="48" t="str">
        <x:v>YELLOW-0361</x:v>
      </x:c>
      <x:c r="B362" s="48" t="str">
        <x:v>YELLOW</x:v>
      </x:c>
      <x:c r="C362" s="48" t="str">
        <x:v>English</x:v>
      </x:c>
      <x:c r="D362" s="48" t="n">
        <x:v>32</x:v>
      </x:c>
      <x:c r="E362" s="48" t="str"/>
      <x:c r="F362" s="48" t="str">
        <x:v>Facilities</x:v>
      </x:c>
      <x:c r="G362" s="48" t="str">
        <x:v>Obligation</x:v>
      </x:c>
      <x:c r="H362" s="48" t="str">
        <x:v>Shared</x:v>
      </x:c>
      <x:c r="I362" s="48" t="n">
        <x:v>0.45</x:v>
      </x:c>
      <x:c r="J362" s="48" t="n">
        <x:v>0.4</x:v>
      </x:c>
      <x:c r="K362" s="48" t="str">
        <x:v>Yes</x:v>
      </x:c>
      <x:c r="L362" s="48" t="str">
        <x:v>PDF text</x:v>
      </x:c>
    </x:row>
    <x:row r="363">
      <x:c r="A363" s="48" t="str">
        <x:v>YELLOW-0362</x:v>
      </x:c>
      <x:c r="B363" s="48" t="str">
        <x:v>YELLOW</x:v>
      </x:c>
      <x:c r="C363" s="48" t="str">
        <x:v>English</x:v>
      </x:c>
      <x:c r="D363" s="48" t="n">
        <x:v>32</x:v>
      </x:c>
      <x:c r="E363" s="48" t="str"/>
      <x:c r="F363" s="48" t="str">
        <x:v>Avoidance of</x:v>
      </x:c>
      <x:c r="G363" s="48" t="str">
        <x:v>Obligation</x:v>
      </x:c>
      <x:c r="H363" s="48" t="str">
        <x:v>Shared</x:v>
      </x:c>
      <x:c r="I363" s="48" t="n">
        <x:v>0.45</x:v>
      </x:c>
      <x:c r="J363" s="48" t="n">
        <x:v>0.4</x:v>
      </x:c>
      <x:c r="K363" s="48" t="str">
        <x:v>Yes</x:v>
      </x:c>
      <x:c r="L363" s="48" t="str">
        <x:v>PDF text</x:v>
      </x:c>
    </x:row>
    <x:row r="364">
      <x:c r="A364" s="48" t="str">
        <x:v>YELLOW-0363</x:v>
      </x:c>
      <x:c r="B364" s="48" t="str">
        <x:v>YELLOW</x:v>
      </x:c>
      <x:c r="C364" s="48" t="str">
        <x:v>English</x:v>
      </x:c>
      <x:c r="D364" s="48" t="n">
        <x:v>32</x:v>
      </x:c>
      <x:c r="E364" s="48" t="str"/>
      <x:c r="F364" s="48" t="str">
        <x:v>Interference</x:v>
      </x:c>
      <x:c r="G364" s="48" t="str">
        <x:v>Obligation</x:v>
      </x:c>
      <x:c r="H364" s="48" t="str">
        <x:v>Shared</x:v>
      </x:c>
      <x:c r="I364" s="48" t="n">
        <x:v>0.45</x:v>
      </x:c>
      <x:c r="J364" s="48" t="n">
        <x:v>0.4</x:v>
      </x:c>
      <x:c r="K364" s="48" t="str">
        <x:v>Yes</x:v>
      </x:c>
      <x:c r="L364" s="48" t="str">
        <x:v>PDF text</x:v>
      </x:c>
    </x:row>
    <x:row r="365">
      <x:c r="A365" s="48" t="str">
        <x:v>YELLOW-0364</x:v>
      </x:c>
      <x:c r="B365" s="48" t="str">
        <x:v>YELLOW</x:v>
      </x:c>
      <x:c r="C365" s="48" t="str">
        <x:v>English</x:v>
      </x:c>
      <x:c r="D365" s="48" t="n">
        <x:v>33</x:v>
      </x:c>
      <x:c r="E365" s="48" t="str"/>
      <x:c r="F365" s="48" t="str">
        <x:v>(b) the access to and use and occupation of all roads and footpaths, irrespective of whether they are public or in the possession of the Employer or of others.</x:v>
      </x:c>
      <x:c r="G365" s="48" t="str">
        <x:v>Obligation</x:v>
      </x:c>
      <x:c r="H365" s="48" t="str">
        <x:v>Employer</x:v>
      </x:c>
      <x:c r="I365" s="48" t="n">
        <x:v>0.45</x:v>
      </x:c>
      <x:c r="J365" s="48" t="n">
        <x:v>0.68</x:v>
      </x:c>
      <x:c r="K365" s="48" t="str">
        <x:v>Yes</x:v>
      </x:c>
      <x:c r="L365" s="48" t="str">
        <x:v>PDF text</x:v>
      </x:c>
    </x:row>
    <x:row r="366">
      <x:c r="A366" s="48" t="str">
        <x:v>YELLOW-0365</x:v>
      </x:c>
      <x:c r="B366" s="48" t="str">
        <x:v>YELLOW</x:v>
      </x:c>
      <x:c r="C366" s="48" t="str">
        <x:v>English</x:v>
      </x:c>
      <x:c r="D366" s="48" t="n">
        <x:v>33</x:v>
      </x:c>
      <x:c r="E366" s="48" t="str"/>
      <x:c r="F366" s="48" t="str">
        <x:v>The Contractor shall indemnify and hold the Employer harmless against and from all damages, losses and expenses (including legal fees and expenses) resulting from any such unnecessary or improper interference.</x:v>
      </x:c>
      <x:c r="G366" s="48" t="str">
        <x:v>Obligation</x:v>
      </x:c>
      <x:c r="H366" s="48" t="str">
        <x:v>Contractor</x:v>
      </x:c>
      <x:c r="I366" s="48" t="n">
        <x:v>0.88</x:v>
      </x:c>
      <x:c r="J366" s="48" t="n">
        <x:v>0.92</x:v>
      </x:c>
      <x:c r="K366" s="48" t="str">
        <x:v>No</x:v>
      </x:c>
      <x:c r="L366" s="48" t="str">
        <x:v>PDF text</x:v>
      </x:c>
    </x:row>
    <x:row r="367">
      <x:c r="A367" s="48" t="str">
        <x:v>YELLOW-0366</x:v>
      </x:c>
      <x:c r="B367" s="48" t="str">
        <x:v>YELLOW</x:v>
      </x:c>
      <x:c r="C367" s="48" t="str">
        <x:v>English</x:v>
      </x:c>
      <x:c r="D367" s="48" t="n">
        <x:v>33</x:v>
      </x:c>
      <x:c r="E367" s="48" t="str"/>
      <x:c r="F367" s="48" t="str">
        <x:v>The Contractor shall be deemed to have been satisfied as to the suitability and</x:v>
      </x:c>
      <x:c r="G367" s="48" t="str">
        <x:v>Obligation</x:v>
      </x:c>
      <x:c r="H367" s="48" t="str">
        <x:v>Contractor</x:v>
      </x:c>
      <x:c r="I367" s="48" t="n">
        <x:v>0.88</x:v>
      </x:c>
      <x:c r="J367" s="48" t="n">
        <x:v>0.92</x:v>
      </x:c>
      <x:c r="K367" s="48" t="str">
        <x:v>No</x:v>
      </x:c>
      <x:c r="L367" s="48" t="str">
        <x:v>PDF text</x:v>
      </x:c>
    </x:row>
    <x:row r="368">
      <x:c r="A368" s="48" t="str">
        <x:v>YELLOW-0367</x:v>
      </x:c>
      <x:c r="B368" s="48" t="str">
        <x:v>YELLOW</x:v>
      </x:c>
      <x:c r="C368" s="48" t="str">
        <x:v>English</x:v>
      </x:c>
      <x:c r="D368" s="48" t="n">
        <x:v>33</x:v>
      </x:c>
      <x:c r="E368" s="48" t="str"/>
      <x:c r="F368" s="48" t="str">
        <x:v>availability of access routes to the Site.</x:v>
      </x:c>
      <x:c r="G368" s="48" t="str">
        <x:v>Obligation</x:v>
      </x:c>
      <x:c r="H368" s="48" t="str">
        <x:v>Shared</x:v>
      </x:c>
      <x:c r="I368" s="48" t="n">
        <x:v>0.45</x:v>
      </x:c>
      <x:c r="J368" s="48" t="n">
        <x:v>0.4</x:v>
      </x:c>
      <x:c r="K368" s="48" t="str">
        <x:v>Yes</x:v>
      </x:c>
      <x:c r="L368" s="48" t="str">
        <x:v>PDF text</x:v>
      </x:c>
    </x:row>
    <x:row r="369">
      <x:c r="A369" s="48" t="str">
        <x:v>YELLOW-0368</x:v>
      </x:c>
      <x:c r="B369" s="48" t="str">
        <x:v>YELLOW</x:v>
      </x:c>
      <x:c r="C369" s="48" t="str">
        <x:v>English</x:v>
      </x:c>
      <x:c r="D369" s="48" t="n">
        <x:v>33</x:v>
      </x:c>
      <x:c r="E369" s="48" t="str"/>
      <x:c r="F369" s="48" t="str">
        <x:v>The Contractor shall use reasonable efforts to prevent any road or bridge from being damaged by the Contractor's traffic or by the Contractor's Personnel.</x:v>
      </x:c>
      <x:c r="G369" s="48" t="str">
        <x:v>Obligation</x:v>
      </x:c>
      <x:c r="H369" s="48" t="str">
        <x:v>Contractor</x:v>
      </x:c>
      <x:c r="I369" s="48" t="n">
        <x:v>0.88</x:v>
      </x:c>
      <x:c r="J369" s="48" t="n">
        <x:v>0.92</x:v>
      </x:c>
      <x:c r="K369" s="48" t="str">
        <x:v>No</x:v>
      </x:c>
      <x:c r="L369" s="48" t="str">
        <x:v>PDF text</x:v>
      </x:c>
    </x:row>
    <x:row r="370">
      <x:c r="A370" s="48" t="str">
        <x:v>YELLOW-0369</x:v>
      </x:c>
      <x:c r="B370" s="48" t="str">
        <x:v>YELLOW</x:v>
      </x:c>
      <x:c r="C370" s="48" t="str">
        <x:v>English</x:v>
      </x:c>
      <x:c r="D370" s="48" t="n">
        <x:v>33</x:v>
      </x:c>
      <x:c r="E370" s="48" t="str"/>
      <x:c r="F370" s="48" t="str">
        <x:v>These efforts shall include the proper use of appropriate vehicles and routes.</x:v>
      </x:c>
      <x:c r="G370" s="48" t="str">
        <x:v>Obligation</x:v>
      </x:c>
      <x:c r="H370" s="48" t="str">
        <x:v>Shared</x:v>
      </x:c>
      <x:c r="I370" s="48" t="n">
        <x:v>0.88</x:v>
      </x:c>
      <x:c r="J370" s="48" t="n">
        <x:v>0.4</x:v>
      </x:c>
      <x:c r="K370" s="48" t="str">
        <x:v>Yes</x:v>
      </x:c>
      <x:c r="L370" s="48" t="str">
        <x:v>PDF text</x:v>
      </x:c>
    </x:row>
    <x:row r="371">
      <x:c r="A371" s="48" t="str">
        <x:v>YELLOW-0370</x:v>
      </x:c>
      <x:c r="B371" s="48" t="str">
        <x:v>YELLOW</x:v>
      </x:c>
      <x:c r="C371" s="48" t="str">
        <x:v>English</x:v>
      </x:c>
      <x:c r="D371" s="48" t="n">
        <x:v>33</x:v>
      </x:c>
      <x:c r="E371" s="48" t="str"/>
      <x:c r="F371" s="48" t="str">
        <x:v>Except as otherwise stated in these Conditions: (a) the Contractor shall (as between the Parties) be responsible for any maintenance which may be required for his use of access routes; (b) the Contractor shall provide all necessary signs or directions along access routes, and shall obtain any permission which may be required from the relevant authorities for his use of routes, signs and directions; (c) the Employer shall not be responsible for any claims which may arise from the use or otherwise of any access route, (d) the Employer does not guarantee the suitability or availability of particular access routes, and (e)</x:v>
      </x:c>
      <x:c r="G371" s="48" t="str">
        <x:v>Obligation</x:v>
      </x:c>
      <x:c r="H371" s="48" t="str">
        <x:v>Shared</x:v>
      </x:c>
      <x:c r="I371" s="48" t="n">
        <x:v>0.88</x:v>
      </x:c>
      <x:c r="J371" s="48" t="n">
        <x:v>0.93</x:v>
      </x:c>
      <x:c r="K371" s="48" t="str">
        <x:v>No</x:v>
      </x:c>
      <x:c r="L371" s="48" t="str">
        <x:v>PDF text</x:v>
      </x:c>
    </x:row>
    <x:row r="372">
      <x:c r="A372" s="48" t="str">
        <x:v>YELLOW-0371</x:v>
      </x:c>
      <x:c r="B372" s="48" t="str">
        <x:v>YELLOW</x:v>
      </x:c>
      <x:c r="C372" s="48" t="str">
        <x:v>English</x:v>
      </x:c>
      <x:c r="D372" s="48" t="n">
        <x:v>33</x:v>
      </x:c>
      <x:c r="E372" s="48" t="str"/>
      <x:c r="F372" s="48" t="str">
        <x:v>Costs due to non-suitability or non-availability, for the use required by the</x:v>
      </x:c>
      <x:c r="G372" s="48" t="str">
        <x:v>Obligation</x:v>
      </x:c>
      <x:c r="H372" s="48" t="str">
        <x:v>Shared</x:v>
      </x:c>
      <x:c r="I372" s="48" t="n">
        <x:v>0.45</x:v>
      </x:c>
      <x:c r="J372" s="48" t="n">
        <x:v>0.4</x:v>
      </x:c>
      <x:c r="K372" s="48" t="str">
        <x:v>Yes</x:v>
      </x:c>
      <x:c r="L372" s="48" t="str">
        <x:v>PDF text</x:v>
      </x:c>
    </x:row>
    <x:row r="373">
      <x:c r="A373" s="48" t="str">
        <x:v>YELLOW-0372</x:v>
      </x:c>
      <x:c r="B373" s="48" t="str">
        <x:v>YELLOW</x:v>
      </x:c>
      <x:c r="C373" s="48" t="str">
        <x:v>English</x:v>
      </x:c>
      <x:c r="D373" s="48" t="n">
        <x:v>33</x:v>
      </x:c>
      <x:c r="E373" s="48" t="str"/>
      <x:c r="F373" s="48" t="str">
        <x:v>Contractor, of access routes shall be borne by the Contractor.</x:v>
      </x:c>
      <x:c r="G373" s="48" t="str">
        <x:v>Obligation</x:v>
      </x:c>
      <x:c r="H373" s="48" t="str">
        <x:v>Contractor</x:v>
      </x:c>
      <x:c r="I373" s="48" t="n">
        <x:v>0.88</x:v>
      </x:c>
      <x:c r="J373" s="48" t="n">
        <x:v>0.68</x:v>
      </x:c>
      <x:c r="K373" s="48" t="str">
        <x:v>Yes</x:v>
      </x:c>
      <x:c r="L373" s="48" t="str">
        <x:v>PDF text</x:v>
      </x:c>
    </x:row>
    <x:row r="374">
      <x:c r="A374" s="48" t="str">
        <x:v>YELLOW-0373</x:v>
      </x:c>
      <x:c r="B374" s="48" t="str">
        <x:v>YELLOW</x:v>
      </x:c>
      <x:c r="C374" s="48" t="str">
        <x:v>English</x:v>
      </x:c>
      <x:c r="D374" s="48" t="n">
        <x:v>33</x:v>
      </x:c>
      <x:c r="E374" s="48" t="str"/>
      <x:c r="F374" s="48" t="str">
        <x:v>Unless otherwise stated in the Particular Conditions: (a) the Contractor shall give the Engineer not less than 21 days' notice of the date on which any Plant or a major item of other Goods will be delivered to the Site; (b) the Contractor shall be responsible for packing, loading, transporting, receiving, unloading, storing and protecting all Goods and other things required for the Works; and (c) the Contractor shall indemnify and hold the Employer harmless against and from all damages, losses and expenses (including legal fees and expenses) resulting from the transport of Goods, and shall negotiate and pay all claims arising from their transport.</x:v>
      </x:c>
      <x:c r="G374" s="48" t="str">
        <x:v>Obligation</x:v>
      </x:c>
      <x:c r="H374" s="48" t="str">
        <x:v>Contractor</x:v>
      </x:c>
      <x:c r="I374" s="48" t="n">
        <x:v>0.88</x:v>
      </x:c>
      <x:c r="J374" s="48" t="n">
        <x:v>0.92</x:v>
      </x:c>
      <x:c r="K374" s="48" t="str">
        <x:v>No</x:v>
      </x:c>
      <x:c r="L374" s="48" t="str">
        <x:v>PDF text</x:v>
      </x:c>
    </x:row>
    <x:row r="375">
      <x:c r="A375" s="48" t="str">
        <x:v>YELLOW-0374</x:v>
      </x:c>
      <x:c r="B375" s="48" t="str">
        <x:v>YELLOW</x:v>
      </x:c>
      <x:c r="C375" s="48" t="str">
        <x:v>English</x:v>
      </x:c>
      <x:c r="D375" s="48" t="n">
        <x:v>33</x:v>
      </x:c>
      <x:c r="E375" s="48" t="str"/>
      <x:c r="F375" s="48" t="str">
        <x:v>The Contractor shall be responsible for all Contractor's Equipment.</x:v>
      </x:c>
      <x:c r="G375" s="48" t="str">
        <x:v>Obligation</x:v>
      </x:c>
      <x:c r="H375" s="48" t="str">
        <x:v>Contractor</x:v>
      </x:c>
      <x:c r="I375" s="48" t="n">
        <x:v>0.88</x:v>
      </x:c>
      <x:c r="J375" s="48" t="n">
        <x:v>0.92</x:v>
      </x:c>
      <x:c r="K375" s="48" t="str">
        <x:v>No</x:v>
      </x:c>
      <x:c r="L375" s="48" t="str">
        <x:v>PDF text</x:v>
      </x:c>
    </x:row>
    <x:row r="376">
      <x:c r="A376" s="48" t="str">
        <x:v>YELLOW-0375</x:v>
      </x:c>
      <x:c r="B376" s="48" t="str">
        <x:v>YELLOW</x:v>
      </x:c>
      <x:c r="C376" s="48" t="str">
        <x:v>English</x:v>
      </x:c>
      <x:c r="D376" s="48" t="n">
        <x:v>33</x:v>
      </x:c>
      <x:c r="E376" s="48" t="str"/>
      <x:c r="F376" s="48" t="str">
        <x:v>When brought on to the Site, Contractor's Equipment shall be deemed to be exclusively intended for the execution of the Works.</x:v>
      </x:c>
      <x:c r="G376" s="48" t="str">
        <x:v>Obligation</x:v>
      </x:c>
      <x:c r="H376" s="48" t="str">
        <x:v>Contractor</x:v>
      </x:c>
      <x:c r="I376" s="48" t="n">
        <x:v>0.88</x:v>
      </x:c>
      <x:c r="J376" s="48" t="n">
        <x:v>0.68</x:v>
      </x:c>
      <x:c r="K376" s="48" t="str">
        <x:v>Yes</x:v>
      </x:c>
      <x:c r="L376" s="48" t="str">
        <x:v>PDF text</x:v>
      </x:c>
    </x:row>
    <x:row r="377">
      <x:c r="A377" s="48" t="str">
        <x:v>YELLOW-0376</x:v>
      </x:c>
      <x:c r="B377" s="48" t="str">
        <x:v>YELLOW</x:v>
      </x:c>
      <x:c r="C377" s="48" t="str">
        <x:v>English</x:v>
      </x:c>
      <x:c r="D377" s="48" t="n">
        <x:v>33</x:v>
      </x:c>
      <x:c r="E377" s="48" t="str"/>
      <x:c r="F377" s="48" t="str">
        <x:v>The Contractor shall not remove from the Site any major items of Contractor's Equipment without the consent of the Engineer.</x:v>
      </x:c>
      <x:c r="G377" s="48" t="str">
        <x:v>Obligation</x:v>
      </x:c>
      <x:c r="H377" s="48" t="str">
        <x:v>Contractor</x:v>
      </x:c>
      <x:c r="I377" s="48" t="n">
        <x:v>0.88</x:v>
      </x:c>
      <x:c r="J377" s="48" t="n">
        <x:v>0.92</x:v>
      </x:c>
      <x:c r="K377" s="48" t="str">
        <x:v>No</x:v>
      </x:c>
      <x:c r="L377" s="48" t="str">
        <x:v>PDF text</x:v>
      </x:c>
    </x:row>
    <x:row r="378">
      <x:c r="A378" s="48" t="str">
        <x:v>YELLOW-0377</x:v>
      </x:c>
      <x:c r="B378" s="48" t="str">
        <x:v>YELLOW</x:v>
      </x:c>
      <x:c r="C378" s="48" t="str">
        <x:v>English</x:v>
      </x:c>
      <x:c r="D378" s="48" t="n">
        <x:v>33</x:v>
      </x:c>
      <x:c r="E378" s="48" t="str"/>
      <x:c r="F378" s="48" t="str">
        <x:v>However, consent shall not be required for vehicles transporting Goods or Contractor's Personnel off Site.</x:v>
      </x:c>
      <x:c r="G378" s="48" t="str">
        <x:v>Obligation</x:v>
      </x:c>
      <x:c r="H378" s="48" t="str">
        <x:v>Contractor</x:v>
      </x:c>
      <x:c r="I378" s="48" t="n">
        <x:v>0.88</x:v>
      </x:c>
      <x:c r="J378" s="48" t="n">
        <x:v>0.68</x:v>
      </x:c>
      <x:c r="K378" s="48" t="str">
        <x:v>Yes</x:v>
      </x:c>
      <x:c r="L378" s="48" t="str">
        <x:v>PDF text</x:v>
      </x:c>
    </x:row>
    <x:row r="379">
      <x:c r="A379" s="48" t="str">
        <x:v>YELLOW-0378</x:v>
      </x:c>
      <x:c r="B379" s="48" t="str">
        <x:v>YELLOW</x:v>
      </x:c>
      <x:c r="C379" s="48" t="str">
        <x:v>English</x:v>
      </x:c>
      <x:c r="D379" s="48" t="n">
        <x:v>33</x:v>
      </x:c>
      <x:c r="E379" s="48" t="str"/>
      <x:c r="F379" s="48" t="str">
        <x:v>The Contractor shall take all reasonable steps to protect the environment (both on and off the Site) and to limit damage and nuisance to people and property resulting from pollution, noise and other results of his operations.</x:v>
      </x:c>
      <x:c r="G379" s="48" t="str">
        <x:v>Obligation</x:v>
      </x:c>
      <x:c r="H379" s="48" t="str">
        <x:v>Contractor</x:v>
      </x:c>
      <x:c r="I379" s="48" t="n">
        <x:v>0.88</x:v>
      </x:c>
      <x:c r="J379" s="48" t="n">
        <x:v>0.92</x:v>
      </x:c>
      <x:c r="K379" s="48" t="str">
        <x:v>No</x:v>
      </x:c>
      <x:c r="L379" s="48" t="str">
        <x:v>PDF text</x:v>
      </x:c>
    </x:row>
    <x:row r="380">
      <x:c r="A380" s="48" t="str">
        <x:v>YELLOW-0379</x:v>
      </x:c>
      <x:c r="B380" s="48" t="str">
        <x:v>YELLOW</x:v>
      </x:c>
      <x:c r="C380" s="48" t="str">
        <x:v>English</x:v>
      </x:c>
      <x:c r="D380" s="48" t="n">
        <x:v>33</x:v>
      </x:c>
      <x:c r="E380" s="48" t="str"/>
      <x:c r="F380" s="48" t="str">
        <x:v>The Contractor shall ensure that emissions, surface discharges and effluent from the</x:v>
      </x:c>
      <x:c r="G380" s="48" t="str">
        <x:v>Obligation</x:v>
      </x:c>
      <x:c r="H380" s="48" t="str">
        <x:v>Contractor</x:v>
      </x:c>
      <x:c r="I380" s="48" t="n">
        <x:v>0.88</x:v>
      </x:c>
      <x:c r="J380" s="48" t="n">
        <x:v>0.92</x:v>
      </x:c>
      <x:c r="K380" s="48" t="str">
        <x:v>No</x:v>
      </x:c>
      <x:c r="L380" s="48" t="str">
        <x:v>PDF text</x:v>
      </x:c>
    </x:row>
    <x:row r="381">
      <x:c r="A381" s="48" t="str">
        <x:v>YELLOW-0380</x:v>
      </x:c>
      <x:c r="B381" s="48" t="str">
        <x:v>YELLOW</x:v>
      </x:c>
      <x:c r="C381" s="48" t="str">
        <x:v>English</x:v>
      </x:c>
      <x:c r="D381" s="48" t="n">
        <x:v>33</x:v>
      </x:c>
      <x:c r="E381" s="48" t="str"/>
      <x:c r="F381" s="48" t="str">
        <x:v>Contractor's activities shall not exceed the values indicated in the Employer's</x:v>
      </x:c>
      <x:c r="G381" s="48" t="str">
        <x:v>Obligation</x:v>
      </x:c>
      <x:c r="H381" s="48" t="str">
        <x:v>Shared</x:v>
      </x:c>
      <x:c r="I381" s="48" t="n">
        <x:v>0.88</x:v>
      </x:c>
      <x:c r="J381" s="48" t="n">
        <x:v>0.6</x:v>
      </x:c>
      <x:c r="K381" s="48" t="str">
        <x:v>Yes</x:v>
      </x:c>
      <x:c r="L381" s="48" t="str">
        <x:v>PDF text</x:v>
      </x:c>
    </x:row>
    <x:row r="382">
      <x:c r="A382" s="48" t="str">
        <x:v>YELLOW-0381</x:v>
      </x:c>
      <x:c r="B382" s="48" t="str">
        <x:v>YELLOW</x:v>
      </x:c>
      <x:c r="C382" s="48" t="str">
        <x:v>English</x:v>
      </x:c>
      <x:c r="D382" s="48" t="n">
        <x:v>33</x:v>
      </x:c>
      <x:c r="E382" s="48" t="str"/>
      <x:c r="F382" s="48" t="str">
        <x:v>Requirements, and shall not exceed the values prescribed by applicable Laws.</x:v>
      </x:c>
      <x:c r="G382" s="48" t="str">
        <x:v>Obligation</x:v>
      </x:c>
      <x:c r="H382" s="48" t="str">
        <x:v>Shared</x:v>
      </x:c>
      <x:c r="I382" s="48" t="n">
        <x:v>0.88</x:v>
      </x:c>
      <x:c r="J382" s="48" t="n">
        <x:v>0.4</x:v>
      </x:c>
      <x:c r="K382" s="48" t="str">
        <x:v>Yes</x:v>
      </x:c>
      <x:c r="L382" s="48" t="str">
        <x:v>PDF text</x:v>
      </x:c>
    </x:row>
    <x:row r="383">
      <x:c r="A383" s="48" t="str">
        <x:v>YELLOW-0382</x:v>
      </x:c>
      <x:c r="B383" s="48" t="str">
        <x:v>YELLOW</x:v>
      </x:c>
      <x:c r="C383" s="48" t="str">
        <x:v>English</x:v>
      </x:c>
      <x:c r="D383" s="48" t="n">
        <x:v>33</x:v>
      </x:c>
      <x:c r="E383" s="48" t="str"/>
      <x:c r="F383" s="48" t="str">
        <x:v>Access Route</x:v>
      </x:c>
      <x:c r="G383" s="48" t="str">
        <x:v>Obligation</x:v>
      </x:c>
      <x:c r="H383" s="48" t="str">
        <x:v>Shared</x:v>
      </x:c>
      <x:c r="I383" s="48" t="n">
        <x:v>0.45</x:v>
      </x:c>
      <x:c r="J383" s="48" t="n">
        <x:v>0.4</x:v>
      </x:c>
      <x:c r="K383" s="48" t="str">
        <x:v>Yes</x:v>
      </x:c>
      <x:c r="L383" s="48" t="str">
        <x:v>PDF text</x:v>
      </x:c>
    </x:row>
    <x:row r="384">
      <x:c r="A384" s="48" t="str">
        <x:v>YELLOW-0383</x:v>
      </x:c>
      <x:c r="B384" s="48" t="str">
        <x:v>YELLOW</x:v>
      </x:c>
      <x:c r="C384" s="48" t="str">
        <x:v>English</x:v>
      </x:c>
      <x:c r="D384" s="48" t="n">
        <x:v>33</x:v>
      </x:c>
      <x:c r="E384" s="48" t="str"/>
      <x:c r="F384" s="48" t="str">
        <x:v>Transport of Goods</x:v>
      </x:c>
      <x:c r="G384" s="48" t="str">
        <x:v>Obligation</x:v>
      </x:c>
      <x:c r="H384" s="48" t="str">
        <x:v>Shared</x:v>
      </x:c>
      <x:c r="I384" s="48" t="n">
        <x:v>0.45</x:v>
      </x:c>
      <x:c r="J384" s="48" t="n">
        <x:v>0.4</x:v>
      </x:c>
      <x:c r="K384" s="48" t="str">
        <x:v>Yes</x:v>
      </x:c>
      <x:c r="L384" s="48" t="str">
        <x:v>PDF text</x:v>
      </x:c>
    </x:row>
    <x:row r="385">
      <x:c r="A385" s="48" t="str">
        <x:v>YELLOW-0384</x:v>
      </x:c>
      <x:c r="B385" s="48" t="str">
        <x:v>YELLOW</x:v>
      </x:c>
      <x:c r="C385" s="48" t="str">
        <x:v>English</x:v>
      </x:c>
      <x:c r="D385" s="48" t="n">
        <x:v>33</x:v>
      </x:c>
      <x:c r="E385" s="48" t="str"/>
      <x:c r="F385" s="48" t="str">
        <x:v>Equipment</x:v>
      </x:c>
      <x:c r="G385" s="48" t="str">
        <x:v>Obligation</x:v>
      </x:c>
      <x:c r="H385" s="48" t="str">
        <x:v>Shared</x:v>
      </x:c>
      <x:c r="I385" s="48" t="n">
        <x:v>0.45</x:v>
      </x:c>
      <x:c r="J385" s="48" t="n">
        <x:v>0.4</x:v>
      </x:c>
      <x:c r="K385" s="48" t="str">
        <x:v>Yes</x:v>
      </x:c>
      <x:c r="L385" s="48" t="str">
        <x:v>PDF text</x:v>
      </x:c>
    </x:row>
    <x:row r="386">
      <x:c r="A386" s="48" t="str">
        <x:v>YELLOW-0385</x:v>
      </x:c>
      <x:c r="B386" s="48" t="str">
        <x:v>YELLOW</x:v>
      </x:c>
      <x:c r="C386" s="48" t="str">
        <x:v>English</x:v>
      </x:c>
      <x:c r="D386" s="48" t="n">
        <x:v>33</x:v>
      </x:c>
      <x:c r="E386" s="48" t="str"/>
      <x:c r="F386" s="48" t="str">
        <x:v>Protection of the</x:v>
      </x:c>
      <x:c r="G386" s="48" t="str">
        <x:v>Obligation</x:v>
      </x:c>
      <x:c r="H386" s="48" t="str">
        <x:v>Shared</x:v>
      </x:c>
      <x:c r="I386" s="48" t="n">
        <x:v>0.45</x:v>
      </x:c>
      <x:c r="J386" s="48" t="n">
        <x:v>0.4</x:v>
      </x:c>
      <x:c r="K386" s="48" t="str">
        <x:v>Yes</x:v>
      </x:c>
      <x:c r="L386" s="48" t="str">
        <x:v>PDF text</x:v>
      </x:c>
    </x:row>
    <x:row r="387">
      <x:c r="A387" s="48" t="str">
        <x:v>YELLOW-0386</x:v>
      </x:c>
      <x:c r="B387" s="48" t="str">
        <x:v>YELLOW</x:v>
      </x:c>
      <x:c r="C387" s="48" t="str">
        <x:v>English</x:v>
      </x:c>
      <x:c r="D387" s="48" t="n">
        <x:v>33</x:v>
      </x:c>
      <x:c r="E387" s="48" t="str"/>
      <x:c r="F387" s="48" t="str">
        <x:v>Environment</x:v>
      </x:c>
      <x:c r="G387" s="48" t="str">
        <x:v>Obligation</x:v>
      </x:c>
      <x:c r="H387" s="48" t="str">
        <x:v>Shared</x:v>
      </x:c>
      <x:c r="I387" s="48" t="n">
        <x:v>0.45</x:v>
      </x:c>
      <x:c r="J387" s="48" t="n">
        <x:v>0.4</x:v>
      </x:c>
      <x:c r="K387" s="48" t="str">
        <x:v>Yes</x:v>
      </x:c>
      <x:c r="L387" s="48" t="str">
        <x:v>PDF text</x:v>
      </x:c>
    </x:row>
    <x:row r="388">
      <x:c r="A388" s="48" t="str">
        <x:v>YELLOW-0387</x:v>
      </x:c>
      <x:c r="B388" s="48" t="str">
        <x:v>YELLOW</x:v>
      </x:c>
      <x:c r="C388" s="48" t="str">
        <x:v>English</x:v>
      </x:c>
      <x:c r="D388" s="48" t="n">
        <x:v>34</x:v>
      </x:c>
      <x:c r="E388" s="48" t="str"/>
      <x:c r="F388" s="48" t="str">
        <x:v>The Contractor shall, except as stated below, be responsible for the provision of all power, water and other services he may require.</x:v>
      </x:c>
      <x:c r="G388" s="48" t="str">
        <x:v>Obligation</x:v>
      </x:c>
      <x:c r="H388" s="48" t="str">
        <x:v>Contractor</x:v>
      </x:c>
      <x:c r="I388" s="48" t="n">
        <x:v>0.88</x:v>
      </x:c>
      <x:c r="J388" s="48" t="n">
        <x:v>0.92</x:v>
      </x:c>
      <x:c r="K388" s="48" t="str">
        <x:v>No</x:v>
      </x:c>
      <x:c r="L388" s="48" t="str">
        <x:v>PDF text</x:v>
      </x:c>
    </x:row>
    <x:row r="389">
      <x:c r="A389" s="48" t="str">
        <x:v>YELLOW-0388</x:v>
      </x:c>
      <x:c r="B389" s="48" t="str">
        <x:v>YELLOW</x:v>
      </x:c>
      <x:c r="C389" s="48" t="str">
        <x:v>English</x:v>
      </x:c>
      <x:c r="D389" s="48" t="n">
        <x:v>34</x:v>
      </x:c>
      <x:c r="E389" s="48" t="str"/>
      <x:c r="F389" s="48" t="str">
        <x:v>The Contractor shall be entitled to use for the purposes of the Works such supplies of electricity, water, gas and other services as may be available on the Site and of which details and prices are given in the Employer's Requirements.</x:v>
      </x:c>
      <x:c r="G389" s="48" t="str">
        <x:v>Obligation</x:v>
      </x:c>
      <x:c r="H389" s="48" t="str">
        <x:v>Contractor</x:v>
      </x:c>
      <x:c r="I389" s="48" t="n">
        <x:v>0.88</x:v>
      </x:c>
      <x:c r="J389" s="48" t="n">
        <x:v>0.92</x:v>
      </x:c>
      <x:c r="K389" s="48" t="str">
        <x:v>No</x:v>
      </x:c>
      <x:c r="L389" s="48" t="str">
        <x:v>PDF text</x:v>
      </x:c>
    </x:row>
    <x:row r="390">
      <x:c r="A390" s="48" t="str">
        <x:v>YELLOW-0389</x:v>
      </x:c>
      <x:c r="B390" s="48" t="str">
        <x:v>YELLOW</x:v>
      </x:c>
      <x:c r="C390" s="48" t="str">
        <x:v>English</x:v>
      </x:c>
      <x:c r="D390" s="48" t="n">
        <x:v>34</x:v>
      </x:c>
      <x:c r="E390" s="48" t="str"/>
      <x:c r="F390" s="48" t="str">
        <x:v>The Contractor shall, at his risk and cost, provide any apparatus necessary for his use of these services and for measuring the quantities consumed.</x:v>
      </x:c>
      <x:c r="G390" s="48" t="str">
        <x:v>Risk</x:v>
      </x:c>
      <x:c r="H390" s="48" t="str">
        <x:v>Contractor</x:v>
      </x:c>
      <x:c r="I390" s="48" t="n">
        <x:v>0.78</x:v>
      </x:c>
      <x:c r="J390" s="48" t="n">
        <x:v>0.92</x:v>
      </x:c>
      <x:c r="K390" s="48" t="str">
        <x:v>No</x:v>
      </x:c>
      <x:c r="L390" s="48" t="str">
        <x:v>PDF text</x:v>
      </x:c>
    </x:row>
    <x:row r="391">
      <x:c r="A391" s="48" t="str">
        <x:v>YELLOW-0390</x:v>
      </x:c>
      <x:c r="B391" s="48" t="str">
        <x:v>YELLOW</x:v>
      </x:c>
      <x:c r="C391" s="48" t="str">
        <x:v>English</x:v>
      </x:c>
      <x:c r="D391" s="48" t="n">
        <x:v>34</x:v>
      </x:c>
      <x:c r="E391" s="48" t="str"/>
      <x:c r="F391" s="48" t="str">
        <x:v>The quantities consumed and the amounts due (at these prices) for such services shall be agreed or determined by the Engineer in accordance with Sub-Clause 2.5 [Employer's Claims] and Sub-Clause 3.5 [Determinations].</x:v>
      </x:c>
      <x:c r="G391" s="48" t="str">
        <x:v>Obligation</x:v>
      </x:c>
      <x:c r="H391" s="48" t="str">
        <x:v>Employer</x:v>
      </x:c>
      <x:c r="I391" s="48" t="n">
        <x:v>0.88</x:v>
      </x:c>
      <x:c r="J391" s="48" t="n">
        <x:v>0.68</x:v>
      </x:c>
      <x:c r="K391" s="48" t="str">
        <x:v>Yes</x:v>
      </x:c>
      <x:c r="L391" s="48" t="str">
        <x:v>PDF text</x:v>
      </x:c>
    </x:row>
    <x:row r="392">
      <x:c r="A392" s="48" t="str">
        <x:v>YELLOW-0391</x:v>
      </x:c>
      <x:c r="B392" s="48" t="str">
        <x:v>YELLOW</x:v>
      </x:c>
      <x:c r="C392" s="48" t="str">
        <x:v>English</x:v>
      </x:c>
      <x:c r="D392" s="48" t="n">
        <x:v>34</x:v>
      </x:c>
      <x:c r="E392" s="48" t="str"/>
      <x:c r="F392" s="48" t="str">
        <x:v>The Contractor shall pay these amounts to the Employer.</x:v>
      </x:c>
      <x:c r="G392" s="48" t="str">
        <x:v>Obligation</x:v>
      </x:c>
      <x:c r="H392" s="48" t="str">
        <x:v>Contractor</x:v>
      </x:c>
      <x:c r="I392" s="48" t="n">
        <x:v>0.88</x:v>
      </x:c>
      <x:c r="J392" s="48" t="n">
        <x:v>0.92</x:v>
      </x:c>
      <x:c r="K392" s="48" t="str">
        <x:v>No</x:v>
      </x:c>
      <x:c r="L392" s="48" t="str">
        <x:v>PDF text</x:v>
      </x:c>
    </x:row>
    <x:row r="393">
      <x:c r="A393" s="48" t="str">
        <x:v>YELLOW-0392</x:v>
      </x:c>
      <x:c r="B393" s="48" t="str">
        <x:v>YELLOW</x:v>
      </x:c>
      <x:c r="C393" s="48" t="str">
        <x:v>English</x:v>
      </x:c>
      <x:c r="D393" s="48" t="n">
        <x:v>34</x:v>
      </x:c>
      <x:c r="E393" s="48" t="str"/>
      <x:c r="F393" s="48" t="str">
        <x:v>The Employer shall make the Employer's Equipment (if any) available for the use of the Contractor in the execution of the Works in accordance with the details, arrangements and prices stated in the Employer's Requirements.</x:v>
      </x:c>
      <x:c r="G393" s="48" t="str">
        <x:v>Obligation</x:v>
      </x:c>
      <x:c r="H393" s="48" t="str">
        <x:v>Employer</x:v>
      </x:c>
      <x:c r="I393" s="48" t="n">
        <x:v>0.88</x:v>
      </x:c>
      <x:c r="J393" s="48" t="n">
        <x:v>0.92</x:v>
      </x:c>
      <x:c r="K393" s="48" t="str">
        <x:v>No</x:v>
      </x:c>
      <x:c r="L393" s="48" t="str">
        <x:v>PDF text</x:v>
      </x:c>
    </x:row>
    <x:row r="394">
      <x:c r="A394" s="48" t="str">
        <x:v>YELLOW-0393</x:v>
      </x:c>
      <x:c r="B394" s="48" t="str">
        <x:v>YELLOW</x:v>
      </x:c>
      <x:c r="C394" s="48" t="str">
        <x:v>English</x:v>
      </x:c>
      <x:c r="D394" s="48" t="n">
        <x:v>34</x:v>
      </x:c>
      <x:c r="E394" s="48" t="str"/>
      <x:c r="F394" s="48" t="str">
        <x:v>Unless otherwise stated in the Employer's Requirements: (a) the Employer shall be responsible for the Employer's Equipment, except that (b) the Contractor shall be responsible for each item of Employer's Equipment whilst any of the Contractor's Personnel is operating it, driving it, directing it or in possession or control of it.</x:v>
      </x:c>
      <x:c r="G394" s="48" t="str">
        <x:v>Obligation</x:v>
      </x:c>
      <x:c r="H394" s="48" t="str">
        <x:v>Contractor</x:v>
      </x:c>
      <x:c r="I394" s="48" t="n">
        <x:v>0.88</x:v>
      </x:c>
      <x:c r="J394" s="48" t="n">
        <x:v>0.92</x:v>
      </x:c>
      <x:c r="K394" s="48" t="str">
        <x:v>No</x:v>
      </x:c>
      <x:c r="L394" s="48" t="str">
        <x:v>PDF text</x:v>
      </x:c>
    </x:row>
    <x:row r="395">
      <x:c r="A395" s="48" t="str">
        <x:v>YELLOW-0394</x:v>
      </x:c>
      <x:c r="B395" s="48" t="str">
        <x:v>YELLOW</x:v>
      </x:c>
      <x:c r="C395" s="48" t="str">
        <x:v>English</x:v>
      </x:c>
      <x:c r="D395" s="48" t="n">
        <x:v>34</x:v>
      </x:c>
      <x:c r="E395" s="48" t="str"/>
      <x:c r="F395" s="48" t="str">
        <x:v>The appropriate quantities and the amounts due (at such stated prices) for the use of</x:v>
      </x:c>
      <x:c r="G395" s="48" t="str">
        <x:v>Obligation</x:v>
      </x:c>
      <x:c r="H395" s="48" t="str">
        <x:v>Shared</x:v>
      </x:c>
      <x:c r="I395" s="48" t="n">
        <x:v>0.45</x:v>
      </x:c>
      <x:c r="J395" s="48" t="n">
        <x:v>0.4</x:v>
      </x:c>
      <x:c r="K395" s="48" t="str">
        <x:v>Yes</x:v>
      </x:c>
      <x:c r="L395" s="48" t="str">
        <x:v>PDF text</x:v>
      </x:c>
    </x:row>
    <x:row r="396">
      <x:c r="A396" s="48" t="str">
        <x:v>YELLOW-0395</x:v>
      </x:c>
      <x:c r="B396" s="48" t="str">
        <x:v>YELLOW</x:v>
      </x:c>
      <x:c r="C396" s="48" t="str">
        <x:v>English</x:v>
      </x:c>
      <x:c r="D396" s="48" t="n">
        <x:v>34</x:v>
      </x:c>
      <x:c r="E396" s="48" t="str"/>
      <x:c r="F396" s="48" t="str">
        <x:v>Employer's Equipment shall be agreed or determined by the Engineer in accordance</x:v>
      </x:c>
      <x:c r="G396" s="48" t="str">
        <x:v>Obligation</x:v>
      </x:c>
      <x:c r="H396" s="48" t="str">
        <x:v>Employer</x:v>
      </x:c>
      <x:c r="I396" s="48" t="n">
        <x:v>0.88</x:v>
      </x:c>
      <x:c r="J396" s="48" t="n">
        <x:v>0.68</x:v>
      </x:c>
      <x:c r="K396" s="48" t="str">
        <x:v>Yes</x:v>
      </x:c>
      <x:c r="L396" s="48" t="str">
        <x:v>PDF text</x:v>
      </x:c>
    </x:row>
    <x:row r="397">
      <x:c r="A397" s="48" t="str">
        <x:v>YELLOW-0396</x:v>
      </x:c>
      <x:c r="B397" s="48" t="str">
        <x:v>YELLOW</x:v>
      </x:c>
      <x:c r="C397" s="48" t="str">
        <x:v>English</x:v>
      </x:c>
      <x:c r="D397" s="48" t="n">
        <x:v>34</x:v>
      </x:c>
      <x:c r="E397" s="48" t="str"/>
      <x:c r="F397" s="48" t="str">
        <x:v>with Sub-Clause 2.5 [Employer's Claims] and Sub-Clause 3.5 [Determinations].</x:v>
      </x:c>
      <x:c r="G397" s="48" t="str">
        <x:v>Obligation</x:v>
      </x:c>
      <x:c r="H397" s="48" t="str">
        <x:v>Employer</x:v>
      </x:c>
      <x:c r="I397" s="48" t="n">
        <x:v>0.45</x:v>
      </x:c>
      <x:c r="J397" s="48" t="n">
        <x:v>0.68</x:v>
      </x:c>
      <x:c r="K397" s="48" t="str">
        <x:v>Yes</x:v>
      </x:c>
      <x:c r="L397" s="48" t="str">
        <x:v>PDF text</x:v>
      </x:c>
    </x:row>
    <x:row r="398">
      <x:c r="A398" s="48" t="str">
        <x:v>YELLOW-0397</x:v>
      </x:c>
      <x:c r="B398" s="48" t="str">
        <x:v>YELLOW</x:v>
      </x:c>
      <x:c r="C398" s="48" t="str">
        <x:v>English</x:v>
      </x:c>
      <x:c r="D398" s="48" t="n">
        <x:v>34</x:v>
      </x:c>
      <x:c r="E398" s="48" t="str"/>
      <x:c r="F398" s="48" t="str">
        <x:v>The Employer shall supply, free of charge, the "free-issue materials" (if any) in accordance with the details stated in the Employer's Requirements.</x:v>
      </x:c>
      <x:c r="G398" s="48" t="str">
        <x:v>Obligation</x:v>
      </x:c>
      <x:c r="H398" s="48" t="str">
        <x:v>Employer</x:v>
      </x:c>
      <x:c r="I398" s="48" t="n">
        <x:v>0.88</x:v>
      </x:c>
      <x:c r="J398" s="48" t="n">
        <x:v>0.92</x:v>
      </x:c>
      <x:c r="K398" s="48" t="str">
        <x:v>No</x:v>
      </x:c>
      <x:c r="L398" s="48" t="str">
        <x:v>PDF text</x:v>
      </x:c>
    </x:row>
    <x:row r="399">
      <x:c r="A399" s="48" t="str">
        <x:v>YELLOW-0398</x:v>
      </x:c>
      <x:c r="B399" s="48" t="str">
        <x:v>YELLOW</x:v>
      </x:c>
      <x:c r="C399" s="48" t="str">
        <x:v>English</x:v>
      </x:c>
      <x:c r="D399" s="48" t="n">
        <x:v>34</x:v>
      </x:c>
      <x:c r="E399" s="48" t="str"/>
      <x:c r="F399" s="48" t="str">
        <x:v>The Employer shall, at his risk and cost, provide these materials at the time and place specified in the Contract.</x:v>
      </x:c>
      <x:c r="G399" s="48" t="str">
        <x:v>Risk</x:v>
      </x:c>
      <x:c r="H399" s="48" t="str">
        <x:v>Employer</x:v>
      </x:c>
      <x:c r="I399" s="48" t="n">
        <x:v>0.78</x:v>
      </x:c>
      <x:c r="J399" s="48" t="n">
        <x:v>0.92</x:v>
      </x:c>
      <x:c r="K399" s="48" t="str">
        <x:v>No</x:v>
      </x:c>
      <x:c r="L399" s="48" t="str">
        <x:v>PDF text</x:v>
      </x:c>
    </x:row>
    <x:row r="400">
      <x:c r="A400" s="48" t="str">
        <x:v>YELLOW-0399</x:v>
      </x:c>
      <x:c r="B400" s="48" t="str">
        <x:v>YELLOW</x:v>
      </x:c>
      <x:c r="C400" s="48" t="str">
        <x:v>English</x:v>
      </x:c>
      <x:c r="D400" s="48" t="n">
        <x:v>34</x:v>
      </x:c>
      <x:c r="E400" s="48" t="str"/>
      <x:c r="F400" s="48" t="str">
        <x:v>The Contractor shall then visually inspect them, and shall promptly give notice to the Engineer of any shortage, defect or default in these materials.</x:v>
      </x:c>
      <x:c r="G400" s="48" t="str">
        <x:v>Obligation</x:v>
      </x:c>
      <x:c r="H400" s="48" t="str">
        <x:v>Contractor</x:v>
      </x:c>
      <x:c r="I400" s="48" t="n">
        <x:v>0.88</x:v>
      </x:c>
      <x:c r="J400" s="48" t="n">
        <x:v>0.92</x:v>
      </x:c>
      <x:c r="K400" s="48" t="str">
        <x:v>No</x:v>
      </x:c>
      <x:c r="L400" s="48" t="str">
        <x:v>PDF text</x:v>
      </x:c>
    </x:row>
    <x:row r="401">
      <x:c r="A401" s="48" t="str">
        <x:v>YELLOW-0400</x:v>
      </x:c>
      <x:c r="B401" s="48" t="str">
        <x:v>YELLOW</x:v>
      </x:c>
      <x:c r="C401" s="48" t="str">
        <x:v>English</x:v>
      </x:c>
      <x:c r="D401" s="48" t="n">
        <x:v>34</x:v>
      </x:c>
      <x:c r="E401" s="48" t="str"/>
      <x:c r="F401" s="48" t="str">
        <x:v>Unless otherwise agreed by both Parties, the Employer shall immediately rectify the notified shortage, defect or default.</x:v>
      </x:c>
      <x:c r="G401" s="48" t="str">
        <x:v>Obligation</x:v>
      </x:c>
      <x:c r="H401" s="48" t="str">
        <x:v>Shared</x:v>
      </x:c>
      <x:c r="I401" s="48" t="n">
        <x:v>0.88</x:v>
      </x:c>
      <x:c r="J401" s="48" t="n">
        <x:v>0.93</x:v>
      </x:c>
      <x:c r="K401" s="48" t="str">
        <x:v>No</x:v>
      </x:c>
      <x:c r="L401" s="48" t="str">
        <x:v>PDF text</x:v>
      </x:c>
    </x:row>
    <x:row r="402">
      <x:c r="A402" s="48" t="str">
        <x:v>YELLOW-0401</x:v>
      </x:c>
      <x:c r="B402" s="48" t="str">
        <x:v>YELLOW</x:v>
      </x:c>
      <x:c r="C402" s="48" t="str">
        <x:v>English</x:v>
      </x:c>
      <x:c r="D402" s="48" t="n">
        <x:v>34</x:v>
      </x:c>
      <x:c r="E402" s="48" t="str"/>
      <x:c r="F402" s="48" t="str">
        <x:v>After this visual inspection, the free-issue materials shall come under the care, custody and control of the Contractor.</x:v>
      </x:c>
      <x:c r="G402" s="48" t="str">
        <x:v>Obligation</x:v>
      </x:c>
      <x:c r="H402" s="48" t="str">
        <x:v>Contractor</x:v>
      </x:c>
      <x:c r="I402" s="48" t="n">
        <x:v>0.88</x:v>
      </x:c>
      <x:c r="J402" s="48" t="n">
        <x:v>0.68</x:v>
      </x:c>
      <x:c r="K402" s="48" t="str">
        <x:v>Yes</x:v>
      </x:c>
      <x:c r="L402" s="48" t="str">
        <x:v>PDF text</x:v>
      </x:c>
    </x:row>
    <x:row r="403">
      <x:c r="A403" s="48" t="str">
        <x:v>YELLOW-0402</x:v>
      </x:c>
      <x:c r="B403" s="48" t="str">
        <x:v>YELLOW</x:v>
      </x:c>
      <x:c r="C403" s="48" t="str">
        <x:v>English</x:v>
      </x:c>
      <x:c r="D403" s="48" t="n">
        <x:v>34</x:v>
      </x:c>
      <x:c r="E403" s="48" t="str"/>
      <x:c r="F403" s="48" t="str">
        <x:v>The Contractor's obligations of inspection, care, custody and control shall not relieve the Employer of liability for any shortage, defect or default not apparent from a visual inspection.</x:v>
      </x:c>
      <x:c r="G403" s="48" t="str">
        <x:v>Risk</x:v>
      </x:c>
      <x:c r="H403" s="48" t="str">
        <x:v>Shared</x:v>
      </x:c>
      <x:c r="I403" s="48" t="n">
        <x:v>0.78</x:v>
      </x:c>
      <x:c r="J403" s="48" t="n">
        <x:v>0.6</x:v>
      </x:c>
      <x:c r="K403" s="48" t="str">
        <x:v>Yes</x:v>
      </x:c>
      <x:c r="L403" s="48" t="str">
        <x:v>PDF text</x:v>
      </x:c>
    </x:row>
    <x:row r="404">
      <x:c r="A404" s="48" t="str">
        <x:v>YELLOW-0403</x:v>
      </x:c>
      <x:c r="B404" s="48" t="str">
        <x:v>YELLOW</x:v>
      </x:c>
      <x:c r="C404" s="48" t="str">
        <x:v>English</x:v>
      </x:c>
      <x:c r="D404" s="48" t="n">
        <x:v>34</x:v>
      </x:c>
      <x:c r="E404" s="48" t="str"/>
      <x:c r="F404" s="48" t="str">
        <x:v>Unless otherwise stated in the Particular Conditions, monthly progress reports shall be prepared by the Contractor and submitted to the Engineer in six copies.</x:v>
      </x:c>
      <x:c r="G404" s="48" t="str">
        <x:v>Obligation</x:v>
      </x:c>
      <x:c r="H404" s="48" t="str">
        <x:v>Contractor</x:v>
      </x:c>
      <x:c r="I404" s="48" t="n">
        <x:v>0.88</x:v>
      </x:c>
      <x:c r="J404" s="48" t="n">
        <x:v>0.68</x:v>
      </x:c>
      <x:c r="K404" s="48" t="str">
        <x:v>Yes</x:v>
      </x:c>
      <x:c r="L404" s="48" t="str">
        <x:v>PDF text</x:v>
      </x:c>
    </x:row>
    <x:row r="405">
      <x:c r="A405" s="48" t="str">
        <x:v>YELLOW-0404</x:v>
      </x:c>
      <x:c r="B405" s="48" t="str">
        <x:v>YELLOW</x:v>
      </x:c>
      <x:c r="C405" s="48" t="str">
        <x:v>English</x:v>
      </x:c>
      <x:c r="D405" s="48" t="n">
        <x:v>34</x:v>
      </x:c>
      <x:c r="E405" s="48" t="str"/>
      <x:c r="F405" s="48" t="str">
        <x:v>The first report shall cover the period up to the end of the first calendar month following the Commencement Date.</x:v>
      </x:c>
      <x:c r="G405" s="48" t="str">
        <x:v>Obligation</x:v>
      </x:c>
      <x:c r="H405" s="48" t="str">
        <x:v>Shared</x:v>
      </x:c>
      <x:c r="I405" s="48" t="n">
        <x:v>0.88</x:v>
      </x:c>
      <x:c r="J405" s="48" t="n">
        <x:v>0.4</x:v>
      </x:c>
      <x:c r="K405" s="48" t="str">
        <x:v>Yes</x:v>
      </x:c>
      <x:c r="L405" s="48" t="str">
        <x:v>PDF text</x:v>
      </x:c>
    </x:row>
    <x:row r="406">
      <x:c r="A406" s="48" t="str">
        <x:v>YELLOW-0405</x:v>
      </x:c>
      <x:c r="B406" s="48" t="str">
        <x:v>YELLOW</x:v>
      </x:c>
      <x:c r="C406" s="48" t="str">
        <x:v>English</x:v>
      </x:c>
      <x:c r="D406" s="48" t="n">
        <x:v>34</x:v>
      </x:c>
      <x:c r="E406" s="48" t="str"/>
      <x:c r="F406" s="48" t="str">
        <x:v>Reports shall be submitted monthly thereafter, each within 7 days after the last day of the period to which it relates.</x:v>
      </x:c>
      <x:c r="G406" s="48" t="str">
        <x:v>Obligation</x:v>
      </x:c>
      <x:c r="H406" s="48" t="str">
        <x:v>Shared</x:v>
      </x:c>
      <x:c r="I406" s="48" t="n">
        <x:v>0.88</x:v>
      </x:c>
      <x:c r="J406" s="48" t="n">
        <x:v>0.4</x:v>
      </x:c>
      <x:c r="K406" s="48" t="str">
        <x:v>Yes</x:v>
      </x:c>
      <x:c r="L406" s="48" t="str">
        <x:v>PDF text</x:v>
      </x:c>
    </x:row>
    <x:row r="407">
      <x:c r="A407" s="48" t="str">
        <x:v>YELLOW-0406</x:v>
      </x:c>
      <x:c r="B407" s="48" t="str">
        <x:v>YELLOW</x:v>
      </x:c>
      <x:c r="C407" s="48" t="str">
        <x:v>English</x:v>
      </x:c>
      <x:c r="D407" s="48" t="n">
        <x:v>34</x:v>
      </x:c>
      <x:c r="E407" s="48" t="str"/>
      <x:c r="F407" s="48" t="str">
        <x:v>Reporting shall continue until the Contractor has completed all work which is known to be outstanding at the completion date stated in the Taking-Over Certificate for the Works.</x:v>
      </x:c>
      <x:c r="G407" s="48" t="str">
        <x:v>Obligation</x:v>
      </x:c>
      <x:c r="H407" s="48" t="str">
        <x:v>Contractor</x:v>
      </x:c>
      <x:c r="I407" s="48" t="n">
        <x:v>0.88</x:v>
      </x:c>
      <x:c r="J407" s="48" t="n">
        <x:v>0.68</x:v>
      </x:c>
      <x:c r="K407" s="48" t="str">
        <x:v>Yes</x:v>
      </x:c>
      <x:c r="L407" s="48" t="str">
        <x:v>PDF text</x:v>
      </x:c>
    </x:row>
    <x:row r="408">
      <x:c r="A408" s="48" t="str">
        <x:v>YELLOW-0407</x:v>
      </x:c>
      <x:c r="B408" s="48" t="str">
        <x:v>YELLOW</x:v>
      </x:c>
      <x:c r="C408" s="48" t="str">
        <x:v>English</x:v>
      </x:c>
      <x:c r="D408" s="48" t="n">
        <x:v>34</x:v>
      </x:c>
      <x:c r="E408" s="48" t="str"/>
      <x:c r="F408" s="48" t="str">
        <x:v>Each report shall include: 4.19</x:v>
      </x:c>
      <x:c r="G408" s="48" t="str">
        <x:v>Obligation</x:v>
      </x:c>
      <x:c r="H408" s="48" t="str">
        <x:v>Shared</x:v>
      </x:c>
      <x:c r="I408" s="48" t="n">
        <x:v>0.88</x:v>
      </x:c>
      <x:c r="J408" s="48" t="n">
        <x:v>0.4</x:v>
      </x:c>
      <x:c r="K408" s="48" t="str">
        <x:v>Yes</x:v>
      </x:c>
      <x:c r="L408" s="48" t="str">
        <x:v>PDF text</x:v>
      </x:c>
    </x:row>
    <x:row r="409">
      <x:c r="A409" s="48" t="str">
        <x:v>YELLOW-0408</x:v>
      </x:c>
      <x:c r="B409" s="48" t="str">
        <x:v>YELLOW</x:v>
      </x:c>
      <x:c r="C409" s="48" t="str">
        <x:v>English</x:v>
      </x:c>
      <x:c r="D409" s="48" t="n">
        <x:v>34</x:v>
      </x:c>
      <x:c r="E409" s="48" t="str"/>
      <x:c r="F409" s="48" t="str">
        <x:v>Electricity, Water and</x:v>
      </x:c>
      <x:c r="G409" s="48" t="str">
        <x:v>Obligation</x:v>
      </x:c>
      <x:c r="H409" s="48" t="str">
        <x:v>Shared</x:v>
      </x:c>
      <x:c r="I409" s="48" t="n">
        <x:v>0.45</x:v>
      </x:c>
      <x:c r="J409" s="48" t="n">
        <x:v>0.4</x:v>
      </x:c>
      <x:c r="K409" s="48" t="str">
        <x:v>Yes</x:v>
      </x:c>
      <x:c r="L409" s="48" t="str">
        <x:v>PDF text</x:v>
      </x:c>
    </x:row>
    <x:row r="410">
      <x:c r="A410" s="48" t="str">
        <x:v>YELLOW-0409</x:v>
      </x:c>
      <x:c r="B410" s="48" t="str">
        <x:v>YELLOW</x:v>
      </x:c>
      <x:c r="C410" s="48" t="str">
        <x:v>English</x:v>
      </x:c>
      <x:c r="D410" s="48" t="n">
        <x:v>34</x:v>
      </x:c>
      <x:c r="E410" s="48" t="str"/>
      <x:c r="F410" s="48" t="str">
        <x:v>Employer’s Equipment</x:v>
      </x:c>
      <x:c r="G410" s="48" t="str">
        <x:v>Obligation</x:v>
      </x:c>
      <x:c r="H410" s="48" t="str">
        <x:v>Employer</x:v>
      </x:c>
      <x:c r="I410" s="48" t="n">
        <x:v>0.45</x:v>
      </x:c>
      <x:c r="J410" s="48" t="n">
        <x:v>0.68</x:v>
      </x:c>
      <x:c r="K410" s="48" t="str">
        <x:v>Yes</x:v>
      </x:c>
      <x:c r="L410" s="48" t="str">
        <x:v>PDF text</x:v>
      </x:c>
    </x:row>
    <x:row r="411">
      <x:c r="A411" s="48" t="str">
        <x:v>YELLOW-0410</x:v>
      </x:c>
      <x:c r="B411" s="48" t="str">
        <x:v>YELLOW</x:v>
      </x:c>
      <x:c r="C411" s="48" t="str">
        <x:v>English</x:v>
      </x:c>
      <x:c r="D411" s="48" t="n">
        <x:v>34</x:v>
      </x:c>
      <x:c r="E411" s="48" t="str"/>
      <x:c r="F411" s="48" t="str">
        <x:v>and Free-Issue Material 4.21</x:v>
      </x:c>
      <x:c r="G411" s="48" t="str">
        <x:v>Obligation</x:v>
      </x:c>
      <x:c r="H411" s="48" t="str">
        <x:v>Shared</x:v>
      </x:c>
      <x:c r="I411" s="48" t="n">
        <x:v>0.45</x:v>
      </x:c>
      <x:c r="J411" s="48" t="n">
        <x:v>0.4</x:v>
      </x:c>
      <x:c r="K411" s="48" t="str">
        <x:v>Yes</x:v>
      </x:c>
      <x:c r="L411" s="48" t="str">
        <x:v>PDF text</x:v>
      </x:c>
    </x:row>
    <x:row r="412">
      <x:c r="A412" s="48" t="str">
        <x:v>YELLOW-0411</x:v>
      </x:c>
      <x:c r="B412" s="48" t="str">
        <x:v>YELLOW</x:v>
      </x:c>
      <x:c r="C412" s="48" t="str">
        <x:v>English</x:v>
      </x:c>
      <x:c r="D412" s="48" t="n">
        <x:v>34</x:v>
      </x:c>
      <x:c r="E412" s="48" t="str"/>
      <x:c r="F412" s="48" t="str">
        <x:v>Progress Reports</x:v>
      </x:c>
      <x:c r="G412" s="48" t="str">
        <x:v>Obligation</x:v>
      </x:c>
      <x:c r="H412" s="48" t="str">
        <x:v>Shared</x:v>
      </x:c>
      <x:c r="I412" s="48" t="n">
        <x:v>0.45</x:v>
      </x:c>
      <x:c r="J412" s="48" t="n">
        <x:v>0.4</x:v>
      </x:c>
      <x:c r="K412" s="48" t="str">
        <x:v>Yes</x:v>
      </x:c>
      <x:c r="L412" s="48" t="str">
        <x:v>PDF text</x:v>
      </x:c>
    </x:row>
    <x:row r="413">
      <x:c r="A413" s="48" t="str">
        <x:v>YELLOW-0412</x:v>
      </x:c>
      <x:c r="B413" s="48" t="str">
        <x:v>YELLOW</x:v>
      </x:c>
      <x:c r="C413" s="48" t="str">
        <x:v>English</x:v>
      </x:c>
      <x:c r="D413" s="48" t="n">
        <x:v>35</x:v>
      </x:c>
      <x:c r="E413" s="48" t="str"/>
      <x:c r="F413" s="48" t="str">
        <x:v>(a) charts and detailed descriptions of progress, including each stage of design,</x:v>
      </x:c>
      <x:c r="G413" s="48" t="str">
        <x:v>Obligation</x:v>
      </x:c>
      <x:c r="H413" s="48" t="str">
        <x:v>Shared</x:v>
      </x:c>
      <x:c r="I413" s="48" t="n">
        <x:v>0.45</x:v>
      </x:c>
      <x:c r="J413" s="48" t="n">
        <x:v>0.4</x:v>
      </x:c>
      <x:c r="K413" s="48" t="str">
        <x:v>Yes</x:v>
      </x:c>
      <x:c r="L413" s="48" t="str">
        <x:v>PDF text</x:v>
      </x:c>
    </x:row>
    <x:row r="414">
      <x:c r="A414" s="48" t="str">
        <x:v>YELLOW-0413</x:v>
      </x:c>
      <x:c r="B414" s="48" t="str">
        <x:v>YELLOW</x:v>
      </x:c>
      <x:c r="C414" s="48" t="str">
        <x:v>English</x:v>
      </x:c>
      <x:c r="D414" s="48" t="n">
        <x:v>35</x:v>
      </x:c>
      <x:c r="E414" s="48" t="str"/>
      <x:c r="F414" s="48" t="str">
        <x:v>Contractor's Documents, procurement, manufacture, delivery to Site,</x:v>
      </x:c>
      <x:c r="G414" s="48" t="str">
        <x:v>Obligation</x:v>
      </x:c>
      <x:c r="H414" s="48" t="str">
        <x:v>Contractor</x:v>
      </x:c>
      <x:c r="I414" s="48" t="n">
        <x:v>0.45</x:v>
      </x:c>
      <x:c r="J414" s="48" t="n">
        <x:v>0.68</x:v>
      </x:c>
      <x:c r="K414" s="48" t="str">
        <x:v>Yes</x:v>
      </x:c>
      <x:c r="L414" s="48" t="str">
        <x:v>PDF text</x:v>
      </x:c>
    </x:row>
    <x:row r="415">
      <x:c r="A415" s="48" t="str">
        <x:v>YELLOW-0414</x:v>
      </x:c>
      <x:c r="B415" s="48" t="str">
        <x:v>YELLOW</x:v>
      </x:c>
      <x:c r="C415" s="48" t="str">
        <x:v>English</x:v>
      </x:c>
      <x:c r="D415" s="48" t="n">
        <x:v>35</x:v>
      </x:c>
      <x:c r="E415" s="48" t="str"/>
      <x:c r="F415" s="48" t="str">
        <x:v>construction, erection, testing, commissioning and trial operation; (b) photographs showing the status of manufacture and of progress on the Site; (c) for the manufacture of each main item of Plant and Materials, the name of the manufacturer, manufacture location, percentage progress, and the actual or expected dates of: (i) commencement of manufacture, (ii)</x:v>
      </x:c>
      <x:c r="G415" s="48" t="str">
        <x:v>Obligation</x:v>
      </x:c>
      <x:c r="H415" s="48" t="str">
        <x:v>Shared</x:v>
      </x:c>
      <x:c r="I415" s="48" t="n">
        <x:v>0.45</x:v>
      </x:c>
      <x:c r="J415" s="48" t="n">
        <x:v>0.4</x:v>
      </x:c>
      <x:c r="K415" s="48" t="str">
        <x:v>Yes</x:v>
      </x:c>
      <x:c r="L415" s="48" t="str">
        <x:v>PDF text</x:v>
      </x:c>
    </x:row>
    <x:row r="416">
      <x:c r="A416" s="48" t="str">
        <x:v>YELLOW-0415</x:v>
      </x:c>
      <x:c r="B416" s="48" t="str">
        <x:v>YELLOW</x:v>
      </x:c>
      <x:c r="C416" s="48" t="str">
        <x:v>English</x:v>
      </x:c>
      <x:c r="D416" s="48" t="n">
        <x:v>35</x:v>
      </x:c>
      <x:c r="E416" s="48" t="str"/>
      <x:c r="F416" s="48" t="str">
        <x:v>Contractor's inspections,</x:v>
      </x:c>
      <x:c r="G416" s="48" t="str">
        <x:v>Obligation</x:v>
      </x:c>
      <x:c r="H416" s="48" t="str">
        <x:v>Contractor</x:v>
      </x:c>
      <x:c r="I416" s="48" t="n">
        <x:v>0.45</x:v>
      </x:c>
      <x:c r="J416" s="48" t="n">
        <x:v>0.68</x:v>
      </x:c>
      <x:c r="K416" s="48" t="str">
        <x:v>Yes</x:v>
      </x:c>
      <x:c r="L416" s="48" t="str">
        <x:v>PDF text</x:v>
      </x:c>
    </x:row>
    <x:row r="417">
      <x:c r="A417" s="48" t="str">
        <x:v>YELLOW-0416</x:v>
      </x:c>
      <x:c r="B417" s="48" t="str">
        <x:v>YELLOW</x:v>
      </x:c>
      <x:c r="C417" s="48" t="str">
        <x:v>English</x:v>
      </x:c>
      <x:c r="D417" s="48" t="n">
        <x:v>35</x:v>
      </x:c>
      <x:c r="E417" s="48" t="str"/>
      <x:c r="F417" s="48" t="str">
        <x:v>(iii) tests, and (iv) shipment and arrival at the Site; (d) the details described in Sub-Clause 6.10 [Records of Contractor's Personnel and Equipment]; (e) copies of quality assurance documents, test results and certificates of Materials; (f) list of Variations, notices given under Sub-Clause 2.5 [Employer's Claims] and notices given under Sub-Clause 20.1 [Contractor's Claims]; (g) safety statistics, including details of any hazardous incidents and activities relating to environmental aspects and public relations; and (h) comparisons of actual and planned progress, with details of any events or circumstances which may jeopardise the completion in accordance with the Contract, and the measures being (or to be) adopted to overcome delays.</x:v>
      </x:c>
      <x:c r="G417" s="48" t="str">
        <x:v>Right</x:v>
      </x:c>
      <x:c r="H417" s="48" t="str">
        <x:v>Shared</x:v>
      </x:c>
      <x:c r="I417" s="48" t="n">
        <x:v>0.78</x:v>
      </x:c>
      <x:c r="J417" s="48" t="n">
        <x:v>0.6</x:v>
      </x:c>
      <x:c r="K417" s="48" t="str">
        <x:v>Yes</x:v>
      </x:c>
      <x:c r="L417" s="48" t="str">
        <x:v>PDF text</x:v>
      </x:c>
    </x:row>
    <x:row r="418">
      <x:c r="A418" s="48" t="str">
        <x:v>YELLOW-0417</x:v>
      </x:c>
      <x:c r="B418" s="48" t="str">
        <x:v>YELLOW</x:v>
      </x:c>
      <x:c r="C418" s="48" t="str">
        <x:v>English</x:v>
      </x:c>
      <x:c r="D418" s="48" t="n">
        <x:v>35</x:v>
      </x:c>
      <x:c r="E418" s="48" t="str"/>
      <x:c r="F418" s="48" t="str">
        <x:v>Unless otherwise stated in the Particular Conditions: (a) the Contractor shall be responsible for keeping unauthorised persons off the</x:v>
      </x:c>
      <x:c r="G418" s="48" t="str">
        <x:v>Obligation</x:v>
      </x:c>
      <x:c r="H418" s="48" t="str">
        <x:v>Contractor</x:v>
      </x:c>
      <x:c r="I418" s="48" t="n">
        <x:v>0.88</x:v>
      </x:c>
      <x:c r="J418" s="48" t="n">
        <x:v>0.92</x:v>
      </x:c>
      <x:c r="K418" s="48" t="str">
        <x:v>No</x:v>
      </x:c>
      <x:c r="L418" s="48" t="str">
        <x:v>PDF text</x:v>
      </x:c>
    </x:row>
    <x:row r="419">
      <x:c r="A419" s="48" t="str">
        <x:v>YELLOW-0418</x:v>
      </x:c>
      <x:c r="B419" s="48" t="str">
        <x:v>YELLOW</x:v>
      </x:c>
      <x:c r="C419" s="48" t="str">
        <x:v>English</x:v>
      </x:c>
      <x:c r="D419" s="48" t="n">
        <x:v>35</x:v>
      </x:c>
      <x:c r="E419" s="48" t="str"/>
      <x:c r="F419" s="48" t="str">
        <x:v>Site, and</x:v>
      </x:c>
      <x:c r="G419" s="48" t="str">
        <x:v>Obligation</x:v>
      </x:c>
      <x:c r="H419" s="48" t="str">
        <x:v>Shared</x:v>
      </x:c>
      <x:c r="I419" s="48" t="n">
        <x:v>0.45</x:v>
      </x:c>
      <x:c r="J419" s="48" t="n">
        <x:v>0.4</x:v>
      </x:c>
      <x:c r="K419" s="48" t="str">
        <x:v>Yes</x:v>
      </x:c>
      <x:c r="L419" s="48" t="str">
        <x:v>PDF text</x:v>
      </x:c>
    </x:row>
    <x:row r="420">
      <x:c r="A420" s="48" t="str">
        <x:v>YELLOW-0419</x:v>
      </x:c>
      <x:c r="B420" s="48" t="str">
        <x:v>YELLOW</x:v>
      </x:c>
      <x:c r="C420" s="48" t="str">
        <x:v>English</x:v>
      </x:c>
      <x:c r="D420" s="48" t="n">
        <x:v>35</x:v>
      </x:c>
      <x:c r="E420" s="48" t="str"/>
      <x:c r="F420" s="48" t="str">
        <x:v>(b) authorised persons shall be limited to the Contractor's Personnel and the Employer's Personnel; and to any other personnel notified to the Contractor, by the Employer or the Engineer, as authorised personnel of the Employer's other contractors on the Site.</x:v>
      </x:c>
      <x:c r="G420" s="48" t="str">
        <x:v>Obligation</x:v>
      </x:c>
      <x:c r="H420" s="48" t="str">
        <x:v>Shared</x:v>
      </x:c>
      <x:c r="I420" s="48" t="n">
        <x:v>0.88</x:v>
      </x:c>
      <x:c r="J420" s="48" t="n">
        <x:v>0.6</x:v>
      </x:c>
      <x:c r="K420" s="48" t="str">
        <x:v>Yes</x:v>
      </x:c>
      <x:c r="L420" s="48" t="str">
        <x:v>PDF text</x:v>
      </x:c>
    </x:row>
    <x:row r="421">
      <x:c r="A421" s="48" t="str">
        <x:v>YELLOW-0420</x:v>
      </x:c>
      <x:c r="B421" s="48" t="str">
        <x:v>YELLOW</x:v>
      </x:c>
      <x:c r="C421" s="48" t="str">
        <x:v>English</x:v>
      </x:c>
      <x:c r="D421" s="48" t="n">
        <x:v>35</x:v>
      </x:c>
      <x:c r="E421" s="48" t="str"/>
      <x:c r="F421" s="48" t="str">
        <x:v>The Contractor shall confine his operations to the Site, and to any additional areas which may be obtained by the Contractor and agreed by the Engineer as working areas.</x:v>
      </x:c>
      <x:c r="G421" s="48" t="str">
        <x:v>Obligation</x:v>
      </x:c>
      <x:c r="H421" s="48" t="str">
        <x:v>Contractor</x:v>
      </x:c>
      <x:c r="I421" s="48" t="n">
        <x:v>0.88</x:v>
      </x:c>
      <x:c r="J421" s="48" t="n">
        <x:v>0.92</x:v>
      </x:c>
      <x:c r="K421" s="48" t="str">
        <x:v>No</x:v>
      </x:c>
      <x:c r="L421" s="48" t="str">
        <x:v>PDF text</x:v>
      </x:c>
    </x:row>
    <x:row r="422">
      <x:c r="A422" s="48" t="str">
        <x:v>YELLOW-0421</x:v>
      </x:c>
      <x:c r="B422" s="48" t="str">
        <x:v>YELLOW</x:v>
      </x:c>
      <x:c r="C422" s="48" t="str">
        <x:v>English</x:v>
      </x:c>
      <x:c r="D422" s="48" t="n">
        <x:v>35</x:v>
      </x:c>
      <x:c r="E422" s="48" t="str"/>
      <x:c r="F422" s="48" t="str">
        <x:v>The Contractor shall take all necessary precautions to keep Contractor's Equipment and Contractor's Personnel within the Site and these additional areas, and to keep them off adjacent land.</x:v>
      </x:c>
      <x:c r="G422" s="48" t="str">
        <x:v>Obligation</x:v>
      </x:c>
      <x:c r="H422" s="48" t="str">
        <x:v>Contractor</x:v>
      </x:c>
      <x:c r="I422" s="48" t="n">
        <x:v>0.88</x:v>
      </x:c>
      <x:c r="J422" s="48" t="n">
        <x:v>0.92</x:v>
      </x:c>
      <x:c r="K422" s="48" t="str">
        <x:v>No</x:v>
      </x:c>
      <x:c r="L422" s="48" t="str">
        <x:v>PDF text</x:v>
      </x:c>
    </x:row>
    <x:row r="423">
      <x:c r="A423" s="48" t="str">
        <x:v>YELLOW-0422</x:v>
      </x:c>
      <x:c r="B423" s="48" t="str">
        <x:v>YELLOW</x:v>
      </x:c>
      <x:c r="C423" s="48" t="str">
        <x:v>English</x:v>
      </x:c>
      <x:c r="D423" s="48" t="n">
        <x:v>35</x:v>
      </x:c>
      <x:c r="E423" s="48" t="str"/>
      <x:c r="F423" s="48" t="str">
        <x:v>During the execution of the Works, the Contractor shall keep the Site free from all unnecessary obstruction, and shall store or dispose of any Contractor's Equipment or surplus materials.</x:v>
      </x:c>
      <x:c r="G423" s="48" t="str">
        <x:v>Obligation</x:v>
      </x:c>
      <x:c r="H423" s="48" t="str">
        <x:v>Contractor</x:v>
      </x:c>
      <x:c r="I423" s="48" t="n">
        <x:v>0.88</x:v>
      </x:c>
      <x:c r="J423" s="48" t="n">
        <x:v>0.92</x:v>
      </x:c>
      <x:c r="K423" s="48" t="str">
        <x:v>No</x:v>
      </x:c>
      <x:c r="L423" s="48" t="str">
        <x:v>PDF text</x:v>
      </x:c>
    </x:row>
    <x:row r="424">
      <x:c r="A424" s="48" t="str">
        <x:v>YELLOW-0423</x:v>
      </x:c>
      <x:c r="B424" s="48" t="str">
        <x:v>YELLOW</x:v>
      </x:c>
      <x:c r="C424" s="48" t="str">
        <x:v>English</x:v>
      </x:c>
      <x:c r="D424" s="48" t="n">
        <x:v>35</x:v>
      </x:c>
      <x:c r="E424" s="48" t="str"/>
      <x:c r="F424" s="48" t="str">
        <x:v>The Contractor shall clear away and remove from the Site any wreckage, rubbish and Temporary Works which are no longer required.</x:v>
      </x:c>
      <x:c r="G424" s="48" t="str">
        <x:v>Obligation</x:v>
      </x:c>
      <x:c r="H424" s="48" t="str">
        <x:v>Contractor</x:v>
      </x:c>
      <x:c r="I424" s="48" t="n">
        <x:v>0.88</x:v>
      </x:c>
      <x:c r="J424" s="48" t="n">
        <x:v>0.92</x:v>
      </x:c>
      <x:c r="K424" s="48" t="str">
        <x:v>No</x:v>
      </x:c>
      <x:c r="L424" s="48" t="str">
        <x:v>PDF text</x:v>
      </x:c>
    </x:row>
    <x:row r="425">
      <x:c r="A425" s="48" t="str">
        <x:v>YELLOW-0424</x:v>
      </x:c>
      <x:c r="B425" s="48" t="str">
        <x:v>YELLOW</x:v>
      </x:c>
      <x:c r="C425" s="48" t="str">
        <x:v>English</x:v>
      </x:c>
      <x:c r="D425" s="48" t="n">
        <x:v>35</x:v>
      </x:c>
      <x:c r="E425" s="48" t="str"/>
      <x:c r="F425" s="48" t="str">
        <x:v>Upon the issue of a Taking-Over Certificate, the Contractor shall clear away and</x:v>
      </x:c>
      <x:c r="G425" s="48" t="str">
        <x:v>Obligation</x:v>
      </x:c>
      <x:c r="H425" s="48" t="str">
        <x:v>Contractor</x:v>
      </x:c>
      <x:c r="I425" s="48" t="n">
        <x:v>0.88</x:v>
      </x:c>
      <x:c r="J425" s="48" t="n">
        <x:v>0.92</x:v>
      </x:c>
      <x:c r="K425" s="48" t="str">
        <x:v>No</x:v>
      </x:c>
      <x:c r="L425" s="48" t="str">
        <x:v>PDF text</x:v>
      </x:c>
    </x:row>
    <x:row r="426">
      <x:c r="A426" s="48" t="str">
        <x:v>YELLOW-0425</x:v>
      </x:c>
      <x:c r="B426" s="48" t="str">
        <x:v>YELLOW</x:v>
      </x:c>
      <x:c r="C426" s="48" t="str">
        <x:v>English</x:v>
      </x:c>
      <x:c r="D426" s="48" t="n">
        <x:v>35</x:v>
      </x:c>
      <x:c r="E426" s="48" t="str"/>
      <x:c r="F426" s="48" t="str">
        <x:v>remove, from that part of the Site and Works to which the Taking-Over Certificate refers, all Contractor's Equipment, surplus material, wreckage, rubbish and Temporary Works.</x:v>
      </x:c>
      <x:c r="G426" s="48" t="str">
        <x:v>Obligation</x:v>
      </x:c>
      <x:c r="H426" s="48" t="str">
        <x:v>Contractor</x:v>
      </x:c>
      <x:c r="I426" s="48" t="n">
        <x:v>0.55</x:v>
      </x:c>
      <x:c r="J426" s="48" t="n">
        <x:v>0.68</x:v>
      </x:c>
      <x:c r="K426" s="48" t="str">
        <x:v>Yes</x:v>
      </x:c>
      <x:c r="L426" s="48" t="str">
        <x:v>PDF text</x:v>
      </x:c>
    </x:row>
    <x:row r="427">
      <x:c r="A427" s="48" t="str">
        <x:v>YELLOW-0426</x:v>
      </x:c>
      <x:c r="B427" s="48" t="str">
        <x:v>YELLOW</x:v>
      </x:c>
      <x:c r="C427" s="48" t="str">
        <x:v>English</x:v>
      </x:c>
      <x:c r="D427" s="48" t="n">
        <x:v>35</x:v>
      </x:c>
      <x:c r="E427" s="48" t="str"/>
      <x:c r="F427" s="48" t="str">
        <x:v>The Contractor shall leave that part of the Site and the Works in a clean and safe condition.</x:v>
      </x:c>
      <x:c r="G427" s="48" t="str">
        <x:v>Obligation</x:v>
      </x:c>
      <x:c r="H427" s="48" t="str">
        <x:v>Contractor</x:v>
      </x:c>
      <x:c r="I427" s="48" t="n">
        <x:v>0.88</x:v>
      </x:c>
      <x:c r="J427" s="48" t="n">
        <x:v>0.92</x:v>
      </x:c>
      <x:c r="K427" s="48" t="str">
        <x:v>No</x:v>
      </x:c>
      <x:c r="L427" s="48" t="str">
        <x:v>PDF text</x:v>
      </x:c>
    </x:row>
    <x:row r="428">
      <x:c r="A428" s="48" t="str">
        <x:v>YELLOW-0427</x:v>
      </x:c>
      <x:c r="B428" s="48" t="str">
        <x:v>YELLOW</x:v>
      </x:c>
      <x:c r="C428" s="48" t="str">
        <x:v>English</x:v>
      </x:c>
      <x:c r="D428" s="48" t="n">
        <x:v>35</x:v>
      </x:c>
      <x:c r="E428" s="48" t="str"/>
      <x:c r="F428" s="48" t="str">
        <x:v>However, the Contractor may retain on Site, during the Defects Notification Period, such Goods as are required for the Contractor to fulfil obligations under the Contract.</x:v>
      </x:c>
      <x:c r="G428" s="48" t="str">
        <x:v>Right</x:v>
      </x:c>
      <x:c r="H428" s="48" t="str">
        <x:v>Contractor</x:v>
      </x:c>
      <x:c r="I428" s="48" t="n">
        <x:v>0.78</x:v>
      </x:c>
      <x:c r="J428" s="48" t="n">
        <x:v>0.92</x:v>
      </x:c>
      <x:c r="K428" s="48" t="str">
        <x:v>No</x:v>
      </x:c>
      <x:c r="L428" s="48" t="str">
        <x:v>PDF text</x:v>
      </x:c>
    </x:row>
    <x:row r="429">
      <x:c r="A429" s="48" t="str">
        <x:v>YELLOW-0428</x:v>
      </x:c>
      <x:c r="B429" s="48" t="str">
        <x:v>YELLOW</x:v>
      </x:c>
      <x:c r="C429" s="48" t="str">
        <x:v>English</x:v>
      </x:c>
      <x:c r="D429" s="48" t="n">
        <x:v>35</x:v>
      </x:c>
      <x:c r="E429" s="48" t="str"/>
      <x:c r="F429" s="48" t="str">
        <x:v>Security of the Site</x:v>
      </x:c>
      <x:c r="G429" s="48" t="str">
        <x:v>Obligation</x:v>
      </x:c>
      <x:c r="H429" s="48" t="str">
        <x:v>Shared</x:v>
      </x:c>
      <x:c r="I429" s="48" t="n">
        <x:v>0.45</x:v>
      </x:c>
      <x:c r="J429" s="48" t="n">
        <x:v>0.4</x:v>
      </x:c>
      <x:c r="K429" s="48" t="str">
        <x:v>Yes</x:v>
      </x:c>
      <x:c r="L429" s="48" t="str">
        <x:v>PDF text</x:v>
      </x:c>
    </x:row>
    <x:row r="430">
      <x:c r="A430" s="48" t="str">
        <x:v>YELLOW-0429</x:v>
      </x:c>
      <x:c r="B430" s="48" t="str">
        <x:v>YELLOW</x:v>
      </x:c>
      <x:c r="C430" s="48" t="str">
        <x:v>English</x:v>
      </x:c>
      <x:c r="D430" s="48" t="n">
        <x:v>35</x:v>
      </x:c>
      <x:c r="E430" s="48" t="str"/>
      <x:c r="F430" s="48" t="str">
        <x:v>Contractor’s Operations</x:v>
      </x:c>
      <x:c r="G430" s="48" t="str">
        <x:v>Obligation</x:v>
      </x:c>
      <x:c r="H430" s="48" t="str">
        <x:v>Contractor</x:v>
      </x:c>
      <x:c r="I430" s="48" t="n">
        <x:v>0.45</x:v>
      </x:c>
      <x:c r="J430" s="48" t="n">
        <x:v>0.68</x:v>
      </x:c>
      <x:c r="K430" s="48" t="str">
        <x:v>Yes</x:v>
      </x:c>
      <x:c r="L430" s="48" t="str">
        <x:v>PDF text</x:v>
      </x:c>
    </x:row>
    <x:row r="431">
      <x:c r="A431" s="48" t="str">
        <x:v>YELLOW-0430</x:v>
      </x:c>
      <x:c r="B431" s="48" t="str">
        <x:v>YELLOW</x:v>
      </x:c>
      <x:c r="C431" s="48" t="str">
        <x:v>English</x:v>
      </x:c>
      <x:c r="D431" s="48" t="n">
        <x:v>36</x:v>
      </x:c>
      <x:c r="E431" s="48" t="str"/>
      <x:c r="F431" s="48" t="str">
        <x:v>All fossils, coins, articles of value or antiquity, and structures and other remains or items of geological or archaeological interest found on the Site shall be placed under the care and authority of the Employer.</x:v>
      </x:c>
      <x:c r="G431" s="48" t="str">
        <x:v>Obligation</x:v>
      </x:c>
      <x:c r="H431" s="48" t="str">
        <x:v>Employer</x:v>
      </x:c>
      <x:c r="I431" s="48" t="n">
        <x:v>0.88</x:v>
      </x:c>
      <x:c r="J431" s="48" t="n">
        <x:v>0.68</x:v>
      </x:c>
      <x:c r="K431" s="48" t="str">
        <x:v>Yes</x:v>
      </x:c>
      <x:c r="L431" s="48" t="str">
        <x:v>PDF text</x:v>
      </x:c>
    </x:row>
    <x:row r="432">
      <x:c r="A432" s="48" t="str">
        <x:v>YELLOW-0431</x:v>
      </x:c>
      <x:c r="B432" s="48" t="str">
        <x:v>YELLOW</x:v>
      </x:c>
      <x:c r="C432" s="48" t="str">
        <x:v>English</x:v>
      </x:c>
      <x:c r="D432" s="48" t="n">
        <x:v>36</x:v>
      </x:c>
      <x:c r="E432" s="48" t="str"/>
      <x:c r="F432" s="48" t="str">
        <x:v>The Contractor shall take reasonable precautions to prevent Contractor's Personnel or other persons from removing or damaging any of these findings.</x:v>
      </x:c>
      <x:c r="G432" s="48" t="str">
        <x:v>Obligation</x:v>
      </x:c>
      <x:c r="H432" s="48" t="str">
        <x:v>Contractor</x:v>
      </x:c>
      <x:c r="I432" s="48" t="n">
        <x:v>0.88</x:v>
      </x:c>
      <x:c r="J432" s="48" t="n">
        <x:v>0.92</x:v>
      </x:c>
      <x:c r="K432" s="48" t="str">
        <x:v>No</x:v>
      </x:c>
      <x:c r="L432" s="48" t="str">
        <x:v>PDF text</x:v>
      </x:c>
    </x:row>
    <x:row r="433">
      <x:c r="A433" s="48" t="str">
        <x:v>YELLOW-0432</x:v>
      </x:c>
      <x:c r="B433" s="48" t="str">
        <x:v>YELLOW</x:v>
      </x:c>
      <x:c r="C433" s="48" t="str">
        <x:v>English</x:v>
      </x:c>
      <x:c r="D433" s="48" t="n">
        <x:v>36</x:v>
      </x:c>
      <x:c r="E433" s="48" t="str"/>
      <x:c r="F433" s="48" t="str">
        <x:v>The Contractor shall, upon discovery of any such finding, promptly give notice to the Engineer, who shall issue instructions for dealing with it.</x:v>
      </x:c>
      <x:c r="G433" s="48" t="str">
        <x:v>Obligation</x:v>
      </x:c>
      <x:c r="H433" s="48" t="str">
        <x:v>Contractor</x:v>
      </x:c>
      <x:c r="I433" s="48" t="n">
        <x:v>0.88</x:v>
      </x:c>
      <x:c r="J433" s="48" t="n">
        <x:v>0.92</x:v>
      </x:c>
      <x:c r="K433" s="48" t="str">
        <x:v>No</x:v>
      </x:c>
      <x:c r="L433" s="48" t="str">
        <x:v>PDF text</x:v>
      </x:c>
    </x:row>
    <x:row r="434">
      <x:c r="A434" s="48" t="str">
        <x:v>YELLOW-0433</x:v>
      </x:c>
      <x:c r="B434" s="48" t="str">
        <x:v>YELLOW</x:v>
      </x:c>
      <x:c r="C434" s="48" t="str">
        <x:v>English</x:v>
      </x:c>
      <x:c r="D434" s="48" t="n">
        <x:v>36</x:v>
      </x:c>
      <x:c r="E434" s="48" t="str"/>
      <x:c r="F434" s="48" t="str">
        <x:v>If the Contractor suffers delay and/or incurs Cost from complying with the instructions, the Contractor shall give a further notice to the Engineer and shall be entitled subject to Sub-Clause 20.1 [Contractor's Claims] to: (a) an extension of time for any such delay, if completion is or will be delayed, under Sub-Clause 8.4 [Extension of Time for Completion], and (b) payment of any such Cost, which shall be included in the Contract Price.</x:v>
      </x:c>
      <x:c r="G434" s="48" t="str">
        <x:v>Risk</x:v>
      </x:c>
      <x:c r="H434" s="48" t="str">
        <x:v>Contractor</x:v>
      </x:c>
      <x:c r="I434" s="48" t="n">
        <x:v>0.78</x:v>
      </x:c>
      <x:c r="J434" s="48" t="n">
        <x:v>0.92</x:v>
      </x:c>
      <x:c r="K434" s="48" t="str">
        <x:v>No</x:v>
      </x:c>
      <x:c r="L434" s="48" t="str">
        <x:v>PDF text</x:v>
      </x:c>
    </x:row>
    <x:row r="435">
      <x:c r="A435" s="48" t="str">
        <x:v>YELLOW-0434</x:v>
      </x:c>
      <x:c r="B435" s="48" t="str">
        <x:v>YELLOW</x:v>
      </x:c>
      <x:c r="C435" s="48" t="str">
        <x:v>English</x:v>
      </x:c>
      <x:c r="D435" s="48" t="n">
        <x:v>36</x:v>
      </x:c>
      <x:c r="E435" s="48" t="str"/>
      <x:c r="F435" s="48" t="str">
        <x:v>After receiving this further notice, the Engineer shall proceed in accordance with SubClause 3.5 [Determinations] to agree or determine these matters.</x:v>
      </x:c>
      <x:c r="G435" s="48" t="str">
        <x:v>Obligation</x:v>
      </x:c>
      <x:c r="H435" s="48" t="str">
        <x:v>Shared</x:v>
      </x:c>
      <x:c r="I435" s="48" t="n">
        <x:v>0.88</x:v>
      </x:c>
      <x:c r="J435" s="48" t="n">
        <x:v>0.4</x:v>
      </x:c>
      <x:c r="K435" s="48" t="str">
        <x:v>Yes</x:v>
      </x:c>
      <x:c r="L435" s="48" t="str">
        <x:v>PDF text</x:v>
      </x:c>
    </x:row>
    <x:row r="436">
      <x:c r="A436" s="48" t="str">
        <x:v>YELLOW-0435</x:v>
      </x:c>
      <x:c r="B436" s="48" t="str">
        <x:v>YELLOW</x:v>
      </x:c>
      <x:c r="C436" s="48" t="str">
        <x:v>English</x:v>
      </x:c>
      <x:c r="D436" s="48" t="n">
        <x:v>36</x:v>
      </x:c>
      <x:c r="E436" s="48" t="str"/>
      <x:c r="F436" s="48" t="str">
        <x:v>The Contractor shall carry out, and be responsible for, the design of the Works.</x:v>
      </x:c>
      <x:c r="G436" s="48" t="str">
        <x:v>Obligation</x:v>
      </x:c>
      <x:c r="H436" s="48" t="str">
        <x:v>Contractor</x:v>
      </x:c>
      <x:c r="I436" s="48" t="n">
        <x:v>0.88</x:v>
      </x:c>
      <x:c r="J436" s="48" t="n">
        <x:v>0.92</x:v>
      </x:c>
      <x:c r="K436" s="48" t="str">
        <x:v>No</x:v>
      </x:c>
      <x:c r="L436" s="48" t="str">
        <x:v>PDF text</x:v>
      </x:c>
    </x:row>
    <x:row r="437">
      <x:c r="A437" s="48" t="str">
        <x:v>YELLOW-0436</x:v>
      </x:c>
      <x:c r="B437" s="48" t="str">
        <x:v>YELLOW</x:v>
      </x:c>
      <x:c r="C437" s="48" t="str">
        <x:v>English</x:v>
      </x:c>
      <x:c r="D437" s="48" t="n">
        <x:v>36</x:v>
      </x:c>
      <x:c r="E437" s="48" t="str"/>
      <x:c r="F437" s="48" t="str">
        <x:v>Design shall be prepared by qualified designers who are engineers or other professionals who comply with the criteria (if any) stated in the Employer's Requirements.</x:v>
      </x:c>
      <x:c r="G437" s="48" t="str">
        <x:v>Obligation</x:v>
      </x:c>
      <x:c r="H437" s="48" t="str">
        <x:v>Employer</x:v>
      </x:c>
      <x:c r="I437" s="48" t="n">
        <x:v>0.88</x:v>
      </x:c>
      <x:c r="J437" s="48" t="n">
        <x:v>0.68</x:v>
      </x:c>
      <x:c r="K437" s="48" t="str">
        <x:v>Yes</x:v>
      </x:c>
      <x:c r="L437" s="48" t="str">
        <x:v>PDF text</x:v>
      </x:c>
    </x:row>
    <x:row r="438">
      <x:c r="A438" s="48" t="str">
        <x:v>YELLOW-0437</x:v>
      </x:c>
      <x:c r="B438" s="48" t="str">
        <x:v>YELLOW</x:v>
      </x:c>
      <x:c r="C438" s="48" t="str">
        <x:v>English</x:v>
      </x:c>
      <x:c r="D438" s="48" t="n">
        <x:v>36</x:v>
      </x:c>
      <x:c r="E438" s="48" t="str"/>
      <x:c r="F438" s="48" t="str">
        <x:v>Unless otherwise stated in the Contract, the Contractor shall submit to the Engineer for consent the name and particulars of each proposed designer and design Subcontractor.</x:v>
      </x:c>
      <x:c r="G438" s="48" t="str">
        <x:v>Obligation</x:v>
      </x:c>
      <x:c r="H438" s="48" t="str">
        <x:v>Contractor</x:v>
      </x:c>
      <x:c r="I438" s="48" t="n">
        <x:v>0.88</x:v>
      </x:c>
      <x:c r="J438" s="48" t="n">
        <x:v>0.92</x:v>
      </x:c>
      <x:c r="K438" s="48" t="str">
        <x:v>No</x:v>
      </x:c>
      <x:c r="L438" s="48" t="str">
        <x:v>PDF text</x:v>
      </x:c>
    </x:row>
    <x:row r="439">
      <x:c r="A439" s="48" t="str">
        <x:v>YELLOW-0438</x:v>
      </x:c>
      <x:c r="B439" s="48" t="str">
        <x:v>YELLOW</x:v>
      </x:c>
      <x:c r="C439" s="48" t="str">
        <x:v>English</x:v>
      </x:c>
      <x:c r="D439" s="48" t="n">
        <x:v>36</x:v>
      </x:c>
      <x:c r="E439" s="48" t="str"/>
      <x:c r="F439" s="48" t="str">
        <x:v>The Contractor warrants that he, his designers and design Subcontractors have the</x:v>
      </x:c>
      <x:c r="G439" s="48" t="str">
        <x:v>Obligation</x:v>
      </x:c>
      <x:c r="H439" s="48" t="str">
        <x:v>Contractor</x:v>
      </x:c>
      <x:c r="I439" s="48" t="n">
        <x:v>0.45</x:v>
      </x:c>
      <x:c r="J439" s="48" t="n">
        <x:v>0.68</x:v>
      </x:c>
      <x:c r="K439" s="48" t="str">
        <x:v>Yes</x:v>
      </x:c>
      <x:c r="L439" s="48" t="str">
        <x:v>PDF text</x:v>
      </x:c>
    </x:row>
    <x:row r="440">
      <x:c r="A440" s="48" t="str">
        <x:v>YELLOW-0439</x:v>
      </x:c>
      <x:c r="B440" s="48" t="str">
        <x:v>YELLOW</x:v>
      </x:c>
      <x:c r="C440" s="48" t="str">
        <x:v>English</x:v>
      </x:c>
      <x:c r="D440" s="48" t="n">
        <x:v>36</x:v>
      </x:c>
      <x:c r="E440" s="48" t="str"/>
      <x:c r="F440" s="48" t="str">
        <x:v>experience and capability necessary for the design.</x:v>
      </x:c>
      <x:c r="G440" s="48" t="str">
        <x:v>Obligation</x:v>
      </x:c>
      <x:c r="H440" s="48" t="str">
        <x:v>Shared</x:v>
      </x:c>
      <x:c r="I440" s="48" t="n">
        <x:v>0.45</x:v>
      </x:c>
      <x:c r="J440" s="48" t="n">
        <x:v>0.4</x:v>
      </x:c>
      <x:c r="K440" s="48" t="str">
        <x:v>Yes</x:v>
      </x:c>
      <x:c r="L440" s="48" t="str">
        <x:v>PDF text</x:v>
      </x:c>
    </x:row>
    <x:row r="441">
      <x:c r="A441" s="48" t="str">
        <x:v>YELLOW-0440</x:v>
      </x:c>
      <x:c r="B441" s="48" t="str">
        <x:v>YELLOW</x:v>
      </x:c>
      <x:c r="C441" s="48" t="str">
        <x:v>English</x:v>
      </x:c>
      <x:c r="D441" s="48" t="n">
        <x:v>36</x:v>
      </x:c>
      <x:c r="E441" s="48" t="str"/>
      <x:c r="F441" s="48" t="str">
        <x:v>The Contractor undertakes that the designers shall be available to attend discussions with the Engineer at all reasonable times, until the expiry date of the relevant Defects Notification Period.</x:v>
      </x:c>
      <x:c r="G441" s="48" t="str">
        <x:v>Obligation</x:v>
      </x:c>
      <x:c r="H441" s="48" t="str">
        <x:v>Contractor</x:v>
      </x:c>
      <x:c r="I441" s="48" t="n">
        <x:v>0.88</x:v>
      </x:c>
      <x:c r="J441" s="48" t="n">
        <x:v>0.68</x:v>
      </x:c>
      <x:c r="K441" s="48" t="str">
        <x:v>Yes</x:v>
      </x:c>
      <x:c r="L441" s="48" t="str">
        <x:v>PDF text</x:v>
      </x:c>
    </x:row>
    <x:row r="442">
      <x:c r="A442" s="48" t="str">
        <x:v>YELLOW-0441</x:v>
      </x:c>
      <x:c r="B442" s="48" t="str">
        <x:v>YELLOW</x:v>
      </x:c>
      <x:c r="C442" s="48" t="str">
        <x:v>English</x:v>
      </x:c>
      <x:c r="D442" s="48" t="n">
        <x:v>36</x:v>
      </x:c>
      <x:c r="E442" s="48" t="str"/>
      <x:c r="F442" s="48" t="str">
        <x:v>Upon receiving notice under Sub-Clause 8.1 [Commencement of Works], the Contractor shall scrutinise the Employer's Requirements (including design criteria and calculations, if any) and the items of reference mentioned in Sub-Clause 4.7 [Setting Out].</x:v>
      </x:c>
      <x:c r="G442" s="48" t="str">
        <x:v>Obligation</x:v>
      </x:c>
      <x:c r="H442" s="48" t="str">
        <x:v>Contractor</x:v>
      </x:c>
      <x:c r="I442" s="48" t="n">
        <x:v>0.88</x:v>
      </x:c>
      <x:c r="J442" s="48" t="n">
        <x:v>0.92</x:v>
      </x:c>
      <x:c r="K442" s="48" t="str">
        <x:v>No</x:v>
      </x:c>
      <x:c r="L442" s="48" t="str">
        <x:v>PDF text</x:v>
      </x:c>
    </x:row>
    <x:row r="443">
      <x:c r="A443" s="48" t="str">
        <x:v>YELLOW-0442</x:v>
      </x:c>
      <x:c r="B443" s="48" t="str">
        <x:v>YELLOW</x:v>
      </x:c>
      <x:c r="C443" s="48" t="str">
        <x:v>English</x:v>
      </x:c>
      <x:c r="D443" s="48" t="n">
        <x:v>36</x:v>
      </x:c>
      <x:c r="E443" s="48" t="str"/>
      <x:c r="F443" s="48" t="str">
        <x:v>Within the period stated in the Appendix to Tender, calculated from the</x:v>
      </x:c>
      <x:c r="G443" s="48" t="str">
        <x:v>Obligation</x:v>
      </x:c>
      <x:c r="H443" s="48" t="str">
        <x:v>Shared</x:v>
      </x:c>
      <x:c r="I443" s="48" t="n">
        <x:v>0.45</x:v>
      </x:c>
      <x:c r="J443" s="48" t="n">
        <x:v>0.4</x:v>
      </x:c>
      <x:c r="K443" s="48" t="str">
        <x:v>Yes</x:v>
      </x:c>
      <x:c r="L443" s="48" t="str">
        <x:v>PDF text</x:v>
      </x:c>
    </x:row>
    <x:row r="444">
      <x:c r="A444" s="48" t="str">
        <x:v>YELLOW-0443</x:v>
      </x:c>
      <x:c r="B444" s="48" t="str">
        <x:v>YELLOW</x:v>
      </x:c>
      <x:c r="C444" s="48" t="str">
        <x:v>English</x:v>
      </x:c>
      <x:c r="D444" s="48" t="n">
        <x:v>36</x:v>
      </x:c>
      <x:c r="E444" s="48" t="str"/>
      <x:c r="F444" s="48" t="str">
        <x:v>Commencement Date, the Contractor shall give notice to the Engineer of any error,</x:v>
      </x:c>
      <x:c r="G444" s="48" t="str">
        <x:v>Obligation</x:v>
      </x:c>
      <x:c r="H444" s="48" t="str">
        <x:v>Contractor</x:v>
      </x:c>
      <x:c r="I444" s="48" t="n">
        <x:v>0.88</x:v>
      </x:c>
      <x:c r="J444" s="48" t="n">
        <x:v>0.92</x:v>
      </x:c>
      <x:c r="K444" s="48" t="str">
        <x:v>No</x:v>
      </x:c>
      <x:c r="L444" s="48" t="str">
        <x:v>PDF text</x:v>
      </x:c>
    </x:row>
    <x:row r="445">
      <x:c r="A445" s="48" t="str">
        <x:v>YELLOW-0444</x:v>
      </x:c>
      <x:c r="B445" s="48" t="str">
        <x:v>YELLOW</x:v>
      </x:c>
      <x:c r="C445" s="48" t="str">
        <x:v>English</x:v>
      </x:c>
      <x:c r="D445" s="48" t="n">
        <x:v>36</x:v>
      </x:c>
      <x:c r="E445" s="48" t="str"/>
      <x:c r="F445" s="48" t="str">
        <x:v>fault or other defect found in the Employer's Requirements or these items of reference.</x:v>
      </x:c>
      <x:c r="G445" s="48" t="str">
        <x:v>Obligation</x:v>
      </x:c>
      <x:c r="H445" s="48" t="str">
        <x:v>Employer</x:v>
      </x:c>
      <x:c r="I445" s="48" t="n">
        <x:v>0.45</x:v>
      </x:c>
      <x:c r="J445" s="48" t="n">
        <x:v>0.68</x:v>
      </x:c>
      <x:c r="K445" s="48" t="str">
        <x:v>Yes</x:v>
      </x:c>
      <x:c r="L445" s="48" t="str">
        <x:v>PDF text</x:v>
      </x:c>
    </x:row>
    <x:row r="446">
      <x:c r="A446" s="48" t="str">
        <x:v>YELLOW-0445</x:v>
      </x:c>
      <x:c r="B446" s="48" t="str">
        <x:v>YELLOW</x:v>
      </x:c>
      <x:c r="C446" s="48" t="str">
        <x:v>English</x:v>
      </x:c>
      <x:c r="D446" s="48" t="n">
        <x:v>36</x:v>
      </x:c>
      <x:c r="E446" s="48" t="str"/>
      <x:c r="F446" s="48" t="str">
        <x:v>After receiving this notice, the Engineer shall determine whether Clause 13 [Variations and Adjustments] shall be applied, and shall give notice to the Contractor accordingly.</x:v>
      </x:c>
      <x:c r="G446" s="48" t="str">
        <x:v>Obligation</x:v>
      </x:c>
      <x:c r="H446" s="48" t="str">
        <x:v>Contractor</x:v>
      </x:c>
      <x:c r="I446" s="48" t="n">
        <x:v>0.88</x:v>
      </x:c>
      <x:c r="J446" s="48" t="n">
        <x:v>0.68</x:v>
      </x:c>
      <x:c r="K446" s="48" t="str">
        <x:v>Yes</x:v>
      </x:c>
      <x:c r="L446" s="48" t="str">
        <x:v>PDF text</x:v>
      </x:c>
    </x:row>
    <x:row r="447">
      <x:c r="A447" s="48" t="str">
        <x:v>YELLOW-0446</x:v>
      </x:c>
      <x:c r="B447" s="48" t="str">
        <x:v>YELLOW</x:v>
      </x:c>
      <x:c r="C447" s="48" t="str">
        <x:v>English</x:v>
      </x:c>
      <x:c r="D447" s="48" t="n">
        <x:v>36</x:v>
      </x:c>
      <x:c r="E447" s="48" t="str"/>
      <x:c r="F447" s="48" t="str">
        <x:v>If and to the extent that (taking account of cost and time) an experienced contractor exercising due care would have discovered the error, fault or other defect when examining the Site and the Employer's Requirements before submitting the Tender, the Time for Completion shall not be extended and the Contract Price shall not be adjusted.</x:v>
      </x:c>
      <x:c r="G447" s="48" t="str">
        <x:v>Risk</x:v>
      </x:c>
      <x:c r="H447" s="48" t="str">
        <x:v>Shared</x:v>
      </x:c>
      <x:c r="I447" s="48" t="n">
        <x:v>0.78</x:v>
      </x:c>
      <x:c r="J447" s="48" t="n">
        <x:v>0.6</x:v>
      </x:c>
      <x:c r="K447" s="48" t="str">
        <x:v>Yes</x:v>
      </x:c>
      <x:c r="L447" s="48" t="str">
        <x:v>PDF text</x:v>
      </x:c>
    </x:row>
    <x:row r="448">
      <x:c r="A448" s="48" t="str">
        <x:v>YELLOW-0447</x:v>
      </x:c>
      <x:c r="B448" s="48" t="str">
        <x:v>YELLOW</x:v>
      </x:c>
      <x:c r="C448" s="48" t="str">
        <x:v>English</x:v>
      </x:c>
      <x:c r="D448" s="48" t="n">
        <x:v>36</x:v>
      </x:c>
      <x:c r="E448" s="48" t="str"/>
      <x:c r="F448" s="48" t="str">
        <x:v>The Contractor's Documents shall comprise the technical documents specified in the Employer's Requirements, documents required to satisfy all regulatory approvals, and the documents described in Sub-Clause 5.6 [As-Built Documents] and Sub-Clause</x:v>
      </x:c>
      <x:c r="G448" s="48" t="str">
        <x:v>Obligation</x:v>
      </x:c>
      <x:c r="H448" s="48" t="str">
        <x:v>Shared</x:v>
      </x:c>
      <x:c r="I448" s="48" t="n">
        <x:v>0.88</x:v>
      </x:c>
      <x:c r="J448" s="48" t="n">
        <x:v>0.6</x:v>
      </x:c>
      <x:c r="K448" s="48" t="str">
        <x:v>Yes</x:v>
      </x:c>
      <x:c r="L448" s="48" t="str">
        <x:v>PDF text</x:v>
      </x:c>
    </x:row>
    <x:row r="449">
      <x:c r="A449" s="48" t="str">
        <x:v>YELLOW-0448</x:v>
      </x:c>
      <x:c r="B449" s="48" t="str">
        <x:v>YELLOW</x:v>
      </x:c>
      <x:c r="C449" s="48" t="str">
        <x:v>English</x:v>
      </x:c>
      <x:c r="D449" s="48" t="n">
        <x:v>36</x:v>
      </x:c>
      <x:c r="E449" s="48" t="str">
        <x:v>5.7</x:v>
      </x:c>
      <x:c r="F449" s="48" t="str">
        <x:v>5.7 [Operation and Maintenance Manuals]. Unless otherwise stated in the Employer's</x:v>
      </x:c>
      <x:c r="G449" s="48" t="str">
        <x:v>Obligation</x:v>
      </x:c>
      <x:c r="H449" s="48" t="str">
        <x:v>Employer</x:v>
      </x:c>
      <x:c r="I449" s="48" t="n">
        <x:v>0.45</x:v>
      </x:c>
      <x:c r="J449" s="48" t="n">
        <x:v>0.68</x:v>
      </x:c>
      <x:c r="K449" s="48" t="str">
        <x:v>Yes</x:v>
      </x:c>
      <x:c r="L449" s="48" t="str">
        <x:v>PDF text</x:v>
      </x:c>
    </x:row>
    <x:row r="450">
      <x:c r="A450" s="48" t="str">
        <x:v>YELLOW-0449</x:v>
      </x:c>
      <x:c r="B450" s="48" t="str">
        <x:v>YELLOW</x:v>
      </x:c>
      <x:c r="C450" s="48" t="str">
        <x:v>English</x:v>
      </x:c>
      <x:c r="D450" s="48" t="n">
        <x:v>36</x:v>
      </x:c>
      <x:c r="E450" s="48" t="str"/>
      <x:c r="F450" s="48" t="str">
        <x:v>Requirements, the Contractor's Documents shall be written in the language for</x:v>
      </x:c>
      <x:c r="G450" s="48" t="str">
        <x:v>Obligation</x:v>
      </x:c>
      <x:c r="H450" s="48" t="str">
        <x:v>Contractor</x:v>
      </x:c>
      <x:c r="I450" s="48" t="n">
        <x:v>0.88</x:v>
      </x:c>
      <x:c r="J450" s="48" t="n">
        <x:v>0.68</x:v>
      </x:c>
      <x:c r="K450" s="48" t="str">
        <x:v>Yes</x:v>
      </x:c>
      <x:c r="L450" s="48" t="str">
        <x:v>PDF text</x:v>
      </x:c>
    </x:row>
    <x:row r="451">
      <x:c r="A451" s="48" t="str">
        <x:v>YELLOW-0450</x:v>
      </x:c>
      <x:c r="B451" s="48" t="str">
        <x:v>YELLOW</x:v>
      </x:c>
      <x:c r="C451" s="48" t="str">
        <x:v>English</x:v>
      </x:c>
      <x:c r="D451" s="48" t="n">
        <x:v>36</x:v>
      </x:c>
      <x:c r="E451" s="48" t="str"/>
      <x:c r="F451" s="48" t="str">
        <x:v>communications defined in Sub-Clause 1.4 [Law and Language].</x:v>
      </x:c>
      <x:c r="G451" s="48" t="str">
        <x:v>Obligation</x:v>
      </x:c>
      <x:c r="H451" s="48" t="str">
        <x:v>Shared</x:v>
      </x:c>
      <x:c r="I451" s="48" t="n">
        <x:v>0.45</x:v>
      </x:c>
      <x:c r="J451" s="48" t="n">
        <x:v>0.4</x:v>
      </x:c>
      <x:c r="K451" s="48" t="str">
        <x:v>Yes</x:v>
      </x:c>
      <x:c r="L451" s="48" t="str">
        <x:v>PDF text</x:v>
      </x:c>
    </x:row>
    <x:row r="452">
      <x:c r="A452" s="48" t="str">
        <x:v>YELLOW-0451</x:v>
      </x:c>
      <x:c r="B452" s="48" t="str">
        <x:v>YELLOW</x:v>
      </x:c>
      <x:c r="C452" s="48" t="str">
        <x:v>English</x:v>
      </x:c>
      <x:c r="D452" s="48" t="n">
        <x:v>36</x:v>
      </x:c>
      <x:c r="E452" s="48" t="str"/>
      <x:c r="F452" s="48" t="str">
        <x:v>General Design</x:v>
      </x:c>
      <x:c r="G452" s="48" t="str">
        <x:v>Obligation</x:v>
      </x:c>
      <x:c r="H452" s="48" t="str">
        <x:v>Shared</x:v>
      </x:c>
      <x:c r="I452" s="48" t="n">
        <x:v>0.45</x:v>
      </x:c>
      <x:c r="J452" s="48" t="n">
        <x:v>0.4</x:v>
      </x:c>
      <x:c r="K452" s="48" t="str">
        <x:v>Yes</x:v>
      </x:c>
      <x:c r="L452" s="48" t="str">
        <x:v>PDF text</x:v>
      </x:c>
    </x:row>
    <x:row r="453">
      <x:c r="A453" s="48" t="str">
        <x:v>YELLOW-0452</x:v>
      </x:c>
      <x:c r="B453" s="48" t="str">
        <x:v>YELLOW</x:v>
      </x:c>
      <x:c r="C453" s="48" t="str">
        <x:v>English</x:v>
      </x:c>
      <x:c r="D453" s="48" t="n">
        <x:v>36</x:v>
      </x:c>
      <x:c r="E453" s="48" t="str"/>
      <x:c r="F453" s="48" t="str">
        <x:v>Contractor's Documents</x:v>
      </x:c>
      <x:c r="G453" s="48" t="str">
        <x:v>Obligation</x:v>
      </x:c>
      <x:c r="H453" s="48" t="str">
        <x:v>Contractor</x:v>
      </x:c>
      <x:c r="I453" s="48" t="n">
        <x:v>0.45</x:v>
      </x:c>
      <x:c r="J453" s="48" t="n">
        <x:v>0.68</x:v>
      </x:c>
      <x:c r="K453" s="48" t="str">
        <x:v>Yes</x:v>
      </x:c>
      <x:c r="L453" s="48" t="str">
        <x:v>PDF text</x:v>
      </x:c>
    </x:row>
    <x:row r="454">
      <x:c r="A454" s="48" t="str">
        <x:v>YELLOW-0453</x:v>
      </x:c>
      <x:c r="B454" s="48" t="str">
        <x:v>YELLOW</x:v>
      </x:c>
      <x:c r="C454" s="48" t="str">
        <x:v>English</x:v>
      </x:c>
      <x:c r="D454" s="48" t="n">
        <x:v>37</x:v>
      </x:c>
      <x:c r="E454" s="48" t="str"/>
      <x:c r="F454" s="48" t="str">
        <x:v>The Contractor shall prepare all Contractor's Documents, and shall also prepare any other documents necessary to instruct the Contractor's Personnel.</x:v>
      </x:c>
      <x:c r="G454" s="48" t="str">
        <x:v>Obligation</x:v>
      </x:c>
      <x:c r="H454" s="48" t="str">
        <x:v>Contractor</x:v>
      </x:c>
      <x:c r="I454" s="48" t="n">
        <x:v>0.88</x:v>
      </x:c>
      <x:c r="J454" s="48" t="n">
        <x:v>0.92</x:v>
      </x:c>
      <x:c r="K454" s="48" t="str">
        <x:v>No</x:v>
      </x:c>
      <x:c r="L454" s="48" t="str">
        <x:v>PDF text</x:v>
      </x:c>
    </x:row>
    <x:row r="455">
      <x:c r="A455" s="48" t="str">
        <x:v>YELLOW-0454</x:v>
      </x:c>
      <x:c r="B455" s="48" t="str">
        <x:v>YELLOW</x:v>
      </x:c>
      <x:c r="C455" s="48" t="str">
        <x:v>English</x:v>
      </x:c>
      <x:c r="D455" s="48" t="n">
        <x:v>37</x:v>
      </x:c>
      <x:c r="E455" s="48" t="str"/>
      <x:c r="F455" s="48" t="str">
        <x:v>The Employer's</x:v>
      </x:c>
      <x:c r="G455" s="48" t="str">
        <x:v>Obligation</x:v>
      </x:c>
      <x:c r="H455" s="48" t="str">
        <x:v>Employer</x:v>
      </x:c>
      <x:c r="I455" s="48" t="n">
        <x:v>0.45</x:v>
      </x:c>
      <x:c r="J455" s="48" t="n">
        <x:v>0.68</x:v>
      </x:c>
      <x:c r="K455" s="48" t="str">
        <x:v>Yes</x:v>
      </x:c>
      <x:c r="L455" s="48" t="str">
        <x:v>PDF text</x:v>
      </x:c>
    </x:row>
    <x:row r="456">
      <x:c r="A456" s="48" t="str">
        <x:v>YELLOW-0455</x:v>
      </x:c>
      <x:c r="B456" s="48" t="str">
        <x:v>YELLOW</x:v>
      </x:c>
      <x:c r="C456" s="48" t="str">
        <x:v>English</x:v>
      </x:c>
      <x:c r="D456" s="48" t="n">
        <x:v>37</x:v>
      </x:c>
      <x:c r="E456" s="48" t="str"/>
      <x:c r="F456" s="48" t="str">
        <x:v>Personnel shall have the right to inspect the preparation of all these documents,</x:v>
      </x:c>
      <x:c r="G456" s="48" t="str">
        <x:v>Obligation</x:v>
      </x:c>
      <x:c r="H456" s="48" t="str">
        <x:v>Shared</x:v>
      </x:c>
      <x:c r="I456" s="48" t="n">
        <x:v>0.88</x:v>
      </x:c>
      <x:c r="J456" s="48" t="n">
        <x:v>0.4</x:v>
      </x:c>
      <x:c r="K456" s="48" t="str">
        <x:v>Yes</x:v>
      </x:c>
      <x:c r="L456" s="48" t="str">
        <x:v>PDF text</x:v>
      </x:c>
    </x:row>
    <x:row r="457">
      <x:c r="A457" s="48" t="str">
        <x:v>YELLOW-0456</x:v>
      </x:c>
      <x:c r="B457" s="48" t="str">
        <x:v>YELLOW</x:v>
      </x:c>
      <x:c r="C457" s="48" t="str">
        <x:v>English</x:v>
      </x:c>
      <x:c r="D457" s="48" t="n">
        <x:v>37</x:v>
      </x:c>
      <x:c r="E457" s="48" t="str"/>
      <x:c r="F457" s="48" t="str">
        <x:v>wherever they are being prepared.</x:v>
      </x:c>
      <x:c r="G457" s="48" t="str">
        <x:v>Obligation</x:v>
      </x:c>
      <x:c r="H457" s="48" t="str">
        <x:v>Shared</x:v>
      </x:c>
      <x:c r="I457" s="48" t="n">
        <x:v>0.45</x:v>
      </x:c>
      <x:c r="J457" s="48" t="n">
        <x:v>0.4</x:v>
      </x:c>
      <x:c r="K457" s="48" t="str">
        <x:v>Yes</x:v>
      </x:c>
      <x:c r="L457" s="48" t="str">
        <x:v>PDF text</x:v>
      </x:c>
    </x:row>
    <x:row r="458">
      <x:c r="A458" s="48" t="str">
        <x:v>YELLOW-0457</x:v>
      </x:c>
      <x:c r="B458" s="48" t="str">
        <x:v>YELLOW</x:v>
      </x:c>
      <x:c r="C458" s="48" t="str">
        <x:v>English</x:v>
      </x:c>
      <x:c r="D458" s="48" t="n">
        <x:v>37</x:v>
      </x:c>
      <x:c r="E458" s="48" t="str"/>
      <x:c r="F458" s="48" t="str">
        <x:v>If the Employer's Requirements describe the Contractor's Documents which are to be submitted to the Engineer for review and/or for approval, they shall be submitted accordingly, together with a notice as described below.</x:v>
      </x:c>
      <x:c r="G458" s="48" t="str">
        <x:v>Obligation</x:v>
      </x:c>
      <x:c r="H458" s="48" t="str">
        <x:v>Shared</x:v>
      </x:c>
      <x:c r="I458" s="48" t="n">
        <x:v>0.88</x:v>
      </x:c>
      <x:c r="J458" s="48" t="n">
        <x:v>0.6</x:v>
      </x:c>
      <x:c r="K458" s="48" t="str">
        <x:v>Yes</x:v>
      </x:c>
      <x:c r="L458" s="48" t="str">
        <x:v>PDF text</x:v>
      </x:c>
    </x:row>
    <x:row r="459">
      <x:c r="A459" s="48" t="str">
        <x:v>YELLOW-0458</x:v>
      </x:c>
      <x:c r="B459" s="48" t="str">
        <x:v>YELLOW</x:v>
      </x:c>
      <x:c r="C459" s="48" t="str">
        <x:v>English</x:v>
      </x:c>
      <x:c r="D459" s="48" t="n">
        <x:v>37</x:v>
      </x:c>
      <x:c r="E459" s="48" t="str"/>
      <x:c r="F459" s="48" t="str">
        <x:v>In the following provisions of this Sub-Clause, (i) "review period" means the period required by the Engineer for review and (if so specified) for approval, and (ii) "Contractor's Documents" exclude any documents which are not specified as being required to be submitted for review and/or for approval.</x:v>
      </x:c>
      <x:c r="G459" s="48" t="str">
        <x:v>Definition</x:v>
      </x:c>
      <x:c r="H459" s="48" t="str"/>
      <x:c r="I459" s="48" t="n">
        <x:v>0.97</x:v>
      </x:c>
      <x:c r="J459" s="48" t="n">
        <x:v>0.99</x:v>
      </x:c>
      <x:c r="K459" s="48" t="str">
        <x:v>No</x:v>
      </x:c>
      <x:c r="L459" s="48" t="str">
        <x:v>PDF text</x:v>
      </x:c>
    </x:row>
    <x:row r="460">
      <x:c r="A460" s="48" t="str">
        <x:v>YELLOW-0459</x:v>
      </x:c>
      <x:c r="B460" s="48" t="str">
        <x:v>YELLOW</x:v>
      </x:c>
      <x:c r="C460" s="48" t="str">
        <x:v>English</x:v>
      </x:c>
      <x:c r="D460" s="48" t="n">
        <x:v>37</x:v>
      </x:c>
      <x:c r="E460" s="48" t="str"/>
      <x:c r="F460" s="48" t="str">
        <x:v>Unless otherwise stated in the Employer's Requirements, each review period shall not exceed 21 days, calculated from the date on which the Engineer receives a Contractor's Document and the Contractor's notice.</x:v>
      </x:c>
      <x:c r="G460" s="48" t="str">
        <x:v>Obligation</x:v>
      </x:c>
      <x:c r="H460" s="48" t="str">
        <x:v>Shared</x:v>
      </x:c>
      <x:c r="I460" s="48" t="n">
        <x:v>0.88</x:v>
      </x:c>
      <x:c r="J460" s="48" t="n">
        <x:v>0.6</x:v>
      </x:c>
      <x:c r="K460" s="48" t="str">
        <x:v>Yes</x:v>
      </x:c>
      <x:c r="L460" s="48" t="str">
        <x:v>PDF text</x:v>
      </x:c>
    </x:row>
    <x:row r="461">
      <x:c r="A461" s="48" t="str">
        <x:v>YELLOW-0460</x:v>
      </x:c>
      <x:c r="B461" s="48" t="str">
        <x:v>YELLOW</x:v>
      </x:c>
      <x:c r="C461" s="48" t="str">
        <x:v>English</x:v>
      </x:c>
      <x:c r="D461" s="48" t="n">
        <x:v>37</x:v>
      </x:c>
      <x:c r="E461" s="48" t="str"/>
      <x:c r="F461" s="48" t="str">
        <x:v>This notice shall state that the Contractor's Document is considered ready, both for review (and approval, if so specified) in accordance with this Sub-Clause and for use.</x:v>
      </x:c>
      <x:c r="G461" s="48" t="str">
        <x:v>Obligation</x:v>
      </x:c>
      <x:c r="H461" s="48" t="str">
        <x:v>Contractor</x:v>
      </x:c>
      <x:c r="I461" s="48" t="n">
        <x:v>0.88</x:v>
      </x:c>
      <x:c r="J461" s="48" t="n">
        <x:v>0.68</x:v>
      </x:c>
      <x:c r="K461" s="48" t="str">
        <x:v>Yes</x:v>
      </x:c>
      <x:c r="L461" s="48" t="str">
        <x:v>PDF text</x:v>
      </x:c>
    </x:row>
    <x:row r="462">
      <x:c r="A462" s="48" t="str">
        <x:v>YELLOW-0461</x:v>
      </x:c>
      <x:c r="B462" s="48" t="str">
        <x:v>YELLOW</x:v>
      </x:c>
      <x:c r="C462" s="48" t="str">
        <x:v>English</x:v>
      </x:c>
      <x:c r="D462" s="48" t="n">
        <x:v>37</x:v>
      </x:c>
      <x:c r="E462" s="48" t="str"/>
      <x:c r="F462" s="48" t="str">
        <x:v>The notice shall also state that the Contractor's Document complies with the Contract, or the extent to which it does not comply.</x:v>
      </x:c>
      <x:c r="G462" s="48" t="str">
        <x:v>Obligation</x:v>
      </x:c>
      <x:c r="H462" s="48" t="str">
        <x:v>Contractor</x:v>
      </x:c>
      <x:c r="I462" s="48" t="n">
        <x:v>0.88</x:v>
      </x:c>
      <x:c r="J462" s="48" t="n">
        <x:v>0.68</x:v>
      </x:c>
      <x:c r="K462" s="48" t="str">
        <x:v>Yes</x:v>
      </x:c>
      <x:c r="L462" s="48" t="str">
        <x:v>PDF text</x:v>
      </x:c>
    </x:row>
    <x:row r="463">
      <x:c r="A463" s="48" t="str">
        <x:v>YELLOW-0462</x:v>
      </x:c>
      <x:c r="B463" s="48" t="str">
        <x:v>YELLOW</x:v>
      </x:c>
      <x:c r="C463" s="48" t="str">
        <x:v>English</x:v>
      </x:c>
      <x:c r="D463" s="48" t="n">
        <x:v>37</x:v>
      </x:c>
      <x:c r="E463" s="48" t="str"/>
      <x:c r="F463" s="48" t="str">
        <x:v>The Engineer may, within the review period, give notice to the Contractor that a</x:v>
      </x:c>
      <x:c r="G463" s="48" t="str">
        <x:v>Obligation</x:v>
      </x:c>
      <x:c r="H463" s="48" t="str">
        <x:v>Contractor</x:v>
      </x:c>
      <x:c r="I463" s="48" t="n">
        <x:v>0.55</x:v>
      </x:c>
      <x:c r="J463" s="48" t="n">
        <x:v>0.68</x:v>
      </x:c>
      <x:c r="K463" s="48" t="str">
        <x:v>Yes</x:v>
      </x:c>
      <x:c r="L463" s="48" t="str">
        <x:v>PDF text</x:v>
      </x:c>
    </x:row>
    <x:row r="464">
      <x:c r="A464" s="48" t="str">
        <x:v>YELLOW-0463</x:v>
      </x:c>
      <x:c r="B464" s="48" t="str">
        <x:v>YELLOW</x:v>
      </x:c>
      <x:c r="C464" s="48" t="str">
        <x:v>English</x:v>
      </x:c>
      <x:c r="D464" s="48" t="n">
        <x:v>37</x:v>
      </x:c>
      <x:c r="E464" s="48" t="str"/>
      <x:c r="F464" s="48" t="str">
        <x:v>Contractor's Document fails (to the extent stated) to comply with the Contract.</x:v>
      </x:c>
      <x:c r="G464" s="48" t="str">
        <x:v>Obligation</x:v>
      </x:c>
      <x:c r="H464" s="48" t="str">
        <x:v>Contractor</x:v>
      </x:c>
      <x:c r="I464" s="48" t="n">
        <x:v>0.45</x:v>
      </x:c>
      <x:c r="J464" s="48" t="n">
        <x:v>0.68</x:v>
      </x:c>
      <x:c r="K464" s="48" t="str">
        <x:v>Yes</x:v>
      </x:c>
      <x:c r="L464" s="48" t="str">
        <x:v>PDF text</x:v>
      </x:c>
    </x:row>
    <x:row r="465">
      <x:c r="A465" s="48" t="str">
        <x:v>YELLOW-0464</x:v>
      </x:c>
      <x:c r="B465" s="48" t="str">
        <x:v>YELLOW</x:v>
      </x:c>
      <x:c r="C465" s="48" t="str">
        <x:v>English</x:v>
      </x:c>
      <x:c r="D465" s="48" t="n">
        <x:v>37</x:v>
      </x:c>
      <x:c r="E465" s="48" t="str"/>
      <x:c r="F465" s="48" t="str">
        <x:v>Contractor's Document so fails to comply, it shall be rectified, resubmitted and</x:v>
      </x:c>
      <x:c r="G465" s="48" t="str">
        <x:v>Obligation</x:v>
      </x:c>
      <x:c r="H465" s="48" t="str">
        <x:v>Contractor</x:v>
      </x:c>
      <x:c r="I465" s="48" t="n">
        <x:v>0.88</x:v>
      </x:c>
      <x:c r="J465" s="48" t="n">
        <x:v>0.68</x:v>
      </x:c>
      <x:c r="K465" s="48" t="str">
        <x:v>Yes</x:v>
      </x:c>
      <x:c r="L465" s="48" t="str">
        <x:v>PDF text</x:v>
      </x:c>
    </x:row>
    <x:row r="466">
      <x:c r="A466" s="48" t="str">
        <x:v>YELLOW-0465</x:v>
      </x:c>
      <x:c r="B466" s="48" t="str">
        <x:v>YELLOW</x:v>
      </x:c>
      <x:c r="C466" s="48" t="str">
        <x:v>English</x:v>
      </x:c>
      <x:c r="D466" s="48" t="n">
        <x:v>37</x:v>
      </x:c>
      <x:c r="E466" s="48" t="str"/>
      <x:c r="F466" s="48" t="str">
        <x:v>reviewed (and, if specified, approved) in accordance with this Sub-Clause, at the Contractor's cost.</x:v>
      </x:c>
      <x:c r="G466" s="48" t="str">
        <x:v>Obligation</x:v>
      </x:c>
      <x:c r="H466" s="48" t="str">
        <x:v>Contractor</x:v>
      </x:c>
      <x:c r="I466" s="48" t="n">
        <x:v>0.45</x:v>
      </x:c>
      <x:c r="J466" s="48" t="n">
        <x:v>0.68</x:v>
      </x:c>
      <x:c r="K466" s="48" t="str">
        <x:v>Yes</x:v>
      </x:c>
      <x:c r="L466" s="48" t="str">
        <x:v>PDF text</x:v>
      </x:c>
    </x:row>
    <x:row r="467">
      <x:c r="A467" s="48" t="str">
        <x:v>YELLOW-0466</x:v>
      </x:c>
      <x:c r="B467" s="48" t="str">
        <x:v>YELLOW</x:v>
      </x:c>
      <x:c r="C467" s="48" t="str">
        <x:v>English</x:v>
      </x:c>
      <x:c r="D467" s="48" t="n">
        <x:v>37</x:v>
      </x:c>
      <x:c r="E467" s="48" t="str"/>
      <x:c r="F467" s="48" t="str">
        <x:v>For each part of the Works, and except to the extent that the prior approval or consent of the Engineer shall have been obtained: (a) in the case of a Contractor's Document which has (as specified) been submitted for the Engineer's approval: (i) the Engineer shall give notice to the Contractor that the Contractor's</x:v>
      </x:c>
      <x:c r="G467" s="48" t="str">
        <x:v>Obligation</x:v>
      </x:c>
      <x:c r="H467" s="48" t="str">
        <x:v>Contractor</x:v>
      </x:c>
      <x:c r="I467" s="48" t="n">
        <x:v>0.88</x:v>
      </x:c>
      <x:c r="J467" s="48" t="n">
        <x:v>0.68</x:v>
      </x:c>
      <x:c r="K467" s="48" t="str">
        <x:v>Yes</x:v>
      </x:c>
      <x:c r="L467" s="48" t="str">
        <x:v>PDF text</x:v>
      </x:c>
    </x:row>
    <x:row r="468">
      <x:c r="A468" s="48" t="str">
        <x:v>YELLOW-0467</x:v>
      </x:c>
      <x:c r="B468" s="48" t="str">
        <x:v>YELLOW</x:v>
      </x:c>
      <x:c r="C468" s="48" t="str">
        <x:v>English</x:v>
      </x:c>
      <x:c r="D468" s="48" t="n">
        <x:v>37</x:v>
      </x:c>
      <x:c r="E468" s="48" t="str"/>
      <x:c r="F468" s="48" t="str">
        <x:v>Document is approved, with or without comments, or that it fails (to the</x:v>
      </x:c>
      <x:c r="G468" s="48" t="str">
        <x:v>Obligation</x:v>
      </x:c>
      <x:c r="H468" s="48" t="str">
        <x:v>Shared</x:v>
      </x:c>
      <x:c r="I468" s="48" t="n">
        <x:v>0.45</x:v>
      </x:c>
      <x:c r="J468" s="48" t="n">
        <x:v>0.4</x:v>
      </x:c>
      <x:c r="K468" s="48" t="str">
        <x:v>Yes</x:v>
      </x:c>
      <x:c r="L468" s="48" t="str">
        <x:v>PDF text</x:v>
      </x:c>
    </x:row>
    <x:row r="469">
      <x:c r="A469" s="48" t="str">
        <x:v>YELLOW-0468</x:v>
      </x:c>
      <x:c r="B469" s="48" t="str">
        <x:v>YELLOW</x:v>
      </x:c>
      <x:c r="C469" s="48" t="str">
        <x:v>English</x:v>
      </x:c>
      <x:c r="D469" s="48" t="n">
        <x:v>37</x:v>
      </x:c>
      <x:c r="E469" s="48" t="str"/>
      <x:c r="F469" s="48" t="str">
        <x:v>extent stated) to comply with the Contract; (ii) execution of such part of the Works shall not commence until the Engineer has approved the Contractor's Document; and (iii) the Engineer shall be deemed to have approved the Contractor's</x:v>
      </x:c>
      <x:c r="G469" s="48" t="str">
        <x:v>Obligation</x:v>
      </x:c>
      <x:c r="H469" s="48" t="str">
        <x:v>Contractor</x:v>
      </x:c>
      <x:c r="I469" s="48" t="n">
        <x:v>0.88</x:v>
      </x:c>
      <x:c r="J469" s="48" t="n">
        <x:v>0.68</x:v>
      </x:c>
      <x:c r="K469" s="48" t="str">
        <x:v>Yes</x:v>
      </x:c>
      <x:c r="L469" s="48" t="str">
        <x:v>PDF text</x:v>
      </x:c>
    </x:row>
    <x:row r="470">
      <x:c r="A470" s="48" t="str">
        <x:v>YELLOW-0469</x:v>
      </x:c>
      <x:c r="B470" s="48" t="str">
        <x:v>YELLOW</x:v>
      </x:c>
      <x:c r="C470" s="48" t="str">
        <x:v>English</x:v>
      </x:c>
      <x:c r="D470" s="48" t="n">
        <x:v>37</x:v>
      </x:c>
      <x:c r="E470" s="48" t="str"/>
      <x:c r="F470" s="48" t="str">
        <x:v>Document upon the expiry of the review periods for all the Contractor's</x:v>
      </x:c>
      <x:c r="G470" s="48" t="str">
        <x:v>Obligation</x:v>
      </x:c>
      <x:c r="H470" s="48" t="str">
        <x:v>Contractor</x:v>
      </x:c>
      <x:c r="I470" s="48" t="n">
        <x:v>0.45</x:v>
      </x:c>
      <x:c r="J470" s="48" t="n">
        <x:v>0.68</x:v>
      </x:c>
      <x:c r="K470" s="48" t="str">
        <x:v>Yes</x:v>
      </x:c>
      <x:c r="L470" s="48" t="str">
        <x:v>PDF text</x:v>
      </x:c>
    </x:row>
    <x:row r="471">
      <x:c r="A471" s="48" t="str">
        <x:v>YELLOW-0470</x:v>
      </x:c>
      <x:c r="B471" s="48" t="str">
        <x:v>YELLOW</x:v>
      </x:c>
      <x:c r="C471" s="48" t="str">
        <x:v>English</x:v>
      </x:c>
      <x:c r="D471" s="48" t="n">
        <x:v>37</x:v>
      </x:c>
      <x:c r="E471" s="48" t="str"/>
      <x:c r="F471" s="48" t="str">
        <x:v>Documents which are relevant to the design and execution of such part,</x:v>
      </x:c>
      <x:c r="G471" s="48" t="str">
        <x:v>Obligation</x:v>
      </x:c>
      <x:c r="H471" s="48" t="str">
        <x:v>Shared</x:v>
      </x:c>
      <x:c r="I471" s="48" t="n">
        <x:v>0.45</x:v>
      </x:c>
      <x:c r="J471" s="48" t="n">
        <x:v>0.4</x:v>
      </x:c>
      <x:c r="K471" s="48" t="str">
        <x:v>Yes</x:v>
      </x:c>
      <x:c r="L471" s="48" t="str">
        <x:v>PDF text</x:v>
      </x:c>
    </x:row>
    <x:row r="472">
      <x:c r="A472" s="48" t="str">
        <x:v>YELLOW-0471</x:v>
      </x:c>
      <x:c r="B472" s="48" t="str">
        <x:v>YELLOW</x:v>
      </x:c>
      <x:c r="C472" s="48" t="str">
        <x:v>English</x:v>
      </x:c>
      <x:c r="D472" s="48" t="n">
        <x:v>37</x:v>
      </x:c>
      <x:c r="E472" s="48" t="str"/>
      <x:c r="F472" s="48" t="str">
        <x:v>unless the Engineer has previously notified otherwise in accordance with sub-paragraph (i); (b) execution of such part of the Works shall not commence prior to the expiry of the review periods for all the Contractor's Documents which are relevant to its design and execution; (c) execution of such part of the Works shall be in accordance with these reviewed (and, if specified, approved) Contractor's Documents; and (d) if the Contractor wishes to modify any design or document which has previously been submitted for review (and, if specified, approval), the Contractor shall immediately give notice to the Engineer.</x:v>
      </x:c>
      <x:c r="G472" s="48" t="str">
        <x:v>Obligation</x:v>
      </x:c>
      <x:c r="H472" s="48" t="str">
        <x:v>Contractor</x:v>
      </x:c>
      <x:c r="I472" s="48" t="n">
        <x:v>0.88</x:v>
      </x:c>
      <x:c r="J472" s="48" t="n">
        <x:v>0.92</x:v>
      </x:c>
      <x:c r="K472" s="48" t="str">
        <x:v>No</x:v>
      </x:c>
      <x:c r="L472" s="48" t="str">
        <x:v>PDF text</x:v>
      </x:c>
    </x:row>
    <x:row r="473">
      <x:c r="A473" s="48" t="str">
        <x:v>YELLOW-0472</x:v>
      </x:c>
      <x:c r="B473" s="48" t="str">
        <x:v>YELLOW</x:v>
      </x:c>
      <x:c r="C473" s="48" t="str">
        <x:v>English</x:v>
      </x:c>
      <x:c r="D473" s="48" t="n">
        <x:v>37</x:v>
      </x:c>
      <x:c r="E473" s="48" t="str"/>
      <x:c r="F473" s="48" t="str">
        <x:v>Thereafter, the</x:v>
      </x:c>
      <x:c r="G473" s="48" t="str">
        <x:v>Obligation</x:v>
      </x:c>
      <x:c r="H473" s="48" t="str">
        <x:v>Shared</x:v>
      </x:c>
      <x:c r="I473" s="48" t="n">
        <x:v>0.45</x:v>
      </x:c>
      <x:c r="J473" s="48" t="n">
        <x:v>0.4</x:v>
      </x:c>
      <x:c r="K473" s="48" t="str">
        <x:v>Yes</x:v>
      </x:c>
      <x:c r="L473" s="48" t="str">
        <x:v>PDF text</x:v>
      </x:c>
    </x:row>
    <x:row r="474">
      <x:c r="A474" s="48" t="str">
        <x:v>YELLOW-0473</x:v>
      </x:c>
      <x:c r="B474" s="48" t="str">
        <x:v>YELLOW</x:v>
      </x:c>
      <x:c r="C474" s="48" t="str">
        <x:v>English</x:v>
      </x:c>
      <x:c r="D474" s="48" t="n">
        <x:v>37</x:v>
      </x:c>
      <x:c r="E474" s="48" t="str"/>
      <x:c r="F474" s="48" t="str">
        <x:v>Contractor shall submit revised documents to the Engineer in accordance with</x:v>
      </x:c>
      <x:c r="G474" s="48" t="str">
        <x:v>Obligation</x:v>
      </x:c>
      <x:c r="H474" s="48" t="str">
        <x:v>Contractor</x:v>
      </x:c>
      <x:c r="I474" s="48" t="n">
        <x:v>0.88</x:v>
      </x:c>
      <x:c r="J474" s="48" t="n">
        <x:v>0.68</x:v>
      </x:c>
      <x:c r="K474" s="48" t="str">
        <x:v>Yes</x:v>
      </x:c>
      <x:c r="L474" s="48" t="str">
        <x:v>PDF text</x:v>
      </x:c>
    </x:row>
    <x:row r="475">
      <x:c r="A475" s="48" t="str">
        <x:v>YELLOW-0474</x:v>
      </x:c>
      <x:c r="B475" s="48" t="str">
        <x:v>YELLOW</x:v>
      </x:c>
      <x:c r="C475" s="48" t="str">
        <x:v>English</x:v>
      </x:c>
      <x:c r="D475" s="48" t="n">
        <x:v>37</x:v>
      </x:c>
      <x:c r="E475" s="48" t="str"/>
      <x:c r="F475" s="48" t="str">
        <x:v>the above procedure.</x:v>
      </x:c>
      <x:c r="G475" s="48" t="str">
        <x:v>Obligation</x:v>
      </x:c>
      <x:c r="H475" s="48" t="str">
        <x:v>Shared</x:v>
      </x:c>
      <x:c r="I475" s="48" t="n">
        <x:v>0.45</x:v>
      </x:c>
      <x:c r="J475" s="48" t="n">
        <x:v>0.4</x:v>
      </x:c>
      <x:c r="K475" s="48" t="str">
        <x:v>Yes</x:v>
      </x:c>
      <x:c r="L475" s="48" t="str">
        <x:v>PDF text</x:v>
      </x:c>
    </x:row>
    <x:row r="476">
      <x:c r="A476" s="48" t="str">
        <x:v>YELLOW-0475</x:v>
      </x:c>
      <x:c r="B476" s="48" t="str">
        <x:v>YELLOW</x:v>
      </x:c>
      <x:c r="C476" s="48" t="str">
        <x:v>English</x:v>
      </x:c>
      <x:c r="D476" s="48" t="n">
        <x:v>37</x:v>
      </x:c>
      <x:c r="E476" s="48" t="str"/>
      <x:c r="F476" s="48" t="str">
        <x:v>If the Engineer instructs that further Contractor's Documents are required, the</x:v>
      </x:c>
      <x:c r="G476" s="48" t="str">
        <x:v>Obligation</x:v>
      </x:c>
      <x:c r="H476" s="48" t="str">
        <x:v>Contractor</x:v>
      </x:c>
      <x:c r="I476" s="48" t="n">
        <x:v>0.45</x:v>
      </x:c>
      <x:c r="J476" s="48" t="n">
        <x:v>0.68</x:v>
      </x:c>
      <x:c r="K476" s="48" t="str">
        <x:v>Yes</x:v>
      </x:c>
      <x:c r="L476" s="48" t="str">
        <x:v>PDF text</x:v>
      </x:c>
    </x:row>
    <x:row r="477">
      <x:c r="A477" s="48" t="str">
        <x:v>YELLOW-0476</x:v>
      </x:c>
      <x:c r="B477" s="48" t="str">
        <x:v>YELLOW</x:v>
      </x:c>
      <x:c r="C477" s="48" t="str">
        <x:v>English</x:v>
      </x:c>
      <x:c r="D477" s="48" t="n">
        <x:v>37</x:v>
      </x:c>
      <x:c r="E477" s="48" t="str"/>
      <x:c r="F477" s="48" t="str">
        <x:v>Contractor shall prepare them promptly.</x:v>
      </x:c>
      <x:c r="G477" s="48" t="str">
        <x:v>Obligation</x:v>
      </x:c>
      <x:c r="H477" s="48" t="str">
        <x:v>Contractor</x:v>
      </x:c>
      <x:c r="I477" s="48" t="n">
        <x:v>0.88</x:v>
      </x:c>
      <x:c r="J477" s="48" t="n">
        <x:v>0.68</x:v>
      </x:c>
      <x:c r="K477" s="48" t="str">
        <x:v>Yes</x:v>
      </x:c>
      <x:c r="L477" s="48" t="str">
        <x:v>PDF text</x:v>
      </x:c>
    </x:row>
    <x:row r="478">
      <x:c r="A478" s="48" t="str">
        <x:v>YELLOW-0477</x:v>
      </x:c>
      <x:c r="B478" s="48" t="str">
        <x:v>YELLOW</x:v>
      </x:c>
      <x:c r="C478" s="48" t="str">
        <x:v>English</x:v>
      </x:c>
      <x:c r="D478" s="48" t="n">
        <x:v>38</x:v>
      </x:c>
      <x:c r="E478" s="48" t="str"/>
      <x:c r="F478" s="48" t="str">
        <x:v>Contractor's Undertaking</x:v>
      </x:c>
      <x:c r="G478" s="48" t="str">
        <x:v>Obligation</x:v>
      </x:c>
      <x:c r="H478" s="48" t="str">
        <x:v>Contractor</x:v>
      </x:c>
      <x:c r="I478" s="48" t="n">
        <x:v>0.45</x:v>
      </x:c>
      <x:c r="J478" s="48" t="n">
        <x:v>0.68</x:v>
      </x:c>
      <x:c r="K478" s="48" t="str">
        <x:v>Yes</x:v>
      </x:c>
      <x:c r="L478" s="48" t="str">
        <x:v>PDF text</x:v>
      </x:c>
    </x:row>
    <x:row r="479">
      <x:c r="A479" s="48" t="str">
        <x:v>YELLOW-0478</x:v>
      </x:c>
      <x:c r="B479" s="48" t="str">
        <x:v>YELLOW</x:v>
      </x:c>
      <x:c r="C479" s="48" t="str">
        <x:v>English</x:v>
      </x:c>
      <x:c r="D479" s="48" t="n">
        <x:v>38</x:v>
      </x:c>
      <x:c r="E479" s="48" t="str"/>
      <x:c r="F479" s="48" t="str">
        <x:v>Technical Standards and</x:v>
      </x:c>
      <x:c r="G479" s="48" t="str">
        <x:v>Obligation</x:v>
      </x:c>
      <x:c r="H479" s="48" t="str">
        <x:v>Shared</x:v>
      </x:c>
      <x:c r="I479" s="48" t="n">
        <x:v>0.45</x:v>
      </x:c>
      <x:c r="J479" s="48" t="n">
        <x:v>0.4</x:v>
      </x:c>
      <x:c r="K479" s="48" t="str">
        <x:v>Yes</x:v>
      </x:c>
      <x:c r="L479" s="48" t="str">
        <x:v>PDF text</x:v>
      </x:c>
    </x:row>
    <x:row r="480">
      <x:c r="A480" s="48" t="str">
        <x:v>YELLOW-0479</x:v>
      </x:c>
      <x:c r="B480" s="48" t="str">
        <x:v>YELLOW</x:v>
      </x:c>
      <x:c r="C480" s="48" t="str">
        <x:v>English</x:v>
      </x:c>
      <x:c r="D480" s="48" t="n">
        <x:v>38</x:v>
      </x:c>
      <x:c r="E480" s="48" t="str"/>
      <x:c r="F480" s="48" t="str">
        <x:v>Regulations</x:v>
      </x:c>
      <x:c r="G480" s="48" t="str">
        <x:v>Obligation</x:v>
      </x:c>
      <x:c r="H480" s="48" t="str">
        <x:v>Shared</x:v>
      </x:c>
      <x:c r="I480" s="48" t="n">
        <x:v>0.45</x:v>
      </x:c>
      <x:c r="J480" s="48" t="n">
        <x:v>0.4</x:v>
      </x:c>
      <x:c r="K480" s="48" t="str">
        <x:v>Yes</x:v>
      </x:c>
      <x:c r="L480" s="48" t="str">
        <x:v>PDF text</x:v>
      </x:c>
    </x:row>
    <x:row r="481">
      <x:c r="A481" s="48" t="str">
        <x:v>YELLOW-0480</x:v>
      </x:c>
      <x:c r="B481" s="48" t="str">
        <x:v>YELLOW</x:v>
      </x:c>
      <x:c r="C481" s="48" t="str">
        <x:v>English</x:v>
      </x:c>
      <x:c r="D481" s="48" t="n">
        <x:v>38</x:v>
      </x:c>
      <x:c r="E481" s="48" t="str"/>
      <x:c r="F481" s="48" t="str">
        <x:v>Training</x:v>
      </x:c>
      <x:c r="G481" s="48" t="str">
        <x:v>Obligation</x:v>
      </x:c>
      <x:c r="H481" s="48" t="str">
        <x:v>Shared</x:v>
      </x:c>
      <x:c r="I481" s="48" t="n">
        <x:v>0.45</x:v>
      </x:c>
      <x:c r="J481" s="48" t="n">
        <x:v>0.4</x:v>
      </x:c>
      <x:c r="K481" s="48" t="str">
        <x:v>Yes</x:v>
      </x:c>
      <x:c r="L481" s="48" t="str">
        <x:v>PDF text</x:v>
      </x:c>
    </x:row>
    <x:row r="482">
      <x:c r="A482" s="48" t="str">
        <x:v>YELLOW-0481</x:v>
      </x:c>
      <x:c r="B482" s="48" t="str">
        <x:v>YELLOW</x:v>
      </x:c>
      <x:c r="C482" s="48" t="str">
        <x:v>English</x:v>
      </x:c>
      <x:c r="D482" s="48" t="n">
        <x:v>38</x:v>
      </x:c>
      <x:c r="E482" s="48" t="str"/>
      <x:c r="F482" s="48" t="str">
        <x:v>As-Built Documents</x:v>
      </x:c>
      <x:c r="G482" s="48" t="str">
        <x:v>Obligation</x:v>
      </x:c>
      <x:c r="H482" s="48" t="str">
        <x:v>Shared</x:v>
      </x:c>
      <x:c r="I482" s="48" t="n">
        <x:v>0.45</x:v>
      </x:c>
      <x:c r="J482" s="48" t="n">
        <x:v>0.4</x:v>
      </x:c>
      <x:c r="K482" s="48" t="str">
        <x:v>Yes</x:v>
      </x:c>
      <x:c r="L482" s="48" t="str">
        <x:v>PDF text</x:v>
      </x:c>
    </x:row>
    <x:row r="483">
      <x:c r="A483" s="48" t="str">
        <x:v>YELLOW-0482</x:v>
      </x:c>
      <x:c r="B483" s="48" t="str">
        <x:v>YELLOW</x:v>
      </x:c>
      <x:c r="C483" s="48" t="str">
        <x:v>English</x:v>
      </x:c>
      <x:c r="D483" s="48" t="n">
        <x:v>38</x:v>
      </x:c>
      <x:c r="E483" s="48" t="str"/>
      <x:c r="F483" s="48" t="str">
        <x:v>Any such approval or consent, or any review (under this Sub-Clause or otherwise),</x:v>
      </x:c>
      <x:c r="G483" s="48" t="str">
        <x:v>Obligation</x:v>
      </x:c>
      <x:c r="H483" s="48" t="str">
        <x:v>Shared</x:v>
      </x:c>
      <x:c r="I483" s="48" t="n">
        <x:v>0.45</x:v>
      </x:c>
      <x:c r="J483" s="48" t="n">
        <x:v>0.4</x:v>
      </x:c>
      <x:c r="K483" s="48" t="str">
        <x:v>Yes</x:v>
      </x:c>
      <x:c r="L483" s="48" t="str">
        <x:v>PDF text</x:v>
      </x:c>
    </x:row>
    <x:row r="484">
      <x:c r="A484" s="48" t="str">
        <x:v>YELLOW-0483</x:v>
      </x:c>
      <x:c r="B484" s="48" t="str">
        <x:v>YELLOW</x:v>
      </x:c>
      <x:c r="C484" s="48" t="str">
        <x:v>English</x:v>
      </x:c>
      <x:c r="D484" s="48" t="n">
        <x:v>38</x:v>
      </x:c>
      <x:c r="E484" s="48" t="str"/>
      <x:c r="F484" s="48" t="str">
        <x:v>shall not relieve the Contractor from any obligation or responsibility</x:v>
      </x:c>
      <x:c r="G484" s="48" t="str">
        <x:v>Obligation</x:v>
      </x:c>
      <x:c r="H484" s="48" t="str">
        <x:v>Contractor</x:v>
      </x:c>
      <x:c r="I484" s="48" t="n">
        <x:v>0.88</x:v>
      </x:c>
      <x:c r="J484" s="48" t="n">
        <x:v>0.68</x:v>
      </x:c>
      <x:c r="K484" s="48" t="str">
        <x:v>Yes</x:v>
      </x:c>
      <x:c r="L484" s="48" t="str">
        <x:v>PDF text</x:v>
      </x:c>
    </x:row>
    <x:row r="485">
      <x:c r="A485" s="48" t="str">
        <x:v>YELLOW-0484</x:v>
      </x:c>
      <x:c r="B485" s="48" t="str">
        <x:v>YELLOW</x:v>
      </x:c>
      <x:c r="C485" s="48" t="str">
        <x:v>English</x:v>
      </x:c>
      <x:c r="D485" s="48" t="n">
        <x:v>38</x:v>
      </x:c>
      <x:c r="E485" s="48" t="str"/>
      <x:c r="F485" s="48" t="str">
        <x:v>The Contractor undertakes that the design, the Contractor's Documents, the</x:v>
      </x:c>
      <x:c r="G485" s="48" t="str">
        <x:v>Obligation</x:v>
      </x:c>
      <x:c r="H485" s="48" t="str">
        <x:v>Contractor</x:v>
      </x:c>
      <x:c r="I485" s="48" t="n">
        <x:v>0.45</x:v>
      </x:c>
      <x:c r="J485" s="48" t="n">
        <x:v>0.68</x:v>
      </x:c>
      <x:c r="K485" s="48" t="str">
        <x:v>Yes</x:v>
      </x:c>
      <x:c r="L485" s="48" t="str">
        <x:v>PDF text</x:v>
      </x:c>
    </x:row>
    <x:row r="486">
      <x:c r="A486" s="48" t="str">
        <x:v>YELLOW-0485</x:v>
      </x:c>
      <x:c r="B486" s="48" t="str">
        <x:v>YELLOW</x:v>
      </x:c>
      <x:c r="C486" s="48" t="str">
        <x:v>English</x:v>
      </x:c>
      <x:c r="D486" s="48" t="n">
        <x:v>38</x:v>
      </x:c>
      <x:c r="E486" s="48" t="str"/>
      <x:c r="F486" s="48" t="str">
        <x:v>execution and the completed Works will be in accordance with: (a) the Laws in the Country, and (b) the documents forming the Contract, as altered or modified by Variations.</x:v>
      </x:c>
      <x:c r="G486" s="48" t="str">
        <x:v>Obligation</x:v>
      </x:c>
      <x:c r="H486" s="48" t="str">
        <x:v>Shared</x:v>
      </x:c>
      <x:c r="I486" s="48" t="n">
        <x:v>0.45</x:v>
      </x:c>
      <x:c r="J486" s="48" t="n">
        <x:v>0.4</x:v>
      </x:c>
      <x:c r="K486" s="48" t="str">
        <x:v>Yes</x:v>
      </x:c>
      <x:c r="L486" s="48" t="str">
        <x:v>PDF text</x:v>
      </x:c>
    </x:row>
    <x:row r="487">
      <x:c r="A487" s="48" t="str">
        <x:v>YELLOW-0486</x:v>
      </x:c>
      <x:c r="B487" s="48" t="str">
        <x:v>YELLOW</x:v>
      </x:c>
      <x:c r="C487" s="48" t="str">
        <x:v>English</x:v>
      </x:c>
      <x:c r="D487" s="48" t="n">
        <x:v>38</x:v>
      </x:c>
      <x:c r="E487" s="48" t="str"/>
      <x:c r="F487" s="48" t="str">
        <x:v>The design, the Contractor's Documents, the execution and the completed Works</x:v>
      </x:c>
      <x:c r="G487" s="48" t="str">
        <x:v>Obligation</x:v>
      </x:c>
      <x:c r="H487" s="48" t="str">
        <x:v>Contractor</x:v>
      </x:c>
      <x:c r="I487" s="48" t="n">
        <x:v>0.45</x:v>
      </x:c>
      <x:c r="J487" s="48" t="n">
        <x:v>0.68</x:v>
      </x:c>
      <x:c r="K487" s="48" t="str">
        <x:v>Yes</x:v>
      </x:c>
      <x:c r="L487" s="48" t="str">
        <x:v>PDF text</x:v>
      </x:c>
    </x:row>
    <x:row r="488">
      <x:c r="A488" s="48" t="str">
        <x:v>YELLOW-0487</x:v>
      </x:c>
      <x:c r="B488" s="48" t="str">
        <x:v>YELLOW</x:v>
      </x:c>
      <x:c r="C488" s="48" t="str">
        <x:v>English</x:v>
      </x:c>
      <x:c r="D488" s="48" t="n">
        <x:v>38</x:v>
      </x:c>
      <x:c r="E488" s="48" t="str"/>
      <x:c r="F488" s="48" t="str">
        <x:v>shall comply with the Country's technical standards, building, construction and environmental Laws, Laws applicable to the product being produced from the Works, and other standards specified in the Employer's Requirements, applicable to the Works, or defined by the applicable Laws.</x:v>
      </x:c>
      <x:c r="G488" s="48" t="str">
        <x:v>Obligation</x:v>
      </x:c>
      <x:c r="H488" s="48" t="str">
        <x:v>Employer</x:v>
      </x:c>
      <x:c r="I488" s="48" t="n">
        <x:v>0.88</x:v>
      </x:c>
      <x:c r="J488" s="48" t="n">
        <x:v>0.68</x:v>
      </x:c>
      <x:c r="K488" s="48" t="str">
        <x:v>Yes</x:v>
      </x:c>
      <x:c r="L488" s="48" t="str">
        <x:v>PDF text</x:v>
      </x:c>
    </x:row>
    <x:row r="489">
      <x:c r="A489" s="48" t="str">
        <x:v>YELLOW-0488</x:v>
      </x:c>
      <x:c r="B489" s="48" t="str">
        <x:v>YELLOW</x:v>
      </x:c>
      <x:c r="C489" s="48" t="str">
        <x:v>English</x:v>
      </x:c>
      <x:c r="D489" s="48" t="n">
        <x:v>38</x:v>
      </x:c>
      <x:c r="E489" s="48" t="str"/>
      <x:c r="F489" s="48" t="str">
        <x:v>All these Laws shall, in respect of the Works and each Section, be those prevailing when the Works or Section are taken over by the Employer under Clause 10 [Employer's Taking Over].</x:v>
      </x:c>
      <x:c r="G489" s="48" t="str">
        <x:v>Obligation</x:v>
      </x:c>
      <x:c r="H489" s="48" t="str">
        <x:v>Employer</x:v>
      </x:c>
      <x:c r="I489" s="48" t="n">
        <x:v>0.88</x:v>
      </x:c>
      <x:c r="J489" s="48" t="n">
        <x:v>0.68</x:v>
      </x:c>
      <x:c r="K489" s="48" t="str">
        <x:v>Yes</x:v>
      </x:c>
      <x:c r="L489" s="48" t="str">
        <x:v>PDF text</x:v>
      </x:c>
    </x:row>
    <x:row r="490">
      <x:c r="A490" s="48" t="str">
        <x:v>YELLOW-0489</x:v>
      </x:c>
      <x:c r="B490" s="48" t="str">
        <x:v>YELLOW</x:v>
      </x:c>
      <x:c r="C490" s="48" t="str">
        <x:v>English</x:v>
      </x:c>
      <x:c r="D490" s="48" t="n">
        <x:v>38</x:v>
      </x:c>
      <x:c r="E490" s="48" t="str"/>
      <x:c r="F490" s="48" t="str">
        <x:v>References in the Contract to published standards shall be understood to be references to the edition applicable on the Base Date, unless stated otherwise.</x:v>
      </x:c>
      <x:c r="G490" s="48" t="str">
        <x:v>Obligation</x:v>
      </x:c>
      <x:c r="H490" s="48" t="str">
        <x:v>Shared</x:v>
      </x:c>
      <x:c r="I490" s="48" t="n">
        <x:v>0.88</x:v>
      </x:c>
      <x:c r="J490" s="48" t="n">
        <x:v>0.4</x:v>
      </x:c>
      <x:c r="K490" s="48" t="str">
        <x:v>Yes</x:v>
      </x:c>
      <x:c r="L490" s="48" t="str">
        <x:v>PDF text</x:v>
      </x:c>
    </x:row>
    <x:row r="491">
      <x:c r="A491" s="48" t="str">
        <x:v>YELLOW-0490</x:v>
      </x:c>
      <x:c r="B491" s="48" t="str">
        <x:v>YELLOW</x:v>
      </x:c>
      <x:c r="C491" s="48" t="str">
        <x:v>English</x:v>
      </x:c>
      <x:c r="D491" s="48" t="n">
        <x:v>38</x:v>
      </x:c>
      <x:c r="E491" s="48" t="str"/>
      <x:c r="F491" s="48" t="str">
        <x:v>If changed or new applicable standards come into force in the Country after the Base Date, the Contractor shall give notice to the Engineer and (if appropriate) submit proposals for compliance.</x:v>
      </x:c>
      <x:c r="G491" s="48" t="str">
        <x:v>Obligation</x:v>
      </x:c>
      <x:c r="H491" s="48" t="str">
        <x:v>Contractor</x:v>
      </x:c>
      <x:c r="I491" s="48" t="n">
        <x:v>0.88</x:v>
      </x:c>
      <x:c r="J491" s="48" t="n">
        <x:v>0.92</x:v>
      </x:c>
      <x:c r="K491" s="48" t="str">
        <x:v>No</x:v>
      </x:c>
      <x:c r="L491" s="48" t="str">
        <x:v>PDF text</x:v>
      </x:c>
    </x:row>
    <x:row r="492">
      <x:c r="A492" s="48" t="str">
        <x:v>YELLOW-0491</x:v>
      </x:c>
      <x:c r="B492" s="48" t="str">
        <x:v>YELLOW</x:v>
      </x:c>
      <x:c r="C492" s="48" t="str">
        <x:v>English</x:v>
      </x:c>
      <x:c r="D492" s="48" t="n">
        <x:v>38</x:v>
      </x:c>
      <x:c r="E492" s="48" t="str"/>
      <x:c r="F492" s="48" t="str">
        <x:v>In the event that: (a) the Engineer determines that compliance is required, and (b) the proposals for compliance constitute a variation, then the Engineer shall initiate a Variation in accordance with Clause 13 [Variations and Adjustments].</x:v>
      </x:c>
      <x:c r="G492" s="48" t="str">
        <x:v>Obligation</x:v>
      </x:c>
      <x:c r="H492" s="48" t="str">
        <x:v>Shared</x:v>
      </x:c>
      <x:c r="I492" s="48" t="n">
        <x:v>0.88</x:v>
      </x:c>
      <x:c r="J492" s="48" t="n">
        <x:v>0.4</x:v>
      </x:c>
      <x:c r="K492" s="48" t="str">
        <x:v>Yes</x:v>
      </x:c>
      <x:c r="L492" s="48" t="str">
        <x:v>PDF text</x:v>
      </x:c>
    </x:row>
    <x:row r="493">
      <x:c r="A493" s="48" t="str">
        <x:v>YELLOW-0492</x:v>
      </x:c>
      <x:c r="B493" s="48" t="str">
        <x:v>YELLOW</x:v>
      </x:c>
      <x:c r="C493" s="48" t="str">
        <x:v>English</x:v>
      </x:c>
      <x:c r="D493" s="48" t="n">
        <x:v>38</x:v>
      </x:c>
      <x:c r="E493" s="48" t="str"/>
      <x:c r="F493" s="48" t="str">
        <x:v>The Contractor shall carry out the training of Employer's Personnel in the operation and maintenance of the Works to the extent specified in the Employer's Requirements.</x:v>
      </x:c>
      <x:c r="G493" s="48" t="str">
        <x:v>Obligation</x:v>
      </x:c>
      <x:c r="H493" s="48" t="str">
        <x:v>Contractor</x:v>
      </x:c>
      <x:c r="I493" s="48" t="n">
        <x:v>0.88</x:v>
      </x:c>
      <x:c r="J493" s="48" t="n">
        <x:v>0.92</x:v>
      </x:c>
      <x:c r="K493" s="48" t="str">
        <x:v>No</x:v>
      </x:c>
      <x:c r="L493" s="48" t="str">
        <x:v>PDF text</x:v>
      </x:c>
    </x:row>
    <x:row r="494">
      <x:c r="A494" s="48" t="str">
        <x:v>YELLOW-0493</x:v>
      </x:c>
      <x:c r="B494" s="48" t="str">
        <x:v>YELLOW</x:v>
      </x:c>
      <x:c r="C494" s="48" t="str">
        <x:v>English</x:v>
      </x:c>
      <x:c r="D494" s="48" t="n">
        <x:v>38</x:v>
      </x:c>
      <x:c r="E494" s="48" t="str"/>
      <x:c r="F494" s="48" t="str">
        <x:v>If the Contract specifies training which is to be carried out before taking-over, the Works shall not be considered to be completed for the purposes of taking-over under Sub-Clause 10.1 [Taking Over of the Works and Sections] until this training has been completed.</x:v>
      </x:c>
      <x:c r="G494" s="48" t="str">
        <x:v>Obligation</x:v>
      </x:c>
      <x:c r="H494" s="48" t="str">
        <x:v>Shared</x:v>
      </x:c>
      <x:c r="I494" s="48" t="n">
        <x:v>0.88</x:v>
      </x:c>
      <x:c r="J494" s="48" t="n">
        <x:v>0.4</x:v>
      </x:c>
      <x:c r="K494" s="48" t="str">
        <x:v>Yes</x:v>
      </x:c>
      <x:c r="L494" s="48" t="str">
        <x:v>PDF text</x:v>
      </x:c>
    </x:row>
    <x:row r="495">
      <x:c r="A495" s="48" t="str">
        <x:v>YELLOW-0494</x:v>
      </x:c>
      <x:c r="B495" s="48" t="str">
        <x:v>YELLOW</x:v>
      </x:c>
      <x:c r="C495" s="48" t="str">
        <x:v>English</x:v>
      </x:c>
      <x:c r="D495" s="48" t="n">
        <x:v>38</x:v>
      </x:c>
      <x:c r="E495" s="48" t="str"/>
      <x:c r="F495" s="48" t="str">
        <x:v>The Contractor shall prepare, and keep up-to-date, a complete set of "as-built" records of the execution of the Works, showing the exact as-built locations, sizes and details of the work as executed.</x:v>
      </x:c>
      <x:c r="G495" s="48" t="str">
        <x:v>Obligation</x:v>
      </x:c>
      <x:c r="H495" s="48" t="str">
        <x:v>Contractor</x:v>
      </x:c>
      <x:c r="I495" s="48" t="n">
        <x:v>0.88</x:v>
      </x:c>
      <x:c r="J495" s="48" t="n">
        <x:v>0.92</x:v>
      </x:c>
      <x:c r="K495" s="48" t="str">
        <x:v>No</x:v>
      </x:c>
      <x:c r="L495" s="48" t="str">
        <x:v>PDF text</x:v>
      </x:c>
    </x:row>
    <x:row r="496">
      <x:c r="A496" s="48" t="str">
        <x:v>YELLOW-0495</x:v>
      </x:c>
      <x:c r="B496" s="48" t="str">
        <x:v>YELLOW</x:v>
      </x:c>
      <x:c r="C496" s="48" t="str">
        <x:v>English</x:v>
      </x:c>
      <x:c r="D496" s="48" t="n">
        <x:v>38</x:v>
      </x:c>
      <x:c r="E496" s="48" t="str"/>
      <x:c r="F496" s="48" t="str">
        <x:v>These records shall be kept on the Site and shall be used exclusively for the purposes of this Sub-Clause.</x:v>
      </x:c>
      <x:c r="G496" s="48" t="str">
        <x:v>Obligation</x:v>
      </x:c>
      <x:c r="H496" s="48" t="str">
        <x:v>Shared</x:v>
      </x:c>
      <x:c r="I496" s="48" t="n">
        <x:v>0.88</x:v>
      </x:c>
      <x:c r="J496" s="48" t="n">
        <x:v>0.4</x:v>
      </x:c>
      <x:c r="K496" s="48" t="str">
        <x:v>Yes</x:v>
      </x:c>
      <x:c r="L496" s="48" t="str">
        <x:v>PDF text</x:v>
      </x:c>
    </x:row>
    <x:row r="497">
      <x:c r="A497" s="48" t="str">
        <x:v>YELLOW-0496</x:v>
      </x:c>
      <x:c r="B497" s="48" t="str">
        <x:v>YELLOW</x:v>
      </x:c>
      <x:c r="C497" s="48" t="str">
        <x:v>English</x:v>
      </x:c>
      <x:c r="D497" s="48" t="n">
        <x:v>38</x:v>
      </x:c>
      <x:c r="E497" s="48" t="str"/>
      <x:c r="F497" s="48" t="str">
        <x:v>Two copies shall be supplied to the Engineer prior to the commencement of the Tests on Completion.</x:v>
      </x:c>
      <x:c r="G497" s="48" t="str">
        <x:v>Obligation</x:v>
      </x:c>
      <x:c r="H497" s="48" t="str">
        <x:v>Shared</x:v>
      </x:c>
      <x:c r="I497" s="48" t="n">
        <x:v>0.88</x:v>
      </x:c>
      <x:c r="J497" s="48" t="n">
        <x:v>0.4</x:v>
      </x:c>
      <x:c r="K497" s="48" t="str">
        <x:v>Yes</x:v>
      </x:c>
      <x:c r="L497" s="48" t="str">
        <x:v>PDF text</x:v>
      </x:c>
    </x:row>
    <x:row r="498">
      <x:c r="A498" s="48" t="str">
        <x:v>YELLOW-0497</x:v>
      </x:c>
      <x:c r="B498" s="48" t="str">
        <x:v>YELLOW</x:v>
      </x:c>
      <x:c r="C498" s="48" t="str">
        <x:v>English</x:v>
      </x:c>
      <x:c r="D498" s="48" t="n">
        <x:v>38</x:v>
      </x:c>
      <x:c r="E498" s="48" t="str"/>
      <x:c r="F498" s="48" t="str">
        <x:v>In addition, the Contractor shall supply to the Engineer as-built drawings of the Works, showing all Works as executed, and submit them to the Engineer for review under Sub-Clause 5.2 [Contractor's Documents].</x:v>
      </x:c>
      <x:c r="G498" s="48" t="str">
        <x:v>Obligation</x:v>
      </x:c>
      <x:c r="H498" s="48" t="str">
        <x:v>Contractor</x:v>
      </x:c>
      <x:c r="I498" s="48" t="n">
        <x:v>0.88</x:v>
      </x:c>
      <x:c r="J498" s="48" t="n">
        <x:v>0.92</x:v>
      </x:c>
      <x:c r="K498" s="48" t="str">
        <x:v>No</x:v>
      </x:c>
      <x:c r="L498" s="48" t="str">
        <x:v>PDF text</x:v>
      </x:c>
    </x:row>
    <x:row r="499">
      <x:c r="A499" s="48" t="str">
        <x:v>YELLOW-0498</x:v>
      </x:c>
      <x:c r="B499" s="48" t="str">
        <x:v>YELLOW</x:v>
      </x:c>
      <x:c r="C499" s="48" t="str">
        <x:v>English</x:v>
      </x:c>
      <x:c r="D499" s="48" t="n">
        <x:v>38</x:v>
      </x:c>
      <x:c r="E499" s="48" t="str"/>
      <x:c r="F499" s="48" t="str">
        <x:v>The Contractor shall obtain the consent of the Engineer as to their size, the referencing system, and other relevant details.</x:v>
      </x:c>
      <x:c r="G499" s="48" t="str">
        <x:v>Obligation</x:v>
      </x:c>
      <x:c r="H499" s="48" t="str">
        <x:v>Contractor</x:v>
      </x:c>
      <x:c r="I499" s="48" t="n">
        <x:v>0.88</x:v>
      </x:c>
      <x:c r="J499" s="48" t="n">
        <x:v>0.92</x:v>
      </x:c>
      <x:c r="K499" s="48" t="str">
        <x:v>No</x:v>
      </x:c>
      <x:c r="L499" s="48" t="str">
        <x:v>PDF text</x:v>
      </x:c>
    </x:row>
    <x:row r="500">
      <x:c r="A500" s="48" t="str">
        <x:v>YELLOW-0499</x:v>
      </x:c>
      <x:c r="B500" s="48" t="str">
        <x:v>YELLOW</x:v>
      </x:c>
      <x:c r="C500" s="48" t="str">
        <x:v>English</x:v>
      </x:c>
      <x:c r="D500" s="48" t="n">
        <x:v>38</x:v>
      </x:c>
      <x:c r="E500" s="48" t="str"/>
      <x:c r="F500" s="48" t="str">
        <x:v>Prior to the issue of any Taking-Over Certificate, the Contractor shall supply to the Engineer the specified numbers and types of copies of the relevant as-built drawings, in accordance with the Employer's Requirements.</x:v>
      </x:c>
      <x:c r="G500" s="48" t="str">
        <x:v>Obligation</x:v>
      </x:c>
      <x:c r="H500" s="48" t="str">
        <x:v>Contractor</x:v>
      </x:c>
      <x:c r="I500" s="48" t="n">
        <x:v>0.88</x:v>
      </x:c>
      <x:c r="J500" s="48" t="n">
        <x:v>0.92</x:v>
      </x:c>
      <x:c r="K500" s="48" t="str">
        <x:v>No</x:v>
      </x:c>
      <x:c r="L500" s="48" t="str">
        <x:v>PDF text</x:v>
      </x:c>
    </x:row>
    <x:row r="501">
      <x:c r="A501" s="48" t="str">
        <x:v>YELLOW-0500</x:v>
      </x:c>
      <x:c r="B501" s="48" t="str">
        <x:v>YELLOW</x:v>
      </x:c>
      <x:c r="C501" s="48" t="str">
        <x:v>English</x:v>
      </x:c>
      <x:c r="D501" s="48" t="n">
        <x:v>38</x:v>
      </x:c>
      <x:c r="E501" s="48" t="str"/>
      <x:c r="F501" s="48" t="str">
        <x:v>The Works shall not be considered</x:v>
      </x:c>
      <x:c r="G501" s="48" t="str">
        <x:v>Obligation</x:v>
      </x:c>
      <x:c r="H501" s="48" t="str">
        <x:v>Shared</x:v>
      </x:c>
      <x:c r="I501" s="48" t="n">
        <x:v>0.88</x:v>
      </x:c>
      <x:c r="J501" s="48" t="n">
        <x:v>0.4</x:v>
      </x:c>
      <x:c r="K501" s="48" t="str">
        <x:v>Yes</x:v>
      </x:c>
      <x:c r="L501" s="48" t="str">
        <x:v>PDF text</x:v>
      </x:c>
    </x:row>
    <x:row r="502">
      <x:c r="A502" s="48" t="str">
        <x:v>YELLOW-0501</x:v>
      </x:c>
      <x:c r="B502" s="48" t="str">
        <x:v>YELLOW</x:v>
      </x:c>
      <x:c r="C502" s="48" t="str">
        <x:v>English</x:v>
      </x:c>
      <x:c r="D502" s="48" t="n">
        <x:v>39</x:v>
      </x:c>
      <x:c r="E502" s="48" t="str"/>
      <x:c r="F502" s="48" t="str">
        <x:v>to be completed for the purposes of taking-over under Sub-Clause 10.1 [Taking Over of the Works and Sections] until the Engineer has received these documents.</x:v>
      </x:c>
      <x:c r="G502" s="48" t="str">
        <x:v>Obligation</x:v>
      </x:c>
      <x:c r="H502" s="48" t="str">
        <x:v>Shared</x:v>
      </x:c>
      <x:c r="I502" s="48" t="n">
        <x:v>0.45</x:v>
      </x:c>
      <x:c r="J502" s="48" t="n">
        <x:v>0.4</x:v>
      </x:c>
      <x:c r="K502" s="48" t="str">
        <x:v>Yes</x:v>
      </x:c>
      <x:c r="L502" s="48" t="str">
        <x:v>PDF text</x:v>
      </x:c>
    </x:row>
    <x:row r="503">
      <x:c r="A503" s="48" t="str">
        <x:v>YELLOW-0502</x:v>
      </x:c>
      <x:c r="B503" s="48" t="str">
        <x:v>YELLOW</x:v>
      </x:c>
      <x:c r="C503" s="48" t="str">
        <x:v>English</x:v>
      </x:c>
      <x:c r="D503" s="48" t="n">
        <x:v>39</x:v>
      </x:c>
      <x:c r="E503" s="48" t="str"/>
      <x:c r="F503" s="48" t="str">
        <x:v>Prior to commencement of the Tests on Completion, the Contractor shall supply to</x:v>
      </x:c>
      <x:c r="G503" s="48" t="str">
        <x:v>Obligation</x:v>
      </x:c>
      <x:c r="H503" s="48" t="str">
        <x:v>Contractor</x:v>
      </x:c>
      <x:c r="I503" s="48" t="n">
        <x:v>0.88</x:v>
      </x:c>
      <x:c r="J503" s="48" t="n">
        <x:v>0.92</x:v>
      </x:c>
      <x:c r="K503" s="48" t="str">
        <x:v>No</x:v>
      </x:c>
      <x:c r="L503" s="48" t="str">
        <x:v>PDF text</x:v>
      </x:c>
    </x:row>
    <x:row r="504">
      <x:c r="A504" s="48" t="str">
        <x:v>YELLOW-0503</x:v>
      </x:c>
      <x:c r="B504" s="48" t="str">
        <x:v>YELLOW</x:v>
      </x:c>
      <x:c r="C504" s="48" t="str">
        <x:v>English</x:v>
      </x:c>
      <x:c r="D504" s="48" t="n">
        <x:v>39</x:v>
      </x:c>
      <x:c r="E504" s="48" t="str"/>
      <x:c r="F504" s="48" t="str">
        <x:v>the Engineer provisional operation and maintenance manuals in sufficient detail for the Employer to operate, maintain, dismantle, reassemble, adjust and repair the Plant.</x:v>
      </x:c>
      <x:c r="G504" s="48" t="str">
        <x:v>Obligation</x:v>
      </x:c>
      <x:c r="H504" s="48" t="str">
        <x:v>Employer</x:v>
      </x:c>
      <x:c r="I504" s="48" t="n">
        <x:v>0.45</x:v>
      </x:c>
      <x:c r="J504" s="48" t="n">
        <x:v>0.68</x:v>
      </x:c>
      <x:c r="K504" s="48" t="str">
        <x:v>Yes</x:v>
      </x:c>
      <x:c r="L504" s="48" t="str">
        <x:v>PDF text</x:v>
      </x:c>
    </x:row>
    <x:row r="505">
      <x:c r="A505" s="48" t="str">
        <x:v>YELLOW-0504</x:v>
      </x:c>
      <x:c r="B505" s="48" t="str">
        <x:v>YELLOW</x:v>
      </x:c>
      <x:c r="C505" s="48" t="str">
        <x:v>English</x:v>
      </x:c>
      <x:c r="D505" s="48" t="n">
        <x:v>39</x:v>
      </x:c>
      <x:c r="E505" s="48" t="str"/>
      <x:c r="F505" s="48" t="str">
        <x:v>The Works shall not be considered to be completed for the purposes of taking-over</x:v>
      </x:c>
      <x:c r="G505" s="48" t="str">
        <x:v>Obligation</x:v>
      </x:c>
      <x:c r="H505" s="48" t="str">
        <x:v>Shared</x:v>
      </x:c>
      <x:c r="I505" s="48" t="n">
        <x:v>0.88</x:v>
      </x:c>
      <x:c r="J505" s="48" t="n">
        <x:v>0.4</x:v>
      </x:c>
      <x:c r="K505" s="48" t="str">
        <x:v>Yes</x:v>
      </x:c>
      <x:c r="L505" s="48" t="str">
        <x:v>PDF text</x:v>
      </x:c>
    </x:row>
    <x:row r="506">
      <x:c r="A506" s="48" t="str">
        <x:v>YELLOW-0505</x:v>
      </x:c>
      <x:c r="B506" s="48" t="str">
        <x:v>YELLOW</x:v>
      </x:c>
      <x:c r="C506" s="48" t="str">
        <x:v>English</x:v>
      </x:c>
      <x:c r="D506" s="48" t="n">
        <x:v>39</x:v>
      </x:c>
      <x:c r="E506" s="48" t="str"/>
      <x:c r="F506" s="48" t="str">
        <x:v>under Sub-Clause 10.1 [Taking Over of the Works and Sections] until the Engineer has received final operation and maintenance manuals in such detail, and any other manuals specified in the Employer's Requirements for these purposes.</x:v>
      </x:c>
      <x:c r="G506" s="48" t="str">
        <x:v>Obligation</x:v>
      </x:c>
      <x:c r="H506" s="48" t="str">
        <x:v>Employer</x:v>
      </x:c>
      <x:c r="I506" s="48" t="n">
        <x:v>0.45</x:v>
      </x:c>
      <x:c r="J506" s="48" t="n">
        <x:v>0.68</x:v>
      </x:c>
      <x:c r="K506" s="48" t="str">
        <x:v>Yes</x:v>
      </x:c>
      <x:c r="L506" s="48" t="str">
        <x:v>PDF text</x:v>
      </x:c>
    </x:row>
    <x:row r="507">
      <x:c r="A507" s="48" t="str">
        <x:v>YELLOW-0506</x:v>
      </x:c>
      <x:c r="B507" s="48" t="str">
        <x:v>YELLOW</x:v>
      </x:c>
      <x:c r="C507" s="48" t="str">
        <x:v>English</x:v>
      </x:c>
      <x:c r="D507" s="48" t="n">
        <x:v>39</x:v>
      </x:c>
      <x:c r="E507" s="48" t="str"/>
      <x:c r="F507" s="48" t="str">
        <x:v>If errors, omissions, ambiguities, inconsistencies, inadequacies or other defects are found in the Contractor's Documents, they and the Works shall be corrected at the Contractor's cost, notwithstanding any consent or approval under this Clause.</x:v>
      </x:c>
      <x:c r="G507" s="48" t="str">
        <x:v>Obligation</x:v>
      </x:c>
      <x:c r="H507" s="48" t="str">
        <x:v>Contractor</x:v>
      </x:c>
      <x:c r="I507" s="48" t="n">
        <x:v>0.88</x:v>
      </x:c>
      <x:c r="J507" s="48" t="n">
        <x:v>0.68</x:v>
      </x:c>
      <x:c r="K507" s="48" t="str">
        <x:v>Yes</x:v>
      </x:c>
      <x:c r="L507" s="48" t="str">
        <x:v>PDF text</x:v>
      </x:c>
    </x:row>
    <x:row r="508">
      <x:c r="A508" s="48" t="str">
        <x:v>YELLOW-0507</x:v>
      </x:c>
      <x:c r="B508" s="48" t="str">
        <x:v>YELLOW</x:v>
      </x:c>
      <x:c r="C508" s="48" t="str">
        <x:v>English</x:v>
      </x:c>
      <x:c r="D508" s="48" t="n">
        <x:v>39</x:v>
      </x:c>
      <x:c r="E508" s="48" t="str"/>
      <x:c r="F508" s="48" t="str">
        <x:v>Except as otherwise stated in the Employer's Requirements, the Contractor shall</x:v>
      </x:c>
      <x:c r="G508" s="48" t="str">
        <x:v>Obligation</x:v>
      </x:c>
      <x:c r="H508" s="48" t="str">
        <x:v>Contractor</x:v>
      </x:c>
      <x:c r="I508" s="48" t="n">
        <x:v>0.88</x:v>
      </x:c>
      <x:c r="J508" s="48" t="n">
        <x:v>0.92</x:v>
      </x:c>
      <x:c r="K508" s="48" t="str">
        <x:v>No</x:v>
      </x:c>
      <x:c r="L508" s="48" t="str">
        <x:v>PDF text</x:v>
      </x:c>
    </x:row>
    <x:row r="509">
      <x:c r="A509" s="48" t="str">
        <x:v>YELLOW-0508</x:v>
      </x:c>
      <x:c r="B509" s="48" t="str">
        <x:v>YELLOW</x:v>
      </x:c>
      <x:c r="C509" s="48" t="str">
        <x:v>English</x:v>
      </x:c>
      <x:c r="D509" s="48" t="n">
        <x:v>39</x:v>
      </x:c>
      <x:c r="E509" s="48" t="str"/>
      <x:c r="F509" s="48" t="str">
        <x:v>make arrangements for the engagement of all staff and labour, local or otherwise, and for their payment, housing, feeding and transport.</x:v>
      </x:c>
      <x:c r="G509" s="48" t="str">
        <x:v>Obligation</x:v>
      </x:c>
      <x:c r="H509" s="48" t="str">
        <x:v>Shared</x:v>
      </x:c>
      <x:c r="I509" s="48" t="n">
        <x:v>0.55</x:v>
      </x:c>
      <x:c r="J509" s="48" t="n">
        <x:v>0.4</x:v>
      </x:c>
      <x:c r="K509" s="48" t="str">
        <x:v>Yes</x:v>
      </x:c>
      <x:c r="L509" s="48" t="str">
        <x:v>PDF text</x:v>
      </x:c>
    </x:row>
    <x:row r="510">
      <x:c r="A510" s="48" t="str">
        <x:v>YELLOW-0509</x:v>
      </x:c>
      <x:c r="B510" s="48" t="str">
        <x:v>YELLOW</x:v>
      </x:c>
      <x:c r="C510" s="48" t="str">
        <x:v>English</x:v>
      </x:c>
      <x:c r="D510" s="48" t="n">
        <x:v>39</x:v>
      </x:c>
      <x:c r="E510" s="48" t="str"/>
      <x:c r="F510" s="48" t="str">
        <x:v>The Contractor shall pay rates of wages, and observe conditions of labour, which are not lower than those established for the trade or industry where the work is carried out.</x:v>
      </x:c>
      <x:c r="G510" s="48" t="str">
        <x:v>Obligation</x:v>
      </x:c>
      <x:c r="H510" s="48" t="str">
        <x:v>Contractor</x:v>
      </x:c>
      <x:c r="I510" s="48" t="n">
        <x:v>0.88</x:v>
      </x:c>
      <x:c r="J510" s="48" t="n">
        <x:v>0.92</x:v>
      </x:c>
      <x:c r="K510" s="48" t="str">
        <x:v>No</x:v>
      </x:c>
      <x:c r="L510" s="48" t="str">
        <x:v>PDF text</x:v>
      </x:c>
    </x:row>
    <x:row r="511">
      <x:c r="A511" s="48" t="str">
        <x:v>YELLOW-0510</x:v>
      </x:c>
      <x:c r="B511" s="48" t="str">
        <x:v>YELLOW</x:v>
      </x:c>
      <x:c r="C511" s="48" t="str">
        <x:v>English</x:v>
      </x:c>
      <x:c r="D511" s="48" t="n">
        <x:v>39</x:v>
      </x:c>
      <x:c r="E511" s="48" t="str"/>
      <x:c r="F511" s="48" t="str">
        <x:v>If no established rates or conditions are applicable, the Contractor shall pay rates of wages and observe conditions which are not lower than the general level of wages and conditions observed locally by employers whose trade or industry is similar to that of the Contractor.</x:v>
      </x:c>
      <x:c r="G511" s="48" t="str">
        <x:v>Obligation</x:v>
      </x:c>
      <x:c r="H511" s="48" t="str">
        <x:v>Contractor</x:v>
      </x:c>
      <x:c r="I511" s="48" t="n">
        <x:v>0.88</x:v>
      </x:c>
      <x:c r="J511" s="48" t="n">
        <x:v>0.92</x:v>
      </x:c>
      <x:c r="K511" s="48" t="str">
        <x:v>No</x:v>
      </x:c>
      <x:c r="L511" s="48" t="str">
        <x:v>PDF text</x:v>
      </x:c>
    </x:row>
    <x:row r="512">
      <x:c r="A512" s="48" t="str">
        <x:v>YELLOW-0511</x:v>
      </x:c>
      <x:c r="B512" s="48" t="str">
        <x:v>YELLOW</x:v>
      </x:c>
      <x:c r="C512" s="48" t="str">
        <x:v>English</x:v>
      </x:c>
      <x:c r="D512" s="48" t="n">
        <x:v>39</x:v>
      </x:c>
      <x:c r="E512" s="48" t="str"/>
      <x:c r="F512" s="48" t="str">
        <x:v>The Contractor shall not recruit, or attempt to recruit, staff and labour from amongst the Employer's Personnel.</x:v>
      </x:c>
      <x:c r="G512" s="48" t="str">
        <x:v>Obligation</x:v>
      </x:c>
      <x:c r="H512" s="48" t="str">
        <x:v>Contractor</x:v>
      </x:c>
      <x:c r="I512" s="48" t="n">
        <x:v>0.88</x:v>
      </x:c>
      <x:c r="J512" s="48" t="n">
        <x:v>0.92</x:v>
      </x:c>
      <x:c r="K512" s="48" t="str">
        <x:v>No</x:v>
      </x:c>
      <x:c r="L512" s="48" t="str">
        <x:v>PDF text</x:v>
      </x:c>
    </x:row>
    <x:row r="513">
      <x:c r="A513" s="48" t="str">
        <x:v>YELLOW-0512</x:v>
      </x:c>
      <x:c r="B513" s="48" t="str">
        <x:v>YELLOW</x:v>
      </x:c>
      <x:c r="C513" s="48" t="str">
        <x:v>English</x:v>
      </x:c>
      <x:c r="D513" s="48" t="n">
        <x:v>39</x:v>
      </x:c>
      <x:c r="E513" s="48" t="str"/>
      <x:c r="F513" s="48" t="str">
        <x:v>The Contractor shall comply with all the relevant labour Laws applicable to the</x:v>
      </x:c>
      <x:c r="G513" s="48" t="str">
        <x:v>Obligation</x:v>
      </x:c>
      <x:c r="H513" s="48" t="str">
        <x:v>Contractor</x:v>
      </x:c>
      <x:c r="I513" s="48" t="n">
        <x:v>0.88</x:v>
      </x:c>
      <x:c r="J513" s="48" t="n">
        <x:v>0.92</x:v>
      </x:c>
      <x:c r="K513" s="48" t="str">
        <x:v>No</x:v>
      </x:c>
      <x:c r="L513" s="48" t="str">
        <x:v>PDF text</x:v>
      </x:c>
    </x:row>
    <x:row r="514">
      <x:c r="A514" s="48" t="str">
        <x:v>YELLOW-0513</x:v>
      </x:c>
      <x:c r="B514" s="48" t="str">
        <x:v>YELLOW</x:v>
      </x:c>
      <x:c r="C514" s="48" t="str">
        <x:v>English</x:v>
      </x:c>
      <x:c r="D514" s="48" t="n">
        <x:v>39</x:v>
      </x:c>
      <x:c r="E514" s="48" t="str"/>
      <x:c r="F514" s="48" t="str">
        <x:v>Contractor's Personnel, including Laws relating to their employment, health, safety, welfare, immigration and emigration, and shall allow them all their legal rights.</x:v>
      </x:c>
      <x:c r="G514" s="48" t="str">
        <x:v>Obligation</x:v>
      </x:c>
      <x:c r="H514" s="48" t="str">
        <x:v>Contractor</x:v>
      </x:c>
      <x:c r="I514" s="48" t="n">
        <x:v>0.88</x:v>
      </x:c>
      <x:c r="J514" s="48" t="n">
        <x:v>0.68</x:v>
      </x:c>
      <x:c r="K514" s="48" t="str">
        <x:v>Yes</x:v>
      </x:c>
      <x:c r="L514" s="48" t="str">
        <x:v>PDF text</x:v>
      </x:c>
    </x:row>
    <x:row r="515">
      <x:c r="A515" s="48" t="str">
        <x:v>YELLOW-0514</x:v>
      </x:c>
      <x:c r="B515" s="48" t="str">
        <x:v>YELLOW</x:v>
      </x:c>
      <x:c r="C515" s="48" t="str">
        <x:v>English</x:v>
      </x:c>
      <x:c r="D515" s="48" t="n">
        <x:v>39</x:v>
      </x:c>
      <x:c r="E515" s="48" t="str"/>
      <x:c r="F515" s="48" t="str">
        <x:v>The Contractor shall require his employees to obey all applicable Laws, including</x:v>
      </x:c>
      <x:c r="G515" s="48" t="str">
        <x:v>Obligation</x:v>
      </x:c>
      <x:c r="H515" s="48" t="str">
        <x:v>Contractor</x:v>
      </x:c>
      <x:c r="I515" s="48" t="n">
        <x:v>0.88</x:v>
      </x:c>
      <x:c r="J515" s="48" t="n">
        <x:v>0.92</x:v>
      </x:c>
      <x:c r="K515" s="48" t="str">
        <x:v>No</x:v>
      </x:c>
      <x:c r="L515" s="48" t="str">
        <x:v>PDF text</x:v>
      </x:c>
    </x:row>
    <x:row r="516">
      <x:c r="A516" s="48" t="str">
        <x:v>YELLOW-0515</x:v>
      </x:c>
      <x:c r="B516" s="48" t="str">
        <x:v>YELLOW</x:v>
      </x:c>
      <x:c r="C516" s="48" t="str">
        <x:v>English</x:v>
      </x:c>
      <x:c r="D516" s="48" t="n">
        <x:v>39</x:v>
      </x:c>
      <x:c r="E516" s="48" t="str"/>
      <x:c r="F516" s="48" t="str">
        <x:v>those concerning safety at work.</x:v>
      </x:c>
      <x:c r="G516" s="48" t="str">
        <x:v>Obligation</x:v>
      </x:c>
      <x:c r="H516" s="48" t="str">
        <x:v>Shared</x:v>
      </x:c>
      <x:c r="I516" s="48" t="n">
        <x:v>0.45</x:v>
      </x:c>
      <x:c r="J516" s="48" t="n">
        <x:v>0.4</x:v>
      </x:c>
      <x:c r="K516" s="48" t="str">
        <x:v>Yes</x:v>
      </x:c>
      <x:c r="L516" s="48" t="str">
        <x:v>PDF text</x:v>
      </x:c>
    </x:row>
    <x:row r="517">
      <x:c r="A517" s="48" t="str">
        <x:v>YELLOW-0516</x:v>
      </x:c>
      <x:c r="B517" s="48" t="str">
        <x:v>YELLOW</x:v>
      </x:c>
      <x:c r="C517" s="48" t="str">
        <x:v>English</x:v>
      </x:c>
      <x:c r="D517" s="48" t="n">
        <x:v>39</x:v>
      </x:c>
      <x:c r="E517" s="48" t="str"/>
      <x:c r="F517" s="48" t="str">
        <x:v>No work shall be carried out on the Site on locally recognised days of rest, or outside the normal working hours stated in the Appendix to Tender, unless: (a) otherwise stated in the Contract, (b) the Engineer gives consent, or (c) the work is unavoidable, or necessary for the protection of life or property or for the safety of the Works, in which case the Contractor shall immediately advise the Engineer.</x:v>
      </x:c>
      <x:c r="G517" s="48" t="str">
        <x:v>Obligation</x:v>
      </x:c>
      <x:c r="H517" s="48" t="str">
        <x:v>Contractor</x:v>
      </x:c>
      <x:c r="I517" s="48" t="n">
        <x:v>0.88</x:v>
      </x:c>
      <x:c r="J517" s="48" t="n">
        <x:v>0.92</x:v>
      </x:c>
      <x:c r="K517" s="48" t="str">
        <x:v>No</x:v>
      </x:c>
      <x:c r="L517" s="48" t="str">
        <x:v>PDF text</x:v>
      </x:c>
    </x:row>
    <x:row r="518">
      <x:c r="A518" s="48" t="str">
        <x:v>YELLOW-0517</x:v>
      </x:c>
      <x:c r="B518" s="48" t="str">
        <x:v>YELLOW</x:v>
      </x:c>
      <x:c r="C518" s="48" t="str">
        <x:v>English</x:v>
      </x:c>
      <x:c r="D518" s="48" t="n">
        <x:v>39</x:v>
      </x:c>
      <x:c r="E518" s="48" t="str"/>
      <x:c r="F518" s="48" t="str">
        <x:v>Operation and</x:v>
      </x:c>
      <x:c r="G518" s="48" t="str">
        <x:v>Obligation</x:v>
      </x:c>
      <x:c r="H518" s="48" t="str">
        <x:v>Shared</x:v>
      </x:c>
      <x:c r="I518" s="48" t="n">
        <x:v>0.45</x:v>
      </x:c>
      <x:c r="J518" s="48" t="n">
        <x:v>0.4</x:v>
      </x:c>
      <x:c r="K518" s="48" t="str">
        <x:v>Yes</x:v>
      </x:c>
      <x:c r="L518" s="48" t="str">
        <x:v>PDF text</x:v>
      </x:c>
    </x:row>
    <x:row r="519">
      <x:c r="A519" s="48" t="str">
        <x:v>YELLOW-0518</x:v>
      </x:c>
      <x:c r="B519" s="48" t="str">
        <x:v>YELLOW</x:v>
      </x:c>
      <x:c r="C519" s="48" t="str">
        <x:v>English</x:v>
      </x:c>
      <x:c r="D519" s="48" t="n">
        <x:v>39</x:v>
      </x:c>
      <x:c r="E519" s="48" t="str"/>
      <x:c r="F519" s="48" t="str">
        <x:v>Maintenance Manuals</x:v>
      </x:c>
      <x:c r="G519" s="48" t="str">
        <x:v>Obligation</x:v>
      </x:c>
      <x:c r="H519" s="48" t="str">
        <x:v>Shared</x:v>
      </x:c>
      <x:c r="I519" s="48" t="n">
        <x:v>0.45</x:v>
      </x:c>
      <x:c r="J519" s="48" t="n">
        <x:v>0.4</x:v>
      </x:c>
      <x:c r="K519" s="48" t="str">
        <x:v>Yes</x:v>
      </x:c>
      <x:c r="L519" s="48" t="str">
        <x:v>PDF text</x:v>
      </x:c>
    </x:row>
    <x:row r="520">
      <x:c r="A520" s="48" t="str">
        <x:v>YELLOW-0519</x:v>
      </x:c>
      <x:c r="B520" s="48" t="str">
        <x:v>YELLOW</x:v>
      </x:c>
      <x:c r="C520" s="48" t="str">
        <x:v>English</x:v>
      </x:c>
      <x:c r="D520" s="48" t="n">
        <x:v>39</x:v>
      </x:c>
      <x:c r="E520" s="48" t="str"/>
      <x:c r="F520" s="48" t="str">
        <x:v>Design Error</x:v>
      </x:c>
      <x:c r="G520" s="48" t="str">
        <x:v>Obligation</x:v>
      </x:c>
      <x:c r="H520" s="48" t="str">
        <x:v>Shared</x:v>
      </x:c>
      <x:c r="I520" s="48" t="n">
        <x:v>0.45</x:v>
      </x:c>
      <x:c r="J520" s="48" t="n">
        <x:v>0.4</x:v>
      </x:c>
      <x:c r="K520" s="48" t="str">
        <x:v>Yes</x:v>
      </x:c>
      <x:c r="L520" s="48" t="str">
        <x:v>PDF text</x:v>
      </x:c>
    </x:row>
    <x:row r="521">
      <x:c r="A521" s="48" t="str">
        <x:v>YELLOW-0520</x:v>
      </x:c>
      <x:c r="B521" s="48" t="str">
        <x:v>YELLOW</x:v>
      </x:c>
      <x:c r="C521" s="48" t="str">
        <x:v>English</x:v>
      </x:c>
      <x:c r="D521" s="48" t="n">
        <x:v>39</x:v>
      </x:c>
      <x:c r="E521" s="48" t="str"/>
      <x:c r="F521" s="48" t="str">
        <x:v>Engagement of</x:v>
      </x:c>
      <x:c r="G521" s="48" t="str">
        <x:v>Obligation</x:v>
      </x:c>
      <x:c r="H521" s="48" t="str">
        <x:v>Shared</x:v>
      </x:c>
      <x:c r="I521" s="48" t="n">
        <x:v>0.45</x:v>
      </x:c>
      <x:c r="J521" s="48" t="n">
        <x:v>0.4</x:v>
      </x:c>
      <x:c r="K521" s="48" t="str">
        <x:v>Yes</x:v>
      </x:c>
      <x:c r="L521" s="48" t="str">
        <x:v>PDF text</x:v>
      </x:c>
    </x:row>
    <x:row r="522">
      <x:c r="A522" s="48" t="str">
        <x:v>YELLOW-0521</x:v>
      </x:c>
      <x:c r="B522" s="48" t="str">
        <x:v>YELLOW</x:v>
      </x:c>
      <x:c r="C522" s="48" t="str">
        <x:v>English</x:v>
      </x:c>
      <x:c r="D522" s="48" t="n">
        <x:v>39</x:v>
      </x:c>
      <x:c r="E522" s="48" t="str"/>
      <x:c r="F522" s="48" t="str">
        <x:v>Staff and Labour</x:v>
      </x:c>
      <x:c r="G522" s="48" t="str">
        <x:v>Obligation</x:v>
      </x:c>
      <x:c r="H522" s="48" t="str">
        <x:v>Shared</x:v>
      </x:c>
      <x:c r="I522" s="48" t="n">
        <x:v>0.45</x:v>
      </x:c>
      <x:c r="J522" s="48" t="n">
        <x:v>0.4</x:v>
      </x:c>
      <x:c r="K522" s="48" t="str">
        <x:v>Yes</x:v>
      </x:c>
      <x:c r="L522" s="48" t="str">
        <x:v>PDF text</x:v>
      </x:c>
    </x:row>
    <x:row r="523">
      <x:c r="A523" s="48" t="str">
        <x:v>YELLOW-0522</x:v>
      </x:c>
      <x:c r="B523" s="48" t="str">
        <x:v>YELLOW</x:v>
      </x:c>
      <x:c r="C523" s="48" t="str">
        <x:v>English</x:v>
      </x:c>
      <x:c r="D523" s="48" t="n">
        <x:v>39</x:v>
      </x:c>
      <x:c r="E523" s="48" t="str"/>
      <x:c r="F523" s="48" t="str">
        <x:v>Rates of Wages and</x:v>
      </x:c>
      <x:c r="G523" s="48" t="str">
        <x:v>Obligation</x:v>
      </x:c>
      <x:c r="H523" s="48" t="str">
        <x:v>Shared</x:v>
      </x:c>
      <x:c r="I523" s="48" t="n">
        <x:v>0.45</x:v>
      </x:c>
      <x:c r="J523" s="48" t="n">
        <x:v>0.4</x:v>
      </x:c>
      <x:c r="K523" s="48" t="str">
        <x:v>Yes</x:v>
      </x:c>
      <x:c r="L523" s="48" t="str">
        <x:v>PDF text</x:v>
      </x:c>
    </x:row>
    <x:row r="524">
      <x:c r="A524" s="48" t="str">
        <x:v>YELLOW-0523</x:v>
      </x:c>
      <x:c r="B524" s="48" t="str">
        <x:v>YELLOW</x:v>
      </x:c>
      <x:c r="C524" s="48" t="str">
        <x:v>English</x:v>
      </x:c>
      <x:c r="D524" s="48" t="n">
        <x:v>39</x:v>
      </x:c>
      <x:c r="E524" s="48" t="str"/>
      <x:c r="F524" s="48" t="str">
        <x:v>Conditions of Labour</x:v>
      </x:c>
      <x:c r="G524" s="48" t="str">
        <x:v>Obligation</x:v>
      </x:c>
      <x:c r="H524" s="48" t="str">
        <x:v>Shared</x:v>
      </x:c>
      <x:c r="I524" s="48" t="n">
        <x:v>0.45</x:v>
      </x:c>
      <x:c r="J524" s="48" t="n">
        <x:v>0.4</x:v>
      </x:c>
      <x:c r="K524" s="48" t="str">
        <x:v>Yes</x:v>
      </x:c>
      <x:c r="L524" s="48" t="str">
        <x:v>PDF text</x:v>
      </x:c>
    </x:row>
    <x:row r="525">
      <x:c r="A525" s="48" t="str">
        <x:v>YELLOW-0524</x:v>
      </x:c>
      <x:c r="B525" s="48" t="str">
        <x:v>YELLOW</x:v>
      </x:c>
      <x:c r="C525" s="48" t="str">
        <x:v>English</x:v>
      </x:c>
      <x:c r="D525" s="48" t="n">
        <x:v>39</x:v>
      </x:c>
      <x:c r="E525" s="48" t="str"/>
      <x:c r="F525" s="48" t="str">
        <x:v>Persons in the Service</x:v>
      </x:c>
      <x:c r="G525" s="48" t="str">
        <x:v>Obligation</x:v>
      </x:c>
      <x:c r="H525" s="48" t="str">
        <x:v>Shared</x:v>
      </x:c>
      <x:c r="I525" s="48" t="n">
        <x:v>0.45</x:v>
      </x:c>
      <x:c r="J525" s="48" t="n">
        <x:v>0.4</x:v>
      </x:c>
      <x:c r="K525" s="48" t="str">
        <x:v>Yes</x:v>
      </x:c>
      <x:c r="L525" s="48" t="str">
        <x:v>PDF text</x:v>
      </x:c>
    </x:row>
    <x:row r="526">
      <x:c r="A526" s="48" t="str">
        <x:v>YELLOW-0525</x:v>
      </x:c>
      <x:c r="B526" s="48" t="str">
        <x:v>YELLOW</x:v>
      </x:c>
      <x:c r="C526" s="48" t="str">
        <x:v>English</x:v>
      </x:c>
      <x:c r="D526" s="48" t="n">
        <x:v>39</x:v>
      </x:c>
      <x:c r="E526" s="48" t="str"/>
      <x:c r="F526" s="48" t="str">
        <x:v>of Employer 6.4</x:v>
      </x:c>
      <x:c r="G526" s="48" t="str">
        <x:v>Obligation</x:v>
      </x:c>
      <x:c r="H526" s="48" t="str">
        <x:v>Employer</x:v>
      </x:c>
      <x:c r="I526" s="48" t="n">
        <x:v>0.45</x:v>
      </x:c>
      <x:c r="J526" s="48" t="n">
        <x:v>0.68</x:v>
      </x:c>
      <x:c r="K526" s="48" t="str">
        <x:v>Yes</x:v>
      </x:c>
      <x:c r="L526" s="48" t="str">
        <x:v>PDF text</x:v>
      </x:c>
    </x:row>
    <x:row r="527">
      <x:c r="A527" s="48" t="str">
        <x:v>YELLOW-0526</x:v>
      </x:c>
      <x:c r="B527" s="48" t="str">
        <x:v>YELLOW</x:v>
      </x:c>
      <x:c r="C527" s="48" t="str">
        <x:v>English</x:v>
      </x:c>
      <x:c r="D527" s="48" t="n">
        <x:v>39</x:v>
      </x:c>
      <x:c r="E527" s="48" t="str"/>
      <x:c r="F527" s="48" t="str">
        <x:v>Labour Laws</x:v>
      </x:c>
      <x:c r="G527" s="48" t="str">
        <x:v>Obligation</x:v>
      </x:c>
      <x:c r="H527" s="48" t="str">
        <x:v>Shared</x:v>
      </x:c>
      <x:c r="I527" s="48" t="n">
        <x:v>0.45</x:v>
      </x:c>
      <x:c r="J527" s="48" t="n">
        <x:v>0.4</x:v>
      </x:c>
      <x:c r="K527" s="48" t="str">
        <x:v>Yes</x:v>
      </x:c>
      <x:c r="L527" s="48" t="str">
        <x:v>PDF text</x:v>
      </x:c>
    </x:row>
    <x:row r="528">
      <x:c r="A528" s="48" t="str">
        <x:v>YELLOW-0527</x:v>
      </x:c>
      <x:c r="B528" s="48" t="str">
        <x:v>YELLOW</x:v>
      </x:c>
      <x:c r="C528" s="48" t="str">
        <x:v>English</x:v>
      </x:c>
      <x:c r="D528" s="48" t="n">
        <x:v>39</x:v>
      </x:c>
      <x:c r="E528" s="48" t="str"/>
      <x:c r="F528" s="48" t="str">
        <x:v>Working Hours</x:v>
      </x:c>
      <x:c r="G528" s="48" t="str">
        <x:v>Obligation</x:v>
      </x:c>
      <x:c r="H528" s="48" t="str">
        <x:v>Shared</x:v>
      </x:c>
      <x:c r="I528" s="48" t="n">
        <x:v>0.45</x:v>
      </x:c>
      <x:c r="J528" s="48" t="n">
        <x:v>0.4</x:v>
      </x:c>
      <x:c r="K528" s="48" t="str">
        <x:v>Yes</x:v>
      </x:c>
      <x:c r="L528" s="48" t="str">
        <x:v>PDF text</x:v>
      </x:c>
    </x:row>
    <x:row r="529">
      <x:c r="A529" s="48" t="str">
        <x:v>YELLOW-0528</x:v>
      </x:c>
      <x:c r="B529" s="48" t="str">
        <x:v>YELLOW</x:v>
      </x:c>
      <x:c r="C529" s="48" t="str">
        <x:v>English</x:v>
      </x:c>
      <x:c r="D529" s="48" t="n">
        <x:v>40</x:v>
      </x:c>
      <x:c r="E529" s="48" t="str"/>
      <x:c r="F529" s="48" t="str">
        <x:v>provide and maintain all necessary accommodation and welfare facilities for the Contractor's Personnel.</x:v>
      </x:c>
      <x:c r="G529" s="48" t="str">
        <x:v>Obligation</x:v>
      </x:c>
      <x:c r="H529" s="48" t="str">
        <x:v>Contractor</x:v>
      </x:c>
      <x:c r="I529" s="48" t="n">
        <x:v>0.45</x:v>
      </x:c>
      <x:c r="J529" s="48" t="n">
        <x:v>0.68</x:v>
      </x:c>
      <x:c r="K529" s="48" t="str">
        <x:v>Yes</x:v>
      </x:c>
      <x:c r="L529" s="48" t="str">
        <x:v>PDF text</x:v>
      </x:c>
    </x:row>
    <x:row r="530">
      <x:c r="A530" s="48" t="str">
        <x:v>YELLOW-0529</x:v>
      </x:c>
      <x:c r="B530" s="48" t="str">
        <x:v>YELLOW</x:v>
      </x:c>
      <x:c r="C530" s="48" t="str">
        <x:v>English</x:v>
      </x:c>
      <x:c r="D530" s="48" t="n">
        <x:v>40</x:v>
      </x:c>
      <x:c r="E530" s="48" t="str"/>
      <x:c r="F530" s="48" t="str">
        <x:v>The Contractor shall also provide facilities for the Employer's Personnel as stated in the Employer's Requirements.</x:v>
      </x:c>
      <x:c r="G530" s="48" t="str">
        <x:v>Obligation</x:v>
      </x:c>
      <x:c r="H530" s="48" t="str">
        <x:v>Contractor</x:v>
      </x:c>
      <x:c r="I530" s="48" t="n">
        <x:v>0.88</x:v>
      </x:c>
      <x:c r="J530" s="48" t="n">
        <x:v>0.92</x:v>
      </x:c>
      <x:c r="K530" s="48" t="str">
        <x:v>No</x:v>
      </x:c>
      <x:c r="L530" s="48" t="str">
        <x:v>PDF text</x:v>
      </x:c>
    </x:row>
    <x:row r="531">
      <x:c r="A531" s="48" t="str">
        <x:v>YELLOW-0530</x:v>
      </x:c>
      <x:c r="B531" s="48" t="str">
        <x:v>YELLOW</x:v>
      </x:c>
      <x:c r="C531" s="48" t="str">
        <x:v>English</x:v>
      </x:c>
      <x:c r="D531" s="48" t="n">
        <x:v>40</x:v>
      </x:c>
      <x:c r="E531" s="48" t="str"/>
      <x:c r="F531" s="48" t="str">
        <x:v>The Contractor shall not permit any of the Contractor's Personnel to maintain any</x:v>
      </x:c>
      <x:c r="G531" s="48" t="str">
        <x:v>Obligation</x:v>
      </x:c>
      <x:c r="H531" s="48" t="str">
        <x:v>Contractor</x:v>
      </x:c>
      <x:c r="I531" s="48" t="n">
        <x:v>0.88</x:v>
      </x:c>
      <x:c r="J531" s="48" t="n">
        <x:v>0.92</x:v>
      </x:c>
      <x:c r="K531" s="48" t="str">
        <x:v>No</x:v>
      </x:c>
      <x:c r="L531" s="48" t="str">
        <x:v>PDF text</x:v>
      </x:c>
    </x:row>
    <x:row r="532">
      <x:c r="A532" s="48" t="str">
        <x:v>YELLOW-0531</x:v>
      </x:c>
      <x:c r="B532" s="48" t="str">
        <x:v>YELLOW</x:v>
      </x:c>
      <x:c r="C532" s="48" t="str">
        <x:v>English</x:v>
      </x:c>
      <x:c r="D532" s="48" t="n">
        <x:v>40</x:v>
      </x:c>
      <x:c r="E532" s="48" t="str"/>
      <x:c r="F532" s="48" t="str">
        <x:v>temporary or permanent living quarters within the structures forming part of the Permanent Works.</x:v>
      </x:c>
      <x:c r="G532" s="48" t="str">
        <x:v>Obligation</x:v>
      </x:c>
      <x:c r="H532" s="48" t="str">
        <x:v>Shared</x:v>
      </x:c>
      <x:c r="I532" s="48" t="n">
        <x:v>0.45</x:v>
      </x:c>
      <x:c r="J532" s="48" t="n">
        <x:v>0.4</x:v>
      </x:c>
      <x:c r="K532" s="48" t="str">
        <x:v>Yes</x:v>
      </x:c>
      <x:c r="L532" s="48" t="str">
        <x:v>PDF text</x:v>
      </x:c>
    </x:row>
    <x:row r="533">
      <x:c r="A533" s="48" t="str">
        <x:v>YELLOW-0532</x:v>
      </x:c>
      <x:c r="B533" s="48" t="str">
        <x:v>YELLOW</x:v>
      </x:c>
      <x:c r="C533" s="48" t="str">
        <x:v>English</x:v>
      </x:c>
      <x:c r="D533" s="48" t="n">
        <x:v>40</x:v>
      </x:c>
      <x:c r="E533" s="48" t="str"/>
      <x:c r="F533" s="48" t="str">
        <x:v>The Contractor shall at all times take all reasonable precautions to maintain the health and safety of the Contractor's Personnel.</x:v>
      </x:c>
      <x:c r="G533" s="48" t="str">
        <x:v>Obligation</x:v>
      </x:c>
      <x:c r="H533" s="48" t="str">
        <x:v>Contractor</x:v>
      </x:c>
      <x:c r="I533" s="48" t="n">
        <x:v>0.88</x:v>
      </x:c>
      <x:c r="J533" s="48" t="n">
        <x:v>0.92</x:v>
      </x:c>
      <x:c r="K533" s="48" t="str">
        <x:v>No</x:v>
      </x:c>
      <x:c r="L533" s="48" t="str">
        <x:v>PDF text</x:v>
      </x:c>
    </x:row>
    <x:row r="534">
      <x:c r="A534" s="48" t="str">
        <x:v>YELLOW-0533</x:v>
      </x:c>
      <x:c r="B534" s="48" t="str">
        <x:v>YELLOW</x:v>
      </x:c>
      <x:c r="C534" s="48" t="str">
        <x:v>English</x:v>
      </x:c>
      <x:c r="D534" s="48" t="n">
        <x:v>40</x:v>
      </x:c>
      <x:c r="E534" s="48" t="str"/>
      <x:c r="F534" s="48" t="str">
        <x:v>In collaboration with local health authorities, the Contractor shall ensure that medical staff, first aid facilities, sick bay and ambulance service are available at all times at the Site and at any accommodation for Contractor's and Employer's Personnel, and that suitable arrangements are made for all necessary welfare and hygiene requirements and for the prevention of epidemics.</x:v>
      </x:c>
      <x:c r="G534" s="48" t="str">
        <x:v>Obligation</x:v>
      </x:c>
      <x:c r="H534" s="48" t="str">
        <x:v>Contractor</x:v>
      </x:c>
      <x:c r="I534" s="48" t="n">
        <x:v>0.88</x:v>
      </x:c>
      <x:c r="J534" s="48" t="n">
        <x:v>0.92</x:v>
      </x:c>
      <x:c r="K534" s="48" t="str">
        <x:v>No</x:v>
      </x:c>
      <x:c r="L534" s="48" t="str">
        <x:v>PDF text</x:v>
      </x:c>
    </x:row>
    <x:row r="535">
      <x:c r="A535" s="48" t="str">
        <x:v>YELLOW-0534</x:v>
      </x:c>
      <x:c r="B535" s="48" t="str">
        <x:v>YELLOW</x:v>
      </x:c>
      <x:c r="C535" s="48" t="str">
        <x:v>English</x:v>
      </x:c>
      <x:c r="D535" s="48" t="n">
        <x:v>40</x:v>
      </x:c>
      <x:c r="E535" s="48" t="str"/>
      <x:c r="F535" s="48" t="str">
        <x:v>The Contractor shall appoint an accident prevention officer at the Site, responsible for maintaining safety and protection against accidents.</x:v>
      </x:c>
      <x:c r="G535" s="48" t="str">
        <x:v>Obligation</x:v>
      </x:c>
      <x:c r="H535" s="48" t="str">
        <x:v>Contractor</x:v>
      </x:c>
      <x:c r="I535" s="48" t="n">
        <x:v>0.88</x:v>
      </x:c>
      <x:c r="J535" s="48" t="n">
        <x:v>0.92</x:v>
      </x:c>
      <x:c r="K535" s="48" t="str">
        <x:v>No</x:v>
      </x:c>
      <x:c r="L535" s="48" t="str">
        <x:v>PDF text</x:v>
      </x:c>
    </x:row>
    <x:row r="536">
      <x:c r="A536" s="48" t="str">
        <x:v>YELLOW-0535</x:v>
      </x:c>
      <x:c r="B536" s="48" t="str">
        <x:v>YELLOW</x:v>
      </x:c>
      <x:c r="C536" s="48" t="str">
        <x:v>English</x:v>
      </x:c>
      <x:c r="D536" s="48" t="n">
        <x:v>40</x:v>
      </x:c>
      <x:c r="E536" s="48" t="str"/>
      <x:c r="F536" s="48" t="str">
        <x:v>This person shall be qualified for this responsibility, and shall have the authority to issue instructions and take protective measures to prevent accidents.</x:v>
      </x:c>
      <x:c r="G536" s="48" t="str">
        <x:v>Obligation</x:v>
      </x:c>
      <x:c r="H536" s="48" t="str">
        <x:v>Shared</x:v>
      </x:c>
      <x:c r="I536" s="48" t="n">
        <x:v>0.88</x:v>
      </x:c>
      <x:c r="J536" s="48" t="n">
        <x:v>0.4</x:v>
      </x:c>
      <x:c r="K536" s="48" t="str">
        <x:v>Yes</x:v>
      </x:c>
      <x:c r="L536" s="48" t="str">
        <x:v>PDF text</x:v>
      </x:c>
    </x:row>
    <x:row r="537">
      <x:c r="A537" s="48" t="str">
        <x:v>YELLOW-0536</x:v>
      </x:c>
      <x:c r="B537" s="48" t="str">
        <x:v>YELLOW</x:v>
      </x:c>
      <x:c r="C537" s="48" t="str">
        <x:v>English</x:v>
      </x:c>
      <x:c r="D537" s="48" t="n">
        <x:v>40</x:v>
      </x:c>
      <x:c r="E537" s="48" t="str"/>
      <x:c r="F537" s="48" t="str">
        <x:v>Throughout the execution of the Works, the</x:v>
      </x:c>
      <x:c r="G537" s="48" t="str">
        <x:v>Obligation</x:v>
      </x:c>
      <x:c r="H537" s="48" t="str">
        <x:v>Shared</x:v>
      </x:c>
      <x:c r="I537" s="48" t="n">
        <x:v>0.45</x:v>
      </x:c>
      <x:c r="J537" s="48" t="n">
        <x:v>0.4</x:v>
      </x:c>
      <x:c r="K537" s="48" t="str">
        <x:v>Yes</x:v>
      </x:c>
      <x:c r="L537" s="48" t="str">
        <x:v>PDF text</x:v>
      </x:c>
    </x:row>
    <x:row r="538">
      <x:c r="A538" s="48" t="str">
        <x:v>YELLOW-0537</x:v>
      </x:c>
      <x:c r="B538" s="48" t="str">
        <x:v>YELLOW</x:v>
      </x:c>
      <x:c r="C538" s="48" t="str">
        <x:v>English</x:v>
      </x:c>
      <x:c r="D538" s="48" t="n">
        <x:v>40</x:v>
      </x:c>
      <x:c r="E538" s="48" t="str"/>
      <x:c r="F538" s="48" t="str">
        <x:v>Contractor shall provide whatever is required by this person to exercise this</x:v>
      </x:c>
      <x:c r="G538" s="48" t="str">
        <x:v>Obligation</x:v>
      </x:c>
      <x:c r="H538" s="48" t="str">
        <x:v>Contractor</x:v>
      </x:c>
      <x:c r="I538" s="48" t="n">
        <x:v>0.88</x:v>
      </x:c>
      <x:c r="J538" s="48" t="n">
        <x:v>0.68</x:v>
      </x:c>
      <x:c r="K538" s="48" t="str">
        <x:v>Yes</x:v>
      </x:c>
      <x:c r="L538" s="48" t="str">
        <x:v>PDF text</x:v>
      </x:c>
    </x:row>
    <x:row r="539">
      <x:c r="A539" s="48" t="str">
        <x:v>YELLOW-0538</x:v>
      </x:c>
      <x:c r="B539" s="48" t="str">
        <x:v>YELLOW</x:v>
      </x:c>
      <x:c r="C539" s="48" t="str">
        <x:v>English</x:v>
      </x:c>
      <x:c r="D539" s="48" t="n">
        <x:v>40</x:v>
      </x:c>
      <x:c r="E539" s="48" t="str"/>
      <x:c r="F539" s="48" t="str">
        <x:v>responsibility and authority.</x:v>
      </x:c>
      <x:c r="G539" s="48" t="str">
        <x:v>Obligation</x:v>
      </x:c>
      <x:c r="H539" s="48" t="str">
        <x:v>Shared</x:v>
      </x:c>
      <x:c r="I539" s="48" t="n">
        <x:v>0.45</x:v>
      </x:c>
      <x:c r="J539" s="48" t="n">
        <x:v>0.4</x:v>
      </x:c>
      <x:c r="K539" s="48" t="str">
        <x:v>Yes</x:v>
      </x:c>
      <x:c r="L539" s="48" t="str">
        <x:v>PDF text</x:v>
      </x:c>
    </x:row>
    <x:row r="540">
      <x:c r="A540" s="48" t="str">
        <x:v>YELLOW-0539</x:v>
      </x:c>
      <x:c r="B540" s="48" t="str">
        <x:v>YELLOW</x:v>
      </x:c>
      <x:c r="C540" s="48" t="str">
        <x:v>English</x:v>
      </x:c>
      <x:c r="D540" s="48" t="n">
        <x:v>40</x:v>
      </x:c>
      <x:c r="E540" s="48" t="str"/>
      <x:c r="F540" s="48" t="str">
        <x:v>The Contractor shall send, to the Engineer, details of any accident as soon as</x:v>
      </x:c>
      <x:c r="G540" s="48" t="str">
        <x:v>Obligation</x:v>
      </x:c>
      <x:c r="H540" s="48" t="str">
        <x:v>Contractor</x:v>
      </x:c>
      <x:c r="I540" s="48" t="n">
        <x:v>0.88</x:v>
      </x:c>
      <x:c r="J540" s="48" t="n">
        <x:v>0.92</x:v>
      </x:c>
      <x:c r="K540" s="48" t="str">
        <x:v>No</x:v>
      </x:c>
      <x:c r="L540" s="48" t="str">
        <x:v>PDF text</x:v>
      </x:c>
    </x:row>
    <x:row r="541">
      <x:c r="A541" s="48" t="str">
        <x:v>YELLOW-0540</x:v>
      </x:c>
      <x:c r="B541" s="48" t="str">
        <x:v>YELLOW</x:v>
      </x:c>
      <x:c r="C541" s="48" t="str">
        <x:v>English</x:v>
      </x:c>
      <x:c r="D541" s="48" t="n">
        <x:v>40</x:v>
      </x:c>
      <x:c r="E541" s="48" t="str"/>
      <x:c r="F541" s="48" t="str">
        <x:v>practicable after its occurrence.</x:v>
      </x:c>
      <x:c r="G541" s="48" t="str">
        <x:v>Obligation</x:v>
      </x:c>
      <x:c r="H541" s="48" t="str">
        <x:v>Shared</x:v>
      </x:c>
      <x:c r="I541" s="48" t="n">
        <x:v>0.45</x:v>
      </x:c>
      <x:c r="J541" s="48" t="n">
        <x:v>0.4</x:v>
      </x:c>
      <x:c r="K541" s="48" t="str">
        <x:v>Yes</x:v>
      </x:c>
      <x:c r="L541" s="48" t="str">
        <x:v>PDF text</x:v>
      </x:c>
    </x:row>
    <x:row r="542">
      <x:c r="A542" s="48" t="str">
        <x:v>YELLOW-0541</x:v>
      </x:c>
      <x:c r="B542" s="48" t="str">
        <x:v>YELLOW</x:v>
      </x:c>
      <x:c r="C542" s="48" t="str">
        <x:v>English</x:v>
      </x:c>
      <x:c r="D542" s="48" t="n">
        <x:v>40</x:v>
      </x:c>
      <x:c r="E542" s="48" t="str"/>
      <x:c r="F542" s="48" t="str">
        <x:v>The Contractor shall maintain records and make reports concerning health, safety and welfare of persons, and damage to property, as the Engineer may reasonably require.</x:v>
      </x:c>
      <x:c r="G542" s="48" t="str">
        <x:v>Obligation</x:v>
      </x:c>
      <x:c r="H542" s="48" t="str">
        <x:v>Contractor</x:v>
      </x:c>
      <x:c r="I542" s="48" t="n">
        <x:v>0.88</x:v>
      </x:c>
      <x:c r="J542" s="48" t="n">
        <x:v>0.92</x:v>
      </x:c>
      <x:c r="K542" s="48" t="str">
        <x:v>No</x:v>
      </x:c>
      <x:c r="L542" s="48" t="str">
        <x:v>PDF text</x:v>
      </x:c>
    </x:row>
    <x:row r="543">
      <x:c r="A543" s="48" t="str">
        <x:v>YELLOW-0542</x:v>
      </x:c>
      <x:c r="B543" s="48" t="str">
        <x:v>YELLOW</x:v>
      </x:c>
      <x:c r="C543" s="48" t="str">
        <x:v>English</x:v>
      </x:c>
      <x:c r="D543" s="48" t="n">
        <x:v>40</x:v>
      </x:c>
      <x:c r="E543" s="48" t="str"/>
      <x:c r="F543" s="48" t="str">
        <x:v>Throughout the design and execution of the Works, and as long thereafter as is</x:v>
      </x:c>
      <x:c r="G543" s="48" t="str">
        <x:v>Obligation</x:v>
      </x:c>
      <x:c r="H543" s="48" t="str">
        <x:v>Shared</x:v>
      </x:c>
      <x:c r="I543" s="48" t="n">
        <x:v>0.45</x:v>
      </x:c>
      <x:c r="J543" s="48" t="n">
        <x:v>0.4</x:v>
      </x:c>
      <x:c r="K543" s="48" t="str">
        <x:v>Yes</x:v>
      </x:c>
      <x:c r="L543" s="48" t="str">
        <x:v>PDF text</x:v>
      </x:c>
    </x:row>
    <x:row r="544">
      <x:c r="A544" s="48" t="str">
        <x:v>YELLOW-0543</x:v>
      </x:c>
      <x:c r="B544" s="48" t="str">
        <x:v>YELLOW</x:v>
      </x:c>
      <x:c r="C544" s="48" t="str">
        <x:v>English</x:v>
      </x:c>
      <x:c r="D544" s="48" t="n">
        <x:v>40</x:v>
      </x:c>
      <x:c r="E544" s="48" t="str"/>
      <x:c r="F544" s="48" t="str">
        <x:v>necessary to fulfil the Contractor's obligations, the Contractor shall provide all necessary superintendence to plan, arrange, direct, manage, inspect and test the work.</x:v>
      </x:c>
      <x:c r="G544" s="48" t="str">
        <x:v>Obligation</x:v>
      </x:c>
      <x:c r="H544" s="48" t="str">
        <x:v>Contractor</x:v>
      </x:c>
      <x:c r="I544" s="48" t="n">
        <x:v>0.88</x:v>
      </x:c>
      <x:c r="J544" s="48" t="n">
        <x:v>0.92</x:v>
      </x:c>
      <x:c r="K544" s="48" t="str">
        <x:v>No</x:v>
      </x:c>
      <x:c r="L544" s="48" t="str">
        <x:v>PDF text</x:v>
      </x:c>
    </x:row>
    <x:row r="545">
      <x:c r="A545" s="48" t="str">
        <x:v>YELLOW-0544</x:v>
      </x:c>
      <x:c r="B545" s="48" t="str">
        <x:v>YELLOW</x:v>
      </x:c>
      <x:c r="C545" s="48" t="str">
        <x:v>English</x:v>
      </x:c>
      <x:c r="D545" s="48" t="n">
        <x:v>40</x:v>
      </x:c>
      <x:c r="E545" s="48" t="str"/>
      <x:c r="F545" s="48" t="str">
        <x:v>Superintendence shall be given by a sufficient number of persons having adequate</x:v>
      </x:c>
      <x:c r="G545" s="48" t="str">
        <x:v>Obligation</x:v>
      </x:c>
      <x:c r="H545" s="48" t="str">
        <x:v>Shared</x:v>
      </x:c>
      <x:c r="I545" s="48" t="n">
        <x:v>0.88</x:v>
      </x:c>
      <x:c r="J545" s="48" t="n">
        <x:v>0.4</x:v>
      </x:c>
      <x:c r="K545" s="48" t="str">
        <x:v>Yes</x:v>
      </x:c>
      <x:c r="L545" s="48" t="str">
        <x:v>PDF text</x:v>
      </x:c>
    </x:row>
    <x:row r="546">
      <x:c r="A546" s="48" t="str">
        <x:v>YELLOW-0545</x:v>
      </x:c>
      <x:c r="B546" s="48" t="str">
        <x:v>YELLOW</x:v>
      </x:c>
      <x:c r="C546" s="48" t="str">
        <x:v>English</x:v>
      </x:c>
      <x:c r="D546" s="48" t="n">
        <x:v>40</x:v>
      </x:c>
      <x:c r="E546" s="48" t="str"/>
      <x:c r="F546" s="48" t="str">
        <x:v>knowledge of the language for communications (defined in Sub-Clause 1.4 [Law and Language]) and of the operations to be carried out (including the methods and techniques required, the hazards likely to be encountered and methods of preventing accidents), for the satisfactory and safe execution of the Works.</x:v>
      </x:c>
      <x:c r="G546" s="48" t="str">
        <x:v>Obligation</x:v>
      </x:c>
      <x:c r="H546" s="48" t="str">
        <x:v>Shared</x:v>
      </x:c>
      <x:c r="I546" s="48" t="n">
        <x:v>0.45</x:v>
      </x:c>
      <x:c r="J546" s="48" t="n">
        <x:v>0.4</x:v>
      </x:c>
      <x:c r="K546" s="48" t="str">
        <x:v>Yes</x:v>
      </x:c>
      <x:c r="L546" s="48" t="str">
        <x:v>PDF text</x:v>
      </x:c>
    </x:row>
    <x:row r="547">
      <x:c r="A547" s="48" t="str">
        <x:v>YELLOW-0546</x:v>
      </x:c>
      <x:c r="B547" s="48" t="str">
        <x:v>YELLOW</x:v>
      </x:c>
      <x:c r="C547" s="48" t="str">
        <x:v>English</x:v>
      </x:c>
      <x:c r="D547" s="48" t="n">
        <x:v>40</x:v>
      </x:c>
      <x:c r="E547" s="48" t="str"/>
      <x:c r="F547" s="48" t="str">
        <x:v>The Contractor's Personnel shall be appropriately qualified, skilled and experienced in their respective trades or occupations.</x:v>
      </x:c>
      <x:c r="G547" s="48" t="str">
        <x:v>Obligation</x:v>
      </x:c>
      <x:c r="H547" s="48" t="str">
        <x:v>Contractor</x:v>
      </x:c>
      <x:c r="I547" s="48" t="n">
        <x:v>0.88</x:v>
      </x:c>
      <x:c r="J547" s="48" t="n">
        <x:v>0.68</x:v>
      </x:c>
      <x:c r="K547" s="48" t="str">
        <x:v>Yes</x:v>
      </x:c>
      <x:c r="L547" s="48" t="str">
        <x:v>PDF text</x:v>
      </x:c>
    </x:row>
    <x:row r="548">
      <x:c r="A548" s="48" t="str">
        <x:v>YELLOW-0547</x:v>
      </x:c>
      <x:c r="B548" s="48" t="str">
        <x:v>YELLOW</x:v>
      </x:c>
      <x:c r="C548" s="48" t="str">
        <x:v>English</x:v>
      </x:c>
      <x:c r="D548" s="48" t="n">
        <x:v>40</x:v>
      </x:c>
      <x:c r="E548" s="48" t="str"/>
      <x:c r="F548" s="48" t="str">
        <x:v>The Engineer may require the Contractor to remove (or cause to be removed) any person employed on the Site or Works, including the Contractor's Representative if applicable, who: (a) persists in any misconduct or lack of care, (b) carries out duties incompetently or negligently, (c) fails to conform with any provisions of the Contract, or (d) persists in any conduct which is prejudicial to safety, health, or the protection of the environment.</x:v>
      </x:c>
      <x:c r="G548" s="48" t="str">
        <x:v>Right</x:v>
      </x:c>
      <x:c r="H548" s="48" t="str">
        <x:v>Contractor</x:v>
      </x:c>
      <x:c r="I548" s="48" t="n">
        <x:v>0.78</x:v>
      </x:c>
      <x:c r="J548" s="48" t="n">
        <x:v>0.68</x:v>
      </x:c>
      <x:c r="K548" s="48" t="str">
        <x:v>Yes</x:v>
      </x:c>
      <x:c r="L548" s="48" t="str">
        <x:v>PDF text</x:v>
      </x:c>
    </x:row>
    <x:row r="549">
      <x:c r="A549" s="48" t="str">
        <x:v>YELLOW-0548</x:v>
      </x:c>
      <x:c r="B549" s="48" t="str">
        <x:v>YELLOW</x:v>
      </x:c>
      <x:c r="C549" s="48" t="str">
        <x:v>English</x:v>
      </x:c>
      <x:c r="D549" s="48" t="n">
        <x:v>40</x:v>
      </x:c>
      <x:c r="E549" s="48" t="str"/>
      <x:c r="F549" s="48" t="str">
        <x:v>Facilities for Staff</x:v>
      </x:c>
      <x:c r="G549" s="48" t="str">
        <x:v>Obligation</x:v>
      </x:c>
      <x:c r="H549" s="48" t="str">
        <x:v>Shared</x:v>
      </x:c>
      <x:c r="I549" s="48" t="n">
        <x:v>0.45</x:v>
      </x:c>
      <x:c r="J549" s="48" t="n">
        <x:v>0.4</x:v>
      </x:c>
      <x:c r="K549" s="48" t="str">
        <x:v>Yes</x:v>
      </x:c>
      <x:c r="L549" s="48" t="str">
        <x:v>PDF text</x:v>
      </x:c>
    </x:row>
    <x:row r="550">
      <x:c r="A550" s="48" t="str">
        <x:v>YELLOW-0549</x:v>
      </x:c>
      <x:c r="B550" s="48" t="str">
        <x:v>YELLOW</x:v>
      </x:c>
      <x:c r="C550" s="48" t="str">
        <x:v>English</x:v>
      </x:c>
      <x:c r="D550" s="48" t="n">
        <x:v>40</x:v>
      </x:c>
      <x:c r="E550" s="48" t="str"/>
      <x:c r="F550" s="48" t="str">
        <x:v>and Labour 6.7</x:v>
      </x:c>
      <x:c r="G550" s="48" t="str">
        <x:v>Obligation</x:v>
      </x:c>
      <x:c r="H550" s="48" t="str">
        <x:v>Shared</x:v>
      </x:c>
      <x:c r="I550" s="48" t="n">
        <x:v>0.45</x:v>
      </x:c>
      <x:c r="J550" s="48" t="n">
        <x:v>0.4</x:v>
      </x:c>
      <x:c r="K550" s="48" t="str">
        <x:v>Yes</x:v>
      </x:c>
      <x:c r="L550" s="48" t="str">
        <x:v>PDF text</x:v>
      </x:c>
    </x:row>
    <x:row r="551">
      <x:c r="A551" s="48" t="str">
        <x:v>YELLOW-0550</x:v>
      </x:c>
      <x:c r="B551" s="48" t="str">
        <x:v>YELLOW</x:v>
      </x:c>
      <x:c r="C551" s="48" t="str">
        <x:v>English</x:v>
      </x:c>
      <x:c r="D551" s="48" t="n">
        <x:v>40</x:v>
      </x:c>
      <x:c r="E551" s="48" t="str"/>
      <x:c r="F551" s="48" t="str">
        <x:v>Health and Safety</x:v>
      </x:c>
      <x:c r="G551" s="48" t="str">
        <x:v>Obligation</x:v>
      </x:c>
      <x:c r="H551" s="48" t="str">
        <x:v>Shared</x:v>
      </x:c>
      <x:c r="I551" s="48" t="n">
        <x:v>0.45</x:v>
      </x:c>
      <x:c r="J551" s="48" t="n">
        <x:v>0.4</x:v>
      </x:c>
      <x:c r="K551" s="48" t="str">
        <x:v>Yes</x:v>
      </x:c>
      <x:c r="L551" s="48" t="str">
        <x:v>PDF text</x:v>
      </x:c>
    </x:row>
    <x:row r="552">
      <x:c r="A552" s="48" t="str">
        <x:v>YELLOW-0551</x:v>
      </x:c>
      <x:c r="B552" s="48" t="str">
        <x:v>YELLOW</x:v>
      </x:c>
      <x:c r="C552" s="48" t="str">
        <x:v>English</x:v>
      </x:c>
      <x:c r="D552" s="48" t="n">
        <x:v>40</x:v>
      </x:c>
      <x:c r="E552" s="48" t="str"/>
      <x:c r="F552" s="48" t="str">
        <x:v>Superintendence</x:v>
      </x:c>
      <x:c r="G552" s="48" t="str">
        <x:v>Obligation</x:v>
      </x:c>
      <x:c r="H552" s="48" t="str">
        <x:v>Shared</x:v>
      </x:c>
      <x:c r="I552" s="48" t="n">
        <x:v>0.45</x:v>
      </x:c>
      <x:c r="J552" s="48" t="n">
        <x:v>0.4</x:v>
      </x:c>
      <x:c r="K552" s="48" t="str">
        <x:v>Yes</x:v>
      </x:c>
      <x:c r="L552" s="48" t="str">
        <x:v>PDF text</x:v>
      </x:c>
    </x:row>
    <x:row r="553">
      <x:c r="A553" s="48" t="str">
        <x:v>YELLOW-0552</x:v>
      </x:c>
      <x:c r="B553" s="48" t="str">
        <x:v>YELLOW</x:v>
      </x:c>
      <x:c r="C553" s="48" t="str">
        <x:v>English</x:v>
      </x:c>
      <x:c r="D553" s="48" t="n">
        <x:v>40</x:v>
      </x:c>
      <x:c r="E553" s="48" t="str"/>
      <x:c r="F553" s="48" t="str">
        <x:v>Personnel</x:v>
      </x:c>
      <x:c r="G553" s="48" t="str">
        <x:v>Obligation</x:v>
      </x:c>
      <x:c r="H553" s="48" t="str">
        <x:v>Shared</x:v>
      </x:c>
      <x:c r="I553" s="48" t="n">
        <x:v>0.45</x:v>
      </x:c>
      <x:c r="J553" s="48" t="n">
        <x:v>0.4</x:v>
      </x:c>
      <x:c r="K553" s="48" t="str">
        <x:v>Yes</x:v>
      </x:c>
      <x:c r="L553" s="48" t="str">
        <x:v>PDF text</x:v>
      </x:c>
    </x:row>
    <x:row r="554">
      <x:c r="A554" s="48" t="str">
        <x:v>YELLOW-0553</x:v>
      </x:c>
      <x:c r="B554" s="48" t="str">
        <x:v>YELLOW</x:v>
      </x:c>
      <x:c r="C554" s="48" t="str">
        <x:v>English</x:v>
      </x:c>
      <x:c r="D554" s="48" t="n">
        <x:v>41</x:v>
      </x:c>
      <x:c r="E554" s="48" t="str"/>
      <x:c r="F554" s="48" t="str">
        <x:v>If appropriate, the Contractor shall then appoint (or cause to be appointed) a suitable replacement person.</x:v>
      </x:c>
      <x:c r="G554" s="48" t="str">
        <x:v>Obligation</x:v>
      </x:c>
      <x:c r="H554" s="48" t="str">
        <x:v>Contractor</x:v>
      </x:c>
      <x:c r="I554" s="48" t="n">
        <x:v>0.88</x:v>
      </x:c>
      <x:c r="J554" s="48" t="n">
        <x:v>0.92</x:v>
      </x:c>
      <x:c r="K554" s="48" t="str">
        <x:v>No</x:v>
      </x:c>
      <x:c r="L554" s="48" t="str">
        <x:v>PDF text</x:v>
      </x:c>
    </x:row>
    <x:row r="555">
      <x:c r="A555" s="48" t="str">
        <x:v>YELLOW-0554</x:v>
      </x:c>
      <x:c r="B555" s="48" t="str">
        <x:v>YELLOW</x:v>
      </x:c>
      <x:c r="C555" s="48" t="str">
        <x:v>English</x:v>
      </x:c>
      <x:c r="D555" s="48" t="n">
        <x:v>41</x:v>
      </x:c>
      <x:c r="E555" s="48" t="str"/>
      <x:c r="F555" s="48" t="str">
        <x:v>The Contractor shall submit, to the Engineer, details showing the number of each</x:v>
      </x:c>
      <x:c r="G555" s="48" t="str">
        <x:v>Obligation</x:v>
      </x:c>
      <x:c r="H555" s="48" t="str">
        <x:v>Contractor</x:v>
      </x:c>
      <x:c r="I555" s="48" t="n">
        <x:v>0.88</x:v>
      </x:c>
      <x:c r="J555" s="48" t="n">
        <x:v>0.92</x:v>
      </x:c>
      <x:c r="K555" s="48" t="str">
        <x:v>No</x:v>
      </x:c>
      <x:c r="L555" s="48" t="str">
        <x:v>PDF text</x:v>
      </x:c>
    </x:row>
    <x:row r="556">
      <x:c r="A556" s="48" t="str">
        <x:v>YELLOW-0555</x:v>
      </x:c>
      <x:c r="B556" s="48" t="str">
        <x:v>YELLOW</x:v>
      </x:c>
      <x:c r="C556" s="48" t="str">
        <x:v>English</x:v>
      </x:c>
      <x:c r="D556" s="48" t="n">
        <x:v>41</x:v>
      </x:c>
      <x:c r="E556" s="48" t="str"/>
      <x:c r="F556" s="48" t="str">
        <x:v>class of Contractor's Personnel and of each type of Contractor's Equipment on the Site.</x:v>
      </x:c>
      <x:c r="G556" s="48" t="str">
        <x:v>Obligation</x:v>
      </x:c>
      <x:c r="H556" s="48" t="str">
        <x:v>Contractor</x:v>
      </x:c>
      <x:c r="I556" s="48" t="n">
        <x:v>0.45</x:v>
      </x:c>
      <x:c r="J556" s="48" t="n">
        <x:v>0.68</x:v>
      </x:c>
      <x:c r="K556" s="48" t="str">
        <x:v>Yes</x:v>
      </x:c>
      <x:c r="L556" s="48" t="str">
        <x:v>PDF text</x:v>
      </x:c>
    </x:row>
    <x:row r="557">
      <x:c r="A557" s="48" t="str">
        <x:v>YELLOW-0556</x:v>
      </x:c>
      <x:c r="B557" s="48" t="str">
        <x:v>YELLOW</x:v>
      </x:c>
      <x:c r="C557" s="48" t="str">
        <x:v>English</x:v>
      </x:c>
      <x:c r="D557" s="48" t="n">
        <x:v>41</x:v>
      </x:c>
      <x:c r="E557" s="48" t="str"/>
      <x:c r="F557" s="48" t="str">
        <x:v>Details shall be submitted each calendar month, in a form approved by the</x:v>
      </x:c>
      <x:c r="G557" s="48" t="str">
        <x:v>Obligation</x:v>
      </x:c>
      <x:c r="H557" s="48" t="str">
        <x:v>Shared</x:v>
      </x:c>
      <x:c r="I557" s="48" t="n">
        <x:v>0.88</x:v>
      </x:c>
      <x:c r="J557" s="48" t="n">
        <x:v>0.4</x:v>
      </x:c>
      <x:c r="K557" s="48" t="str">
        <x:v>Yes</x:v>
      </x:c>
      <x:c r="L557" s="48" t="str">
        <x:v>PDF text</x:v>
      </x:c>
    </x:row>
    <x:row r="558">
      <x:c r="A558" s="48" t="str">
        <x:v>YELLOW-0557</x:v>
      </x:c>
      <x:c r="B558" s="48" t="str">
        <x:v>YELLOW</x:v>
      </x:c>
      <x:c r="C558" s="48" t="str">
        <x:v>English</x:v>
      </x:c>
      <x:c r="D558" s="48" t="n">
        <x:v>41</x:v>
      </x:c>
      <x:c r="E558" s="48" t="str"/>
      <x:c r="F558" s="48" t="str">
        <x:v>Engineer, until the Contractor has completed all work which is known to be</x:v>
      </x:c>
      <x:c r="G558" s="48" t="str">
        <x:v>Obligation</x:v>
      </x:c>
      <x:c r="H558" s="48" t="str">
        <x:v>Contractor</x:v>
      </x:c>
      <x:c r="I558" s="48" t="n">
        <x:v>0.45</x:v>
      </x:c>
      <x:c r="J558" s="48" t="n">
        <x:v>0.68</x:v>
      </x:c>
      <x:c r="K558" s="48" t="str">
        <x:v>Yes</x:v>
      </x:c>
      <x:c r="L558" s="48" t="str">
        <x:v>PDF text</x:v>
      </x:c>
    </x:row>
    <x:row r="559">
      <x:c r="A559" s="48" t="str">
        <x:v>YELLOW-0558</x:v>
      </x:c>
      <x:c r="B559" s="48" t="str">
        <x:v>YELLOW</x:v>
      </x:c>
      <x:c r="C559" s="48" t="str">
        <x:v>English</x:v>
      </x:c>
      <x:c r="D559" s="48" t="n">
        <x:v>41</x:v>
      </x:c>
      <x:c r="E559" s="48" t="str"/>
      <x:c r="F559" s="48" t="str">
        <x:v>outstanding at the completion date stated in the Taking-Over Certificate for the Works.</x:v>
      </x:c>
      <x:c r="G559" s="48" t="str">
        <x:v>Obligation</x:v>
      </x:c>
      <x:c r="H559" s="48" t="str">
        <x:v>Shared</x:v>
      </x:c>
      <x:c r="I559" s="48" t="n">
        <x:v>0.55</x:v>
      </x:c>
      <x:c r="J559" s="48" t="n">
        <x:v>0.4</x:v>
      </x:c>
      <x:c r="K559" s="48" t="str">
        <x:v>Yes</x:v>
      </x:c>
      <x:c r="L559" s="48" t="str">
        <x:v>PDF text</x:v>
      </x:c>
    </x:row>
    <x:row r="560">
      <x:c r="A560" s="48" t="str">
        <x:v>YELLOW-0559</x:v>
      </x:c>
      <x:c r="B560" s="48" t="str">
        <x:v>YELLOW</x:v>
      </x:c>
      <x:c r="C560" s="48" t="str">
        <x:v>English</x:v>
      </x:c>
      <x:c r="D560" s="48" t="n">
        <x:v>41</x:v>
      </x:c>
      <x:c r="E560" s="48" t="str"/>
      <x:c r="F560" s="48" t="str">
        <x:v>The Contractor shall at all times take all reasonable precautions to prevent any</x:v>
      </x:c>
      <x:c r="G560" s="48" t="str">
        <x:v>Obligation</x:v>
      </x:c>
      <x:c r="H560" s="48" t="str">
        <x:v>Contractor</x:v>
      </x:c>
      <x:c r="I560" s="48" t="n">
        <x:v>0.88</x:v>
      </x:c>
      <x:c r="J560" s="48" t="n">
        <x:v>0.92</x:v>
      </x:c>
      <x:c r="K560" s="48" t="str">
        <x:v>No</x:v>
      </x:c>
      <x:c r="L560" s="48" t="str">
        <x:v>PDF text</x:v>
      </x:c>
    </x:row>
    <x:row r="561">
      <x:c r="A561" s="48" t="str">
        <x:v>YELLOW-0560</x:v>
      </x:c>
      <x:c r="B561" s="48" t="str">
        <x:v>YELLOW</x:v>
      </x:c>
      <x:c r="C561" s="48" t="str">
        <x:v>English</x:v>
      </x:c>
      <x:c r="D561" s="48" t="n">
        <x:v>41</x:v>
      </x:c>
      <x:c r="E561" s="48" t="str"/>
      <x:c r="F561" s="48" t="str">
        <x:v>unlawful, riotous or disorderly conduct by or amongst the Contractor's Personnel, and to preserve peace and protection of persons and property on and near the Site.</x:v>
      </x:c>
      <x:c r="G561" s="48" t="str">
        <x:v>Obligation</x:v>
      </x:c>
      <x:c r="H561" s="48" t="str">
        <x:v>Contractor</x:v>
      </x:c>
      <x:c r="I561" s="48" t="n">
        <x:v>0.45</x:v>
      </x:c>
      <x:c r="J561" s="48" t="n">
        <x:v>0.68</x:v>
      </x:c>
      <x:c r="K561" s="48" t="str">
        <x:v>Yes</x:v>
      </x:c>
      <x:c r="L561" s="48" t="str">
        <x:v>PDF text</x:v>
      </x:c>
    </x:row>
    <x:row r="562">
      <x:c r="A562" s="48" t="str">
        <x:v>YELLOW-0561</x:v>
      </x:c>
      <x:c r="B562" s="48" t="str">
        <x:v>YELLOW</x:v>
      </x:c>
      <x:c r="C562" s="48" t="str">
        <x:v>English</x:v>
      </x:c>
      <x:c r="D562" s="48" t="n">
        <x:v>41</x:v>
      </x:c>
      <x:c r="E562" s="48" t="str"/>
      <x:c r="F562" s="48" t="str">
        <x:v>The Contractor shall carry out the manufacture of Plant, the production and</x:v>
      </x:c>
      <x:c r="G562" s="48" t="str">
        <x:v>Obligation</x:v>
      </x:c>
      <x:c r="H562" s="48" t="str">
        <x:v>Contractor</x:v>
      </x:c>
      <x:c r="I562" s="48" t="n">
        <x:v>0.88</x:v>
      </x:c>
      <x:c r="J562" s="48" t="n">
        <x:v>0.92</x:v>
      </x:c>
      <x:c r="K562" s="48" t="str">
        <x:v>No</x:v>
      </x:c>
      <x:c r="L562" s="48" t="str">
        <x:v>PDF text</x:v>
      </x:c>
    </x:row>
    <x:row r="563">
      <x:c r="A563" s="48" t="str">
        <x:v>YELLOW-0562</x:v>
      </x:c>
      <x:c r="B563" s="48" t="str">
        <x:v>YELLOW</x:v>
      </x:c>
      <x:c r="C563" s="48" t="str">
        <x:v>English</x:v>
      </x:c>
      <x:c r="D563" s="48" t="n">
        <x:v>41</x:v>
      </x:c>
      <x:c r="E563" s="48" t="str"/>
      <x:c r="F563" s="48" t="str">
        <x:v>manufacture of Materials, and all other execution of the Works: (a) in the manner (if any) specified in the Contract, (b) in a proper workmanlike and careful manner, in accordance with recognised good practice, and (c) with properly equipped facilities and non-hazardous Materials, except as otherwise specified in the Contract.</x:v>
      </x:c>
      <x:c r="G563" s="48" t="str">
        <x:v>Obligation</x:v>
      </x:c>
      <x:c r="H563" s="48" t="str">
        <x:v>Shared</x:v>
      </x:c>
      <x:c r="I563" s="48" t="n">
        <x:v>0.45</x:v>
      </x:c>
      <x:c r="J563" s="48" t="n">
        <x:v>0.4</x:v>
      </x:c>
      <x:c r="K563" s="48" t="str">
        <x:v>Yes</x:v>
      </x:c>
      <x:c r="L563" s="48" t="str">
        <x:v>PDF text</x:v>
      </x:c>
    </x:row>
    <x:row r="564">
      <x:c r="A564" s="48" t="str">
        <x:v>YELLOW-0563</x:v>
      </x:c>
      <x:c r="B564" s="48" t="str">
        <x:v>YELLOW</x:v>
      </x:c>
      <x:c r="C564" s="48" t="str">
        <x:v>English</x:v>
      </x:c>
      <x:c r="D564" s="48" t="n">
        <x:v>41</x:v>
      </x:c>
      <x:c r="E564" s="48" t="str"/>
      <x:c r="F564" s="48" t="str">
        <x:v>The Contractor shall submit the following samples of Materials, and relevant</x:v>
      </x:c>
      <x:c r="G564" s="48" t="str">
        <x:v>Obligation</x:v>
      </x:c>
      <x:c r="H564" s="48" t="str">
        <x:v>Contractor</x:v>
      </x:c>
      <x:c r="I564" s="48" t="n">
        <x:v>0.88</x:v>
      </x:c>
      <x:c r="J564" s="48" t="n">
        <x:v>0.92</x:v>
      </x:c>
      <x:c r="K564" s="48" t="str">
        <x:v>No</x:v>
      </x:c>
      <x:c r="L564" s="48" t="str">
        <x:v>PDF text</x:v>
      </x:c>
    </x:row>
    <x:row r="565">
      <x:c r="A565" s="48" t="str">
        <x:v>YELLOW-0564</x:v>
      </x:c>
      <x:c r="B565" s="48" t="str">
        <x:v>YELLOW</x:v>
      </x:c>
      <x:c r="C565" s="48" t="str">
        <x:v>English</x:v>
      </x:c>
      <x:c r="D565" s="48" t="n">
        <x:v>41</x:v>
      </x:c>
      <x:c r="E565" s="48" t="str"/>
      <x:c r="F565" s="48" t="str">
        <x:v>information, to the Engineer for review in accordance with the procedures for Contractor's Documents described in Sub-Clause 5.2 [Contractor's Documents]: (a) manufacturer's standard samples of Materials and samples specified in the</x:v>
      </x:c>
      <x:c r="G565" s="48" t="str">
        <x:v>Obligation</x:v>
      </x:c>
      <x:c r="H565" s="48" t="str">
        <x:v>Contractor</x:v>
      </x:c>
      <x:c r="I565" s="48" t="n">
        <x:v>0.45</x:v>
      </x:c>
      <x:c r="J565" s="48" t="n">
        <x:v>0.68</x:v>
      </x:c>
      <x:c r="K565" s="48" t="str">
        <x:v>Yes</x:v>
      </x:c>
      <x:c r="L565" s="48" t="str">
        <x:v>PDF text</x:v>
      </x:c>
    </x:row>
    <x:row r="566">
      <x:c r="A566" s="48" t="str">
        <x:v>YELLOW-0565</x:v>
      </x:c>
      <x:c r="B566" s="48" t="str">
        <x:v>YELLOW</x:v>
      </x:c>
      <x:c r="C566" s="48" t="str">
        <x:v>English</x:v>
      </x:c>
      <x:c r="D566" s="48" t="n">
        <x:v>41</x:v>
      </x:c>
      <x:c r="E566" s="48" t="str"/>
      <x:c r="F566" s="48" t="str">
        <x:v>Contract, all at the Contractor's cost, and</x:v>
      </x:c>
      <x:c r="G566" s="48" t="str">
        <x:v>Obligation</x:v>
      </x:c>
      <x:c r="H566" s="48" t="str">
        <x:v>Contractor</x:v>
      </x:c>
      <x:c r="I566" s="48" t="n">
        <x:v>0.45</x:v>
      </x:c>
      <x:c r="J566" s="48" t="n">
        <x:v>0.68</x:v>
      </x:c>
      <x:c r="K566" s="48" t="str">
        <x:v>Yes</x:v>
      </x:c>
      <x:c r="L566" s="48" t="str">
        <x:v>PDF text</x:v>
      </x:c>
    </x:row>
    <x:row r="567">
      <x:c r="A567" s="48" t="str">
        <x:v>YELLOW-0566</x:v>
      </x:c>
      <x:c r="B567" s="48" t="str">
        <x:v>YELLOW</x:v>
      </x:c>
      <x:c r="C567" s="48" t="str">
        <x:v>English</x:v>
      </x:c>
      <x:c r="D567" s="48" t="n">
        <x:v>41</x:v>
      </x:c>
      <x:c r="E567" s="48" t="str"/>
      <x:c r="F567" s="48" t="str">
        <x:v>(b) additional samples instructed by the Engineer as a Variation.</x:v>
      </x:c>
      <x:c r="G567" s="48" t="str">
        <x:v>Obligation</x:v>
      </x:c>
      <x:c r="H567" s="48" t="str">
        <x:v>Shared</x:v>
      </x:c>
      <x:c r="I567" s="48" t="n">
        <x:v>0.55</x:v>
      </x:c>
      <x:c r="J567" s="48" t="n">
        <x:v>0.4</x:v>
      </x:c>
      <x:c r="K567" s="48" t="str">
        <x:v>Yes</x:v>
      </x:c>
      <x:c r="L567" s="48" t="str">
        <x:v>PDF text</x:v>
      </x:c>
    </x:row>
    <x:row r="568">
      <x:c r="A568" s="48" t="str">
        <x:v>YELLOW-0567</x:v>
      </x:c>
      <x:c r="B568" s="48" t="str">
        <x:v>YELLOW</x:v>
      </x:c>
      <x:c r="C568" s="48" t="str">
        <x:v>English</x:v>
      </x:c>
      <x:c r="D568" s="48" t="n">
        <x:v>41</x:v>
      </x:c>
      <x:c r="E568" s="48" t="str"/>
      <x:c r="F568" s="48" t="str">
        <x:v>Each sample shall be labelled as to origin and intended use in the Works.</x:v>
      </x:c>
      <x:c r="G568" s="48" t="str">
        <x:v>Obligation</x:v>
      </x:c>
      <x:c r="H568" s="48" t="str">
        <x:v>Shared</x:v>
      </x:c>
      <x:c r="I568" s="48" t="n">
        <x:v>0.88</x:v>
      </x:c>
      <x:c r="J568" s="48" t="n">
        <x:v>0.4</x:v>
      </x:c>
      <x:c r="K568" s="48" t="str">
        <x:v>Yes</x:v>
      </x:c>
      <x:c r="L568" s="48" t="str">
        <x:v>PDF text</x:v>
      </x:c>
    </x:row>
    <x:row r="569">
      <x:c r="A569" s="48" t="str">
        <x:v>YELLOW-0568</x:v>
      </x:c>
      <x:c r="B569" s="48" t="str">
        <x:v>YELLOW</x:v>
      </x:c>
      <x:c r="C569" s="48" t="str">
        <x:v>English</x:v>
      </x:c>
      <x:c r="D569" s="48" t="n">
        <x:v>41</x:v>
      </x:c>
      <x:c r="E569" s="48" t="str"/>
      <x:c r="F569" s="48" t="str">
        <x:v>The Employer's Personnel shall at all reasonable times: (a) have full access to all parts of the Site and to all places from which natural</x:v>
      </x:c>
      <x:c r="G569" s="48" t="str">
        <x:v>Obligation</x:v>
      </x:c>
      <x:c r="H569" s="48" t="str">
        <x:v>Employer</x:v>
      </x:c>
      <x:c r="I569" s="48" t="n">
        <x:v>0.88</x:v>
      </x:c>
      <x:c r="J569" s="48" t="n">
        <x:v>0.68</x:v>
      </x:c>
      <x:c r="K569" s="48" t="str">
        <x:v>Yes</x:v>
      </x:c>
      <x:c r="L569" s="48" t="str">
        <x:v>PDF text</x:v>
      </x:c>
    </x:row>
    <x:row r="570">
      <x:c r="A570" s="48" t="str">
        <x:v>YELLOW-0569</x:v>
      </x:c>
      <x:c r="B570" s="48" t="str">
        <x:v>YELLOW</x:v>
      </x:c>
      <x:c r="C570" s="48" t="str">
        <x:v>English</x:v>
      </x:c>
      <x:c r="D570" s="48" t="n">
        <x:v>41</x:v>
      </x:c>
      <x:c r="E570" s="48" t="str"/>
      <x:c r="F570" s="48" t="str">
        <x:v>Materials are being obtained, and</x:v>
      </x:c>
      <x:c r="G570" s="48" t="str">
        <x:v>Obligation</x:v>
      </x:c>
      <x:c r="H570" s="48" t="str">
        <x:v>Shared</x:v>
      </x:c>
      <x:c r="I570" s="48" t="n">
        <x:v>0.45</x:v>
      </x:c>
      <x:c r="J570" s="48" t="n">
        <x:v>0.4</x:v>
      </x:c>
      <x:c r="K570" s="48" t="str">
        <x:v>Yes</x:v>
      </x:c>
      <x:c r="L570" s="48" t="str">
        <x:v>PDF text</x:v>
      </x:c>
    </x:row>
    <x:row r="571">
      <x:c r="A571" s="48" t="str">
        <x:v>YELLOW-0570</x:v>
      </x:c>
      <x:c r="B571" s="48" t="str">
        <x:v>YELLOW</x:v>
      </x:c>
      <x:c r="C571" s="48" t="str">
        <x:v>English</x:v>
      </x:c>
      <x:c r="D571" s="48" t="n">
        <x:v>41</x:v>
      </x:c>
      <x:c r="E571" s="48" t="str"/>
      <x:c r="F571" s="48" t="str">
        <x:v>(b) during production, manufacture and construction (at the Site and elsewhere), be entitled to examine, inspect, measure and test the materials and workmanship, and to check the progress of manufacture of Plant and production and manufacture of Materials.</x:v>
      </x:c>
      <x:c r="G571" s="48" t="str">
        <x:v>Right</x:v>
      </x:c>
      <x:c r="H571" s="48" t="str">
        <x:v>Shared</x:v>
      </x:c>
      <x:c r="I571" s="48" t="n">
        <x:v>0.78</x:v>
      </x:c>
      <x:c r="J571" s="48" t="n">
        <x:v>0.4</x:v>
      </x:c>
      <x:c r="K571" s="48" t="str">
        <x:v>Yes</x:v>
      </x:c>
      <x:c r="L571" s="48" t="str">
        <x:v>PDF text</x:v>
      </x:c>
    </x:row>
    <x:row r="572">
      <x:c r="A572" s="48" t="str">
        <x:v>YELLOW-0571</x:v>
      </x:c>
      <x:c r="B572" s="48" t="str">
        <x:v>YELLOW</x:v>
      </x:c>
      <x:c r="C572" s="48" t="str">
        <x:v>English</x:v>
      </x:c>
      <x:c r="D572" s="48" t="n">
        <x:v>41</x:v>
      </x:c>
      <x:c r="E572" s="48" t="str"/>
      <x:c r="F572" s="48" t="str">
        <x:v>The Contractor shall give the Employer's Personnel full opportunity to carry out these activities, including providing access, facilities, permissions and safety equipment.</x:v>
      </x:c>
      <x:c r="G572" s="48" t="str">
        <x:v>Obligation</x:v>
      </x:c>
      <x:c r="H572" s="48" t="str">
        <x:v>Contractor</x:v>
      </x:c>
      <x:c r="I572" s="48" t="n">
        <x:v>0.88</x:v>
      </x:c>
      <x:c r="J572" s="48" t="n">
        <x:v>0.92</x:v>
      </x:c>
      <x:c r="K572" s="48" t="str">
        <x:v>No</x:v>
      </x:c>
      <x:c r="L572" s="48" t="str">
        <x:v>PDF text</x:v>
      </x:c>
    </x:row>
    <x:row r="573">
      <x:c r="A573" s="48" t="str">
        <x:v>YELLOW-0572</x:v>
      </x:c>
      <x:c r="B573" s="48" t="str">
        <x:v>YELLOW</x:v>
      </x:c>
      <x:c r="C573" s="48" t="str">
        <x:v>English</x:v>
      </x:c>
      <x:c r="D573" s="48" t="n">
        <x:v>41</x:v>
      </x:c>
      <x:c r="E573" s="48" t="str"/>
      <x:c r="F573" s="48" t="str">
        <x:v>No such activity shall relieve the Contractor from any obligation or responsibility.</x:v>
      </x:c>
      <x:c r="G573" s="48" t="str">
        <x:v>Obligation</x:v>
      </x:c>
      <x:c r="H573" s="48" t="str">
        <x:v>Contractor</x:v>
      </x:c>
      <x:c r="I573" s="48" t="n">
        <x:v>0.88</x:v>
      </x:c>
      <x:c r="J573" s="48" t="n">
        <x:v>0.68</x:v>
      </x:c>
      <x:c r="K573" s="48" t="str">
        <x:v>Yes</x:v>
      </x:c>
      <x:c r="L573" s="48" t="str">
        <x:v>PDF text</x:v>
      </x:c>
    </x:row>
    <x:row r="574">
      <x:c r="A574" s="48" t="str">
        <x:v>YELLOW-0573</x:v>
      </x:c>
      <x:c r="B574" s="48" t="str">
        <x:v>YELLOW</x:v>
      </x:c>
      <x:c r="C574" s="48" t="str">
        <x:v>English</x:v>
      </x:c>
      <x:c r="D574" s="48" t="n">
        <x:v>41</x:v>
      </x:c>
      <x:c r="E574" s="48" t="str"/>
      <x:c r="F574" s="48" t="str">
        <x:v>The Contractor shall give notice to the Engineer whenever any work is ready and</x:v>
      </x:c>
      <x:c r="G574" s="48" t="str">
        <x:v>Obligation</x:v>
      </x:c>
      <x:c r="H574" s="48" t="str">
        <x:v>Contractor</x:v>
      </x:c>
      <x:c r="I574" s="48" t="n">
        <x:v>0.88</x:v>
      </x:c>
      <x:c r="J574" s="48" t="n">
        <x:v>0.92</x:v>
      </x:c>
      <x:c r="K574" s="48" t="str">
        <x:v>No</x:v>
      </x:c>
      <x:c r="L574" s="48" t="str">
        <x:v>PDF text</x:v>
      </x:c>
    </x:row>
    <x:row r="575">
      <x:c r="A575" s="48" t="str">
        <x:v>YELLOW-0574</x:v>
      </x:c>
      <x:c r="B575" s="48" t="str">
        <x:v>YELLOW</x:v>
      </x:c>
      <x:c r="C575" s="48" t="str">
        <x:v>English</x:v>
      </x:c>
      <x:c r="D575" s="48" t="n">
        <x:v>41</x:v>
      </x:c>
      <x:c r="E575" s="48" t="str"/>
      <x:c r="F575" s="48" t="str">
        <x:v>before it is covered up, put out of sight, or packaged for storage or transport.</x:v>
      </x:c>
      <x:c r="G575" s="48" t="str">
        <x:v>Obligation</x:v>
      </x:c>
      <x:c r="H575" s="48" t="str">
        <x:v>Shared</x:v>
      </x:c>
      <x:c r="I575" s="48" t="n">
        <x:v>0.45</x:v>
      </x:c>
      <x:c r="J575" s="48" t="n">
        <x:v>0.4</x:v>
      </x:c>
      <x:c r="K575" s="48" t="str">
        <x:v>Yes</x:v>
      </x:c>
      <x:c r="L575" s="48" t="str">
        <x:v>PDF text</x:v>
      </x:c>
    </x:row>
    <x:row r="576">
      <x:c r="A576" s="48" t="str">
        <x:v>YELLOW-0575</x:v>
      </x:c>
      <x:c r="B576" s="48" t="str">
        <x:v>YELLOW</x:v>
      </x:c>
      <x:c r="C576" s="48" t="str">
        <x:v>English</x:v>
      </x:c>
      <x:c r="D576" s="48" t="n">
        <x:v>41</x:v>
      </x:c>
      <x:c r="E576" s="48" t="str"/>
      <x:c r="F576" s="48" t="str">
        <x:v>Records of Contractor’s</x:v>
      </x:c>
      <x:c r="G576" s="48" t="str">
        <x:v>Obligation</x:v>
      </x:c>
      <x:c r="H576" s="48" t="str">
        <x:v>Contractor</x:v>
      </x:c>
      <x:c r="I576" s="48" t="n">
        <x:v>0.45</x:v>
      </x:c>
      <x:c r="J576" s="48" t="n">
        <x:v>0.68</x:v>
      </x:c>
      <x:c r="K576" s="48" t="str">
        <x:v>Yes</x:v>
      </x:c>
      <x:c r="L576" s="48" t="str">
        <x:v>PDF text</x:v>
      </x:c>
    </x:row>
    <x:row r="577">
      <x:c r="A577" s="48" t="str">
        <x:v>YELLOW-0576</x:v>
      </x:c>
      <x:c r="B577" s="48" t="str">
        <x:v>YELLOW</x:v>
      </x:c>
      <x:c r="C577" s="48" t="str">
        <x:v>English</x:v>
      </x:c>
      <x:c r="D577" s="48" t="n">
        <x:v>41</x:v>
      </x:c>
      <x:c r="E577" s="48" t="str"/>
      <x:c r="F577" s="48" t="str">
        <x:v>Personnel and</x:v>
      </x:c>
      <x:c r="G577" s="48" t="str">
        <x:v>Obligation</x:v>
      </x:c>
      <x:c r="H577" s="48" t="str">
        <x:v>Shared</x:v>
      </x:c>
      <x:c r="I577" s="48" t="n">
        <x:v>0.45</x:v>
      </x:c>
      <x:c r="J577" s="48" t="n">
        <x:v>0.4</x:v>
      </x:c>
      <x:c r="K577" s="48" t="str">
        <x:v>Yes</x:v>
      </x:c>
      <x:c r="L577" s="48" t="str">
        <x:v>PDF text</x:v>
      </x:c>
    </x:row>
    <x:row r="578">
      <x:c r="A578" s="48" t="str">
        <x:v>YELLOW-0577</x:v>
      </x:c>
      <x:c r="B578" s="48" t="str">
        <x:v>YELLOW</x:v>
      </x:c>
      <x:c r="C578" s="48" t="str">
        <x:v>English</x:v>
      </x:c>
      <x:c r="D578" s="48" t="n">
        <x:v>41</x:v>
      </x:c>
      <x:c r="E578" s="48" t="str"/>
      <x:c r="F578" s="48" t="str">
        <x:v>Disorderly Conduct</x:v>
      </x:c>
      <x:c r="G578" s="48" t="str">
        <x:v>Obligation</x:v>
      </x:c>
      <x:c r="H578" s="48" t="str">
        <x:v>Shared</x:v>
      </x:c>
      <x:c r="I578" s="48" t="n">
        <x:v>0.45</x:v>
      </x:c>
      <x:c r="J578" s="48" t="n">
        <x:v>0.4</x:v>
      </x:c>
      <x:c r="K578" s="48" t="str">
        <x:v>Yes</x:v>
      </x:c>
      <x:c r="L578" s="48" t="str">
        <x:v>PDF text</x:v>
      </x:c>
    </x:row>
    <x:row r="579">
      <x:c r="A579" s="48" t="str">
        <x:v>YELLOW-0578</x:v>
      </x:c>
      <x:c r="B579" s="48" t="str">
        <x:v>YELLOW</x:v>
      </x:c>
      <x:c r="C579" s="48" t="str">
        <x:v>English</x:v>
      </x:c>
      <x:c r="D579" s="48" t="n">
        <x:v>41</x:v>
      </x:c>
      <x:c r="E579" s="48" t="str"/>
      <x:c r="F579" s="48" t="str">
        <x:v>Manner of Execution</x:v>
      </x:c>
      <x:c r="G579" s="48" t="str">
        <x:v>Obligation</x:v>
      </x:c>
      <x:c r="H579" s="48" t="str">
        <x:v>Shared</x:v>
      </x:c>
      <x:c r="I579" s="48" t="n">
        <x:v>0.45</x:v>
      </x:c>
      <x:c r="J579" s="48" t="n">
        <x:v>0.4</x:v>
      </x:c>
      <x:c r="K579" s="48" t="str">
        <x:v>Yes</x:v>
      </x:c>
      <x:c r="L579" s="48" t="str">
        <x:v>PDF text</x:v>
      </x:c>
    </x:row>
    <x:row r="580">
      <x:c r="A580" s="48" t="str">
        <x:v>YELLOW-0579</x:v>
      </x:c>
      <x:c r="B580" s="48" t="str">
        <x:v>YELLOW</x:v>
      </x:c>
      <x:c r="C580" s="48" t="str">
        <x:v>English</x:v>
      </x:c>
      <x:c r="D580" s="48" t="n">
        <x:v>41</x:v>
      </x:c>
      <x:c r="E580" s="48" t="str"/>
      <x:c r="F580" s="48" t="str">
        <x:v>Inspection</x:v>
      </x:c>
      <x:c r="G580" s="48" t="str">
        <x:v>Obligation</x:v>
      </x:c>
      <x:c r="H580" s="48" t="str">
        <x:v>Shared</x:v>
      </x:c>
      <x:c r="I580" s="48" t="n">
        <x:v>0.45</x:v>
      </x:c>
      <x:c r="J580" s="48" t="n">
        <x:v>0.4</x:v>
      </x:c>
      <x:c r="K580" s="48" t="str">
        <x:v>Yes</x:v>
      </x:c>
      <x:c r="L580" s="48" t="str">
        <x:v>PDF text</x:v>
      </x:c>
    </x:row>
    <x:row r="581">
      <x:c r="A581" s="48" t="str">
        <x:v>YELLOW-0580</x:v>
      </x:c>
      <x:c r="B581" s="48" t="str">
        <x:v>YELLOW</x:v>
      </x:c>
      <x:c r="C581" s="48" t="str">
        <x:v>English</x:v>
      </x:c>
      <x:c r="D581" s="48" t="n">
        <x:v>41</x:v>
      </x:c>
      <x:c r="E581" s="48" t="str"/>
      <x:c r="F581" s="48" t="str">
        <x:v>Plant, Materials and Workmanship</x:v>
      </x:c>
      <x:c r="G581" s="48" t="str">
        <x:v>Obligation</x:v>
      </x:c>
      <x:c r="H581" s="48" t="str">
        <x:v>Shared</x:v>
      </x:c>
      <x:c r="I581" s="48" t="n">
        <x:v>0.45</x:v>
      </x:c>
      <x:c r="J581" s="48" t="n">
        <x:v>0.4</x:v>
      </x:c>
      <x:c r="K581" s="48" t="str">
        <x:v>Yes</x:v>
      </x:c>
      <x:c r="L581" s="48" t="str">
        <x:v>PDF text</x:v>
      </x:c>
    </x:row>
    <x:row r="582">
      <x:c r="A582" s="48" t="str">
        <x:v>YELLOW-0581</x:v>
      </x:c>
      <x:c r="B582" s="48" t="str">
        <x:v>YELLOW</x:v>
      </x:c>
      <x:c r="C582" s="48" t="str">
        <x:v>English</x:v>
      </x:c>
      <x:c r="D582" s="48" t="n">
        <x:v>42</x:v>
      </x:c>
      <x:c r="E582" s="48" t="str"/>
      <x:c r="F582" s="48" t="str">
        <x:v>Engineer shall then either carry out the examination, inspection, measurement or</x:v>
      </x:c>
      <x:c r="G582" s="48" t="str">
        <x:v>Obligation</x:v>
      </x:c>
      <x:c r="H582" s="48" t="str">
        <x:v>Shared</x:v>
      </x:c>
      <x:c r="I582" s="48" t="n">
        <x:v>0.88</x:v>
      </x:c>
      <x:c r="J582" s="48" t="n">
        <x:v>0.4</x:v>
      </x:c>
      <x:c r="K582" s="48" t="str">
        <x:v>Yes</x:v>
      </x:c>
      <x:c r="L582" s="48" t="str">
        <x:v>PDF text</x:v>
      </x:c>
    </x:row>
    <x:row r="583">
      <x:c r="A583" s="48" t="str">
        <x:v>YELLOW-0582</x:v>
      </x:c>
      <x:c r="B583" s="48" t="str">
        <x:v>YELLOW</x:v>
      </x:c>
      <x:c r="C583" s="48" t="str">
        <x:v>English</x:v>
      </x:c>
      <x:c r="D583" s="48" t="n">
        <x:v>42</x:v>
      </x:c>
      <x:c r="E583" s="48" t="str"/>
      <x:c r="F583" s="48" t="str">
        <x:v>testing without unreasonable delay, or promptly give notice to the Contractor that the Engineer does not require to do so.</x:v>
      </x:c>
      <x:c r="G583" s="48" t="str">
        <x:v>Obligation</x:v>
      </x:c>
      <x:c r="H583" s="48" t="str">
        <x:v>Contractor</x:v>
      </x:c>
      <x:c r="I583" s="48" t="n">
        <x:v>0.55</x:v>
      </x:c>
      <x:c r="J583" s="48" t="n">
        <x:v>0.68</x:v>
      </x:c>
      <x:c r="K583" s="48" t="str">
        <x:v>Yes</x:v>
      </x:c>
      <x:c r="L583" s="48" t="str">
        <x:v>PDF text</x:v>
      </x:c>
    </x:row>
    <x:row r="584">
      <x:c r="A584" s="48" t="str">
        <x:v>YELLOW-0583</x:v>
      </x:c>
      <x:c r="B584" s="48" t="str">
        <x:v>YELLOW</x:v>
      </x:c>
      <x:c r="C584" s="48" t="str">
        <x:v>English</x:v>
      </x:c>
      <x:c r="D584" s="48" t="n">
        <x:v>42</x:v>
      </x:c>
      <x:c r="E584" s="48" t="str"/>
      <x:c r="F584" s="48" t="str">
        <x:v>If the Contractor fails to give the notice, he shall, if and when required by the Engineer, uncover the work and thereafter reinstate and make good, all at the Contractor's cost.</x:v>
      </x:c>
      <x:c r="G584" s="48" t="str">
        <x:v>Obligation</x:v>
      </x:c>
      <x:c r="H584" s="48" t="str">
        <x:v>Contractor</x:v>
      </x:c>
      <x:c r="I584" s="48" t="n">
        <x:v>0.88</x:v>
      </x:c>
      <x:c r="J584" s="48" t="n">
        <x:v>0.68</x:v>
      </x:c>
      <x:c r="K584" s="48" t="str">
        <x:v>Yes</x:v>
      </x:c>
      <x:c r="L584" s="48" t="str">
        <x:v>PDF text</x:v>
      </x:c>
    </x:row>
    <x:row r="585">
      <x:c r="A585" s="48" t="str">
        <x:v>YELLOW-0584</x:v>
      </x:c>
      <x:c r="B585" s="48" t="str">
        <x:v>YELLOW</x:v>
      </x:c>
      <x:c r="C585" s="48" t="str">
        <x:v>English</x:v>
      </x:c>
      <x:c r="D585" s="48" t="n">
        <x:v>42</x:v>
      </x:c>
      <x:c r="E585" s="48" t="str"/>
      <x:c r="F585" s="48" t="str">
        <x:v>This Sub-Clause shall apply to all tests specified in the Contract, other than the Tests after Completion (if any).</x:v>
      </x:c>
      <x:c r="G585" s="48" t="str">
        <x:v>Obligation</x:v>
      </x:c>
      <x:c r="H585" s="48" t="str">
        <x:v>Shared</x:v>
      </x:c>
      <x:c r="I585" s="48" t="n">
        <x:v>0.88</x:v>
      </x:c>
      <x:c r="J585" s="48" t="n">
        <x:v>0.4</x:v>
      </x:c>
      <x:c r="K585" s="48" t="str">
        <x:v>Yes</x:v>
      </x:c>
      <x:c r="L585" s="48" t="str">
        <x:v>PDF text</x:v>
      </x:c>
    </x:row>
    <x:row r="586">
      <x:c r="A586" s="48" t="str">
        <x:v>YELLOW-0585</x:v>
      </x:c>
      <x:c r="B586" s="48" t="str">
        <x:v>YELLOW</x:v>
      </x:c>
      <x:c r="C586" s="48" t="str">
        <x:v>English</x:v>
      </x:c>
      <x:c r="D586" s="48" t="n">
        <x:v>42</x:v>
      </x:c>
      <x:c r="E586" s="48" t="str"/>
      <x:c r="F586" s="48" t="str">
        <x:v>The Contractor shall provide all apparatus, assistance, documents and other</x:v>
      </x:c>
      <x:c r="G586" s="48" t="str">
        <x:v>Obligation</x:v>
      </x:c>
      <x:c r="H586" s="48" t="str">
        <x:v>Contractor</x:v>
      </x:c>
      <x:c r="I586" s="48" t="n">
        <x:v>0.88</x:v>
      </x:c>
      <x:c r="J586" s="48" t="n">
        <x:v>0.92</x:v>
      </x:c>
      <x:c r="K586" s="48" t="str">
        <x:v>No</x:v>
      </x:c>
      <x:c r="L586" s="48" t="str">
        <x:v>PDF text</x:v>
      </x:c>
    </x:row>
    <x:row r="587">
      <x:c r="A587" s="48" t="str">
        <x:v>YELLOW-0586</x:v>
      </x:c>
      <x:c r="B587" s="48" t="str">
        <x:v>YELLOW</x:v>
      </x:c>
      <x:c r="C587" s="48" t="str">
        <x:v>English</x:v>
      </x:c>
      <x:c r="D587" s="48" t="n">
        <x:v>42</x:v>
      </x:c>
      <x:c r="E587" s="48" t="str"/>
      <x:c r="F587" s="48" t="str">
        <x:v>information, electricity, equipment, fuel, consumables, instruments, labour, materials, and suitably qualified and experienced staff, as are necessary to carry out the specified tests efficiently.</x:v>
      </x:c>
      <x:c r="G587" s="48" t="str">
        <x:v>Obligation</x:v>
      </x:c>
      <x:c r="H587" s="48" t="str">
        <x:v>Shared</x:v>
      </x:c>
      <x:c r="I587" s="48" t="n">
        <x:v>0.45</x:v>
      </x:c>
      <x:c r="J587" s="48" t="n">
        <x:v>0.4</x:v>
      </x:c>
      <x:c r="K587" s="48" t="str">
        <x:v>Yes</x:v>
      </x:c>
      <x:c r="L587" s="48" t="str">
        <x:v>PDF text</x:v>
      </x:c>
    </x:row>
    <x:row r="588">
      <x:c r="A588" s="48" t="str">
        <x:v>YELLOW-0587</x:v>
      </x:c>
      <x:c r="B588" s="48" t="str">
        <x:v>YELLOW</x:v>
      </x:c>
      <x:c r="C588" s="48" t="str">
        <x:v>English</x:v>
      </x:c>
      <x:c r="D588" s="48" t="n">
        <x:v>42</x:v>
      </x:c>
      <x:c r="E588" s="48" t="str"/>
      <x:c r="F588" s="48" t="str">
        <x:v>The Contractor shall agree, with the Engineer, the time and place for the specified testing of any Plant, Materials and other parts of the Works.</x:v>
      </x:c>
      <x:c r="G588" s="48" t="str">
        <x:v>Obligation</x:v>
      </x:c>
      <x:c r="H588" s="48" t="str">
        <x:v>Contractor</x:v>
      </x:c>
      <x:c r="I588" s="48" t="n">
        <x:v>0.88</x:v>
      </x:c>
      <x:c r="J588" s="48" t="n">
        <x:v>0.92</x:v>
      </x:c>
      <x:c r="K588" s="48" t="str">
        <x:v>No</x:v>
      </x:c>
      <x:c r="L588" s="48" t="str">
        <x:v>PDF text</x:v>
      </x:c>
    </x:row>
    <x:row r="589">
      <x:c r="A589" s="48" t="str">
        <x:v>YELLOW-0588</x:v>
      </x:c>
      <x:c r="B589" s="48" t="str">
        <x:v>YELLOW</x:v>
      </x:c>
      <x:c r="C589" s="48" t="str">
        <x:v>English</x:v>
      </x:c>
      <x:c r="D589" s="48" t="n">
        <x:v>42</x:v>
      </x:c>
      <x:c r="E589" s="48" t="str"/>
      <x:c r="F589" s="48" t="str">
        <x:v>The Engineer may, under Clause 13 [Variations and Adjustments], vary the location or details of specified tests, or instruct the Contractor to carry out additional tests.</x:v>
      </x:c>
      <x:c r="G589" s="48" t="str">
        <x:v>Obligation</x:v>
      </x:c>
      <x:c r="H589" s="48" t="str">
        <x:v>Contractor</x:v>
      </x:c>
      <x:c r="I589" s="48" t="n">
        <x:v>0.45</x:v>
      </x:c>
      <x:c r="J589" s="48" t="n">
        <x:v>0.68</x:v>
      </x:c>
      <x:c r="K589" s="48" t="str">
        <x:v>Yes</x:v>
      </x:c>
      <x:c r="L589" s="48" t="str">
        <x:v>PDF text</x:v>
      </x:c>
    </x:row>
    <x:row r="590">
      <x:c r="A590" s="48" t="str">
        <x:v>YELLOW-0589</x:v>
      </x:c>
      <x:c r="B590" s="48" t="str">
        <x:v>YELLOW</x:v>
      </x:c>
      <x:c r="C590" s="48" t="str">
        <x:v>English</x:v>
      </x:c>
      <x:c r="D590" s="48" t="n">
        <x:v>42</x:v>
      </x:c>
      <x:c r="E590" s="48" t="str"/>
      <x:c r="F590" s="48" t="str">
        <x:v>If these varied or additional tests show that the tested Plant, Materials or workmanship is not in accordance with the Contract, the cost of carrying out this Variation shall be borne by the Contractor, notwithstanding other provisions of the Contract.</x:v>
      </x:c>
      <x:c r="G590" s="48" t="str">
        <x:v>Obligation</x:v>
      </x:c>
      <x:c r="H590" s="48" t="str">
        <x:v>Contractor</x:v>
      </x:c>
      <x:c r="I590" s="48" t="n">
        <x:v>0.88</x:v>
      </x:c>
      <x:c r="J590" s="48" t="n">
        <x:v>0.68</x:v>
      </x:c>
      <x:c r="K590" s="48" t="str">
        <x:v>Yes</x:v>
      </x:c>
      <x:c r="L590" s="48" t="str">
        <x:v>PDF text</x:v>
      </x:c>
    </x:row>
    <x:row r="591">
      <x:c r="A591" s="48" t="str">
        <x:v>YELLOW-0590</x:v>
      </x:c>
      <x:c r="B591" s="48" t="str">
        <x:v>YELLOW</x:v>
      </x:c>
      <x:c r="C591" s="48" t="str">
        <x:v>English</x:v>
      </x:c>
      <x:c r="D591" s="48" t="n">
        <x:v>42</x:v>
      </x:c>
      <x:c r="E591" s="48" t="str"/>
      <x:c r="F591" s="48" t="str">
        <x:v>The Engineer shall give the Contractor not less than 24 hours' notice of the Engineer's intention to attend the tests.</x:v>
      </x:c>
      <x:c r="G591" s="48" t="str">
        <x:v>Obligation</x:v>
      </x:c>
      <x:c r="H591" s="48" t="str">
        <x:v>Contractor</x:v>
      </x:c>
      <x:c r="I591" s="48" t="n">
        <x:v>0.88</x:v>
      </x:c>
      <x:c r="J591" s="48" t="n">
        <x:v>0.68</x:v>
      </x:c>
      <x:c r="K591" s="48" t="str">
        <x:v>Yes</x:v>
      </x:c>
      <x:c r="L591" s="48" t="str">
        <x:v>PDF text</x:v>
      </x:c>
    </x:row>
    <x:row r="592">
      <x:c r="A592" s="48" t="str">
        <x:v>YELLOW-0591</x:v>
      </x:c>
      <x:c r="B592" s="48" t="str">
        <x:v>YELLOW</x:v>
      </x:c>
      <x:c r="C592" s="48" t="str">
        <x:v>English</x:v>
      </x:c>
      <x:c r="D592" s="48" t="n">
        <x:v>42</x:v>
      </x:c>
      <x:c r="E592" s="48" t="str"/>
      <x:c r="F592" s="48" t="str">
        <x:v>If the Engineer does not attend at the time and place agreed, the Contractor may proceed with the tests, unless otherwise instructed by the Engineer, and the tests shall then be deemed to have been made in the Engineer's presence.</x:v>
      </x:c>
      <x:c r="G592" s="48" t="str">
        <x:v>Obligation</x:v>
      </x:c>
      <x:c r="H592" s="48" t="str">
        <x:v>Contractor</x:v>
      </x:c>
      <x:c r="I592" s="48" t="n">
        <x:v>0.88</x:v>
      </x:c>
      <x:c r="J592" s="48" t="n">
        <x:v>0.68</x:v>
      </x:c>
      <x:c r="K592" s="48" t="str">
        <x:v>Yes</x:v>
      </x:c>
      <x:c r="L592" s="48" t="str">
        <x:v>PDF text</x:v>
      </x:c>
    </x:row>
    <x:row r="593">
      <x:c r="A593" s="48" t="str">
        <x:v>YELLOW-0592</x:v>
      </x:c>
      <x:c r="B593" s="48" t="str">
        <x:v>YELLOW</x:v>
      </x:c>
      <x:c r="C593" s="48" t="str">
        <x:v>English</x:v>
      </x:c>
      <x:c r="D593" s="48" t="n">
        <x:v>42</x:v>
      </x:c>
      <x:c r="E593" s="48" t="str"/>
      <x:c r="F593" s="48" t="str">
        <x:v>If the Contractor suffers delay and/or incurs Cost from complying with these</x:v>
      </x:c>
      <x:c r="G593" s="48" t="str">
        <x:v>Risk</x:v>
      </x:c>
      <x:c r="H593" s="48" t="str">
        <x:v>Contractor</x:v>
      </x:c>
      <x:c r="I593" s="48" t="n">
        <x:v>0.78</x:v>
      </x:c>
      <x:c r="J593" s="48" t="n">
        <x:v>0.68</x:v>
      </x:c>
      <x:c r="K593" s="48" t="str">
        <x:v>Yes</x:v>
      </x:c>
      <x:c r="L593" s="48" t="str">
        <x:v>PDF text</x:v>
      </x:c>
    </x:row>
    <x:row r="594">
      <x:c r="A594" s="48" t="str">
        <x:v>YELLOW-0593</x:v>
      </x:c>
      <x:c r="B594" s="48" t="str">
        <x:v>YELLOW</x:v>
      </x:c>
      <x:c r="C594" s="48" t="str">
        <x:v>English</x:v>
      </x:c>
      <x:c r="D594" s="48" t="n">
        <x:v>42</x:v>
      </x:c>
      <x:c r="E594" s="48" t="str"/>
      <x:c r="F594" s="48" t="str">
        <x:v>instructions or as a result of a delay for which the Employer is responsible, the Contractor shall give notice to the Engineer and shall be entitled subject to SubClause 20.1 [Contractor's Claims] to: (a) an extension of time for any such delay, if completion is or will be delayed, under Sub-Clause 8.4 [Extension of Time for Completion], and (b) payment of any such Cost plus reasonable profit, which shall be included in the Contract Price.</x:v>
      </x:c>
      <x:c r="G594" s="48" t="str">
        <x:v>Risk</x:v>
      </x:c>
      <x:c r="H594" s="48" t="str">
        <x:v>Contractor</x:v>
      </x:c>
      <x:c r="I594" s="48" t="n">
        <x:v>0.78</x:v>
      </x:c>
      <x:c r="J594" s="48" t="n">
        <x:v>0.92</x:v>
      </x:c>
      <x:c r="K594" s="48" t="str">
        <x:v>No</x:v>
      </x:c>
      <x:c r="L594" s="48" t="str">
        <x:v>PDF text</x:v>
      </x:c>
    </x:row>
    <x:row r="595">
      <x:c r="A595" s="48" t="str">
        <x:v>YELLOW-0594</x:v>
      </x:c>
      <x:c r="B595" s="48" t="str">
        <x:v>YELLOW</x:v>
      </x:c>
      <x:c r="C595" s="48" t="str">
        <x:v>English</x:v>
      </x:c>
      <x:c r="D595" s="48" t="n">
        <x:v>42</x:v>
      </x:c>
      <x:c r="E595" s="48" t="str"/>
      <x:c r="F595" s="48" t="str">
        <x:v>The Contractor shall promptly forward to the Engineer duly certified reports of the tests.</x:v>
      </x:c>
      <x:c r="G595" s="48" t="str">
        <x:v>Obligation</x:v>
      </x:c>
      <x:c r="H595" s="48" t="str">
        <x:v>Contractor</x:v>
      </x:c>
      <x:c r="I595" s="48" t="n">
        <x:v>0.88</x:v>
      </x:c>
      <x:c r="J595" s="48" t="n">
        <x:v>0.92</x:v>
      </x:c>
      <x:c r="K595" s="48" t="str">
        <x:v>No</x:v>
      </x:c>
      <x:c r="L595" s="48" t="str">
        <x:v>PDF text</x:v>
      </x:c>
    </x:row>
    <x:row r="596">
      <x:c r="A596" s="48" t="str">
        <x:v>YELLOW-0595</x:v>
      </x:c>
      <x:c r="B596" s="48" t="str">
        <x:v>YELLOW</x:v>
      </x:c>
      <x:c r="C596" s="48" t="str">
        <x:v>English</x:v>
      </x:c>
      <x:c r="D596" s="48" t="n">
        <x:v>42</x:v>
      </x:c>
      <x:c r="E596" s="48" t="str"/>
      <x:c r="F596" s="48" t="str">
        <x:v>When the specified tests have been passed, the Engineer shall endorse the Contractor's test certificate, or issue a certificate to him, to that effect.</x:v>
      </x:c>
      <x:c r="G596" s="48" t="str">
        <x:v>Obligation</x:v>
      </x:c>
      <x:c r="H596" s="48" t="str">
        <x:v>Contractor</x:v>
      </x:c>
      <x:c r="I596" s="48" t="n">
        <x:v>0.88</x:v>
      </x:c>
      <x:c r="J596" s="48" t="n">
        <x:v>0.68</x:v>
      </x:c>
      <x:c r="K596" s="48" t="str">
        <x:v>Yes</x:v>
      </x:c>
      <x:c r="L596" s="48" t="str">
        <x:v>PDF text</x:v>
      </x:c>
    </x:row>
    <x:row r="597">
      <x:c r="A597" s="48" t="str">
        <x:v>YELLOW-0596</x:v>
      </x:c>
      <x:c r="B597" s="48" t="str">
        <x:v>YELLOW</x:v>
      </x:c>
      <x:c r="C597" s="48" t="str">
        <x:v>English</x:v>
      </x:c>
      <x:c r="D597" s="48" t="n">
        <x:v>42</x:v>
      </x:c>
      <x:c r="E597" s="48" t="str"/>
      <x:c r="F597" s="48" t="str">
        <x:v>If the Engineer has not attended the tests, he shall be deemed to have accepted the readings as accurate.</x:v>
      </x:c>
      <x:c r="G597" s="48" t="str">
        <x:v>Obligation</x:v>
      </x:c>
      <x:c r="H597" s="48" t="str">
        <x:v>Shared</x:v>
      </x:c>
      <x:c r="I597" s="48" t="n">
        <x:v>0.88</x:v>
      </x:c>
      <x:c r="J597" s="48" t="n">
        <x:v>0.4</x:v>
      </x:c>
      <x:c r="K597" s="48" t="str">
        <x:v>Yes</x:v>
      </x:c>
      <x:c r="L597" s="48" t="str">
        <x:v>PDF text</x:v>
      </x:c>
    </x:row>
    <x:row r="598">
      <x:c r="A598" s="48" t="str">
        <x:v>YELLOW-0597</x:v>
      </x:c>
      <x:c r="B598" s="48" t="str">
        <x:v>YELLOW</x:v>
      </x:c>
      <x:c r="C598" s="48" t="str">
        <x:v>English</x:v>
      </x:c>
      <x:c r="D598" s="48" t="n">
        <x:v>42</x:v>
      </x:c>
      <x:c r="E598" s="48" t="str"/>
      <x:c r="F598" s="48" t="str">
        <x:v>If, as a result of an examination, inspection, measurement or testing, any Plant,</x:v>
      </x:c>
      <x:c r="G598" s="48" t="str">
        <x:v>Obligation</x:v>
      </x:c>
      <x:c r="H598" s="48" t="str">
        <x:v>Shared</x:v>
      </x:c>
      <x:c r="I598" s="48" t="n">
        <x:v>0.45</x:v>
      </x:c>
      <x:c r="J598" s="48" t="n">
        <x:v>0.4</x:v>
      </x:c>
      <x:c r="K598" s="48" t="str">
        <x:v>Yes</x:v>
      </x:c>
      <x:c r="L598" s="48" t="str">
        <x:v>PDF text</x:v>
      </x:c>
    </x:row>
    <x:row r="599">
      <x:c r="A599" s="48" t="str">
        <x:v>YELLOW-0598</x:v>
      </x:c>
      <x:c r="B599" s="48" t="str">
        <x:v>YELLOW</x:v>
      </x:c>
      <x:c r="C599" s="48" t="str">
        <x:v>English</x:v>
      </x:c>
      <x:c r="D599" s="48" t="n">
        <x:v>42</x:v>
      </x:c>
      <x:c r="E599" s="48" t="str"/>
      <x:c r="F599" s="48" t="str">
        <x:v>Materials, design or workmanship is found to be defective or otherwise not in</x:v>
      </x:c>
      <x:c r="G599" s="48" t="str">
        <x:v>Obligation</x:v>
      </x:c>
      <x:c r="H599" s="48" t="str">
        <x:v>Shared</x:v>
      </x:c>
      <x:c r="I599" s="48" t="n">
        <x:v>0.45</x:v>
      </x:c>
      <x:c r="J599" s="48" t="n">
        <x:v>0.4</x:v>
      </x:c>
      <x:c r="K599" s="48" t="str">
        <x:v>Yes</x:v>
      </x:c>
      <x:c r="L599" s="48" t="str">
        <x:v>PDF text</x:v>
      </x:c>
    </x:row>
    <x:row r="600">
      <x:c r="A600" s="48" t="str">
        <x:v>YELLOW-0599</x:v>
      </x:c>
      <x:c r="B600" s="48" t="str">
        <x:v>YELLOW</x:v>
      </x:c>
      <x:c r="C600" s="48" t="str">
        <x:v>English</x:v>
      </x:c>
      <x:c r="D600" s="48" t="n">
        <x:v>42</x:v>
      </x:c>
      <x:c r="E600" s="48" t="str"/>
      <x:c r="F600" s="48" t="str">
        <x:v>accordance with the Contract, the Engineer may reject the Plant, Materials, design or workmanship by giving notice to the Contractor, with reasons.</x:v>
      </x:c>
      <x:c r="G600" s="48" t="str">
        <x:v>Right</x:v>
      </x:c>
      <x:c r="H600" s="48" t="str">
        <x:v>Contractor</x:v>
      </x:c>
      <x:c r="I600" s="48" t="n">
        <x:v>0.78</x:v>
      </x:c>
      <x:c r="J600" s="48" t="n">
        <x:v>0.68</x:v>
      </x:c>
      <x:c r="K600" s="48" t="str">
        <x:v>Yes</x:v>
      </x:c>
      <x:c r="L600" s="48" t="str">
        <x:v>PDF text</x:v>
      </x:c>
    </x:row>
    <x:row r="601">
      <x:c r="A601" s="48" t="str">
        <x:v>YELLOW-0600</x:v>
      </x:c>
      <x:c r="B601" s="48" t="str">
        <x:v>YELLOW</x:v>
      </x:c>
      <x:c r="C601" s="48" t="str">
        <x:v>English</x:v>
      </x:c>
      <x:c r="D601" s="48" t="n">
        <x:v>42</x:v>
      </x:c>
      <x:c r="E601" s="48" t="str"/>
      <x:c r="F601" s="48" t="str">
        <x:v>The Contractor shall then promptly make good the defect and ensure that the rejected item complies with the Contract.</x:v>
      </x:c>
      <x:c r="G601" s="48" t="str">
        <x:v>Obligation</x:v>
      </x:c>
      <x:c r="H601" s="48" t="str">
        <x:v>Contractor</x:v>
      </x:c>
      <x:c r="I601" s="48" t="n">
        <x:v>0.88</x:v>
      </x:c>
      <x:c r="J601" s="48" t="n">
        <x:v>0.92</x:v>
      </x:c>
      <x:c r="K601" s="48" t="str">
        <x:v>No</x:v>
      </x:c>
      <x:c r="L601" s="48" t="str">
        <x:v>PDF text</x:v>
      </x:c>
    </x:row>
    <x:row r="602">
      <x:c r="A602" s="48" t="str">
        <x:v>YELLOW-0601</x:v>
      </x:c>
      <x:c r="B602" s="48" t="str">
        <x:v>YELLOW</x:v>
      </x:c>
      <x:c r="C602" s="48" t="str">
        <x:v>English</x:v>
      </x:c>
      <x:c r="D602" s="48" t="n">
        <x:v>42</x:v>
      </x:c>
      <x:c r="E602" s="48" t="str"/>
      <x:c r="F602" s="48" t="str">
        <x:v>If the Engineer requires this Plant, Materials, design or workmanship to be retested, the tests shall be repeated under the same terms and conditions.</x:v>
      </x:c>
      <x:c r="G602" s="48" t="str">
        <x:v>Obligation</x:v>
      </x:c>
      <x:c r="H602" s="48" t="str">
        <x:v>Shared</x:v>
      </x:c>
      <x:c r="I602" s="48" t="n">
        <x:v>0.88</x:v>
      </x:c>
      <x:c r="J602" s="48" t="n">
        <x:v>0.4</x:v>
      </x:c>
      <x:c r="K602" s="48" t="str">
        <x:v>Yes</x:v>
      </x:c>
      <x:c r="L602" s="48" t="str">
        <x:v>PDF text</x:v>
      </x:c>
    </x:row>
    <x:row r="603">
      <x:c r="A603" s="48" t="str">
        <x:v>YELLOW-0602</x:v>
      </x:c>
      <x:c r="B603" s="48" t="str">
        <x:v>YELLOW</x:v>
      </x:c>
      <x:c r="C603" s="48" t="str">
        <x:v>English</x:v>
      </x:c>
      <x:c r="D603" s="48" t="n">
        <x:v>42</x:v>
      </x:c>
      <x:c r="E603" s="48" t="str"/>
      <x:c r="F603" s="48" t="str">
        <x:v>If the rejection and 7.4</x:v>
      </x:c>
      <x:c r="G603" s="48" t="str">
        <x:v>Obligation</x:v>
      </x:c>
      <x:c r="H603" s="48" t="str">
        <x:v>Shared</x:v>
      </x:c>
      <x:c r="I603" s="48" t="n">
        <x:v>0.45</x:v>
      </x:c>
      <x:c r="J603" s="48" t="n">
        <x:v>0.4</x:v>
      </x:c>
      <x:c r="K603" s="48" t="str">
        <x:v>Yes</x:v>
      </x:c>
      <x:c r="L603" s="48" t="str">
        <x:v>PDF text</x:v>
      </x:c>
    </x:row>
    <x:row r="604">
      <x:c r="A604" s="48" t="str">
        <x:v>YELLOW-0603</x:v>
      </x:c>
      <x:c r="B604" s="48" t="str">
        <x:v>YELLOW</x:v>
      </x:c>
      <x:c r="C604" s="48" t="str">
        <x:v>English</x:v>
      </x:c>
      <x:c r="D604" s="48" t="n">
        <x:v>42</x:v>
      </x:c>
      <x:c r="E604" s="48" t="str"/>
      <x:c r="F604" s="48" t="str">
        <x:v>Rejection</x:v>
      </x:c>
      <x:c r="G604" s="48" t="str">
        <x:v>Obligation</x:v>
      </x:c>
      <x:c r="H604" s="48" t="str">
        <x:v>Shared</x:v>
      </x:c>
      <x:c r="I604" s="48" t="n">
        <x:v>0.45</x:v>
      </x:c>
      <x:c r="J604" s="48" t="n">
        <x:v>0.4</x:v>
      </x:c>
      <x:c r="K604" s="48" t="str">
        <x:v>Yes</x:v>
      </x:c>
      <x:c r="L604" s="48" t="str">
        <x:v>PDF text</x:v>
      </x:c>
    </x:row>
    <x:row r="605">
      <x:c r="A605" s="48" t="str">
        <x:v>YELLOW-0604</x:v>
      </x:c>
      <x:c r="B605" s="48" t="str">
        <x:v>YELLOW</x:v>
      </x:c>
      <x:c r="C605" s="48" t="str">
        <x:v>English</x:v>
      </x:c>
      <x:c r="D605" s="48" t="n">
        <x:v>43</x:v>
      </x:c>
      <x:c r="E605" s="48" t="str"/>
      <x:c r="F605" s="48" t="str">
        <x:v>retesting cause the Employer to incur additional costs, the Contractor shall subject to Sub-Clause 2.5 [Employer's Claims] pay these costs to the Employer.</x:v>
      </x:c>
      <x:c r="G605" s="48" t="str">
        <x:v>Obligation</x:v>
      </x:c>
      <x:c r="H605" s="48" t="str">
        <x:v>Contractor</x:v>
      </x:c>
      <x:c r="I605" s="48" t="n">
        <x:v>0.88</x:v>
      </x:c>
      <x:c r="J605" s="48" t="n">
        <x:v>0.92</x:v>
      </x:c>
      <x:c r="K605" s="48" t="str">
        <x:v>No</x:v>
      </x:c>
      <x:c r="L605" s="48" t="str">
        <x:v>PDF text</x:v>
      </x:c>
    </x:row>
    <x:row r="606">
      <x:c r="A606" s="48" t="str">
        <x:v>YELLOW-0605</x:v>
      </x:c>
      <x:c r="B606" s="48" t="str">
        <x:v>YELLOW</x:v>
      </x:c>
      <x:c r="C606" s="48" t="str">
        <x:v>English</x:v>
      </x:c>
      <x:c r="D606" s="48" t="n">
        <x:v>43</x:v>
      </x:c>
      <x:c r="E606" s="48" t="str"/>
      <x:c r="F606" s="48" t="str">
        <x:v>Notwithstanding any previous test or certification, the Engineer may instruct the</x:v>
      </x:c>
      <x:c r="G606" s="48" t="str">
        <x:v>Right</x:v>
      </x:c>
      <x:c r="H606" s="48" t="str">
        <x:v>Shared</x:v>
      </x:c>
      <x:c r="I606" s="48" t="n">
        <x:v>0.78</x:v>
      </x:c>
      <x:c r="J606" s="48" t="n">
        <x:v>0.4</x:v>
      </x:c>
      <x:c r="K606" s="48" t="str">
        <x:v>Yes</x:v>
      </x:c>
      <x:c r="L606" s="48" t="str">
        <x:v>PDF text</x:v>
      </x:c>
    </x:row>
    <x:row r="607">
      <x:c r="A607" s="48" t="str">
        <x:v>YELLOW-0606</x:v>
      </x:c>
      <x:c r="B607" s="48" t="str">
        <x:v>YELLOW</x:v>
      </x:c>
      <x:c r="C607" s="48" t="str">
        <x:v>English</x:v>
      </x:c>
      <x:c r="D607" s="48" t="n">
        <x:v>43</x:v>
      </x:c>
      <x:c r="E607" s="48" t="str"/>
      <x:c r="F607" s="48" t="str">
        <x:v>Contractor to: (a) remove from the Site and replace any Plant or Materials which is not in accordance with the Contract, (b) remove and re-execute any other work which is not in accordance with the</x:v>
      </x:c>
      <x:c r="G607" s="48" t="str">
        <x:v>Obligation</x:v>
      </x:c>
      <x:c r="H607" s="48" t="str">
        <x:v>Contractor</x:v>
      </x:c>
      <x:c r="I607" s="48" t="n">
        <x:v>0.45</x:v>
      </x:c>
      <x:c r="J607" s="48" t="n">
        <x:v>0.68</x:v>
      </x:c>
      <x:c r="K607" s="48" t="str">
        <x:v>Yes</x:v>
      </x:c>
      <x:c r="L607" s="48" t="str">
        <x:v>PDF text</x:v>
      </x:c>
    </x:row>
    <x:row r="608">
      <x:c r="A608" s="48" t="str">
        <x:v>YELLOW-0607</x:v>
      </x:c>
      <x:c r="B608" s="48" t="str">
        <x:v>YELLOW</x:v>
      </x:c>
      <x:c r="C608" s="48" t="str">
        <x:v>English</x:v>
      </x:c>
      <x:c r="D608" s="48" t="n">
        <x:v>43</x:v>
      </x:c>
      <x:c r="E608" s="48" t="str"/>
      <x:c r="F608" s="48" t="str">
        <x:v>Contract, and</x:v>
      </x:c>
      <x:c r="G608" s="48" t="str">
        <x:v>Obligation</x:v>
      </x:c>
      <x:c r="H608" s="48" t="str">
        <x:v>Shared</x:v>
      </x:c>
      <x:c r="I608" s="48" t="n">
        <x:v>0.45</x:v>
      </x:c>
      <x:c r="J608" s="48" t="n">
        <x:v>0.4</x:v>
      </x:c>
      <x:c r="K608" s="48" t="str">
        <x:v>Yes</x:v>
      </x:c>
      <x:c r="L608" s="48" t="str">
        <x:v>PDF text</x:v>
      </x:c>
    </x:row>
    <x:row r="609">
      <x:c r="A609" s="48" t="str">
        <x:v>YELLOW-0608</x:v>
      </x:c>
      <x:c r="B609" s="48" t="str">
        <x:v>YELLOW</x:v>
      </x:c>
      <x:c r="C609" s="48" t="str">
        <x:v>English</x:v>
      </x:c>
      <x:c r="D609" s="48" t="n">
        <x:v>43</x:v>
      </x:c>
      <x:c r="E609" s="48" t="str"/>
      <x:c r="F609" s="48" t="str">
        <x:v>(c) execute any work which is urgently required for the safety of the Works, whether because of an accident, unforeseeable event or otherwise.</x:v>
      </x:c>
      <x:c r="G609" s="48" t="str">
        <x:v>Obligation</x:v>
      </x:c>
      <x:c r="H609" s="48" t="str">
        <x:v>Shared</x:v>
      </x:c>
      <x:c r="I609" s="48" t="n">
        <x:v>0.45</x:v>
      </x:c>
      <x:c r="J609" s="48" t="n">
        <x:v>0.4</x:v>
      </x:c>
      <x:c r="K609" s="48" t="str">
        <x:v>Yes</x:v>
      </x:c>
      <x:c r="L609" s="48" t="str">
        <x:v>PDF text</x:v>
      </x:c>
    </x:row>
    <x:row r="610">
      <x:c r="A610" s="48" t="str">
        <x:v>YELLOW-0609</x:v>
      </x:c>
      <x:c r="B610" s="48" t="str">
        <x:v>YELLOW</x:v>
      </x:c>
      <x:c r="C610" s="48" t="str">
        <x:v>English</x:v>
      </x:c>
      <x:c r="D610" s="48" t="n">
        <x:v>43</x:v>
      </x:c>
      <x:c r="E610" s="48" t="str"/>
      <x:c r="F610" s="48" t="str">
        <x:v>The Contractor shall comply with the instruction within a reasonable time, which shall be the time (if any) specified in the instruction, or immediately if urgency is specified under sub-paragraph (c).</x:v>
      </x:c>
      <x:c r="G610" s="48" t="str">
        <x:v>Obligation</x:v>
      </x:c>
      <x:c r="H610" s="48" t="str">
        <x:v>Contractor</x:v>
      </x:c>
      <x:c r="I610" s="48" t="n">
        <x:v>0.88</x:v>
      </x:c>
      <x:c r="J610" s="48" t="n">
        <x:v>0.92</x:v>
      </x:c>
      <x:c r="K610" s="48" t="str">
        <x:v>No</x:v>
      </x:c>
      <x:c r="L610" s="48" t="str">
        <x:v>PDF text</x:v>
      </x:c>
    </x:row>
    <x:row r="611">
      <x:c r="A611" s="48" t="str">
        <x:v>YELLOW-0610</x:v>
      </x:c>
      <x:c r="B611" s="48" t="str">
        <x:v>YELLOW</x:v>
      </x:c>
      <x:c r="C611" s="48" t="str">
        <x:v>English</x:v>
      </x:c>
      <x:c r="D611" s="48" t="n">
        <x:v>43</x:v>
      </x:c>
      <x:c r="E611" s="48" t="str"/>
      <x:c r="F611" s="48" t="str">
        <x:v>If the Contractor fails to comply with the instruction, the Employer shall be entitled to employ and pay other persons to carry out the work.</x:v>
      </x:c>
      <x:c r="G611" s="48" t="str">
        <x:v>Obligation</x:v>
      </x:c>
      <x:c r="H611" s="48" t="str">
        <x:v>Employer</x:v>
      </x:c>
      <x:c r="I611" s="48" t="n">
        <x:v>0.88</x:v>
      </x:c>
      <x:c r="J611" s="48" t="n">
        <x:v>0.92</x:v>
      </x:c>
      <x:c r="K611" s="48" t="str">
        <x:v>No</x:v>
      </x:c>
      <x:c r="L611" s="48" t="str">
        <x:v>PDF text</x:v>
      </x:c>
    </x:row>
    <x:row r="612">
      <x:c r="A612" s="48" t="str">
        <x:v>YELLOW-0611</x:v>
      </x:c>
      <x:c r="B612" s="48" t="str">
        <x:v>YELLOW</x:v>
      </x:c>
      <x:c r="C612" s="48" t="str">
        <x:v>English</x:v>
      </x:c>
      <x:c r="D612" s="48" t="n">
        <x:v>43</x:v>
      </x:c>
      <x:c r="E612" s="48" t="str"/>
      <x:c r="F612" s="48" t="str">
        <x:v>Except to the extent that the</x:v>
      </x:c>
      <x:c r="G612" s="48" t="str">
        <x:v>Obligation</x:v>
      </x:c>
      <x:c r="H612" s="48" t="str">
        <x:v>Shared</x:v>
      </x:c>
      <x:c r="I612" s="48" t="n">
        <x:v>0.45</x:v>
      </x:c>
      <x:c r="J612" s="48" t="n">
        <x:v>0.4</x:v>
      </x:c>
      <x:c r="K612" s="48" t="str">
        <x:v>Yes</x:v>
      </x:c>
      <x:c r="L612" s="48" t="str">
        <x:v>PDF text</x:v>
      </x:c>
    </x:row>
    <x:row r="613">
      <x:c r="A613" s="48" t="str">
        <x:v>YELLOW-0612</x:v>
      </x:c>
      <x:c r="B613" s="48" t="str">
        <x:v>YELLOW</x:v>
      </x:c>
      <x:c r="C613" s="48" t="str">
        <x:v>English</x:v>
      </x:c>
      <x:c r="D613" s="48" t="n">
        <x:v>43</x:v>
      </x:c>
      <x:c r="E613" s="48" t="str"/>
      <x:c r="F613" s="48" t="str">
        <x:v>Contractor would have been entitled to payment for the work, the Contractor shall</x:v>
      </x:c>
      <x:c r="G613" s="48" t="str">
        <x:v>Obligation</x:v>
      </x:c>
      <x:c r="H613" s="48" t="str">
        <x:v>Contractor</x:v>
      </x:c>
      <x:c r="I613" s="48" t="n">
        <x:v>0.88</x:v>
      </x:c>
      <x:c r="J613" s="48" t="n">
        <x:v>0.92</x:v>
      </x:c>
      <x:c r="K613" s="48" t="str">
        <x:v>No</x:v>
      </x:c>
      <x:c r="L613" s="48" t="str">
        <x:v>PDF text</x:v>
      </x:c>
    </x:row>
    <x:row r="614">
      <x:c r="A614" s="48" t="str">
        <x:v>YELLOW-0613</x:v>
      </x:c>
      <x:c r="B614" s="48" t="str">
        <x:v>YELLOW</x:v>
      </x:c>
      <x:c r="C614" s="48" t="str">
        <x:v>English</x:v>
      </x:c>
      <x:c r="D614" s="48" t="n">
        <x:v>43</x:v>
      </x:c>
      <x:c r="E614" s="48" t="str"/>
      <x:c r="F614" s="48" t="str">
        <x:v>subject to Sub-Clause 2.5 [Employer's Claims] pay to the Employer all costs arising from this failure.</x:v>
      </x:c>
      <x:c r="G614" s="48" t="str">
        <x:v>Obligation</x:v>
      </x:c>
      <x:c r="H614" s="48" t="str">
        <x:v>Employer</x:v>
      </x:c>
      <x:c r="I614" s="48" t="n">
        <x:v>0.45</x:v>
      </x:c>
      <x:c r="J614" s="48" t="n">
        <x:v>0.68</x:v>
      </x:c>
      <x:c r="K614" s="48" t="str">
        <x:v>Yes</x:v>
      </x:c>
      <x:c r="L614" s="48" t="str">
        <x:v>PDF text</x:v>
      </x:c>
    </x:row>
    <x:row r="615">
      <x:c r="A615" s="48" t="str">
        <x:v>YELLOW-0614</x:v>
      </x:c>
      <x:c r="B615" s="48" t="str">
        <x:v>YELLOW</x:v>
      </x:c>
      <x:c r="C615" s="48" t="str">
        <x:v>English</x:v>
      </x:c>
      <x:c r="D615" s="48" t="n">
        <x:v>43</x:v>
      </x:c>
      <x:c r="E615" s="48" t="str"/>
      <x:c r="F615" s="48" t="str">
        <x:v>Each item of Plant and Materials shall, to the extent consistent with the Laws of the</x:v>
      </x:c>
      <x:c r="G615" s="48" t="str">
        <x:v>Obligation</x:v>
      </x:c>
      <x:c r="H615" s="48" t="str">
        <x:v>Shared</x:v>
      </x:c>
      <x:c r="I615" s="48" t="n">
        <x:v>0.88</x:v>
      </x:c>
      <x:c r="J615" s="48" t="n">
        <x:v>0.4</x:v>
      </x:c>
      <x:c r="K615" s="48" t="str">
        <x:v>Yes</x:v>
      </x:c>
      <x:c r="L615" s="48" t="str">
        <x:v>PDF text</x:v>
      </x:c>
    </x:row>
    <x:row r="616">
      <x:c r="A616" s="48" t="str">
        <x:v>YELLOW-0615</x:v>
      </x:c>
      <x:c r="B616" s="48" t="str">
        <x:v>YELLOW</x:v>
      </x:c>
      <x:c r="C616" s="48" t="str">
        <x:v>English</x:v>
      </x:c>
      <x:c r="D616" s="48" t="n">
        <x:v>43</x:v>
      </x:c>
      <x:c r="E616" s="48" t="str"/>
      <x:c r="F616" s="48" t="str">
        <x:v>Country, become the property of the Employer at whichever is the earlier of the</x:v>
      </x:c>
      <x:c r="G616" s="48" t="str">
        <x:v>Obligation</x:v>
      </x:c>
      <x:c r="H616" s="48" t="str">
        <x:v>Employer</x:v>
      </x:c>
      <x:c r="I616" s="48" t="n">
        <x:v>0.45</x:v>
      </x:c>
      <x:c r="J616" s="48" t="n">
        <x:v>0.68</x:v>
      </x:c>
      <x:c r="K616" s="48" t="str">
        <x:v>Yes</x:v>
      </x:c>
      <x:c r="L616" s="48" t="str">
        <x:v>PDF text</x:v>
      </x:c>
    </x:row>
    <x:row r="617">
      <x:c r="A617" s="48" t="str">
        <x:v>YELLOW-0616</x:v>
      </x:c>
      <x:c r="B617" s="48" t="str">
        <x:v>YELLOW</x:v>
      </x:c>
      <x:c r="C617" s="48" t="str">
        <x:v>English</x:v>
      </x:c>
      <x:c r="D617" s="48" t="n">
        <x:v>43</x:v>
      </x:c>
      <x:c r="E617" s="48" t="str"/>
      <x:c r="F617" s="48" t="str">
        <x:v>following times, free from liens and other encumbrances: (a) when it is delivered to the Site; (b) when the Contractor is entitled to payment of the value of the Plant and Materials under Sub-Clause 8.10 [Payment for Plant and Materials in Event of Suspension].</x:v>
      </x:c>
      <x:c r="G617" s="48" t="str">
        <x:v>Right</x:v>
      </x:c>
      <x:c r="H617" s="48" t="str">
        <x:v>Contractor</x:v>
      </x:c>
      <x:c r="I617" s="48" t="n">
        <x:v>0.78</x:v>
      </x:c>
      <x:c r="J617" s="48" t="n">
        <x:v>0.92</x:v>
      </x:c>
      <x:c r="K617" s="48" t="str">
        <x:v>No</x:v>
      </x:c>
      <x:c r="L617" s="48" t="str">
        <x:v>PDF text</x:v>
      </x:c>
    </x:row>
    <x:row r="618">
      <x:c r="A618" s="48" t="str">
        <x:v>YELLOW-0617</x:v>
      </x:c>
      <x:c r="B618" s="48" t="str">
        <x:v>YELLOW</x:v>
      </x:c>
      <x:c r="C618" s="48" t="str">
        <x:v>English</x:v>
      </x:c>
      <x:c r="D618" s="48" t="n">
        <x:v>43</x:v>
      </x:c>
      <x:c r="E618" s="48" t="str"/>
      <x:c r="F618" s="48" t="str">
        <x:v>Unless otherwise stated in the Employer's Requirements, the Contractor shall pay all royalties, rents and other payments for: (a) natural Materials obtained from outside the Site, and (b) the disposal of material from demolitions and excavations and of other surplus material (whether natural or man-made), except to the extent that disposal areas within the Site are specified in the Contract.</x:v>
      </x:c>
      <x:c r="G618" s="48" t="str">
        <x:v>Obligation</x:v>
      </x:c>
      <x:c r="H618" s="48" t="str">
        <x:v>Contractor</x:v>
      </x:c>
      <x:c r="I618" s="48" t="n">
        <x:v>0.88</x:v>
      </x:c>
      <x:c r="J618" s="48" t="n">
        <x:v>0.92</x:v>
      </x:c>
      <x:c r="K618" s="48" t="str">
        <x:v>No</x:v>
      </x:c>
      <x:c r="L618" s="48" t="str">
        <x:v>PDF text</x:v>
      </x:c>
    </x:row>
    <x:row r="619">
      <x:c r="A619" s="48" t="str">
        <x:v>YELLOW-0618</x:v>
      </x:c>
      <x:c r="B619" s="48" t="str">
        <x:v>YELLOW</x:v>
      </x:c>
      <x:c r="C619" s="48" t="str">
        <x:v>English</x:v>
      </x:c>
      <x:c r="D619" s="48" t="n">
        <x:v>43</x:v>
      </x:c>
      <x:c r="E619" s="48" t="str"/>
      <x:c r="F619" s="48" t="str">
        <x:v>The Engineer shall give the Contractor not less than 7 days' notice of the Commencement Date.</x:v>
      </x:c>
      <x:c r="G619" s="48" t="str">
        <x:v>Obligation</x:v>
      </x:c>
      <x:c r="H619" s="48" t="str">
        <x:v>Contractor</x:v>
      </x:c>
      <x:c r="I619" s="48" t="n">
        <x:v>0.88</x:v>
      </x:c>
      <x:c r="J619" s="48" t="n">
        <x:v>0.68</x:v>
      </x:c>
      <x:c r="K619" s="48" t="str">
        <x:v>Yes</x:v>
      </x:c>
      <x:c r="L619" s="48" t="str">
        <x:v>PDF text</x:v>
      </x:c>
    </x:row>
    <x:row r="620">
      <x:c r="A620" s="48" t="str">
        <x:v>YELLOW-0619</x:v>
      </x:c>
      <x:c r="B620" s="48" t="str">
        <x:v>YELLOW</x:v>
      </x:c>
      <x:c r="C620" s="48" t="str">
        <x:v>English</x:v>
      </x:c>
      <x:c r="D620" s="48" t="n">
        <x:v>43</x:v>
      </x:c>
      <x:c r="E620" s="48" t="str"/>
      <x:c r="F620" s="48" t="str">
        <x:v>Unless otherwise stated in the Particular Conditions, the Commencement Date shall be within 42 days after the Contractor receives the Letter of Acceptance.</x:v>
      </x:c>
      <x:c r="G620" s="48" t="str">
        <x:v>Obligation</x:v>
      </x:c>
      <x:c r="H620" s="48" t="str">
        <x:v>Contractor</x:v>
      </x:c>
      <x:c r="I620" s="48" t="n">
        <x:v>0.88</x:v>
      </x:c>
      <x:c r="J620" s="48" t="n">
        <x:v>0.68</x:v>
      </x:c>
      <x:c r="K620" s="48" t="str">
        <x:v>Yes</x:v>
      </x:c>
      <x:c r="L620" s="48" t="str">
        <x:v>PDF text</x:v>
      </x:c>
    </x:row>
    <x:row r="621">
      <x:c r="A621" s="48" t="str">
        <x:v>YELLOW-0620</x:v>
      </x:c>
      <x:c r="B621" s="48" t="str">
        <x:v>YELLOW</x:v>
      </x:c>
      <x:c r="C621" s="48" t="str">
        <x:v>English</x:v>
      </x:c>
      <x:c r="D621" s="48" t="n">
        <x:v>43</x:v>
      </x:c>
      <x:c r="E621" s="48" t="str"/>
      <x:c r="F621" s="48" t="str">
        <x:v>The Contractor shall commence the design and execution of the Works as soon as is</x:v>
      </x:c>
      <x:c r="G621" s="48" t="str">
        <x:v>Obligation</x:v>
      </x:c>
      <x:c r="H621" s="48" t="str">
        <x:v>Contractor</x:v>
      </x:c>
      <x:c r="I621" s="48" t="n">
        <x:v>0.88</x:v>
      </x:c>
      <x:c r="J621" s="48" t="n">
        <x:v>0.92</x:v>
      </x:c>
      <x:c r="K621" s="48" t="str">
        <x:v>No</x:v>
      </x:c>
      <x:c r="L621" s="48" t="str">
        <x:v>PDF text</x:v>
      </x:c>
    </x:row>
    <x:row r="622">
      <x:c r="A622" s="48" t="str">
        <x:v>YELLOW-0621</x:v>
      </x:c>
      <x:c r="B622" s="48" t="str">
        <x:v>YELLOW</x:v>
      </x:c>
      <x:c r="C622" s="48" t="str">
        <x:v>English</x:v>
      </x:c>
      <x:c r="D622" s="48" t="n">
        <x:v>43</x:v>
      </x:c>
      <x:c r="E622" s="48" t="str"/>
      <x:c r="F622" s="48" t="str">
        <x:v>reasonably practicable after the Commencement Date, and shall then proceed with the Works with due expedition and without delay.</x:v>
      </x:c>
      <x:c r="G622" s="48" t="str">
        <x:v>Obligation</x:v>
      </x:c>
      <x:c r="H622" s="48" t="str">
        <x:v>Shared</x:v>
      </x:c>
      <x:c r="I622" s="48" t="n">
        <x:v>0.88</x:v>
      </x:c>
      <x:c r="J622" s="48" t="n">
        <x:v>0.4</x:v>
      </x:c>
      <x:c r="K622" s="48" t="str">
        <x:v>Yes</x:v>
      </x:c>
      <x:c r="L622" s="48" t="str">
        <x:v>PDF text</x:v>
      </x:c>
    </x:row>
    <x:row r="623">
      <x:c r="A623" s="48" t="str">
        <x:v>YELLOW-0622</x:v>
      </x:c>
      <x:c r="B623" s="48" t="str">
        <x:v>YELLOW</x:v>
      </x:c>
      <x:c r="C623" s="48" t="str">
        <x:v>English</x:v>
      </x:c>
      <x:c r="D623" s="48" t="n">
        <x:v>43</x:v>
      </x:c>
      <x:c r="E623" s="48" t="str"/>
      <x:c r="F623" s="48" t="str">
        <x:v>Remedial Work</x:v>
      </x:c>
      <x:c r="G623" s="48" t="str">
        <x:v>Obligation</x:v>
      </x:c>
      <x:c r="H623" s="48" t="str">
        <x:v>Shared</x:v>
      </x:c>
      <x:c r="I623" s="48" t="n">
        <x:v>0.45</x:v>
      </x:c>
      <x:c r="J623" s="48" t="n">
        <x:v>0.4</x:v>
      </x:c>
      <x:c r="K623" s="48" t="str">
        <x:v>Yes</x:v>
      </x:c>
      <x:c r="L623" s="48" t="str">
        <x:v>PDF text</x:v>
      </x:c>
    </x:row>
    <x:row r="624">
      <x:c r="A624" s="48" t="str">
        <x:v>YELLOW-0623</x:v>
      </x:c>
      <x:c r="B624" s="48" t="str">
        <x:v>YELLOW</x:v>
      </x:c>
      <x:c r="C624" s="48" t="str">
        <x:v>English</x:v>
      </x:c>
      <x:c r="D624" s="48" t="n">
        <x:v>43</x:v>
      </x:c>
      <x:c r="E624" s="48" t="str"/>
      <x:c r="F624" s="48" t="str">
        <x:v>Ownership of Plant and</x:v>
      </x:c>
      <x:c r="G624" s="48" t="str">
        <x:v>Obligation</x:v>
      </x:c>
      <x:c r="H624" s="48" t="str">
        <x:v>Shared</x:v>
      </x:c>
      <x:c r="I624" s="48" t="n">
        <x:v>0.45</x:v>
      </x:c>
      <x:c r="J624" s="48" t="n">
        <x:v>0.4</x:v>
      </x:c>
      <x:c r="K624" s="48" t="str">
        <x:v>Yes</x:v>
      </x:c>
      <x:c r="L624" s="48" t="str">
        <x:v>PDF text</x:v>
      </x:c>
    </x:row>
    <x:row r="625">
      <x:c r="A625" s="48" t="str">
        <x:v>YELLOW-0624</x:v>
      </x:c>
      <x:c r="B625" s="48" t="str">
        <x:v>YELLOW</x:v>
      </x:c>
      <x:c r="C625" s="48" t="str">
        <x:v>English</x:v>
      </x:c>
      <x:c r="D625" s="48" t="n">
        <x:v>43</x:v>
      </x:c>
      <x:c r="E625" s="48" t="str"/>
      <x:c r="F625" s="48" t="str">
        <x:v>Materials</x:v>
      </x:c>
      <x:c r="G625" s="48" t="str">
        <x:v>Obligation</x:v>
      </x:c>
      <x:c r="H625" s="48" t="str">
        <x:v>Shared</x:v>
      </x:c>
      <x:c r="I625" s="48" t="n">
        <x:v>0.45</x:v>
      </x:c>
      <x:c r="J625" s="48" t="n">
        <x:v>0.4</x:v>
      </x:c>
      <x:c r="K625" s="48" t="str">
        <x:v>Yes</x:v>
      </x:c>
      <x:c r="L625" s="48" t="str">
        <x:v>PDF text</x:v>
      </x:c>
    </x:row>
    <x:row r="626">
      <x:c r="A626" s="48" t="str">
        <x:v>YELLOW-0625</x:v>
      </x:c>
      <x:c r="B626" s="48" t="str">
        <x:v>YELLOW</x:v>
      </x:c>
      <x:c r="C626" s="48" t="str">
        <x:v>English</x:v>
      </x:c>
      <x:c r="D626" s="48" t="n">
        <x:v>43</x:v>
      </x:c>
      <x:c r="E626" s="48" t="str"/>
      <x:c r="F626" s="48" t="str">
        <x:v>Royalties</x:v>
      </x:c>
      <x:c r="G626" s="48" t="str">
        <x:v>Obligation</x:v>
      </x:c>
      <x:c r="H626" s="48" t="str">
        <x:v>Shared</x:v>
      </x:c>
      <x:c r="I626" s="48" t="n">
        <x:v>0.45</x:v>
      </x:c>
      <x:c r="J626" s="48" t="n">
        <x:v>0.4</x:v>
      </x:c>
      <x:c r="K626" s="48" t="str">
        <x:v>Yes</x:v>
      </x:c>
      <x:c r="L626" s="48" t="str">
        <x:v>PDF text</x:v>
      </x:c>
    </x:row>
    <x:row r="627">
      <x:c r="A627" s="48" t="str">
        <x:v>YELLOW-0626</x:v>
      </x:c>
      <x:c r="B627" s="48" t="str">
        <x:v>YELLOW</x:v>
      </x:c>
      <x:c r="C627" s="48" t="str">
        <x:v>English</x:v>
      </x:c>
      <x:c r="D627" s="48" t="n">
        <x:v>43</x:v>
      </x:c>
      <x:c r="E627" s="48" t="str"/>
      <x:c r="F627" s="48" t="str">
        <x:v>Commencement of Work</x:v>
      </x:c>
      <x:c r="G627" s="48" t="str">
        <x:v>Obligation</x:v>
      </x:c>
      <x:c r="H627" s="48" t="str">
        <x:v>Shared</x:v>
      </x:c>
      <x:c r="I627" s="48" t="n">
        <x:v>0.45</x:v>
      </x:c>
      <x:c r="J627" s="48" t="n">
        <x:v>0.4</x:v>
      </x:c>
      <x:c r="K627" s="48" t="str">
        <x:v>Yes</x:v>
      </x:c>
      <x:c r="L627" s="48" t="str">
        <x:v>PDF text</x:v>
      </x:c>
    </x:row>
    <x:row r="628">
      <x:c r="A628" s="48" t="str">
        <x:v>YELLOW-0627</x:v>
      </x:c>
      <x:c r="B628" s="48" t="str">
        <x:v>YELLOW</x:v>
      </x:c>
      <x:c r="C628" s="48" t="str">
        <x:v>English</x:v>
      </x:c>
      <x:c r="D628" s="48" t="n">
        <x:v>43</x:v>
      </x:c>
      <x:c r="E628" s="48" t="str"/>
      <x:c r="F628" s="48" t="str">
        <x:v>Commencement, Delays and Suspension</x:v>
      </x:c>
      <x:c r="G628" s="48" t="str">
        <x:v>Obligation</x:v>
      </x:c>
      <x:c r="H628" s="48" t="str">
        <x:v>Shared</x:v>
      </x:c>
      <x:c r="I628" s="48" t="n">
        <x:v>0.45</x:v>
      </x:c>
      <x:c r="J628" s="48" t="n">
        <x:v>0.4</x:v>
      </x:c>
      <x:c r="K628" s="48" t="str">
        <x:v>Yes</x:v>
      </x:c>
      <x:c r="L628" s="48" t="str">
        <x:v>PDF text</x:v>
      </x:c>
    </x:row>
    <x:row r="629">
      <x:c r="A629" s="48" t="str">
        <x:v>YELLOW-0628</x:v>
      </x:c>
      <x:c r="B629" s="48" t="str">
        <x:v>YELLOW</x:v>
      </x:c>
      <x:c r="C629" s="48" t="str">
        <x:v>English</x:v>
      </x:c>
      <x:c r="D629" s="48" t="n">
        <x:v>44</x:v>
      </x:c>
      <x:c r="E629" s="48" t="str"/>
      <x:c r="F629" s="48" t="str">
        <x:v>The Contractor shall complete the whole of the Works, and each Section (if any),</x:v>
      </x:c>
      <x:c r="G629" s="48" t="str">
        <x:v>Obligation</x:v>
      </x:c>
      <x:c r="H629" s="48" t="str">
        <x:v>Contractor</x:v>
      </x:c>
      <x:c r="I629" s="48" t="n">
        <x:v>0.88</x:v>
      </x:c>
      <x:c r="J629" s="48" t="n">
        <x:v>0.92</x:v>
      </x:c>
      <x:c r="K629" s="48" t="str">
        <x:v>No</x:v>
      </x:c>
      <x:c r="L629" s="48" t="str">
        <x:v>PDF text</x:v>
      </x:c>
    </x:row>
    <x:row r="630">
      <x:c r="A630" s="48" t="str">
        <x:v>YELLOW-0629</x:v>
      </x:c>
      <x:c r="B630" s="48" t="str">
        <x:v>YELLOW</x:v>
      </x:c>
      <x:c r="C630" s="48" t="str">
        <x:v>English</x:v>
      </x:c>
      <x:c r="D630" s="48" t="n">
        <x:v>44</x:v>
      </x:c>
      <x:c r="E630" s="48" t="str"/>
      <x:c r="F630" s="48" t="str">
        <x:v>within the Time for Completion for the Works or Section (as the case may be), including: (a) achieving the passing of the Tests on Completion, and (b) completing all work which is stated in the Contract as being required for the Works or Section to be considered to be completed for the purposes of takingover under Sub-Clause 10.1 [Taking Over of the Works and Sections].</x:v>
      </x:c>
      <x:c r="G630" s="48" t="str">
        <x:v>Right</x:v>
      </x:c>
      <x:c r="H630" s="48" t="str">
        <x:v>Shared</x:v>
      </x:c>
      <x:c r="I630" s="48" t="n">
        <x:v>0.78</x:v>
      </x:c>
      <x:c r="J630" s="48" t="n">
        <x:v>0.4</x:v>
      </x:c>
      <x:c r="K630" s="48" t="str">
        <x:v>Yes</x:v>
      </x:c>
      <x:c r="L630" s="48" t="str">
        <x:v>PDF text</x:v>
      </x:c>
    </x:row>
    <x:row r="631">
      <x:c r="A631" s="48" t="str">
        <x:v>YELLOW-0630</x:v>
      </x:c>
      <x:c r="B631" s="48" t="str">
        <x:v>YELLOW</x:v>
      </x:c>
      <x:c r="C631" s="48" t="str">
        <x:v>English</x:v>
      </x:c>
      <x:c r="D631" s="48" t="n">
        <x:v>44</x:v>
      </x:c>
      <x:c r="E631" s="48" t="str"/>
      <x:c r="F631" s="48" t="str">
        <x:v>The Contractor shall submit a detailed time programme to the Engineer within 28 days after receiving the notice under Sub-Clause 8.1 [Commencement of Works].</x:v>
      </x:c>
      <x:c r="G631" s="48" t="str">
        <x:v>Obligation</x:v>
      </x:c>
      <x:c r="H631" s="48" t="str">
        <x:v>Contractor</x:v>
      </x:c>
      <x:c r="I631" s="48" t="n">
        <x:v>0.88</x:v>
      </x:c>
      <x:c r="J631" s="48" t="n">
        <x:v>0.92</x:v>
      </x:c>
      <x:c r="K631" s="48" t="str">
        <x:v>No</x:v>
      </x:c>
      <x:c r="L631" s="48" t="str">
        <x:v>PDF text</x:v>
      </x:c>
    </x:row>
    <x:row r="632">
      <x:c r="A632" s="48" t="str">
        <x:v>YELLOW-0631</x:v>
      </x:c>
      <x:c r="B632" s="48" t="str">
        <x:v>YELLOW</x:v>
      </x:c>
      <x:c r="C632" s="48" t="str">
        <x:v>English</x:v>
      </x:c>
      <x:c r="D632" s="48" t="n">
        <x:v>44</x:v>
      </x:c>
      <x:c r="E632" s="48" t="str"/>
      <x:c r="F632" s="48" t="str">
        <x:v>Contractor shall also submit a revised programme whenever the previous programme</x:v>
      </x:c>
      <x:c r="G632" s="48" t="str">
        <x:v>Obligation</x:v>
      </x:c>
      <x:c r="H632" s="48" t="str">
        <x:v>Contractor</x:v>
      </x:c>
      <x:c r="I632" s="48" t="n">
        <x:v>0.88</x:v>
      </x:c>
      <x:c r="J632" s="48" t="n">
        <x:v>0.68</x:v>
      </x:c>
      <x:c r="K632" s="48" t="str">
        <x:v>Yes</x:v>
      </x:c>
      <x:c r="L632" s="48" t="str">
        <x:v>PDF text</x:v>
      </x:c>
    </x:row>
    <x:row r="633">
      <x:c r="A633" s="48" t="str">
        <x:v>YELLOW-0632</x:v>
      </x:c>
      <x:c r="B633" s="48" t="str">
        <x:v>YELLOW</x:v>
      </x:c>
      <x:c r="C633" s="48" t="str">
        <x:v>English</x:v>
      </x:c>
      <x:c r="D633" s="48" t="n">
        <x:v>44</x:v>
      </x:c>
      <x:c r="E633" s="48" t="str"/>
      <x:c r="F633" s="48" t="str">
        <x:v>is inconsistent with actual progress or with the Contractor's obligations.</x:v>
      </x:c>
      <x:c r="G633" s="48" t="str">
        <x:v>Obligation</x:v>
      </x:c>
      <x:c r="H633" s="48" t="str">
        <x:v>Contractor</x:v>
      </x:c>
      <x:c r="I633" s="48" t="n">
        <x:v>0.45</x:v>
      </x:c>
      <x:c r="J633" s="48" t="n">
        <x:v>0.68</x:v>
      </x:c>
      <x:c r="K633" s="48" t="str">
        <x:v>Yes</x:v>
      </x:c>
      <x:c r="L633" s="48" t="str">
        <x:v>PDF text</x:v>
      </x:c>
    </x:row>
    <x:row r="634">
      <x:c r="A634" s="48" t="str">
        <x:v>YELLOW-0633</x:v>
      </x:c>
      <x:c r="B634" s="48" t="str">
        <x:v>YELLOW</x:v>
      </x:c>
      <x:c r="C634" s="48" t="str">
        <x:v>English</x:v>
      </x:c>
      <x:c r="D634" s="48" t="n">
        <x:v>44</x:v>
      </x:c>
      <x:c r="E634" s="48" t="str"/>
      <x:c r="F634" s="48" t="str">
        <x:v>Each programme shall include: (a) the order in which the Contractor intends to carry out the Works, including the anticipated timing of each stage of design, Contractor's Documents, procurement, manufacture, inspection, delivery to Site, construction, erection, testing, commissioning and trial operation, (b) the periods for reviews under Sub-Clause 5.2 [Contractor's Documents] and for any other submissions, approvals and consents specified in the Employer's</x:v>
      </x:c>
      <x:c r="G634" s="48" t="str">
        <x:v>Obligation</x:v>
      </x:c>
      <x:c r="H634" s="48" t="str">
        <x:v>Shared</x:v>
      </x:c>
      <x:c r="I634" s="48" t="n">
        <x:v>0.88</x:v>
      </x:c>
      <x:c r="J634" s="48" t="n">
        <x:v>0.6</x:v>
      </x:c>
      <x:c r="K634" s="48" t="str">
        <x:v>Yes</x:v>
      </x:c>
      <x:c r="L634" s="48" t="str">
        <x:v>PDF text</x:v>
      </x:c>
    </x:row>
    <x:row r="635">
      <x:c r="A635" s="48" t="str">
        <x:v>YELLOW-0634</x:v>
      </x:c>
      <x:c r="B635" s="48" t="str">
        <x:v>YELLOW</x:v>
      </x:c>
      <x:c r="C635" s="48" t="str">
        <x:v>English</x:v>
      </x:c>
      <x:c r="D635" s="48" t="n">
        <x:v>44</x:v>
      </x:c>
      <x:c r="E635" s="48" t="str"/>
      <x:c r="F635" s="48" t="str">
        <x:v>(c) the sequence and timing of inspections and tests specified in the Contract, and (d) a supporting report which includes: (i) a general description of the methods which the Contractor intends to adopt, and of the major stages, in the execution of the Works, and (ii) details showing the Contractor's reasonable estimate of the number of each class of Contractor's Personnel and of each type of Contractor's Equipment, required on the Site for each major stage.</x:v>
      </x:c>
      <x:c r="G635" s="48" t="str">
        <x:v>Obligation</x:v>
      </x:c>
      <x:c r="H635" s="48" t="str">
        <x:v>Contractor</x:v>
      </x:c>
      <x:c r="I635" s="48" t="n">
        <x:v>0.45</x:v>
      </x:c>
      <x:c r="J635" s="48" t="n">
        <x:v>0.68</x:v>
      </x:c>
      <x:c r="K635" s="48" t="str">
        <x:v>Yes</x:v>
      </x:c>
      <x:c r="L635" s="48" t="str">
        <x:v>PDF text</x:v>
      </x:c>
    </x:row>
    <x:row r="636">
      <x:c r="A636" s="48" t="str">
        <x:v>YELLOW-0635</x:v>
      </x:c>
      <x:c r="B636" s="48" t="str">
        <x:v>YELLOW</x:v>
      </x:c>
      <x:c r="C636" s="48" t="str">
        <x:v>English</x:v>
      </x:c>
      <x:c r="D636" s="48" t="n">
        <x:v>44</x:v>
      </x:c>
      <x:c r="E636" s="48" t="str"/>
      <x:c r="F636" s="48" t="str">
        <x:v>Unless the Engineer, within 21 days after receiving a programme, gives notice to the</x:v>
      </x:c>
      <x:c r="G636" s="48" t="str">
        <x:v>Obligation</x:v>
      </x:c>
      <x:c r="H636" s="48" t="str">
        <x:v>Shared</x:v>
      </x:c>
      <x:c r="I636" s="48" t="n">
        <x:v>0.55</x:v>
      </x:c>
      <x:c r="J636" s="48" t="n">
        <x:v>0.4</x:v>
      </x:c>
      <x:c r="K636" s="48" t="str">
        <x:v>Yes</x:v>
      </x:c>
      <x:c r="L636" s="48" t="str">
        <x:v>PDF text</x:v>
      </x:c>
    </x:row>
    <x:row r="637">
      <x:c r="A637" s="48" t="str">
        <x:v>YELLOW-0636</x:v>
      </x:c>
      <x:c r="B637" s="48" t="str">
        <x:v>YELLOW</x:v>
      </x:c>
      <x:c r="C637" s="48" t="str">
        <x:v>English</x:v>
      </x:c>
      <x:c r="D637" s="48" t="n">
        <x:v>44</x:v>
      </x:c>
      <x:c r="E637" s="48" t="str"/>
      <x:c r="F637" s="48" t="str">
        <x:v>Contractor stating the extent to which it does not comply with the Contract, the</x:v>
      </x:c>
      <x:c r="G637" s="48" t="str">
        <x:v>Obligation</x:v>
      </x:c>
      <x:c r="H637" s="48" t="str">
        <x:v>Contractor</x:v>
      </x:c>
      <x:c r="I637" s="48" t="n">
        <x:v>0.45</x:v>
      </x:c>
      <x:c r="J637" s="48" t="n">
        <x:v>0.68</x:v>
      </x:c>
      <x:c r="K637" s="48" t="str">
        <x:v>Yes</x:v>
      </x:c>
      <x:c r="L637" s="48" t="str">
        <x:v>PDF text</x:v>
      </x:c>
    </x:row>
    <x:row r="638">
      <x:c r="A638" s="48" t="str">
        <x:v>YELLOW-0637</x:v>
      </x:c>
      <x:c r="B638" s="48" t="str">
        <x:v>YELLOW</x:v>
      </x:c>
      <x:c r="C638" s="48" t="str">
        <x:v>English</x:v>
      </x:c>
      <x:c r="D638" s="48" t="n">
        <x:v>44</x:v>
      </x:c>
      <x:c r="E638" s="48" t="str"/>
      <x:c r="F638" s="48" t="str">
        <x:v>Contractor shall proceed in accordance with the programme, subject to his other</x:v>
      </x:c>
      <x:c r="G638" s="48" t="str">
        <x:v>Obligation</x:v>
      </x:c>
      <x:c r="H638" s="48" t="str">
        <x:v>Contractor</x:v>
      </x:c>
      <x:c r="I638" s="48" t="n">
        <x:v>0.88</x:v>
      </x:c>
      <x:c r="J638" s="48" t="n">
        <x:v>0.68</x:v>
      </x:c>
      <x:c r="K638" s="48" t="str">
        <x:v>Yes</x:v>
      </x:c>
      <x:c r="L638" s="48" t="str">
        <x:v>PDF text</x:v>
      </x:c>
    </x:row>
    <x:row r="639">
      <x:c r="A639" s="48" t="str">
        <x:v>YELLOW-0638</x:v>
      </x:c>
      <x:c r="B639" s="48" t="str">
        <x:v>YELLOW</x:v>
      </x:c>
      <x:c r="C639" s="48" t="str">
        <x:v>English</x:v>
      </x:c>
      <x:c r="D639" s="48" t="n">
        <x:v>44</x:v>
      </x:c>
      <x:c r="E639" s="48" t="str"/>
      <x:c r="F639" s="48" t="str">
        <x:v>obligations under the Contract.</x:v>
      </x:c>
      <x:c r="G639" s="48" t="str">
        <x:v>Obligation</x:v>
      </x:c>
      <x:c r="H639" s="48" t="str">
        <x:v>Shared</x:v>
      </x:c>
      <x:c r="I639" s="48" t="n">
        <x:v>0.45</x:v>
      </x:c>
      <x:c r="J639" s="48" t="n">
        <x:v>0.4</x:v>
      </x:c>
      <x:c r="K639" s="48" t="str">
        <x:v>Yes</x:v>
      </x:c>
      <x:c r="L639" s="48" t="str">
        <x:v>PDF text</x:v>
      </x:c>
    </x:row>
    <x:row r="640">
      <x:c r="A640" s="48" t="str">
        <x:v>YELLOW-0639</x:v>
      </x:c>
      <x:c r="B640" s="48" t="str">
        <x:v>YELLOW</x:v>
      </x:c>
      <x:c r="C640" s="48" t="str">
        <x:v>English</x:v>
      </x:c>
      <x:c r="D640" s="48" t="n">
        <x:v>44</x:v>
      </x:c>
      <x:c r="E640" s="48" t="str"/>
      <x:c r="F640" s="48" t="str">
        <x:v>The Employer's Personnel shall be entitled to rely upon the programme when planning their activities.</x:v>
      </x:c>
      <x:c r="G640" s="48" t="str">
        <x:v>Obligation</x:v>
      </x:c>
      <x:c r="H640" s="48" t="str">
        <x:v>Employer</x:v>
      </x:c>
      <x:c r="I640" s="48" t="n">
        <x:v>0.88</x:v>
      </x:c>
      <x:c r="J640" s="48" t="n">
        <x:v>0.68</x:v>
      </x:c>
      <x:c r="K640" s="48" t="str">
        <x:v>Yes</x:v>
      </x:c>
      <x:c r="L640" s="48" t="str">
        <x:v>PDF text</x:v>
      </x:c>
    </x:row>
    <x:row r="641">
      <x:c r="A641" s="48" t="str">
        <x:v>YELLOW-0640</x:v>
      </x:c>
      <x:c r="B641" s="48" t="str">
        <x:v>YELLOW</x:v>
      </x:c>
      <x:c r="C641" s="48" t="str">
        <x:v>English</x:v>
      </x:c>
      <x:c r="D641" s="48" t="n">
        <x:v>44</x:v>
      </x:c>
      <x:c r="E641" s="48" t="str"/>
      <x:c r="F641" s="48" t="str">
        <x:v>The Contractor shall promptly give notice to the Engineer of specific probable future events or circumstances which may adversely affect the work, increase the Contract Price or delay the execution of the Works.</x:v>
      </x:c>
      <x:c r="G641" s="48" t="str">
        <x:v>Obligation</x:v>
      </x:c>
      <x:c r="H641" s="48" t="str">
        <x:v>Contractor</x:v>
      </x:c>
      <x:c r="I641" s="48" t="n">
        <x:v>0.88</x:v>
      </x:c>
      <x:c r="J641" s="48" t="n">
        <x:v>0.92</x:v>
      </x:c>
      <x:c r="K641" s="48" t="str">
        <x:v>No</x:v>
      </x:c>
      <x:c r="L641" s="48" t="str">
        <x:v>PDF text</x:v>
      </x:c>
    </x:row>
    <x:row r="642">
      <x:c r="A642" s="48" t="str">
        <x:v>YELLOW-0641</x:v>
      </x:c>
      <x:c r="B642" s="48" t="str">
        <x:v>YELLOW</x:v>
      </x:c>
      <x:c r="C642" s="48" t="str">
        <x:v>English</x:v>
      </x:c>
      <x:c r="D642" s="48" t="n">
        <x:v>44</x:v>
      </x:c>
      <x:c r="E642" s="48" t="str"/>
      <x:c r="F642" s="48" t="str">
        <x:v>The Engineer may require the Contractor to submit an estimate of the anticipated effect of the future event or circumstances, and/or a proposal under Sub-Clause 13.3 [Variation Procedure].</x:v>
      </x:c>
      <x:c r="G642" s="48" t="str">
        <x:v>Right</x:v>
      </x:c>
      <x:c r="H642" s="48" t="str">
        <x:v>Contractor</x:v>
      </x:c>
      <x:c r="I642" s="48" t="n">
        <x:v>0.78</x:v>
      </x:c>
      <x:c r="J642" s="48" t="n">
        <x:v>0.68</x:v>
      </x:c>
      <x:c r="K642" s="48" t="str">
        <x:v>Yes</x:v>
      </x:c>
      <x:c r="L642" s="48" t="str">
        <x:v>PDF text</x:v>
      </x:c>
    </x:row>
    <x:row r="643">
      <x:c r="A643" s="48" t="str">
        <x:v>YELLOW-0642</x:v>
      </x:c>
      <x:c r="B643" s="48" t="str">
        <x:v>YELLOW</x:v>
      </x:c>
      <x:c r="C643" s="48" t="str">
        <x:v>English</x:v>
      </x:c>
      <x:c r="D643" s="48" t="n">
        <x:v>44</x:v>
      </x:c>
      <x:c r="E643" s="48" t="str"/>
      <x:c r="F643" s="48" t="str">
        <x:v>If, at any time, the Engineer gives notice to the Contractor that a programme fails (to the extent stated) to comply with the Contract or to be consistent with actual progress and the Contractor's stated intentions, the Contractor shall submit a revised programme to the Engineer in accordance with this Sub-Clause The Contractor shall be entitled subject to Sub-Clause 20.1 [Contractor's Claims] to an extension of the Time for Completion if and to the extent that completion for the 8.2</x:v>
      </x:c>
      <x:c r="G643" s="48" t="str">
        <x:v>Obligation</x:v>
      </x:c>
      <x:c r="H643" s="48" t="str">
        <x:v>Contractor</x:v>
      </x:c>
      <x:c r="I643" s="48" t="n">
        <x:v>0.88</x:v>
      </x:c>
      <x:c r="J643" s="48" t="n">
        <x:v>0.92</x:v>
      </x:c>
      <x:c r="K643" s="48" t="str">
        <x:v>No</x:v>
      </x:c>
      <x:c r="L643" s="48" t="str">
        <x:v>PDF text</x:v>
      </x:c>
    </x:row>
    <x:row r="644">
      <x:c r="A644" s="48" t="str">
        <x:v>YELLOW-0643</x:v>
      </x:c>
      <x:c r="B644" s="48" t="str">
        <x:v>YELLOW</x:v>
      </x:c>
      <x:c r="C644" s="48" t="str">
        <x:v>English</x:v>
      </x:c>
      <x:c r="D644" s="48" t="n">
        <x:v>44</x:v>
      </x:c>
      <x:c r="E644" s="48" t="str"/>
      <x:c r="F644" s="48" t="str">
        <x:v>Time for Completion</x:v>
      </x:c>
      <x:c r="G644" s="48" t="str">
        <x:v>Obligation</x:v>
      </x:c>
      <x:c r="H644" s="48" t="str">
        <x:v>Shared</x:v>
      </x:c>
      <x:c r="I644" s="48" t="n">
        <x:v>0.45</x:v>
      </x:c>
      <x:c r="J644" s="48" t="n">
        <x:v>0.4</x:v>
      </x:c>
      <x:c r="K644" s="48" t="str">
        <x:v>Yes</x:v>
      </x:c>
      <x:c r="L644" s="48" t="str">
        <x:v>PDF text</x:v>
      </x:c>
    </x:row>
    <x:row r="645">
      <x:c r="A645" s="48" t="str">
        <x:v>YELLOW-0644</x:v>
      </x:c>
      <x:c r="B645" s="48" t="str">
        <x:v>YELLOW</x:v>
      </x:c>
      <x:c r="C645" s="48" t="str">
        <x:v>English</x:v>
      </x:c>
      <x:c r="D645" s="48" t="n">
        <x:v>44</x:v>
      </x:c>
      <x:c r="E645" s="48" t="str"/>
      <x:c r="F645" s="48" t="str">
        <x:v>Programme</x:v>
      </x:c>
      <x:c r="G645" s="48" t="str">
        <x:v>Obligation</x:v>
      </x:c>
      <x:c r="H645" s="48" t="str">
        <x:v>Shared</x:v>
      </x:c>
      <x:c r="I645" s="48" t="n">
        <x:v>0.45</x:v>
      </x:c>
      <x:c r="J645" s="48" t="n">
        <x:v>0.4</x:v>
      </x:c>
      <x:c r="K645" s="48" t="str">
        <x:v>Yes</x:v>
      </x:c>
      <x:c r="L645" s="48" t="str">
        <x:v>PDF text</x:v>
      </x:c>
    </x:row>
    <x:row r="646">
      <x:c r="A646" s="48" t="str">
        <x:v>YELLOW-0645</x:v>
      </x:c>
      <x:c r="B646" s="48" t="str">
        <x:v>YELLOW</x:v>
      </x:c>
      <x:c r="C646" s="48" t="str">
        <x:v>English</x:v>
      </x:c>
      <x:c r="D646" s="48" t="n">
        <x:v>44</x:v>
      </x:c>
      <x:c r="E646" s="48" t="str"/>
      <x:c r="F646" s="48" t="str">
        <x:v>Extension of Time for</x:v>
      </x:c>
      <x:c r="G646" s="48" t="str">
        <x:v>Obligation</x:v>
      </x:c>
      <x:c r="H646" s="48" t="str">
        <x:v>Shared</x:v>
      </x:c>
      <x:c r="I646" s="48" t="n">
        <x:v>0.45</x:v>
      </x:c>
      <x:c r="J646" s="48" t="n">
        <x:v>0.4</x:v>
      </x:c>
      <x:c r="K646" s="48" t="str">
        <x:v>Yes</x:v>
      </x:c>
      <x:c r="L646" s="48" t="str">
        <x:v>PDF text</x:v>
      </x:c>
    </x:row>
    <x:row r="647">
      <x:c r="A647" s="48" t="str">
        <x:v>YELLOW-0646</x:v>
      </x:c>
      <x:c r="B647" s="48" t="str">
        <x:v>YELLOW</x:v>
      </x:c>
      <x:c r="C647" s="48" t="str">
        <x:v>English</x:v>
      </x:c>
      <x:c r="D647" s="48" t="n">
        <x:v>44</x:v>
      </x:c>
      <x:c r="E647" s="48" t="str"/>
      <x:c r="F647" s="48" t="str">
        <x:v>Completion</x:v>
      </x:c>
      <x:c r="G647" s="48" t="str">
        <x:v>Obligation</x:v>
      </x:c>
      <x:c r="H647" s="48" t="str">
        <x:v>Shared</x:v>
      </x:c>
      <x:c r="I647" s="48" t="n">
        <x:v>0.45</x:v>
      </x:c>
      <x:c r="J647" s="48" t="n">
        <x:v>0.4</x:v>
      </x:c>
      <x:c r="K647" s="48" t="str">
        <x:v>Yes</x:v>
      </x:c>
      <x:c r="L647" s="48" t="str">
        <x:v>PDF text</x:v>
      </x:c>
    </x:row>
    <x:row r="648">
      <x:c r="A648" s="48" t="str">
        <x:v>YELLOW-0647</x:v>
      </x:c>
      <x:c r="B648" s="48" t="str">
        <x:v>YELLOW</x:v>
      </x:c>
      <x:c r="C648" s="48" t="str">
        <x:v>English</x:v>
      </x:c>
      <x:c r="D648" s="48" t="n">
        <x:v>45</x:v>
      </x:c>
      <x:c r="E648" s="48" t="str"/>
      <x:c r="F648" s="48" t="str">
        <x:v>purposes of Sub-Clause 10.1 [Taking Over of the Works and Sections] is or will be delayed by any of the following causes: (a) a Variation (unless an adjustment to the Time for Completion has been agreed under Sub-Clause 13.3 [Variation Procedure]), (b) a cause of delay giving an entitlement to extension of time under a Sub-Clause of these Conditions, (c) exceptionally adverse climatic conditions, (d)</x:v>
      </x:c>
      <x:c r="G648" s="48" t="str">
        <x:v>Obligation</x:v>
      </x:c>
      <x:c r="H648" s="48" t="str">
        <x:v>Shared</x:v>
      </x:c>
      <x:c r="I648" s="48" t="n">
        <x:v>0.55</x:v>
      </x:c>
      <x:c r="J648" s="48" t="n">
        <x:v>0.4</x:v>
      </x:c>
      <x:c r="K648" s="48" t="str">
        <x:v>Yes</x:v>
      </x:c>
      <x:c r="L648" s="48" t="str">
        <x:v>PDF text</x:v>
      </x:c>
    </x:row>
    <x:row r="649">
      <x:c r="A649" s="48" t="str">
        <x:v>YELLOW-0648</x:v>
      </x:c>
      <x:c r="B649" s="48" t="str">
        <x:v>YELLOW</x:v>
      </x:c>
      <x:c r="C649" s="48" t="str">
        <x:v>English</x:v>
      </x:c>
      <x:c r="D649" s="48" t="n">
        <x:v>45</x:v>
      </x:c>
      <x:c r="E649" s="48" t="str"/>
      <x:c r="F649" s="48" t="str">
        <x:v>Unforeseeable shortages in the availability of personnel or Goods caused by</x:v>
      </x:c>
      <x:c r="G649" s="48" t="str">
        <x:v>Obligation</x:v>
      </x:c>
      <x:c r="H649" s="48" t="str">
        <x:v>Shared</x:v>
      </x:c>
      <x:c r="I649" s="48" t="n">
        <x:v>0.45</x:v>
      </x:c>
      <x:c r="J649" s="48" t="n">
        <x:v>0.4</x:v>
      </x:c>
      <x:c r="K649" s="48" t="str">
        <x:v>Yes</x:v>
      </x:c>
      <x:c r="L649" s="48" t="str">
        <x:v>PDF text</x:v>
      </x:c>
    </x:row>
    <x:row r="650">
      <x:c r="A650" s="48" t="str">
        <x:v>YELLOW-0649</x:v>
      </x:c>
      <x:c r="B650" s="48" t="str">
        <x:v>YELLOW</x:v>
      </x:c>
      <x:c r="C650" s="48" t="str">
        <x:v>English</x:v>
      </x:c>
      <x:c r="D650" s="48" t="n">
        <x:v>45</x:v>
      </x:c>
      <x:c r="E650" s="48" t="str"/>
      <x:c r="F650" s="48" t="str">
        <x:v>epidemic or governmental actions, or (e) any delay, impediment or prevention caused by or attributable to the</x:v>
      </x:c>
      <x:c r="G650" s="48" t="str">
        <x:v>Obligation</x:v>
      </x:c>
      <x:c r="H650" s="48" t="str">
        <x:v>Shared</x:v>
      </x:c>
      <x:c r="I650" s="48" t="n">
        <x:v>0.45</x:v>
      </x:c>
      <x:c r="J650" s="48" t="n">
        <x:v>0.4</x:v>
      </x:c>
      <x:c r="K650" s="48" t="str">
        <x:v>Yes</x:v>
      </x:c>
      <x:c r="L650" s="48" t="str">
        <x:v>PDF text</x:v>
      </x:c>
    </x:row>
    <x:row r="651">
      <x:c r="A651" s="48" t="str">
        <x:v>YELLOW-0650</x:v>
      </x:c>
      <x:c r="B651" s="48" t="str">
        <x:v>YELLOW</x:v>
      </x:c>
      <x:c r="C651" s="48" t="str">
        <x:v>English</x:v>
      </x:c>
      <x:c r="D651" s="48" t="n">
        <x:v>45</x:v>
      </x:c>
      <x:c r="E651" s="48" t="str"/>
      <x:c r="F651" s="48" t="str">
        <x:v>Employer, the Employer's Personnel, or the Employer's other contractors on</x:v>
      </x:c>
      <x:c r="G651" s="48" t="str">
        <x:v>Obligation</x:v>
      </x:c>
      <x:c r="H651" s="48" t="str">
        <x:v>Employer</x:v>
      </x:c>
      <x:c r="I651" s="48" t="n">
        <x:v>0.45</x:v>
      </x:c>
      <x:c r="J651" s="48" t="n">
        <x:v>0.68</x:v>
      </x:c>
      <x:c r="K651" s="48" t="str">
        <x:v>Yes</x:v>
      </x:c>
      <x:c r="L651" s="48" t="str">
        <x:v>PDF text</x:v>
      </x:c>
    </x:row>
    <x:row r="652">
      <x:c r="A652" s="48" t="str">
        <x:v>YELLOW-0651</x:v>
      </x:c>
      <x:c r="B652" s="48" t="str">
        <x:v>YELLOW</x:v>
      </x:c>
      <x:c r="C652" s="48" t="str">
        <x:v>English</x:v>
      </x:c>
      <x:c r="D652" s="48" t="n">
        <x:v>45</x:v>
      </x:c>
      <x:c r="E652" s="48" t="str"/>
      <x:c r="F652" s="48" t="str">
        <x:v>If the Contractor considers himself to be entitled to an extension of the Time for Completion, the Contractor shall give notice to the Engineer in accordance with SubClause 20.1 [Contractor's Claims].</x:v>
      </x:c>
      <x:c r="G652" s="48" t="str">
        <x:v>Obligation</x:v>
      </x:c>
      <x:c r="H652" s="48" t="str">
        <x:v>Contractor</x:v>
      </x:c>
      <x:c r="I652" s="48" t="n">
        <x:v>0.88</x:v>
      </x:c>
      <x:c r="J652" s="48" t="n">
        <x:v>0.92</x:v>
      </x:c>
      <x:c r="K652" s="48" t="str">
        <x:v>No</x:v>
      </x:c>
      <x:c r="L652" s="48" t="str">
        <x:v>PDF text</x:v>
      </x:c>
    </x:row>
    <x:row r="653">
      <x:c r="A653" s="48" t="str">
        <x:v>YELLOW-0652</x:v>
      </x:c>
      <x:c r="B653" s="48" t="str">
        <x:v>YELLOW</x:v>
      </x:c>
      <x:c r="C653" s="48" t="str">
        <x:v>English</x:v>
      </x:c>
      <x:c r="D653" s="48" t="n">
        <x:v>45</x:v>
      </x:c>
      <x:c r="E653" s="48" t="str"/>
      <x:c r="F653" s="48" t="str">
        <x:v>When determining each extension of time under Sub-Clause 20.1, the Engineer shall review previous determinations and may increase, but shall not decrease, the total extension of time.</x:v>
      </x:c>
      <x:c r="G653" s="48" t="str">
        <x:v>Obligation</x:v>
      </x:c>
      <x:c r="H653" s="48" t="str">
        <x:v>Shared</x:v>
      </x:c>
      <x:c r="I653" s="48" t="n">
        <x:v>0.88</x:v>
      </x:c>
      <x:c r="J653" s="48" t="n">
        <x:v>0.4</x:v>
      </x:c>
      <x:c r="K653" s="48" t="str">
        <x:v>Yes</x:v>
      </x:c>
      <x:c r="L653" s="48" t="str">
        <x:v>PDF text</x:v>
      </x:c>
    </x:row>
    <x:row r="654">
      <x:c r="A654" s="48" t="str">
        <x:v>YELLOW-0653</x:v>
      </x:c>
      <x:c r="B654" s="48" t="str">
        <x:v>YELLOW</x:v>
      </x:c>
      <x:c r="C654" s="48" t="str">
        <x:v>English</x:v>
      </x:c>
      <x:c r="D654" s="48" t="n">
        <x:v>45</x:v>
      </x:c>
      <x:c r="E654" s="48" t="str"/>
      <x:c r="F654" s="48" t="str">
        <x:v>If the following conditions apply, namely: (a) the Contractor has diligently followed the procedures laid down by the relevant legally constituted public authorities in the Country, (b) these authorities delay or disrupt the Contractor's work, and (c) the delay or disruption was Unforeseeable, then this delay or disruption will be considered as a cause of delay under subparagraph (b) of Sub-Clause 8.4 [Extension of Time for Completion].</x:v>
      </x:c>
      <x:c r="G654" s="48" t="str">
        <x:v>Risk</x:v>
      </x:c>
      <x:c r="H654" s="48" t="str">
        <x:v>Contractor</x:v>
      </x:c>
      <x:c r="I654" s="48" t="n">
        <x:v>0.78</x:v>
      </x:c>
      <x:c r="J654" s="48" t="n">
        <x:v>0.68</x:v>
      </x:c>
      <x:c r="K654" s="48" t="str">
        <x:v>Yes</x:v>
      </x:c>
      <x:c r="L654" s="48" t="str">
        <x:v>PDF text</x:v>
      </x:c>
    </x:row>
    <x:row r="655">
      <x:c r="A655" s="48" t="str">
        <x:v>YELLOW-0654</x:v>
      </x:c>
      <x:c r="B655" s="48" t="str">
        <x:v>YELLOW</x:v>
      </x:c>
      <x:c r="C655" s="48" t="str">
        <x:v>English</x:v>
      </x:c>
      <x:c r="D655" s="48" t="n">
        <x:v>45</x:v>
      </x:c>
      <x:c r="E655" s="48" t="str"/>
      <x:c r="F655" s="48" t="str">
        <x:v>If, at any time: (a) actual progress is too slow to complete within the Time for Completion, and/or (b) progress has fallen (or will fall) behind the current programme under Sub-Clause</x:v>
      </x:c>
      <x:c r="G655" s="48" t="str">
        <x:v>Obligation</x:v>
      </x:c>
      <x:c r="H655" s="48" t="str">
        <x:v>Shared</x:v>
      </x:c>
      <x:c r="I655" s="48" t="n">
        <x:v>0.45</x:v>
      </x:c>
      <x:c r="J655" s="48" t="n">
        <x:v>0.4</x:v>
      </x:c>
      <x:c r="K655" s="48" t="str">
        <x:v>Yes</x:v>
      </x:c>
      <x:c r="L655" s="48" t="str">
        <x:v>PDF text</x:v>
      </x:c>
    </x:row>
    <x:row r="656">
      <x:c r="A656" s="48" t="str">
        <x:v>YELLOW-0655</x:v>
      </x:c>
      <x:c r="B656" s="48" t="str">
        <x:v>YELLOW</x:v>
      </x:c>
      <x:c r="C656" s="48" t="str">
        <x:v>English</x:v>
      </x:c>
      <x:c r="D656" s="48" t="n">
        <x:v>45</x:v>
      </x:c>
      <x:c r="E656" s="48" t="str"/>
      <x:c r="F656" s="48" t="str">
        <x:v>other than as a result of a cause listed in Sub-Clause 8.4 [Extension of Time for Completion], then the Engineer may instruct the Contractor to submit, under SubClause 8.3 [Programme], a revised programme and supporting report describing the revised methods which the Contractor proposes to adopt in order to expedite progress and complete within the Time for Completion.</x:v>
      </x:c>
      <x:c r="G656" s="48" t="str">
        <x:v>Right</x:v>
      </x:c>
      <x:c r="H656" s="48" t="str">
        <x:v>Contractor</x:v>
      </x:c>
      <x:c r="I656" s="48" t="n">
        <x:v>0.78</x:v>
      </x:c>
      <x:c r="J656" s="48" t="n">
        <x:v>0.68</x:v>
      </x:c>
      <x:c r="K656" s="48" t="str">
        <x:v>Yes</x:v>
      </x:c>
      <x:c r="L656" s="48" t="str">
        <x:v>PDF text</x:v>
      </x:c>
    </x:row>
    <x:row r="657">
      <x:c r="A657" s="48" t="str">
        <x:v>YELLOW-0656</x:v>
      </x:c>
      <x:c r="B657" s="48" t="str">
        <x:v>YELLOW</x:v>
      </x:c>
      <x:c r="C657" s="48" t="str">
        <x:v>English</x:v>
      </x:c>
      <x:c r="D657" s="48" t="n">
        <x:v>45</x:v>
      </x:c>
      <x:c r="E657" s="48" t="str"/>
      <x:c r="F657" s="48" t="str">
        <x:v>Unless the Engineer notifies otherwise, the Contractor shall adopt these revised</x:v>
      </x:c>
      <x:c r="G657" s="48" t="str">
        <x:v>Obligation</x:v>
      </x:c>
      <x:c r="H657" s="48" t="str">
        <x:v>Contractor</x:v>
      </x:c>
      <x:c r="I657" s="48" t="n">
        <x:v>0.88</x:v>
      </x:c>
      <x:c r="J657" s="48" t="n">
        <x:v>0.92</x:v>
      </x:c>
      <x:c r="K657" s="48" t="str">
        <x:v>No</x:v>
      </x:c>
      <x:c r="L657" s="48" t="str">
        <x:v>PDF text</x:v>
      </x:c>
    </x:row>
    <x:row r="658">
      <x:c r="A658" s="48" t="str">
        <x:v>YELLOW-0657</x:v>
      </x:c>
      <x:c r="B658" s="48" t="str">
        <x:v>YELLOW</x:v>
      </x:c>
      <x:c r="C658" s="48" t="str">
        <x:v>English</x:v>
      </x:c>
      <x:c r="D658" s="48" t="n">
        <x:v>45</x:v>
      </x:c>
      <x:c r="E658" s="48" t="str"/>
      <x:c r="F658" s="48" t="str">
        <x:v>methods, which may require increases in the working hours and/or in the numbers of Contractor's Personnel and/or Goods, at the risk and cost of the Contractor.</x:v>
      </x:c>
      <x:c r="G658" s="48" t="str">
        <x:v>Risk</x:v>
      </x:c>
      <x:c r="H658" s="48" t="str">
        <x:v>Contractor</x:v>
      </x:c>
      <x:c r="I658" s="48" t="n">
        <x:v>0.78</x:v>
      </x:c>
      <x:c r="J658" s="48" t="n">
        <x:v>0.68</x:v>
      </x:c>
      <x:c r="K658" s="48" t="str">
        <x:v>Yes</x:v>
      </x:c>
      <x:c r="L658" s="48" t="str">
        <x:v>PDF text</x:v>
      </x:c>
    </x:row>
    <x:row r="659">
      <x:c r="A659" s="48" t="str">
        <x:v>YELLOW-0658</x:v>
      </x:c>
      <x:c r="B659" s="48" t="str">
        <x:v>YELLOW</x:v>
      </x:c>
      <x:c r="C659" s="48" t="str">
        <x:v>English</x:v>
      </x:c>
      <x:c r="D659" s="48" t="n">
        <x:v>45</x:v>
      </x:c>
      <x:c r="E659" s="48" t="str"/>
      <x:c r="F659" s="48" t="str">
        <x:v>If these revised methods cause the Employer to incur additional costs, the Contractor shall subject to Sub-Clause 2.5 [Employer's Claims] pay these costs to the Employer, in addition to delay damages (if any) under Sub-Clause 8.7 below.</x:v>
      </x:c>
      <x:c r="G659" s="48" t="str">
        <x:v>Risk</x:v>
      </x:c>
      <x:c r="H659" s="48" t="str">
        <x:v>Contractor</x:v>
      </x:c>
      <x:c r="I659" s="48" t="n">
        <x:v>0.78</x:v>
      </x:c>
      <x:c r="J659" s="48" t="n">
        <x:v>0.92</x:v>
      </x:c>
      <x:c r="K659" s="48" t="str">
        <x:v>No</x:v>
      </x:c>
      <x:c r="L659" s="48" t="str">
        <x:v>PDF text</x:v>
      </x:c>
    </x:row>
    <x:row r="660">
      <x:c r="A660" s="48" t="str">
        <x:v>YELLOW-0659</x:v>
      </x:c>
      <x:c r="B660" s="48" t="str">
        <x:v>YELLOW</x:v>
      </x:c>
      <x:c r="C660" s="48" t="str">
        <x:v>English</x:v>
      </x:c>
      <x:c r="D660" s="48" t="n">
        <x:v>45</x:v>
      </x:c>
      <x:c r="E660" s="48" t="str"/>
      <x:c r="F660" s="48" t="str">
        <x:v>If the Contractor fails to comply with Sub-Clause 8.2 [Time for Completion], the Contractor shall subject to Sub-Clause 2.5 [Employer's Claims] pay delay damages to the Employer for this default.</x:v>
      </x:c>
      <x:c r="G660" s="48" t="str">
        <x:v>Risk</x:v>
      </x:c>
      <x:c r="H660" s="48" t="str">
        <x:v>Contractor</x:v>
      </x:c>
      <x:c r="I660" s="48" t="n">
        <x:v>0.78</x:v>
      </x:c>
      <x:c r="J660" s="48" t="n">
        <x:v>0.92</x:v>
      </x:c>
      <x:c r="K660" s="48" t="str">
        <x:v>No</x:v>
      </x:c>
      <x:c r="L660" s="48" t="str">
        <x:v>PDF text</x:v>
      </x:c>
    </x:row>
    <x:row r="661">
      <x:c r="A661" s="48" t="str">
        <x:v>YELLOW-0660</x:v>
      </x:c>
      <x:c r="B661" s="48" t="str">
        <x:v>YELLOW</x:v>
      </x:c>
      <x:c r="C661" s="48" t="str">
        <x:v>English</x:v>
      </x:c>
      <x:c r="D661" s="48" t="n">
        <x:v>45</x:v>
      </x:c>
      <x:c r="E661" s="48" t="str"/>
      <x:c r="F661" s="48" t="str">
        <x:v>These delay damages shall be the sum stated in the Appendix to Tender, which shall be paid for every day which shall elapse between the 8.5</x:v>
      </x:c>
      <x:c r="G661" s="48" t="str">
        <x:v>Obligation</x:v>
      </x:c>
      <x:c r="H661" s="48" t="str">
        <x:v>Shared</x:v>
      </x:c>
      <x:c r="I661" s="48" t="n">
        <x:v>0.88</x:v>
      </x:c>
      <x:c r="J661" s="48" t="n">
        <x:v>0.4</x:v>
      </x:c>
      <x:c r="K661" s="48" t="str">
        <x:v>Yes</x:v>
      </x:c>
      <x:c r="L661" s="48" t="str">
        <x:v>PDF text</x:v>
      </x:c>
    </x:row>
    <x:row r="662">
      <x:c r="A662" s="48" t="str">
        <x:v>YELLOW-0661</x:v>
      </x:c>
      <x:c r="B662" s="48" t="str">
        <x:v>YELLOW</x:v>
      </x:c>
      <x:c r="C662" s="48" t="str">
        <x:v>English</x:v>
      </x:c>
      <x:c r="D662" s="48" t="n">
        <x:v>45</x:v>
      </x:c>
      <x:c r="E662" s="48" t="str"/>
      <x:c r="F662" s="48" t="str">
        <x:v>Delays Caused by</x:v>
      </x:c>
      <x:c r="G662" s="48" t="str">
        <x:v>Obligation</x:v>
      </x:c>
      <x:c r="H662" s="48" t="str">
        <x:v>Shared</x:v>
      </x:c>
      <x:c r="I662" s="48" t="n">
        <x:v>0.45</x:v>
      </x:c>
      <x:c r="J662" s="48" t="n">
        <x:v>0.4</x:v>
      </x:c>
      <x:c r="K662" s="48" t="str">
        <x:v>Yes</x:v>
      </x:c>
      <x:c r="L662" s="48" t="str">
        <x:v>PDF text</x:v>
      </x:c>
    </x:row>
    <x:row r="663">
      <x:c r="A663" s="48" t="str">
        <x:v>YELLOW-0662</x:v>
      </x:c>
      <x:c r="B663" s="48" t="str">
        <x:v>YELLOW</x:v>
      </x:c>
      <x:c r="C663" s="48" t="str">
        <x:v>English</x:v>
      </x:c>
      <x:c r="D663" s="48" t="n">
        <x:v>45</x:v>
      </x:c>
      <x:c r="E663" s="48" t="str"/>
      <x:c r="F663" s="48" t="str">
        <x:v>Authorities</x:v>
      </x:c>
      <x:c r="G663" s="48" t="str">
        <x:v>Obligation</x:v>
      </x:c>
      <x:c r="H663" s="48" t="str">
        <x:v>Shared</x:v>
      </x:c>
      <x:c r="I663" s="48" t="n">
        <x:v>0.45</x:v>
      </x:c>
      <x:c r="J663" s="48" t="n">
        <x:v>0.4</x:v>
      </x:c>
      <x:c r="K663" s="48" t="str">
        <x:v>Yes</x:v>
      </x:c>
      <x:c r="L663" s="48" t="str">
        <x:v>PDF text</x:v>
      </x:c>
    </x:row>
    <x:row r="664">
      <x:c r="A664" s="48" t="str">
        <x:v>YELLOW-0663</x:v>
      </x:c>
      <x:c r="B664" s="48" t="str">
        <x:v>YELLOW</x:v>
      </x:c>
      <x:c r="C664" s="48" t="str">
        <x:v>English</x:v>
      </x:c>
      <x:c r="D664" s="48" t="n">
        <x:v>45</x:v>
      </x:c>
      <x:c r="E664" s="48" t="str"/>
      <x:c r="F664" s="48" t="str">
        <x:v>Rate of Progress</x:v>
      </x:c>
      <x:c r="G664" s="48" t="str">
        <x:v>Obligation</x:v>
      </x:c>
      <x:c r="H664" s="48" t="str">
        <x:v>Shared</x:v>
      </x:c>
      <x:c r="I664" s="48" t="n">
        <x:v>0.45</x:v>
      </x:c>
      <x:c r="J664" s="48" t="n">
        <x:v>0.4</x:v>
      </x:c>
      <x:c r="K664" s="48" t="str">
        <x:v>Yes</x:v>
      </x:c>
      <x:c r="L664" s="48" t="str">
        <x:v>PDF text</x:v>
      </x:c>
    </x:row>
    <x:row r="665">
      <x:c r="A665" s="48" t="str">
        <x:v>YELLOW-0664</x:v>
      </x:c>
      <x:c r="B665" s="48" t="str">
        <x:v>YELLOW</x:v>
      </x:c>
      <x:c r="C665" s="48" t="str">
        <x:v>English</x:v>
      </x:c>
      <x:c r="D665" s="48" t="n">
        <x:v>45</x:v>
      </x:c>
      <x:c r="E665" s="48" t="str"/>
      <x:c r="F665" s="48" t="str">
        <x:v>Delay Damages</x:v>
      </x:c>
      <x:c r="G665" s="48" t="str">
        <x:v>Obligation</x:v>
      </x:c>
      <x:c r="H665" s="48" t="str">
        <x:v>Shared</x:v>
      </x:c>
      <x:c r="I665" s="48" t="n">
        <x:v>0.45</x:v>
      </x:c>
      <x:c r="J665" s="48" t="n">
        <x:v>0.4</x:v>
      </x:c>
      <x:c r="K665" s="48" t="str">
        <x:v>Yes</x:v>
      </x:c>
      <x:c r="L665" s="48" t="str">
        <x:v>PDF text</x:v>
      </x:c>
    </x:row>
    <x:row r="666">
      <x:c r="A666" s="48" t="str">
        <x:v>YELLOW-0665</x:v>
      </x:c>
      <x:c r="B666" s="48" t="str">
        <x:v>YELLOW</x:v>
      </x:c>
      <x:c r="C666" s="48" t="str">
        <x:v>English</x:v>
      </x:c>
      <x:c r="D666" s="48" t="n">
        <x:v>46</x:v>
      </x:c>
      <x:c r="E666" s="48" t="str"/>
      <x:c r="F666" s="48" t="str">
        <x:v>relevant Time for Completion and the date stated in the Taking-Over Certificate.</x:v>
      </x:c>
      <x:c r="G666" s="48" t="str">
        <x:v>Obligation</x:v>
      </x:c>
      <x:c r="H666" s="48" t="str">
        <x:v>Shared</x:v>
      </x:c>
      <x:c r="I666" s="48" t="n">
        <x:v>0.55</x:v>
      </x:c>
      <x:c r="J666" s="48" t="n">
        <x:v>0.4</x:v>
      </x:c>
      <x:c r="K666" s="48" t="str">
        <x:v>Yes</x:v>
      </x:c>
      <x:c r="L666" s="48" t="str">
        <x:v>PDF text</x:v>
      </x:c>
    </x:row>
    <x:row r="667">
      <x:c r="A667" s="48" t="str">
        <x:v>YELLOW-0666</x:v>
      </x:c>
      <x:c r="B667" s="48" t="str">
        <x:v>YELLOW</x:v>
      </x:c>
      <x:c r="C667" s="48" t="str">
        <x:v>English</x:v>
      </x:c>
      <x:c r="D667" s="48" t="n">
        <x:v>46</x:v>
      </x:c>
      <x:c r="E667" s="48" t="str"/>
      <x:c r="F667" s="48" t="str">
        <x:v>However, the total amount due under this Sub-Clause shall not exceed the maximum</x:v>
      </x:c>
      <x:c r="G667" s="48" t="str">
        <x:v>Obligation</x:v>
      </x:c>
      <x:c r="H667" s="48" t="str">
        <x:v>Shared</x:v>
      </x:c>
      <x:c r="I667" s="48" t="n">
        <x:v>0.88</x:v>
      </x:c>
      <x:c r="J667" s="48" t="n">
        <x:v>0.4</x:v>
      </x:c>
      <x:c r="K667" s="48" t="str">
        <x:v>Yes</x:v>
      </x:c>
      <x:c r="L667" s="48" t="str">
        <x:v>PDF text</x:v>
      </x:c>
    </x:row>
    <x:row r="668">
      <x:c r="A668" s="48" t="str">
        <x:v>YELLOW-0667</x:v>
      </x:c>
      <x:c r="B668" s="48" t="str">
        <x:v>YELLOW</x:v>
      </x:c>
      <x:c r="C668" s="48" t="str">
        <x:v>English</x:v>
      </x:c>
      <x:c r="D668" s="48" t="n">
        <x:v>46</x:v>
      </x:c>
      <x:c r="E668" s="48" t="str"/>
      <x:c r="F668" s="48" t="str">
        <x:v>amount of delay damages (if any) stated in the Appendix to Tender.</x:v>
      </x:c>
      <x:c r="G668" s="48" t="str">
        <x:v>Risk</x:v>
      </x:c>
      <x:c r="H668" s="48" t="str">
        <x:v>Shared</x:v>
      </x:c>
      <x:c r="I668" s="48" t="n">
        <x:v>0.78</x:v>
      </x:c>
      <x:c r="J668" s="48" t="n">
        <x:v>0.4</x:v>
      </x:c>
      <x:c r="K668" s="48" t="str">
        <x:v>Yes</x:v>
      </x:c>
      <x:c r="L668" s="48" t="str">
        <x:v>PDF text</x:v>
      </x:c>
    </x:row>
    <x:row r="669">
      <x:c r="A669" s="48" t="str">
        <x:v>YELLOW-0668</x:v>
      </x:c>
      <x:c r="B669" s="48" t="str">
        <x:v>YELLOW</x:v>
      </x:c>
      <x:c r="C669" s="48" t="str">
        <x:v>English</x:v>
      </x:c>
      <x:c r="D669" s="48" t="n">
        <x:v>46</x:v>
      </x:c>
      <x:c r="E669" s="48" t="str"/>
      <x:c r="F669" s="48" t="str">
        <x:v>These delay damages shall be the only damages due from the Contractor for such</x:v>
      </x:c>
      <x:c r="G669" s="48" t="str">
        <x:v>Obligation</x:v>
      </x:c>
      <x:c r="H669" s="48" t="str">
        <x:v>Contractor</x:v>
      </x:c>
      <x:c r="I669" s="48" t="n">
        <x:v>0.88</x:v>
      </x:c>
      <x:c r="J669" s="48" t="n">
        <x:v>0.68</x:v>
      </x:c>
      <x:c r="K669" s="48" t="str">
        <x:v>Yes</x:v>
      </x:c>
      <x:c r="L669" s="48" t="str">
        <x:v>PDF text</x:v>
      </x:c>
    </x:row>
    <x:row r="670">
      <x:c r="A670" s="48" t="str">
        <x:v>YELLOW-0669</x:v>
      </x:c>
      <x:c r="B670" s="48" t="str">
        <x:v>YELLOW</x:v>
      </x:c>
      <x:c r="C670" s="48" t="str">
        <x:v>English</x:v>
      </x:c>
      <x:c r="D670" s="48" t="n">
        <x:v>46</x:v>
      </x:c>
      <x:c r="E670" s="48" t="str"/>
      <x:c r="F670" s="48" t="str">
        <x:v>default, other than in the event of termination under Sub-Clause 15.2 [Termination by Employer] prior to completion of the Works.</x:v>
      </x:c>
      <x:c r="G670" s="48" t="str">
        <x:v>Risk</x:v>
      </x:c>
      <x:c r="H670" s="48" t="str">
        <x:v>Employer</x:v>
      </x:c>
      <x:c r="I670" s="48" t="n">
        <x:v>0.78</x:v>
      </x:c>
      <x:c r="J670" s="48" t="n">
        <x:v>0.68</x:v>
      </x:c>
      <x:c r="K670" s="48" t="str">
        <x:v>Yes</x:v>
      </x:c>
      <x:c r="L670" s="48" t="str">
        <x:v>PDF text</x:v>
      </x:c>
    </x:row>
    <x:row r="671">
      <x:c r="A671" s="48" t="str">
        <x:v>YELLOW-0670</x:v>
      </x:c>
      <x:c r="B671" s="48" t="str">
        <x:v>YELLOW</x:v>
      </x:c>
      <x:c r="C671" s="48" t="str">
        <x:v>English</x:v>
      </x:c>
      <x:c r="D671" s="48" t="n">
        <x:v>46</x:v>
      </x:c>
      <x:c r="E671" s="48" t="str"/>
      <x:c r="F671" s="48" t="str">
        <x:v>These damages shall not relieve the</x:v>
      </x:c>
      <x:c r="G671" s="48" t="str">
        <x:v>Obligation</x:v>
      </x:c>
      <x:c r="H671" s="48" t="str">
        <x:v>Shared</x:v>
      </x:c>
      <x:c r="I671" s="48" t="n">
        <x:v>0.88</x:v>
      </x:c>
      <x:c r="J671" s="48" t="n">
        <x:v>0.4</x:v>
      </x:c>
      <x:c r="K671" s="48" t="str">
        <x:v>Yes</x:v>
      </x:c>
      <x:c r="L671" s="48" t="str">
        <x:v>PDF text</x:v>
      </x:c>
    </x:row>
    <x:row r="672">
      <x:c r="A672" s="48" t="str">
        <x:v>YELLOW-0671</x:v>
      </x:c>
      <x:c r="B672" s="48" t="str">
        <x:v>YELLOW</x:v>
      </x:c>
      <x:c r="C672" s="48" t="str">
        <x:v>English</x:v>
      </x:c>
      <x:c r="D672" s="48" t="n">
        <x:v>46</x:v>
      </x:c>
      <x:c r="E672" s="48" t="str"/>
      <x:c r="F672" s="48" t="str">
        <x:v>Contractor from his obligation to complete the Works, or from any other duties,</x:v>
      </x:c>
      <x:c r="G672" s="48" t="str">
        <x:v>Obligation</x:v>
      </x:c>
      <x:c r="H672" s="48" t="str">
        <x:v>Contractor</x:v>
      </x:c>
      <x:c r="I672" s="48" t="n">
        <x:v>0.45</x:v>
      </x:c>
      <x:c r="J672" s="48" t="n">
        <x:v>0.68</x:v>
      </x:c>
      <x:c r="K672" s="48" t="str">
        <x:v>Yes</x:v>
      </x:c>
      <x:c r="L672" s="48" t="str">
        <x:v>PDF text</x:v>
      </x:c>
    </x:row>
    <x:row r="673">
      <x:c r="A673" s="48" t="str">
        <x:v>YELLOW-0672</x:v>
      </x:c>
      <x:c r="B673" s="48" t="str">
        <x:v>YELLOW</x:v>
      </x:c>
      <x:c r="C673" s="48" t="str">
        <x:v>English</x:v>
      </x:c>
      <x:c r="D673" s="48" t="n">
        <x:v>46</x:v>
      </x:c>
      <x:c r="E673" s="48" t="str"/>
      <x:c r="F673" s="48" t="str">
        <x:v>obligations or responsibilities which he may have under the Contract.</x:v>
      </x:c>
      <x:c r="G673" s="48" t="str">
        <x:v>Right</x:v>
      </x:c>
      <x:c r="H673" s="48" t="str">
        <x:v>Shared</x:v>
      </x:c>
      <x:c r="I673" s="48" t="n">
        <x:v>0.78</x:v>
      </x:c>
      <x:c r="J673" s="48" t="n">
        <x:v>0.4</x:v>
      </x:c>
      <x:c r="K673" s="48" t="str">
        <x:v>Yes</x:v>
      </x:c>
      <x:c r="L673" s="48" t="str">
        <x:v>PDF text</x:v>
      </x:c>
    </x:row>
    <x:row r="674">
      <x:c r="A674" s="48" t="str">
        <x:v>YELLOW-0673</x:v>
      </x:c>
      <x:c r="B674" s="48" t="str">
        <x:v>YELLOW</x:v>
      </x:c>
      <x:c r="C674" s="48" t="str">
        <x:v>English</x:v>
      </x:c>
      <x:c r="D674" s="48" t="n">
        <x:v>46</x:v>
      </x:c>
      <x:c r="E674" s="48" t="str"/>
      <x:c r="F674" s="48" t="str">
        <x:v>The Engineer may at any time instruct the Contractor to suspend progress of</x:v>
      </x:c>
      <x:c r="G674" s="48" t="str">
        <x:v>Right</x:v>
      </x:c>
      <x:c r="H674" s="48" t="str">
        <x:v>Contractor</x:v>
      </x:c>
      <x:c r="I674" s="48" t="n">
        <x:v>0.78</x:v>
      </x:c>
      <x:c r="J674" s="48" t="n">
        <x:v>0.68</x:v>
      </x:c>
      <x:c r="K674" s="48" t="str">
        <x:v>Yes</x:v>
      </x:c>
      <x:c r="L674" s="48" t="str">
        <x:v>PDF text</x:v>
      </x:c>
    </x:row>
    <x:row r="675">
      <x:c r="A675" s="48" t="str">
        <x:v>YELLOW-0674</x:v>
      </x:c>
      <x:c r="B675" s="48" t="str">
        <x:v>YELLOW</x:v>
      </x:c>
      <x:c r="C675" s="48" t="str">
        <x:v>English</x:v>
      </x:c>
      <x:c r="D675" s="48" t="n">
        <x:v>46</x:v>
      </x:c>
      <x:c r="E675" s="48" t="str"/>
      <x:c r="F675" s="48" t="str">
        <x:v>part or all of the Works.</x:v>
      </x:c>
      <x:c r="G675" s="48" t="str">
        <x:v>Obligation</x:v>
      </x:c>
      <x:c r="H675" s="48" t="str">
        <x:v>Shared</x:v>
      </x:c>
      <x:c r="I675" s="48" t="n">
        <x:v>0.45</x:v>
      </x:c>
      <x:c r="J675" s="48" t="n">
        <x:v>0.4</x:v>
      </x:c>
      <x:c r="K675" s="48" t="str">
        <x:v>Yes</x:v>
      </x:c>
      <x:c r="L675" s="48" t="str">
        <x:v>PDF text</x:v>
      </x:c>
    </x:row>
    <x:row r="676">
      <x:c r="A676" s="48" t="str">
        <x:v>YELLOW-0675</x:v>
      </x:c>
      <x:c r="B676" s="48" t="str">
        <x:v>YELLOW</x:v>
      </x:c>
      <x:c r="C676" s="48" t="str">
        <x:v>English</x:v>
      </x:c>
      <x:c r="D676" s="48" t="n">
        <x:v>46</x:v>
      </x:c>
      <x:c r="E676" s="48" t="str"/>
      <x:c r="F676" s="48" t="str">
        <x:v>During such suspension, the Contractor shall protect, store and secure such part or the Works against any deterioration, loss or damage.</x:v>
      </x:c>
      <x:c r="G676" s="48" t="str">
        <x:v>Obligation</x:v>
      </x:c>
      <x:c r="H676" s="48" t="str">
        <x:v>Contractor</x:v>
      </x:c>
      <x:c r="I676" s="48" t="n">
        <x:v>0.88</x:v>
      </x:c>
      <x:c r="J676" s="48" t="n">
        <x:v>0.92</x:v>
      </x:c>
      <x:c r="K676" s="48" t="str">
        <x:v>No</x:v>
      </x:c>
      <x:c r="L676" s="48" t="str">
        <x:v>PDF text</x:v>
      </x:c>
    </x:row>
    <x:row r="677">
      <x:c r="A677" s="48" t="str">
        <x:v>YELLOW-0676</x:v>
      </x:c>
      <x:c r="B677" s="48" t="str">
        <x:v>YELLOW</x:v>
      </x:c>
      <x:c r="C677" s="48" t="str">
        <x:v>English</x:v>
      </x:c>
      <x:c r="D677" s="48" t="n">
        <x:v>46</x:v>
      </x:c>
      <x:c r="E677" s="48" t="str"/>
      <x:c r="F677" s="48" t="str">
        <x:v>The Engineer may also notify the cause for the suspension.</x:v>
      </x:c>
      <x:c r="G677" s="48" t="str">
        <x:v>Right</x:v>
      </x:c>
      <x:c r="H677" s="48" t="str">
        <x:v>Shared</x:v>
      </x:c>
      <x:c r="I677" s="48" t="n">
        <x:v>0.78</x:v>
      </x:c>
      <x:c r="J677" s="48" t="n">
        <x:v>0.4</x:v>
      </x:c>
      <x:c r="K677" s="48" t="str">
        <x:v>Yes</x:v>
      </x:c>
      <x:c r="L677" s="48" t="str">
        <x:v>PDF text</x:v>
      </x:c>
    </x:row>
    <x:row r="678">
      <x:c r="A678" s="48" t="str">
        <x:v>YELLOW-0677</x:v>
      </x:c>
      <x:c r="B678" s="48" t="str">
        <x:v>YELLOW</x:v>
      </x:c>
      <x:c r="C678" s="48" t="str">
        <x:v>English</x:v>
      </x:c>
      <x:c r="D678" s="48" t="n">
        <x:v>46</x:v>
      </x:c>
      <x:c r="E678" s="48" t="str"/>
      <x:c r="F678" s="48" t="str">
        <x:v>If and to the extent that the cause is notified and is the responsibility of the Contractor, the following SubClauses 8.9, 8.10 and 8.11 shall not apply.</x:v>
      </x:c>
      <x:c r="G678" s="48" t="str">
        <x:v>Obligation</x:v>
      </x:c>
      <x:c r="H678" s="48" t="str">
        <x:v>Contractor</x:v>
      </x:c>
      <x:c r="I678" s="48" t="n">
        <x:v>0.88</x:v>
      </x:c>
      <x:c r="J678" s="48" t="n">
        <x:v>0.68</x:v>
      </x:c>
      <x:c r="K678" s="48" t="str">
        <x:v>Yes</x:v>
      </x:c>
      <x:c r="L678" s="48" t="str">
        <x:v>PDF text</x:v>
      </x:c>
    </x:row>
    <x:row r="679">
      <x:c r="A679" s="48" t="str">
        <x:v>YELLOW-0678</x:v>
      </x:c>
      <x:c r="B679" s="48" t="str">
        <x:v>YELLOW</x:v>
      </x:c>
      <x:c r="C679" s="48" t="str">
        <x:v>English</x:v>
      </x:c>
      <x:c r="D679" s="48" t="n">
        <x:v>46</x:v>
      </x:c>
      <x:c r="E679" s="48" t="str"/>
      <x:c r="F679" s="48" t="str">
        <x:v>If the Contractor suffers delay and/or incurs Cost from complying with the Engineer's instructions under Sub-Clause 8.8 [Suspension of Work] and/or from resuming the work, the Contractor shall give notice to the Engineer and shall be entitled subject to Sub-Clause 20.1 [Contractor's Claims] to: (a) an extension of time for any such delay, if completion is or will be delayed, under Sub-Clause 8.4 [Extension of Time for Completion], and (b) payment of any such Cost, which shall be included in the Contract Price.</x:v>
      </x:c>
      <x:c r="G679" s="48" t="str">
        <x:v>Risk</x:v>
      </x:c>
      <x:c r="H679" s="48" t="str">
        <x:v>Contractor</x:v>
      </x:c>
      <x:c r="I679" s="48" t="n">
        <x:v>0.78</x:v>
      </x:c>
      <x:c r="J679" s="48" t="n">
        <x:v>0.92</x:v>
      </x:c>
      <x:c r="K679" s="48" t="str">
        <x:v>No</x:v>
      </x:c>
      <x:c r="L679" s="48" t="str">
        <x:v>PDF text</x:v>
      </x:c>
    </x:row>
    <x:row r="680">
      <x:c r="A680" s="48" t="str">
        <x:v>YELLOW-0679</x:v>
      </x:c>
      <x:c r="B680" s="48" t="str">
        <x:v>YELLOW</x:v>
      </x:c>
      <x:c r="C680" s="48" t="str">
        <x:v>English</x:v>
      </x:c>
      <x:c r="D680" s="48" t="n">
        <x:v>46</x:v>
      </x:c>
      <x:c r="E680" s="48" t="str"/>
      <x:c r="F680" s="48" t="str">
        <x:v>The Contractor shall not be entitled to an extension of time for, or to payment of the</x:v>
      </x:c>
      <x:c r="G680" s="48" t="str">
        <x:v>Obligation</x:v>
      </x:c>
      <x:c r="H680" s="48" t="str">
        <x:v>Contractor</x:v>
      </x:c>
      <x:c r="I680" s="48" t="n">
        <x:v>0.88</x:v>
      </x:c>
      <x:c r="J680" s="48" t="n">
        <x:v>0.92</x:v>
      </x:c>
      <x:c r="K680" s="48" t="str">
        <x:v>No</x:v>
      </x:c>
      <x:c r="L680" s="48" t="str">
        <x:v>PDF text</x:v>
      </x:c>
    </x:row>
    <x:row r="681">
      <x:c r="A681" s="48" t="str">
        <x:v>YELLOW-0680</x:v>
      </x:c>
      <x:c r="B681" s="48" t="str">
        <x:v>YELLOW</x:v>
      </x:c>
      <x:c r="C681" s="48" t="str">
        <x:v>English</x:v>
      </x:c>
      <x:c r="D681" s="48" t="n">
        <x:v>46</x:v>
      </x:c>
      <x:c r="E681" s="48" t="str"/>
      <x:c r="F681" s="48" t="str">
        <x:v>Cost incurred in, making good the consequences of the Contractor's faulty design,</x:v>
      </x:c>
      <x:c r="G681" s="48" t="str">
        <x:v>Obligation</x:v>
      </x:c>
      <x:c r="H681" s="48" t="str">
        <x:v>Contractor</x:v>
      </x:c>
      <x:c r="I681" s="48" t="n">
        <x:v>0.45</x:v>
      </x:c>
      <x:c r="J681" s="48" t="n">
        <x:v>0.68</x:v>
      </x:c>
      <x:c r="K681" s="48" t="str">
        <x:v>Yes</x:v>
      </x:c>
      <x:c r="L681" s="48" t="str">
        <x:v>PDF text</x:v>
      </x:c>
    </x:row>
    <x:row r="682">
      <x:c r="A682" s="48" t="str">
        <x:v>YELLOW-0681</x:v>
      </x:c>
      <x:c r="B682" s="48" t="str">
        <x:v>YELLOW</x:v>
      </x:c>
      <x:c r="C682" s="48" t="str">
        <x:v>English</x:v>
      </x:c>
      <x:c r="D682" s="48" t="n">
        <x:v>46</x:v>
      </x:c>
      <x:c r="E682" s="48" t="str"/>
      <x:c r="F682" s="48" t="str">
        <x:v>workmanship or materials, or of the Contractor's failure to protect, store or secure in accordance with Sub-Clause 8.8 [Suspension of Work].</x:v>
      </x:c>
      <x:c r="G682" s="48" t="str">
        <x:v>Obligation</x:v>
      </x:c>
      <x:c r="H682" s="48" t="str">
        <x:v>Contractor</x:v>
      </x:c>
      <x:c r="I682" s="48" t="n">
        <x:v>0.45</x:v>
      </x:c>
      <x:c r="J682" s="48" t="n">
        <x:v>0.68</x:v>
      </x:c>
      <x:c r="K682" s="48" t="str">
        <x:v>Yes</x:v>
      </x:c>
      <x:c r="L682" s="48" t="str">
        <x:v>PDF text</x:v>
      </x:c>
    </x:row>
    <x:row r="683">
      <x:c r="A683" s="48" t="str">
        <x:v>YELLOW-0682</x:v>
      </x:c>
      <x:c r="B683" s="48" t="str">
        <x:v>YELLOW</x:v>
      </x:c>
      <x:c r="C683" s="48" t="str">
        <x:v>English</x:v>
      </x:c>
      <x:c r="D683" s="48" t="n">
        <x:v>46</x:v>
      </x:c>
      <x:c r="E683" s="48" t="str"/>
      <x:c r="F683" s="48" t="str">
        <x:v>The Contractor shall be entitled to payment of the value (as at the date of suspension) of Plant and/or Materials which have not been delivered to Site, if: (a) the work on Plant or delivery of Plant and/or Materials has been suspended for more than 28 days, and (b) the Contractor has marked the Plant and/or Materials as the Employer's property in accordance with the Engineer's instructions.</x:v>
      </x:c>
      <x:c r="G683" s="48" t="str">
        <x:v>Obligation</x:v>
      </x:c>
      <x:c r="H683" s="48" t="str">
        <x:v>Contractor</x:v>
      </x:c>
      <x:c r="I683" s="48" t="n">
        <x:v>0.88</x:v>
      </x:c>
      <x:c r="J683" s="48" t="n">
        <x:v>0.92</x:v>
      </x:c>
      <x:c r="K683" s="48" t="str">
        <x:v>No</x:v>
      </x:c>
      <x:c r="L683" s="48" t="str">
        <x:v>PDF text</x:v>
      </x:c>
    </x:row>
    <x:row r="684">
      <x:c r="A684" s="48" t="str">
        <x:v>YELLOW-0683</x:v>
      </x:c>
      <x:c r="B684" s="48" t="str">
        <x:v>YELLOW</x:v>
      </x:c>
      <x:c r="C684" s="48" t="str">
        <x:v>English</x:v>
      </x:c>
      <x:c r="D684" s="48" t="n">
        <x:v>46</x:v>
      </x:c>
      <x:c r="E684" s="48" t="str"/>
      <x:c r="F684" s="48" t="str">
        <x:v>If the suspension under Sub-Clause 8.8 [Suspension of Work] has continued for more than 84 days, the Contractor may request the Engineer's permission to proceed.</x:v>
      </x:c>
      <x:c r="G684" s="48" t="str">
        <x:v>Right</x:v>
      </x:c>
      <x:c r="H684" s="48" t="str">
        <x:v>Contractor</x:v>
      </x:c>
      <x:c r="I684" s="48" t="n">
        <x:v>0.78</x:v>
      </x:c>
      <x:c r="J684" s="48" t="n">
        <x:v>0.92</x:v>
      </x:c>
      <x:c r="K684" s="48" t="str">
        <x:v>No</x:v>
      </x:c>
      <x:c r="L684" s="48" t="str">
        <x:v>PDF text</x:v>
      </x:c>
    </x:row>
    <x:row r="685">
      <x:c r="A685" s="48" t="str">
        <x:v>YELLOW-0684</x:v>
      </x:c>
      <x:c r="B685" s="48" t="str">
        <x:v>YELLOW</x:v>
      </x:c>
      <x:c r="C685" s="48" t="str">
        <x:v>English</x:v>
      </x:c>
      <x:c r="D685" s="48" t="n">
        <x:v>46</x:v>
      </x:c>
      <x:c r="E685" s="48" t="str"/>
      <x:c r="F685" s="48" t="str">
        <x:v>If the Engineer does not give permission within 28 days after being requested to do so, the Contractor may, by giving notice to the Engineer, treat the suspension as an omission under Clause 13 [Variations and Adjustments] of the affected part of the Works.</x:v>
      </x:c>
      <x:c r="G685" s="48" t="str">
        <x:v>Obligation</x:v>
      </x:c>
      <x:c r="H685" s="48" t="str">
        <x:v>Contractor</x:v>
      </x:c>
      <x:c r="I685" s="48" t="n">
        <x:v>0.55</x:v>
      </x:c>
      <x:c r="J685" s="48" t="n">
        <x:v>0.68</x:v>
      </x:c>
      <x:c r="K685" s="48" t="str">
        <x:v>Yes</x:v>
      </x:c>
      <x:c r="L685" s="48" t="str">
        <x:v>PDF text</x:v>
      </x:c>
    </x:row>
    <x:row r="686">
      <x:c r="A686" s="48" t="str">
        <x:v>YELLOW-0685</x:v>
      </x:c>
      <x:c r="B686" s="48" t="str">
        <x:v>YELLOW</x:v>
      </x:c>
      <x:c r="C686" s="48" t="str">
        <x:v>English</x:v>
      </x:c>
      <x:c r="D686" s="48" t="n">
        <x:v>46</x:v>
      </x:c>
      <x:c r="E686" s="48" t="str"/>
      <x:c r="F686" s="48" t="str">
        <x:v>If the suspension affects the whole of the Works, the Contractor may give notice of termination under Sub-Clause 16.2 [Termination by Contractor].</x:v>
      </x:c>
      <x:c r="G686" s="48" t="str">
        <x:v>Right</x:v>
      </x:c>
      <x:c r="H686" s="48" t="str">
        <x:v>Contractor</x:v>
      </x:c>
      <x:c r="I686" s="48" t="n">
        <x:v>0.78</x:v>
      </x:c>
      <x:c r="J686" s="48" t="n">
        <x:v>0.92</x:v>
      </x:c>
      <x:c r="K686" s="48" t="str">
        <x:v>No</x:v>
      </x:c>
      <x:c r="L686" s="48" t="str">
        <x:v>PDF text</x:v>
      </x:c>
    </x:row>
    <x:row r="687">
      <x:c r="A687" s="48" t="str">
        <x:v>YELLOW-0686</x:v>
      </x:c>
      <x:c r="B687" s="48" t="str">
        <x:v>YELLOW</x:v>
      </x:c>
      <x:c r="C687" s="48" t="str">
        <x:v>English</x:v>
      </x:c>
      <x:c r="D687" s="48" t="n">
        <x:v>46</x:v>
      </x:c>
      <x:c r="E687" s="48" t="str"/>
      <x:c r="F687" s="48" t="str">
        <x:v>Suspension of Work</x:v>
      </x:c>
      <x:c r="G687" s="48" t="str">
        <x:v>Obligation</x:v>
      </x:c>
      <x:c r="H687" s="48" t="str">
        <x:v>Shared</x:v>
      </x:c>
      <x:c r="I687" s="48" t="n">
        <x:v>0.45</x:v>
      </x:c>
      <x:c r="J687" s="48" t="n">
        <x:v>0.4</x:v>
      </x:c>
      <x:c r="K687" s="48" t="str">
        <x:v>Yes</x:v>
      </x:c>
      <x:c r="L687" s="48" t="str">
        <x:v>PDF text</x:v>
      </x:c>
    </x:row>
    <x:row r="688">
      <x:c r="A688" s="48" t="str">
        <x:v>YELLOW-0687</x:v>
      </x:c>
      <x:c r="B688" s="48" t="str">
        <x:v>YELLOW</x:v>
      </x:c>
      <x:c r="C688" s="48" t="str">
        <x:v>English</x:v>
      </x:c>
      <x:c r="D688" s="48" t="n">
        <x:v>46</x:v>
      </x:c>
      <x:c r="E688" s="48" t="str"/>
      <x:c r="F688" s="48" t="str">
        <x:v>Consequences of</x:v>
      </x:c>
      <x:c r="G688" s="48" t="str">
        <x:v>Obligation</x:v>
      </x:c>
      <x:c r="H688" s="48" t="str">
        <x:v>Shared</x:v>
      </x:c>
      <x:c r="I688" s="48" t="n">
        <x:v>0.45</x:v>
      </x:c>
      <x:c r="J688" s="48" t="n">
        <x:v>0.4</x:v>
      </x:c>
      <x:c r="K688" s="48" t="str">
        <x:v>Yes</x:v>
      </x:c>
      <x:c r="L688" s="48" t="str">
        <x:v>PDF text</x:v>
      </x:c>
    </x:row>
    <x:row r="689">
      <x:c r="A689" s="48" t="str">
        <x:v>YELLOW-0688</x:v>
      </x:c>
      <x:c r="B689" s="48" t="str">
        <x:v>YELLOW</x:v>
      </x:c>
      <x:c r="C689" s="48" t="str">
        <x:v>English</x:v>
      </x:c>
      <x:c r="D689" s="48" t="n">
        <x:v>46</x:v>
      </x:c>
      <x:c r="E689" s="48" t="str"/>
      <x:c r="F689" s="48" t="str">
        <x:v>Suspension</x:v>
      </x:c>
      <x:c r="G689" s="48" t="str">
        <x:v>Obligation</x:v>
      </x:c>
      <x:c r="H689" s="48" t="str">
        <x:v>Shared</x:v>
      </x:c>
      <x:c r="I689" s="48" t="n">
        <x:v>0.45</x:v>
      </x:c>
      <x:c r="J689" s="48" t="n">
        <x:v>0.4</x:v>
      </x:c>
      <x:c r="K689" s="48" t="str">
        <x:v>Yes</x:v>
      </x:c>
      <x:c r="L689" s="48" t="str">
        <x:v>PDF text</x:v>
      </x:c>
    </x:row>
    <x:row r="690">
      <x:c r="A690" s="48" t="str">
        <x:v>YELLOW-0689</x:v>
      </x:c>
      <x:c r="B690" s="48" t="str">
        <x:v>YELLOW</x:v>
      </x:c>
      <x:c r="C690" s="48" t="str">
        <x:v>English</x:v>
      </x:c>
      <x:c r="D690" s="48" t="n">
        <x:v>46</x:v>
      </x:c>
      <x:c r="E690" s="48" t="str"/>
      <x:c r="F690" s="48" t="str">
        <x:v>Payment for Plant and</x:v>
      </x:c>
      <x:c r="G690" s="48" t="str">
        <x:v>Obligation</x:v>
      </x:c>
      <x:c r="H690" s="48" t="str">
        <x:v>Shared</x:v>
      </x:c>
      <x:c r="I690" s="48" t="n">
        <x:v>0.55</x:v>
      </x:c>
      <x:c r="J690" s="48" t="n">
        <x:v>0.4</x:v>
      </x:c>
      <x:c r="K690" s="48" t="str">
        <x:v>Yes</x:v>
      </x:c>
      <x:c r="L690" s="48" t="str">
        <x:v>PDF text</x:v>
      </x:c>
    </x:row>
    <x:row r="691">
      <x:c r="A691" s="48" t="str">
        <x:v>YELLOW-0690</x:v>
      </x:c>
      <x:c r="B691" s="48" t="str">
        <x:v>YELLOW</x:v>
      </x:c>
      <x:c r="C691" s="48" t="str">
        <x:v>English</x:v>
      </x:c>
      <x:c r="D691" s="48" t="n">
        <x:v>46</x:v>
      </x:c>
      <x:c r="E691" s="48" t="str"/>
      <x:c r="F691" s="48" t="str">
        <x:v>Materials in Event of</x:v>
      </x:c>
      <x:c r="G691" s="48" t="str">
        <x:v>Obligation</x:v>
      </x:c>
      <x:c r="H691" s="48" t="str">
        <x:v>Shared</x:v>
      </x:c>
      <x:c r="I691" s="48" t="n">
        <x:v>0.45</x:v>
      </x:c>
      <x:c r="J691" s="48" t="n">
        <x:v>0.4</x:v>
      </x:c>
      <x:c r="K691" s="48" t="str">
        <x:v>Yes</x:v>
      </x:c>
      <x:c r="L691" s="48" t="str">
        <x:v>PDF text</x:v>
      </x:c>
    </x:row>
    <x:row r="692">
      <x:c r="A692" s="48" t="str">
        <x:v>YELLOW-0691</x:v>
      </x:c>
      <x:c r="B692" s="48" t="str">
        <x:v>YELLOW</x:v>
      </x:c>
      <x:c r="C692" s="48" t="str">
        <x:v>English</x:v>
      </x:c>
      <x:c r="D692" s="48" t="n">
        <x:v>46</x:v>
      </x:c>
      <x:c r="E692" s="48" t="str"/>
      <x:c r="F692" s="48" t="str">
        <x:v>Prolonged Suspension</x:v>
      </x:c>
      <x:c r="G692" s="48" t="str">
        <x:v>Obligation</x:v>
      </x:c>
      <x:c r="H692" s="48" t="str">
        <x:v>Shared</x:v>
      </x:c>
      <x:c r="I692" s="48" t="n">
        <x:v>0.45</x:v>
      </x:c>
      <x:c r="J692" s="48" t="n">
        <x:v>0.4</x:v>
      </x:c>
      <x:c r="K692" s="48" t="str">
        <x:v>Yes</x:v>
      </x:c>
      <x:c r="L692" s="48" t="str">
        <x:v>PDF text</x:v>
      </x:c>
    </x:row>
    <x:row r="693">
      <x:c r="A693" s="48" t="str">
        <x:v>YELLOW-0692</x:v>
      </x:c>
      <x:c r="B693" s="48" t="str">
        <x:v>YELLOW</x:v>
      </x:c>
      <x:c r="C693" s="48" t="str">
        <x:v>English</x:v>
      </x:c>
      <x:c r="D693" s="48" t="n">
        <x:v>47</x:v>
      </x:c>
      <x:c r="E693" s="48" t="str"/>
      <x:c r="F693" s="48" t="str">
        <x:v>After the permission or instruction to proceed is given, the Contractor and the</x:v>
      </x:c>
      <x:c r="G693" s="48" t="str">
        <x:v>Obligation</x:v>
      </x:c>
      <x:c r="H693" s="48" t="str">
        <x:v>Contractor</x:v>
      </x:c>
      <x:c r="I693" s="48" t="n">
        <x:v>0.45</x:v>
      </x:c>
      <x:c r="J693" s="48" t="n">
        <x:v>0.68</x:v>
      </x:c>
      <x:c r="K693" s="48" t="str">
        <x:v>Yes</x:v>
      </x:c>
      <x:c r="L693" s="48" t="str">
        <x:v>PDF text</x:v>
      </x:c>
    </x:row>
    <x:row r="694">
      <x:c r="A694" s="48" t="str">
        <x:v>YELLOW-0693</x:v>
      </x:c>
      <x:c r="B694" s="48" t="str">
        <x:v>YELLOW</x:v>
      </x:c>
      <x:c r="C694" s="48" t="str">
        <x:v>English</x:v>
      </x:c>
      <x:c r="D694" s="48" t="n">
        <x:v>47</x:v>
      </x:c>
      <x:c r="E694" s="48" t="str"/>
      <x:c r="F694" s="48" t="str">
        <x:v>Engineer shall jointly examine the Works and the Plant and Materials affected by the suspension.</x:v>
      </x:c>
      <x:c r="G694" s="48" t="str">
        <x:v>Obligation</x:v>
      </x:c>
      <x:c r="H694" s="48" t="str">
        <x:v>Shared</x:v>
      </x:c>
      <x:c r="I694" s="48" t="n">
        <x:v>0.88</x:v>
      </x:c>
      <x:c r="J694" s="48" t="n">
        <x:v>0.4</x:v>
      </x:c>
      <x:c r="K694" s="48" t="str">
        <x:v>Yes</x:v>
      </x:c>
      <x:c r="L694" s="48" t="str">
        <x:v>PDF text</x:v>
      </x:c>
    </x:row>
    <x:row r="695">
      <x:c r="A695" s="48" t="str">
        <x:v>YELLOW-0694</x:v>
      </x:c>
      <x:c r="B695" s="48" t="str">
        <x:v>YELLOW</x:v>
      </x:c>
      <x:c r="C695" s="48" t="str">
        <x:v>English</x:v>
      </x:c>
      <x:c r="D695" s="48" t="n">
        <x:v>47</x:v>
      </x:c>
      <x:c r="E695" s="48" t="str"/>
      <x:c r="F695" s="48" t="str">
        <x:v>The Contractor shall make good any deterioration or defect in or loss of the Works or Plant or Materials, which has occurred during the suspension.</x:v>
      </x:c>
      <x:c r="G695" s="48" t="str">
        <x:v>Obligation</x:v>
      </x:c>
      <x:c r="H695" s="48" t="str">
        <x:v>Contractor</x:v>
      </x:c>
      <x:c r="I695" s="48" t="n">
        <x:v>0.88</x:v>
      </x:c>
      <x:c r="J695" s="48" t="n">
        <x:v>0.92</x:v>
      </x:c>
      <x:c r="K695" s="48" t="str">
        <x:v>No</x:v>
      </x:c>
      <x:c r="L695" s="48" t="str">
        <x:v>PDF text</x:v>
      </x:c>
    </x:row>
    <x:row r="696">
      <x:c r="A696" s="48" t="str">
        <x:v>YELLOW-0695</x:v>
      </x:c>
      <x:c r="B696" s="48" t="str">
        <x:v>YELLOW</x:v>
      </x:c>
      <x:c r="C696" s="48" t="str">
        <x:v>English</x:v>
      </x:c>
      <x:c r="D696" s="48" t="n">
        <x:v>47</x:v>
      </x:c>
      <x:c r="E696" s="48" t="str"/>
      <x:c r="F696" s="48" t="str">
        <x:v>The Contractor shall carry out the Tests on Completion in accordance with this Clause and Sub-Clause 7.4 [Testing], after providing the documents in accordance with SubClause 5.6 [As-Built Documents] and Sub-Clause 5.7 [Operation and Maintenance Manuals].</x:v>
      </x:c>
      <x:c r="G696" s="48" t="str">
        <x:v>Obligation</x:v>
      </x:c>
      <x:c r="H696" s="48" t="str">
        <x:v>Contractor</x:v>
      </x:c>
      <x:c r="I696" s="48" t="n">
        <x:v>0.88</x:v>
      </x:c>
      <x:c r="J696" s="48" t="n">
        <x:v>0.92</x:v>
      </x:c>
      <x:c r="K696" s="48" t="str">
        <x:v>No</x:v>
      </x:c>
      <x:c r="L696" s="48" t="str">
        <x:v>PDF text</x:v>
      </x:c>
    </x:row>
    <x:row r="697">
      <x:c r="A697" s="48" t="str">
        <x:v>YELLOW-0696</x:v>
      </x:c>
      <x:c r="B697" s="48" t="str">
        <x:v>YELLOW</x:v>
      </x:c>
      <x:c r="C697" s="48" t="str">
        <x:v>English</x:v>
      </x:c>
      <x:c r="D697" s="48" t="n">
        <x:v>47</x:v>
      </x:c>
      <x:c r="E697" s="48" t="str"/>
      <x:c r="F697" s="48" t="str">
        <x:v>The Contractor shall give to the Engineer not less than 21 days' notice of the date after which the Contractor will be ready to carry out each of the Tests on Completion.</x:v>
      </x:c>
      <x:c r="G697" s="48" t="str">
        <x:v>Obligation</x:v>
      </x:c>
      <x:c r="H697" s="48" t="str">
        <x:v>Contractor</x:v>
      </x:c>
      <x:c r="I697" s="48" t="n">
        <x:v>0.88</x:v>
      </x:c>
      <x:c r="J697" s="48" t="n">
        <x:v>0.92</x:v>
      </x:c>
      <x:c r="K697" s="48" t="str">
        <x:v>No</x:v>
      </x:c>
      <x:c r="L697" s="48" t="str">
        <x:v>PDF text</x:v>
      </x:c>
    </x:row>
    <x:row r="698">
      <x:c r="A698" s="48" t="str">
        <x:v>YELLOW-0697</x:v>
      </x:c>
      <x:c r="B698" s="48" t="str">
        <x:v>YELLOW</x:v>
      </x:c>
      <x:c r="C698" s="48" t="str">
        <x:v>English</x:v>
      </x:c>
      <x:c r="D698" s="48" t="n">
        <x:v>47</x:v>
      </x:c>
      <x:c r="E698" s="48" t="str"/>
      <x:c r="F698" s="48" t="str">
        <x:v>Unless otherwise agreed, Tests on Completion shall be carried out within 14 days after this date, on such day or days as the Engineer shall instruct.</x:v>
      </x:c>
      <x:c r="G698" s="48" t="str">
        <x:v>Obligation</x:v>
      </x:c>
      <x:c r="H698" s="48" t="str">
        <x:v>Shared</x:v>
      </x:c>
      <x:c r="I698" s="48" t="n">
        <x:v>0.88</x:v>
      </x:c>
      <x:c r="J698" s="48" t="n">
        <x:v>0.4</x:v>
      </x:c>
      <x:c r="K698" s="48" t="str">
        <x:v>Yes</x:v>
      </x:c>
      <x:c r="L698" s="48" t="str">
        <x:v>PDF text</x:v>
      </x:c>
    </x:row>
    <x:row r="699">
      <x:c r="A699" s="48" t="str">
        <x:v>YELLOW-0698</x:v>
      </x:c>
      <x:c r="B699" s="48" t="str">
        <x:v>YELLOW</x:v>
      </x:c>
      <x:c r="C699" s="48" t="str">
        <x:v>English</x:v>
      </x:c>
      <x:c r="D699" s="48" t="n">
        <x:v>47</x:v>
      </x:c>
      <x:c r="E699" s="48" t="str"/>
      <x:c r="F699" s="48" t="str">
        <x:v>Unless otherwise stated in the Particular Conditions, the Tests on Completion shall be carried out in the following sequence: (a) pre-commissioning tests, which shall include the appropriate inspections and ("dry" or "cold") functional tests to demonstrate that each item of Plant can safely undertake the next stage, (b); (b) commissioning tests, which shall include the specified operational tests to demonstrate that the Works or Section can be operated safely and as specified, under all available operating conditions; and (c) trial operation, which shall demonstrate that the Works or Section perform reliably and in accordance with the Contract.</x:v>
      </x:c>
      <x:c r="G699" s="48" t="str">
        <x:v>Obligation</x:v>
      </x:c>
      <x:c r="H699" s="48" t="str">
        <x:v>Shared</x:v>
      </x:c>
      <x:c r="I699" s="48" t="n">
        <x:v>0.88</x:v>
      </x:c>
      <x:c r="J699" s="48" t="n">
        <x:v>0.4</x:v>
      </x:c>
      <x:c r="K699" s="48" t="str">
        <x:v>Yes</x:v>
      </x:c>
      <x:c r="L699" s="48" t="str">
        <x:v>PDF text</x:v>
      </x:c>
    </x:row>
    <x:row r="700">
      <x:c r="A700" s="48" t="str">
        <x:v>YELLOW-0699</x:v>
      </x:c>
      <x:c r="B700" s="48" t="str">
        <x:v>YELLOW</x:v>
      </x:c>
      <x:c r="C700" s="48" t="str">
        <x:v>English</x:v>
      </x:c>
      <x:c r="D700" s="48" t="n">
        <x:v>47</x:v>
      </x:c>
      <x:c r="E700" s="48" t="str"/>
      <x:c r="F700" s="48" t="str">
        <x:v>During trial operation, when the Works are operating under stable conditions, the</x:v>
      </x:c>
      <x:c r="G700" s="48" t="str">
        <x:v>Obligation</x:v>
      </x:c>
      <x:c r="H700" s="48" t="str">
        <x:v>Shared</x:v>
      </x:c>
      <x:c r="I700" s="48" t="n">
        <x:v>0.45</x:v>
      </x:c>
      <x:c r="J700" s="48" t="n">
        <x:v>0.4</x:v>
      </x:c>
      <x:c r="K700" s="48" t="str">
        <x:v>Yes</x:v>
      </x:c>
      <x:c r="L700" s="48" t="str">
        <x:v>PDF text</x:v>
      </x:c>
    </x:row>
    <x:row r="701">
      <x:c r="A701" s="48" t="str">
        <x:v>YELLOW-0700</x:v>
      </x:c>
      <x:c r="B701" s="48" t="str">
        <x:v>YELLOW</x:v>
      </x:c>
      <x:c r="C701" s="48" t="str">
        <x:v>English</x:v>
      </x:c>
      <x:c r="D701" s="48" t="n">
        <x:v>47</x:v>
      </x:c>
      <x:c r="E701" s="48" t="str"/>
      <x:c r="F701" s="48" t="str">
        <x:v>Contractor shall give notice to the Engineer that the Works are ready for any other</x:v>
      </x:c>
      <x:c r="G701" s="48" t="str">
        <x:v>Obligation</x:v>
      </x:c>
      <x:c r="H701" s="48" t="str">
        <x:v>Contractor</x:v>
      </x:c>
      <x:c r="I701" s="48" t="n">
        <x:v>0.88</x:v>
      </x:c>
      <x:c r="J701" s="48" t="n">
        <x:v>0.68</x:v>
      </x:c>
      <x:c r="K701" s="48" t="str">
        <x:v>Yes</x:v>
      </x:c>
      <x:c r="L701" s="48" t="str">
        <x:v>PDF text</x:v>
      </x:c>
    </x:row>
    <x:row r="702">
      <x:c r="A702" s="48" t="str">
        <x:v>YELLOW-0701</x:v>
      </x:c>
      <x:c r="B702" s="48" t="str">
        <x:v>YELLOW</x:v>
      </x:c>
      <x:c r="C702" s="48" t="str">
        <x:v>English</x:v>
      </x:c>
      <x:c r="D702" s="48" t="n">
        <x:v>47</x:v>
      </x:c>
      <x:c r="E702" s="48" t="str"/>
      <x:c r="F702" s="48" t="str">
        <x:v>Tests on Completion, including performance tests to demonstrate whether the Works</x:v>
      </x:c>
      <x:c r="G702" s="48" t="str">
        <x:v>Obligation</x:v>
      </x:c>
      <x:c r="H702" s="48" t="str">
        <x:v>Shared</x:v>
      </x:c>
      <x:c r="I702" s="48" t="n">
        <x:v>0.45</x:v>
      </x:c>
      <x:c r="J702" s="48" t="n">
        <x:v>0.4</x:v>
      </x:c>
      <x:c r="K702" s="48" t="str">
        <x:v>Yes</x:v>
      </x:c>
      <x:c r="L702" s="48" t="str">
        <x:v>PDF text</x:v>
      </x:c>
    </x:row>
    <x:row r="703">
      <x:c r="A703" s="48" t="str">
        <x:v>YELLOW-0702</x:v>
      </x:c>
      <x:c r="B703" s="48" t="str">
        <x:v>YELLOW</x:v>
      </x:c>
      <x:c r="C703" s="48" t="str">
        <x:v>English</x:v>
      </x:c>
      <x:c r="D703" s="48" t="n">
        <x:v>47</x:v>
      </x:c>
      <x:c r="E703" s="48" t="str"/>
      <x:c r="F703" s="48" t="str">
        <x:v>conform with criteria specified in the Employer's Requirements and with the Schedule of Guarantees.</x:v>
      </x:c>
      <x:c r="G703" s="48" t="str">
        <x:v>Obligation</x:v>
      </x:c>
      <x:c r="H703" s="48" t="str">
        <x:v>Employer</x:v>
      </x:c>
      <x:c r="I703" s="48" t="n">
        <x:v>0.45</x:v>
      </x:c>
      <x:c r="J703" s="48" t="n">
        <x:v>0.68</x:v>
      </x:c>
      <x:c r="K703" s="48" t="str">
        <x:v>Yes</x:v>
      </x:c>
      <x:c r="L703" s="48" t="str">
        <x:v>PDF text</x:v>
      </x:c>
    </x:row>
    <x:row r="704">
      <x:c r="A704" s="48" t="str">
        <x:v>YELLOW-0703</x:v>
      </x:c>
      <x:c r="B704" s="48" t="str">
        <x:v>YELLOW</x:v>
      </x:c>
      <x:c r="C704" s="48" t="str">
        <x:v>English</x:v>
      </x:c>
      <x:c r="D704" s="48" t="n">
        <x:v>47</x:v>
      </x:c>
      <x:c r="E704" s="48" t="str"/>
      <x:c r="F704" s="48" t="str">
        <x:v>Trial operation shall not constitute a taking-over under Clause 10 [Employer's Taking Over].</x:v>
      </x:c>
      <x:c r="G704" s="48" t="str">
        <x:v>Obligation</x:v>
      </x:c>
      <x:c r="H704" s="48" t="str">
        <x:v>Employer</x:v>
      </x:c>
      <x:c r="I704" s="48" t="n">
        <x:v>0.88</x:v>
      </x:c>
      <x:c r="J704" s="48" t="n">
        <x:v>0.68</x:v>
      </x:c>
      <x:c r="K704" s="48" t="str">
        <x:v>Yes</x:v>
      </x:c>
      <x:c r="L704" s="48" t="str">
        <x:v>PDF text</x:v>
      </x:c>
    </x:row>
    <x:row r="705">
      <x:c r="A705" s="48" t="str">
        <x:v>YELLOW-0704</x:v>
      </x:c>
      <x:c r="B705" s="48" t="str">
        <x:v>YELLOW</x:v>
      </x:c>
      <x:c r="C705" s="48" t="str">
        <x:v>English</x:v>
      </x:c>
      <x:c r="D705" s="48" t="n">
        <x:v>47</x:v>
      </x:c>
      <x:c r="E705" s="48" t="str"/>
      <x:c r="F705" s="48" t="str">
        <x:v>Unless otherwise stated in the Particular Conditions, any product produced by the Works during trial operation shall be the property of the Employer.</x:v>
      </x:c>
      <x:c r="G705" s="48" t="str">
        <x:v>Obligation</x:v>
      </x:c>
      <x:c r="H705" s="48" t="str">
        <x:v>Employer</x:v>
      </x:c>
      <x:c r="I705" s="48" t="n">
        <x:v>0.88</x:v>
      </x:c>
      <x:c r="J705" s="48" t="n">
        <x:v>0.68</x:v>
      </x:c>
      <x:c r="K705" s="48" t="str">
        <x:v>Yes</x:v>
      </x:c>
      <x:c r="L705" s="48" t="str">
        <x:v>PDF text</x:v>
      </x:c>
    </x:row>
    <x:row r="706">
      <x:c r="A706" s="48" t="str">
        <x:v>YELLOW-0705</x:v>
      </x:c>
      <x:c r="B706" s="48" t="str">
        <x:v>YELLOW</x:v>
      </x:c>
      <x:c r="C706" s="48" t="str">
        <x:v>English</x:v>
      </x:c>
      <x:c r="D706" s="48" t="n">
        <x:v>47</x:v>
      </x:c>
      <x:c r="E706" s="48" t="str"/>
      <x:c r="F706" s="48" t="str">
        <x:v>In considering the results of the Tests on Completion, the Engineer shall make</x:v>
      </x:c>
      <x:c r="G706" s="48" t="str">
        <x:v>Obligation</x:v>
      </x:c>
      <x:c r="H706" s="48" t="str">
        <x:v>Shared</x:v>
      </x:c>
      <x:c r="I706" s="48" t="n">
        <x:v>0.88</x:v>
      </x:c>
      <x:c r="J706" s="48" t="n">
        <x:v>0.4</x:v>
      </x:c>
      <x:c r="K706" s="48" t="str">
        <x:v>Yes</x:v>
      </x:c>
      <x:c r="L706" s="48" t="str">
        <x:v>PDF text</x:v>
      </x:c>
    </x:row>
    <x:row r="707">
      <x:c r="A707" s="48" t="str">
        <x:v>YELLOW-0706</x:v>
      </x:c>
      <x:c r="B707" s="48" t="str">
        <x:v>YELLOW</x:v>
      </x:c>
      <x:c r="C707" s="48" t="str">
        <x:v>English</x:v>
      </x:c>
      <x:c r="D707" s="48" t="n">
        <x:v>47</x:v>
      </x:c>
      <x:c r="E707" s="48" t="str"/>
      <x:c r="F707" s="48" t="str">
        <x:v>allowances for the effect of any use of the Works by the Employer on the performance or other characteristics of the Works.</x:v>
      </x:c>
      <x:c r="G707" s="48" t="str">
        <x:v>Obligation</x:v>
      </x:c>
      <x:c r="H707" s="48" t="str">
        <x:v>Employer</x:v>
      </x:c>
      <x:c r="I707" s="48" t="n">
        <x:v>0.45</x:v>
      </x:c>
      <x:c r="J707" s="48" t="n">
        <x:v>0.68</x:v>
      </x:c>
      <x:c r="K707" s="48" t="str">
        <x:v>Yes</x:v>
      </x:c>
      <x:c r="L707" s="48" t="str">
        <x:v>PDF text</x:v>
      </x:c>
    </x:row>
    <x:row r="708">
      <x:c r="A708" s="48" t="str">
        <x:v>YELLOW-0707</x:v>
      </x:c>
      <x:c r="B708" s="48" t="str">
        <x:v>YELLOW</x:v>
      </x:c>
      <x:c r="C708" s="48" t="str">
        <x:v>English</x:v>
      </x:c>
      <x:c r="D708" s="48" t="n">
        <x:v>47</x:v>
      </x:c>
      <x:c r="E708" s="48" t="str"/>
      <x:c r="F708" s="48" t="str">
        <x:v>As soon as the Works, or a Section, have passed each of the Tests on Completion described in sub-paragraph (a), (b) or (c), the Contractor shall submit a certified report of the results of these Tests to the Engineer.</x:v>
      </x:c>
      <x:c r="G708" s="48" t="str">
        <x:v>Obligation</x:v>
      </x:c>
      <x:c r="H708" s="48" t="str">
        <x:v>Contractor</x:v>
      </x:c>
      <x:c r="I708" s="48" t="n">
        <x:v>0.88</x:v>
      </x:c>
      <x:c r="J708" s="48" t="n">
        <x:v>0.92</x:v>
      </x:c>
      <x:c r="K708" s="48" t="str">
        <x:v>No</x:v>
      </x:c>
      <x:c r="L708" s="48" t="str">
        <x:v>PDF text</x:v>
      </x:c>
    </x:row>
    <x:row r="709">
      <x:c r="A709" s="48" t="str">
        <x:v>YELLOW-0708</x:v>
      </x:c>
      <x:c r="B709" s="48" t="str">
        <x:v>YELLOW</x:v>
      </x:c>
      <x:c r="C709" s="48" t="str">
        <x:v>English</x:v>
      </x:c>
      <x:c r="D709" s="48" t="n">
        <x:v>47</x:v>
      </x:c>
      <x:c r="E709" s="48" t="str"/>
      <x:c r="F709" s="48" t="str">
        <x:v>If the Tests on Completion are being unduly delayed by the Employer, Sub-Clause 7.4 [Testing] (fifth paragraph) and/or Sub-Clause 10.3 [Interference with Tests on Completion] shall be applicable.</x:v>
      </x:c>
      <x:c r="G709" s="48" t="str">
        <x:v>Obligation</x:v>
      </x:c>
      <x:c r="H709" s="48" t="str">
        <x:v>Employer</x:v>
      </x:c>
      <x:c r="I709" s="48" t="n">
        <x:v>0.88</x:v>
      </x:c>
      <x:c r="J709" s="48" t="n">
        <x:v>0.68</x:v>
      </x:c>
      <x:c r="K709" s="48" t="str">
        <x:v>Yes</x:v>
      </x:c>
      <x:c r="L709" s="48" t="str">
        <x:v>PDF text</x:v>
      </x:c>
    </x:row>
    <x:row r="710">
      <x:c r="A710" s="48" t="str">
        <x:v>YELLOW-0709</x:v>
      </x:c>
      <x:c r="B710" s="48" t="str">
        <x:v>YELLOW</x:v>
      </x:c>
      <x:c r="C710" s="48" t="str">
        <x:v>English</x:v>
      </x:c>
      <x:c r="D710" s="48" t="n">
        <x:v>47</x:v>
      </x:c>
      <x:c r="E710" s="48" t="str"/>
      <x:c r="F710" s="48" t="str">
        <x:v>If the Tests on Completion are being unduly delayed by the Contractor, the Engineer may by notice require the Contractor to carry out the Tests within 21 days after receiving the notice.</x:v>
      </x:c>
      <x:c r="G710" s="48" t="str">
        <x:v>Right</x:v>
      </x:c>
      <x:c r="H710" s="48" t="str">
        <x:v>Contractor</x:v>
      </x:c>
      <x:c r="I710" s="48" t="n">
        <x:v>0.78</x:v>
      </x:c>
      <x:c r="J710" s="48" t="n">
        <x:v>0.68</x:v>
      </x:c>
      <x:c r="K710" s="48" t="str">
        <x:v>Yes</x:v>
      </x:c>
      <x:c r="L710" s="48" t="str">
        <x:v>PDF text</x:v>
      </x:c>
    </x:row>
    <x:row r="711">
      <x:c r="A711" s="48" t="str">
        <x:v>YELLOW-0710</x:v>
      </x:c>
      <x:c r="B711" s="48" t="str">
        <x:v>YELLOW</x:v>
      </x:c>
      <x:c r="C711" s="48" t="str">
        <x:v>English</x:v>
      </x:c>
      <x:c r="D711" s="48" t="n">
        <x:v>47</x:v>
      </x:c>
      <x:c r="E711" s="48" t="str"/>
      <x:c r="F711" s="48" t="str">
        <x:v>The Contractor shall carry out the Tests on such day or days 8.12</x:v>
      </x:c>
      <x:c r="G711" s="48" t="str">
        <x:v>Obligation</x:v>
      </x:c>
      <x:c r="H711" s="48" t="str">
        <x:v>Contractor</x:v>
      </x:c>
      <x:c r="I711" s="48" t="n">
        <x:v>0.88</x:v>
      </x:c>
      <x:c r="J711" s="48" t="n">
        <x:v>0.92</x:v>
      </x:c>
      <x:c r="K711" s="48" t="str">
        <x:v>No</x:v>
      </x:c>
      <x:c r="L711" s="48" t="str">
        <x:v>PDF text</x:v>
      </x:c>
    </x:row>
    <x:row r="712">
      <x:c r="A712" s="48" t="str">
        <x:v>YELLOW-0711</x:v>
      </x:c>
      <x:c r="B712" s="48" t="str">
        <x:v>YELLOW</x:v>
      </x:c>
      <x:c r="C712" s="48" t="str">
        <x:v>English</x:v>
      </x:c>
      <x:c r="D712" s="48" t="n">
        <x:v>47</x:v>
      </x:c>
      <x:c r="E712" s="48" t="str"/>
      <x:c r="F712" s="48" t="str">
        <x:v>Resumption of Work</x:v>
      </x:c>
      <x:c r="G712" s="48" t="str">
        <x:v>Obligation</x:v>
      </x:c>
      <x:c r="H712" s="48" t="str">
        <x:v>Shared</x:v>
      </x:c>
      <x:c r="I712" s="48" t="n">
        <x:v>0.45</x:v>
      </x:c>
      <x:c r="J712" s="48" t="n">
        <x:v>0.4</x:v>
      </x:c>
      <x:c r="K712" s="48" t="str">
        <x:v>Yes</x:v>
      </x:c>
      <x:c r="L712" s="48" t="str">
        <x:v>PDF text</x:v>
      </x:c>
    </x:row>
    <x:row r="713">
      <x:c r="A713" s="48" t="str">
        <x:v>YELLOW-0712</x:v>
      </x:c>
      <x:c r="B713" s="48" t="str">
        <x:v>YELLOW</x:v>
      </x:c>
      <x:c r="C713" s="48" t="str">
        <x:v>English</x:v>
      </x:c>
      <x:c r="D713" s="48" t="n">
        <x:v>47</x:v>
      </x:c>
      <x:c r="E713" s="48" t="str"/>
      <x:c r="F713" s="48" t="str">
        <x:v>Contractor's Obligations</x:v>
      </x:c>
      <x:c r="G713" s="48" t="str">
        <x:v>Obligation</x:v>
      </x:c>
      <x:c r="H713" s="48" t="str">
        <x:v>Contractor</x:v>
      </x:c>
      <x:c r="I713" s="48" t="n">
        <x:v>0.45</x:v>
      </x:c>
      <x:c r="J713" s="48" t="n">
        <x:v>0.68</x:v>
      </x:c>
      <x:c r="K713" s="48" t="str">
        <x:v>Yes</x:v>
      </x:c>
      <x:c r="L713" s="48" t="str">
        <x:v>PDF text</x:v>
      </x:c>
    </x:row>
    <x:row r="714">
      <x:c r="A714" s="48" t="str">
        <x:v>YELLOW-0713</x:v>
      </x:c>
      <x:c r="B714" s="48" t="str">
        <x:v>YELLOW</x:v>
      </x:c>
      <x:c r="C714" s="48" t="str">
        <x:v>English</x:v>
      </x:c>
      <x:c r="D714" s="48" t="n">
        <x:v>47</x:v>
      </x:c>
      <x:c r="E714" s="48" t="str"/>
      <x:c r="F714" s="48" t="str">
        <x:v>Delayed Tests</x:v>
      </x:c>
      <x:c r="G714" s="48" t="str">
        <x:v>Obligation</x:v>
      </x:c>
      <x:c r="H714" s="48" t="str">
        <x:v>Shared</x:v>
      </x:c>
      <x:c r="I714" s="48" t="n">
        <x:v>0.45</x:v>
      </x:c>
      <x:c r="J714" s="48" t="n">
        <x:v>0.4</x:v>
      </x:c>
      <x:c r="K714" s="48" t="str">
        <x:v>Yes</x:v>
      </x:c>
      <x:c r="L714" s="48" t="str">
        <x:v>PDF text</x:v>
      </x:c>
    </x:row>
    <x:row r="715">
      <x:c r="A715" s="48" t="str">
        <x:v>YELLOW-0714</x:v>
      </x:c>
      <x:c r="B715" s="48" t="str">
        <x:v>YELLOW</x:v>
      </x:c>
      <x:c r="C715" s="48" t="str">
        <x:v>English</x:v>
      </x:c>
      <x:c r="D715" s="48" t="n">
        <x:v>47</x:v>
      </x:c>
      <x:c r="E715" s="48" t="str"/>
      <x:c r="F715" s="48" t="str">
        <x:v>Tests on Completion</x:v>
      </x:c>
      <x:c r="G715" s="48" t="str">
        <x:v>Obligation</x:v>
      </x:c>
      <x:c r="H715" s="48" t="str">
        <x:v>Shared</x:v>
      </x:c>
      <x:c r="I715" s="48" t="n">
        <x:v>0.45</x:v>
      </x:c>
      <x:c r="J715" s="48" t="n">
        <x:v>0.4</x:v>
      </x:c>
      <x:c r="K715" s="48" t="str">
        <x:v>Yes</x:v>
      </x:c>
      <x:c r="L715" s="48" t="str">
        <x:v>PDF text</x:v>
      </x:c>
    </x:row>
    <x:row r="716">
      <x:c r="A716" s="48" t="str">
        <x:v>YELLOW-0715</x:v>
      </x:c>
      <x:c r="B716" s="48" t="str">
        <x:v>YELLOW</x:v>
      </x:c>
      <x:c r="C716" s="48" t="str">
        <x:v>English</x:v>
      </x:c>
      <x:c r="D716" s="48" t="n">
        <x:v>48</x:v>
      </x:c>
      <x:c r="E716" s="48" t="str"/>
      <x:c r="F716" s="48" t="str">
        <x:v>within that period as the Contractor may fix and of which he shall give notice to the Engineer.</x:v>
      </x:c>
      <x:c r="G716" s="48" t="str">
        <x:v>Obligation</x:v>
      </x:c>
      <x:c r="H716" s="48" t="str">
        <x:v>Contractor</x:v>
      </x:c>
      <x:c r="I716" s="48" t="n">
        <x:v>0.88</x:v>
      </x:c>
      <x:c r="J716" s="48" t="n">
        <x:v>0.68</x:v>
      </x:c>
      <x:c r="K716" s="48" t="str">
        <x:v>Yes</x:v>
      </x:c>
      <x:c r="L716" s="48" t="str">
        <x:v>PDF text</x:v>
      </x:c>
    </x:row>
    <x:row r="717">
      <x:c r="A717" s="48" t="str">
        <x:v>YELLOW-0716</x:v>
      </x:c>
      <x:c r="B717" s="48" t="str">
        <x:v>YELLOW</x:v>
      </x:c>
      <x:c r="C717" s="48" t="str">
        <x:v>English</x:v>
      </x:c>
      <x:c r="D717" s="48" t="n">
        <x:v>48</x:v>
      </x:c>
      <x:c r="E717" s="48" t="str"/>
      <x:c r="F717" s="48" t="str">
        <x:v>If the Contractor fails to carry out the Tests on Completion within the period of 21 days, the Employer's Personnel may proceed with the Tests at the risk and cost of the Contractor.</x:v>
      </x:c>
      <x:c r="G717" s="48" t="str">
        <x:v>Risk</x:v>
      </x:c>
      <x:c r="H717" s="48" t="str">
        <x:v>Shared</x:v>
      </x:c>
      <x:c r="I717" s="48" t="n">
        <x:v>0.78</x:v>
      </x:c>
      <x:c r="J717" s="48" t="n">
        <x:v>0.6</x:v>
      </x:c>
      <x:c r="K717" s="48" t="str">
        <x:v>Yes</x:v>
      </x:c>
      <x:c r="L717" s="48" t="str">
        <x:v>PDF text</x:v>
      </x:c>
    </x:row>
    <x:row r="718">
      <x:c r="A718" s="48" t="str">
        <x:v>YELLOW-0717</x:v>
      </x:c>
      <x:c r="B718" s="48" t="str">
        <x:v>YELLOW</x:v>
      </x:c>
      <x:c r="C718" s="48" t="str">
        <x:v>English</x:v>
      </x:c>
      <x:c r="D718" s="48" t="n">
        <x:v>48</x:v>
      </x:c>
      <x:c r="E718" s="48" t="str"/>
      <x:c r="F718" s="48" t="str">
        <x:v>The Tests on Completion shall then be deemed to have been carried out in the presence of the Contractor and the results of the Tests shall be accepted as accurate.</x:v>
      </x:c>
      <x:c r="G718" s="48" t="str">
        <x:v>Obligation</x:v>
      </x:c>
      <x:c r="H718" s="48" t="str">
        <x:v>Contractor</x:v>
      </x:c>
      <x:c r="I718" s="48" t="n">
        <x:v>0.88</x:v>
      </x:c>
      <x:c r="J718" s="48" t="n">
        <x:v>0.68</x:v>
      </x:c>
      <x:c r="K718" s="48" t="str">
        <x:v>Yes</x:v>
      </x:c>
      <x:c r="L718" s="48" t="str">
        <x:v>PDF text</x:v>
      </x:c>
    </x:row>
    <x:row r="719">
      <x:c r="A719" s="48" t="str">
        <x:v>YELLOW-0718</x:v>
      </x:c>
      <x:c r="B719" s="48" t="str">
        <x:v>YELLOW</x:v>
      </x:c>
      <x:c r="C719" s="48" t="str">
        <x:v>English</x:v>
      </x:c>
      <x:c r="D719" s="48" t="n">
        <x:v>48</x:v>
      </x:c>
      <x:c r="E719" s="48" t="str"/>
      <x:c r="F719" s="48" t="str">
        <x:v>If the Works, or a Section, fail to pass the Tests on Completion, Sub-Clause 7.5 [Rejection] shall apply, and the Engineer or the Contractor may require the failed Tests, and Tests on Completion on any related work, to be repeated under the same terms and conditions.</x:v>
      </x:c>
      <x:c r="G719" s="48" t="str">
        <x:v>Obligation</x:v>
      </x:c>
      <x:c r="H719" s="48" t="str">
        <x:v>Contractor</x:v>
      </x:c>
      <x:c r="I719" s="48" t="n">
        <x:v>0.88</x:v>
      </x:c>
      <x:c r="J719" s="48" t="n">
        <x:v>0.68</x:v>
      </x:c>
      <x:c r="K719" s="48" t="str">
        <x:v>Yes</x:v>
      </x:c>
      <x:c r="L719" s="48" t="str">
        <x:v>PDF text</x:v>
      </x:c>
    </x:row>
    <x:row r="720">
      <x:c r="A720" s="48" t="str">
        <x:v>YELLOW-0719</x:v>
      </x:c>
      <x:c r="B720" s="48" t="str">
        <x:v>YELLOW</x:v>
      </x:c>
      <x:c r="C720" s="48" t="str">
        <x:v>English</x:v>
      </x:c>
      <x:c r="D720" s="48" t="n">
        <x:v>48</x:v>
      </x:c>
      <x:c r="E720" s="48" t="str"/>
      <x:c r="F720" s="48" t="str">
        <x:v>If the Works, or a Section, fail to pass the Tests on Completion repeated under SubClause 9.3 [Retesting], the Engineer shall be entitled to: (a) order further repetition of Tests on Completion under Sub-Clause 9.3; (b) if the failure deprives the Employer of substantially the whole benefit of the</x:v>
      </x:c>
      <x:c r="G720" s="48" t="str">
        <x:v>Risk</x:v>
      </x:c>
      <x:c r="H720" s="48" t="str">
        <x:v>Employer</x:v>
      </x:c>
      <x:c r="I720" s="48" t="n">
        <x:v>0.78</x:v>
      </x:c>
      <x:c r="J720" s="48" t="n">
        <x:v>0.68</x:v>
      </x:c>
      <x:c r="K720" s="48" t="str">
        <x:v>Yes</x:v>
      </x:c>
      <x:c r="L720" s="48" t="str">
        <x:v>PDF text</x:v>
      </x:c>
    </x:row>
    <x:row r="721">
      <x:c r="A721" s="48" t="str">
        <x:v>YELLOW-0720</x:v>
      </x:c>
      <x:c r="B721" s="48" t="str">
        <x:v>YELLOW</x:v>
      </x:c>
      <x:c r="C721" s="48" t="str">
        <x:v>English</x:v>
      </x:c>
      <x:c r="D721" s="48" t="n">
        <x:v>48</x:v>
      </x:c>
      <x:c r="E721" s="48" t="str"/>
      <x:c r="F721" s="48" t="str">
        <x:v>Works or Section, reject the Works or Section (as the case may be), in which</x:v>
      </x:c>
      <x:c r="G721" s="48" t="str">
        <x:v>Right</x:v>
      </x:c>
      <x:c r="H721" s="48" t="str">
        <x:v>Shared</x:v>
      </x:c>
      <x:c r="I721" s="48" t="n">
        <x:v>0.78</x:v>
      </x:c>
      <x:c r="J721" s="48" t="n">
        <x:v>0.4</x:v>
      </x:c>
      <x:c r="K721" s="48" t="str">
        <x:v>Yes</x:v>
      </x:c>
      <x:c r="L721" s="48" t="str">
        <x:v>PDF text</x:v>
      </x:c>
    </x:row>
    <x:row r="722">
      <x:c r="A722" s="48" t="str">
        <x:v>YELLOW-0721</x:v>
      </x:c>
      <x:c r="B722" s="48" t="str">
        <x:v>YELLOW</x:v>
      </x:c>
      <x:c r="C722" s="48" t="str">
        <x:v>English</x:v>
      </x:c>
      <x:c r="D722" s="48" t="n">
        <x:v>48</x:v>
      </x:c>
      <x:c r="E722" s="48" t="str"/>
      <x:c r="F722" s="48" t="str">
        <x:v>event the Employer shall have the same remedies as are provided in subparagraph (c) of Sub-Clause 11.4 [Failure to Remedy Defects]; or (c) issue a Taking-Over Certificate, if the Employer so requests.</x:v>
      </x:c>
      <x:c r="G722" s="48" t="str">
        <x:v>Risk</x:v>
      </x:c>
      <x:c r="H722" s="48" t="str">
        <x:v>Employer</x:v>
      </x:c>
      <x:c r="I722" s="48" t="n">
        <x:v>0.78</x:v>
      </x:c>
      <x:c r="J722" s="48" t="n">
        <x:v>0.92</x:v>
      </x:c>
      <x:c r="K722" s="48" t="str">
        <x:v>No</x:v>
      </x:c>
      <x:c r="L722" s="48" t="str">
        <x:v>PDF text</x:v>
      </x:c>
    </x:row>
    <x:row r="723">
      <x:c r="A723" s="48" t="str">
        <x:v>YELLOW-0722</x:v>
      </x:c>
      <x:c r="B723" s="48" t="str">
        <x:v>YELLOW</x:v>
      </x:c>
      <x:c r="C723" s="48" t="str">
        <x:v>English</x:v>
      </x:c>
      <x:c r="D723" s="48" t="n">
        <x:v>48</x:v>
      </x:c>
      <x:c r="E723" s="48" t="str"/>
      <x:c r="F723" s="48" t="str">
        <x:v>In the event of sub-paragraph (c), the Contractor shall then proceed in accordance with all other obligations under the Contract, and the Contract Price shall be reduced by such amount as shall be appropriate to cover the reduced value to the Employer as a result of this failure.</x:v>
      </x:c>
      <x:c r="G723" s="48" t="str">
        <x:v>Risk</x:v>
      </x:c>
      <x:c r="H723" s="48" t="str">
        <x:v>Contractor</x:v>
      </x:c>
      <x:c r="I723" s="48" t="n">
        <x:v>0.78</x:v>
      </x:c>
      <x:c r="J723" s="48" t="n">
        <x:v>0.92</x:v>
      </x:c>
      <x:c r="K723" s="48" t="str">
        <x:v>No</x:v>
      </x:c>
      <x:c r="L723" s="48" t="str">
        <x:v>PDF text</x:v>
      </x:c>
    </x:row>
    <x:row r="724">
      <x:c r="A724" s="48" t="str">
        <x:v>YELLOW-0723</x:v>
      </x:c>
      <x:c r="B724" s="48" t="str">
        <x:v>YELLOW</x:v>
      </x:c>
      <x:c r="C724" s="48" t="str">
        <x:v>English</x:v>
      </x:c>
      <x:c r="D724" s="48" t="n">
        <x:v>48</x:v>
      </x:c>
      <x:c r="E724" s="48" t="str"/>
      <x:c r="F724" s="48" t="str">
        <x:v>Unless the relevant reduction for this failure is stated (or its method of calculation is defined) in the Contract, the Employer may require the reduction to be (i) agreed by both Parties (in full satisfaction of this failure only) and paid before this Taking-Over Certificate is issued, or (ii) determined and paid under Sub-Clause 2.5 [Employer's Claims] and Sub-Clause 3.5 [Determinations].</x:v>
      </x:c>
      <x:c r="G724" s="48" t="str">
        <x:v>Right</x:v>
      </x:c>
      <x:c r="H724" s="48" t="str">
        <x:v>Shared</x:v>
      </x:c>
      <x:c r="I724" s="48" t="n">
        <x:v>0.78</x:v>
      </x:c>
      <x:c r="J724" s="48" t="n">
        <x:v>0.93</x:v>
      </x:c>
      <x:c r="K724" s="48" t="str">
        <x:v>No</x:v>
      </x:c>
      <x:c r="L724" s="48" t="str">
        <x:v>PDF text</x:v>
      </x:c>
    </x:row>
    <x:row r="725">
      <x:c r="A725" s="48" t="str">
        <x:v>YELLOW-0724</x:v>
      </x:c>
      <x:c r="B725" s="48" t="str">
        <x:v>YELLOW</x:v>
      </x:c>
      <x:c r="C725" s="48" t="str">
        <x:v>English</x:v>
      </x:c>
      <x:c r="D725" s="48" t="n">
        <x:v>48</x:v>
      </x:c>
      <x:c r="E725" s="48" t="str"/>
      <x:c r="F725" s="48" t="str">
        <x:v>Except as stated in Sub-Clause 9.4 [Failure to Pass Tests on Completion], the Works shall be taken over by the Employer when (i) the Works have been completed in accordance with the Contract, including the matters described in Sub-Clause 8.2 [Time for Completion] and except as allowed in sub-paragraph (a) below, and (ii) a</x:v>
      </x:c>
      <x:c r="G725" s="48" t="str">
        <x:v>Risk</x:v>
      </x:c>
      <x:c r="H725" s="48" t="str">
        <x:v>Employer</x:v>
      </x:c>
      <x:c r="I725" s="48" t="n">
        <x:v>0.78</x:v>
      </x:c>
      <x:c r="J725" s="48" t="n">
        <x:v>0.68</x:v>
      </x:c>
      <x:c r="K725" s="48" t="str">
        <x:v>Yes</x:v>
      </x:c>
      <x:c r="L725" s="48" t="str">
        <x:v>PDF text</x:v>
      </x:c>
    </x:row>
    <x:row r="726">
      <x:c r="A726" s="48" t="str">
        <x:v>YELLOW-0725</x:v>
      </x:c>
      <x:c r="B726" s="48" t="str">
        <x:v>YELLOW</x:v>
      </x:c>
      <x:c r="C726" s="48" t="str">
        <x:v>English</x:v>
      </x:c>
      <x:c r="D726" s="48" t="n">
        <x:v>48</x:v>
      </x:c>
      <x:c r="E726" s="48" t="str"/>
      <x:c r="F726" s="48" t="str">
        <x:v>Taking-Over Certificate for the Works has been issued, or is deemed to have been</x:v>
      </x:c>
      <x:c r="G726" s="48" t="str">
        <x:v>Obligation</x:v>
      </x:c>
      <x:c r="H726" s="48" t="str">
        <x:v>Shared</x:v>
      </x:c>
      <x:c r="I726" s="48" t="n">
        <x:v>0.55</x:v>
      </x:c>
      <x:c r="J726" s="48" t="n">
        <x:v>0.4</x:v>
      </x:c>
      <x:c r="K726" s="48" t="str">
        <x:v>Yes</x:v>
      </x:c>
      <x:c r="L726" s="48" t="str">
        <x:v>PDF text</x:v>
      </x:c>
    </x:row>
    <x:row r="727">
      <x:c r="A727" s="48" t="str">
        <x:v>YELLOW-0726</x:v>
      </x:c>
      <x:c r="B727" s="48" t="str">
        <x:v>YELLOW</x:v>
      </x:c>
      <x:c r="C727" s="48" t="str">
        <x:v>English</x:v>
      </x:c>
      <x:c r="D727" s="48" t="n">
        <x:v>48</x:v>
      </x:c>
      <x:c r="E727" s="48" t="str"/>
      <x:c r="F727" s="48" t="str">
        <x:v>issued in accordance with this Sub-Clause.</x:v>
      </x:c>
      <x:c r="G727" s="48" t="str">
        <x:v>Obligation</x:v>
      </x:c>
      <x:c r="H727" s="48" t="str">
        <x:v>Shared</x:v>
      </x:c>
      <x:c r="I727" s="48" t="n">
        <x:v>0.45</x:v>
      </x:c>
      <x:c r="J727" s="48" t="n">
        <x:v>0.4</x:v>
      </x:c>
      <x:c r="K727" s="48" t="str">
        <x:v>Yes</x:v>
      </x:c>
      <x:c r="L727" s="48" t="str">
        <x:v>PDF text</x:v>
      </x:c>
    </x:row>
    <x:row r="728">
      <x:c r="A728" s="48" t="str">
        <x:v>YELLOW-0727</x:v>
      </x:c>
      <x:c r="B728" s="48" t="str">
        <x:v>YELLOW</x:v>
      </x:c>
      <x:c r="C728" s="48" t="str">
        <x:v>English</x:v>
      </x:c>
      <x:c r="D728" s="48" t="n">
        <x:v>48</x:v>
      </x:c>
      <x:c r="E728" s="48" t="str"/>
      <x:c r="F728" s="48" t="str">
        <x:v>The Contractor may apply by notice to the Engineer for a Taking-Over Certificate not earlier than 14 days before the Works will, in the Contractor's opinion, be complete and ready for taking over.</x:v>
      </x:c>
      <x:c r="G728" s="48" t="str">
        <x:v>Right</x:v>
      </x:c>
      <x:c r="H728" s="48" t="str">
        <x:v>Contractor</x:v>
      </x:c>
      <x:c r="I728" s="48" t="n">
        <x:v>0.78</x:v>
      </x:c>
      <x:c r="J728" s="48" t="n">
        <x:v>0.92</x:v>
      </x:c>
      <x:c r="K728" s="48" t="str">
        <x:v>No</x:v>
      </x:c>
      <x:c r="L728" s="48" t="str">
        <x:v>PDF text</x:v>
      </x:c>
    </x:row>
    <x:row r="729">
      <x:c r="A729" s="48" t="str">
        <x:v>YELLOW-0728</x:v>
      </x:c>
      <x:c r="B729" s="48" t="str">
        <x:v>YELLOW</x:v>
      </x:c>
      <x:c r="C729" s="48" t="str">
        <x:v>English</x:v>
      </x:c>
      <x:c r="D729" s="48" t="n">
        <x:v>48</x:v>
      </x:c>
      <x:c r="E729" s="48" t="str"/>
      <x:c r="F729" s="48" t="str">
        <x:v>If the Works are divided into Sections, the Contractor may similarly apply for a Taking-Over Certificate for each Section.</x:v>
      </x:c>
      <x:c r="G729" s="48" t="str">
        <x:v>Right</x:v>
      </x:c>
      <x:c r="H729" s="48" t="str">
        <x:v>Contractor</x:v>
      </x:c>
      <x:c r="I729" s="48" t="n">
        <x:v>0.78</x:v>
      </x:c>
      <x:c r="J729" s="48" t="n">
        <x:v>0.92</x:v>
      </x:c>
      <x:c r="K729" s="48" t="str">
        <x:v>No</x:v>
      </x:c>
      <x:c r="L729" s="48" t="str">
        <x:v>PDF text</x:v>
      </x:c>
    </x:row>
    <x:row r="730">
      <x:c r="A730" s="48" t="str">
        <x:v>YELLOW-0729</x:v>
      </x:c>
      <x:c r="B730" s="48" t="str">
        <x:v>YELLOW</x:v>
      </x:c>
      <x:c r="C730" s="48" t="str">
        <x:v>English</x:v>
      </x:c>
      <x:c r="D730" s="48" t="n">
        <x:v>48</x:v>
      </x:c>
      <x:c r="E730" s="48" t="str"/>
      <x:c r="F730" s="48" t="str">
        <x:v>The Engineer shall, within 28 days after receiving the Contractor's application: (a) issue the Taking-Over Certificate to the Contractor, stating the date on which the Works or Section were completed in accordance with the Contract, except 9.3</x:v>
      </x:c>
      <x:c r="G730" s="48" t="str">
        <x:v>Obligation</x:v>
      </x:c>
      <x:c r="H730" s="48" t="str">
        <x:v>Contractor</x:v>
      </x:c>
      <x:c r="I730" s="48" t="n">
        <x:v>0.88</x:v>
      </x:c>
      <x:c r="J730" s="48" t="n">
        <x:v>0.68</x:v>
      </x:c>
      <x:c r="K730" s="48" t="str">
        <x:v>Yes</x:v>
      </x:c>
      <x:c r="L730" s="48" t="str">
        <x:v>PDF text</x:v>
      </x:c>
    </x:row>
    <x:row r="731">
      <x:c r="A731" s="48" t="str">
        <x:v>YELLOW-0730</x:v>
      </x:c>
      <x:c r="B731" s="48" t="str">
        <x:v>YELLOW</x:v>
      </x:c>
      <x:c r="C731" s="48" t="str">
        <x:v>English</x:v>
      </x:c>
      <x:c r="D731" s="48" t="n">
        <x:v>48</x:v>
      </x:c>
      <x:c r="E731" s="48" t="str"/>
      <x:c r="F731" s="48" t="str">
        <x:v>Retesting</x:v>
      </x:c>
      <x:c r="G731" s="48" t="str">
        <x:v>Obligation</x:v>
      </x:c>
      <x:c r="H731" s="48" t="str">
        <x:v>Shared</x:v>
      </x:c>
      <x:c r="I731" s="48" t="n">
        <x:v>0.45</x:v>
      </x:c>
      <x:c r="J731" s="48" t="n">
        <x:v>0.4</x:v>
      </x:c>
      <x:c r="K731" s="48" t="str">
        <x:v>Yes</x:v>
      </x:c>
      <x:c r="L731" s="48" t="str">
        <x:v>PDF text</x:v>
      </x:c>
    </x:row>
    <x:row r="732">
      <x:c r="A732" s="48" t="str">
        <x:v>YELLOW-0731</x:v>
      </x:c>
      <x:c r="B732" s="48" t="str">
        <x:v>YELLOW</x:v>
      </x:c>
      <x:c r="C732" s="48" t="str">
        <x:v>English</x:v>
      </x:c>
      <x:c r="D732" s="48" t="n">
        <x:v>48</x:v>
      </x:c>
      <x:c r="E732" s="48" t="str"/>
      <x:c r="F732" s="48" t="str">
        <x:v>Failure to Pass Tests on</x:v>
      </x:c>
      <x:c r="G732" s="48" t="str">
        <x:v>Obligation</x:v>
      </x:c>
      <x:c r="H732" s="48" t="str">
        <x:v>Shared</x:v>
      </x:c>
      <x:c r="I732" s="48" t="n">
        <x:v>0.45</x:v>
      </x:c>
      <x:c r="J732" s="48" t="n">
        <x:v>0.4</x:v>
      </x:c>
      <x:c r="K732" s="48" t="str">
        <x:v>Yes</x:v>
      </x:c>
      <x:c r="L732" s="48" t="str">
        <x:v>PDF text</x:v>
      </x:c>
    </x:row>
    <x:row r="733">
      <x:c r="A733" s="48" t="str">
        <x:v>YELLOW-0732</x:v>
      </x:c>
      <x:c r="B733" s="48" t="str">
        <x:v>YELLOW</x:v>
      </x:c>
      <x:c r="C733" s="48" t="str">
        <x:v>English</x:v>
      </x:c>
      <x:c r="D733" s="48" t="n">
        <x:v>48</x:v>
      </x:c>
      <x:c r="E733" s="48" t="str"/>
      <x:c r="F733" s="48" t="str">
        <x:v>Taking Over of the</x:v>
      </x:c>
      <x:c r="G733" s="48" t="str">
        <x:v>Obligation</x:v>
      </x:c>
      <x:c r="H733" s="48" t="str">
        <x:v>Shared</x:v>
      </x:c>
      <x:c r="I733" s="48" t="n">
        <x:v>0.45</x:v>
      </x:c>
      <x:c r="J733" s="48" t="n">
        <x:v>0.4</x:v>
      </x:c>
      <x:c r="K733" s="48" t="str">
        <x:v>Yes</x:v>
      </x:c>
      <x:c r="L733" s="48" t="str">
        <x:v>PDF text</x:v>
      </x:c>
    </x:row>
    <x:row r="734">
      <x:c r="A734" s="48" t="str">
        <x:v>YELLOW-0733</x:v>
      </x:c>
      <x:c r="B734" s="48" t="str">
        <x:v>YELLOW</x:v>
      </x:c>
      <x:c r="C734" s="48" t="str">
        <x:v>English</x:v>
      </x:c>
      <x:c r="D734" s="48" t="n">
        <x:v>48</x:v>
      </x:c>
      <x:c r="E734" s="48" t="str"/>
      <x:c r="F734" s="48" t="str">
        <x:v>Works and Sections</x:v>
      </x:c>
      <x:c r="G734" s="48" t="str">
        <x:v>Obligation</x:v>
      </x:c>
      <x:c r="H734" s="48" t="str">
        <x:v>Shared</x:v>
      </x:c>
      <x:c r="I734" s="48" t="n">
        <x:v>0.45</x:v>
      </x:c>
      <x:c r="J734" s="48" t="n">
        <x:v>0.4</x:v>
      </x:c>
      <x:c r="K734" s="48" t="str">
        <x:v>Yes</x:v>
      </x:c>
      <x:c r="L734" s="48" t="str">
        <x:v>PDF text</x:v>
      </x:c>
    </x:row>
    <x:row r="735">
      <x:c r="A735" s="48" t="str">
        <x:v>YELLOW-0734</x:v>
      </x:c>
      <x:c r="B735" s="48" t="str">
        <x:v>YELLOW</x:v>
      </x:c>
      <x:c r="C735" s="48" t="str">
        <x:v>English</x:v>
      </x:c>
      <x:c r="D735" s="48" t="n">
        <x:v>48</x:v>
      </x:c>
      <x:c r="E735" s="48" t="str"/>
      <x:c r="F735" s="48" t="str">
        <x:v>Employer’s Taking Over</x:v>
      </x:c>
      <x:c r="G735" s="48" t="str">
        <x:v>Obligation</x:v>
      </x:c>
      <x:c r="H735" s="48" t="str">
        <x:v>Employer</x:v>
      </x:c>
      <x:c r="I735" s="48" t="n">
        <x:v>0.45</x:v>
      </x:c>
      <x:c r="J735" s="48" t="n">
        <x:v>0.68</x:v>
      </x:c>
      <x:c r="K735" s="48" t="str">
        <x:v>Yes</x:v>
      </x:c>
      <x:c r="L735" s="48" t="str">
        <x:v>PDF text</x:v>
      </x:c>
    </x:row>
    <x:row r="736">
      <x:c r="A736" s="48" t="str">
        <x:v>YELLOW-0735</x:v>
      </x:c>
      <x:c r="B736" s="48" t="str">
        <x:v>YELLOW</x:v>
      </x:c>
      <x:c r="C736" s="48" t="str">
        <x:v>English</x:v>
      </x:c>
      <x:c r="D736" s="48" t="n">
        <x:v>49</x:v>
      </x:c>
      <x:c r="E736" s="48" t="str"/>
      <x:c r="F736" s="48" t="str">
        <x:v>for any minor outstanding work and defects which will not substantially affect the use of the Works or Section for their intended purpose (either until or whilst this work is completed and these defects are remedied); or (b) reject the application, giving reasons and specifying the work required to be done by the Contractor to enable the Taking-Over Certificate to be issued.</x:v>
      </x:c>
      <x:c r="G736" s="48" t="str">
        <x:v>Obligation</x:v>
      </x:c>
      <x:c r="H736" s="48" t="str">
        <x:v>Contractor</x:v>
      </x:c>
      <x:c r="I736" s="48" t="n">
        <x:v>0.55</x:v>
      </x:c>
      <x:c r="J736" s="48" t="n">
        <x:v>0.68</x:v>
      </x:c>
      <x:c r="K736" s="48" t="str">
        <x:v>Yes</x:v>
      </x:c>
      <x:c r="L736" s="48" t="str">
        <x:v>PDF text</x:v>
      </x:c>
    </x:row>
    <x:row r="737">
      <x:c r="A737" s="48" t="str">
        <x:v>YELLOW-0736</x:v>
      </x:c>
      <x:c r="B737" s="48" t="str">
        <x:v>YELLOW</x:v>
      </x:c>
      <x:c r="C737" s="48" t="str">
        <x:v>English</x:v>
      </x:c>
      <x:c r="D737" s="48" t="n">
        <x:v>49</x:v>
      </x:c>
      <x:c r="E737" s="48" t="str"/>
      <x:c r="F737" s="48" t="str">
        <x:v>Contractor shall then complete this work before issuing a further notice under</x:v>
      </x:c>
      <x:c r="G737" s="48" t="str">
        <x:v>Obligation</x:v>
      </x:c>
      <x:c r="H737" s="48" t="str">
        <x:v>Contractor</x:v>
      </x:c>
      <x:c r="I737" s="48" t="n">
        <x:v>0.88</x:v>
      </x:c>
      <x:c r="J737" s="48" t="n">
        <x:v>0.68</x:v>
      </x:c>
      <x:c r="K737" s="48" t="str">
        <x:v>Yes</x:v>
      </x:c>
      <x:c r="L737" s="48" t="str">
        <x:v>PDF text</x:v>
      </x:c>
    </x:row>
    <x:row r="738">
      <x:c r="A738" s="48" t="str">
        <x:v>YELLOW-0737</x:v>
      </x:c>
      <x:c r="B738" s="48" t="str">
        <x:v>YELLOW</x:v>
      </x:c>
      <x:c r="C738" s="48" t="str">
        <x:v>English</x:v>
      </x:c>
      <x:c r="D738" s="48" t="n">
        <x:v>49</x:v>
      </x:c>
      <x:c r="E738" s="48" t="str"/>
      <x:c r="F738" s="48" t="str">
        <x:v>this Sub-Clause.</x:v>
      </x:c>
      <x:c r="G738" s="48" t="str">
        <x:v>Obligation</x:v>
      </x:c>
      <x:c r="H738" s="48" t="str">
        <x:v>Shared</x:v>
      </x:c>
      <x:c r="I738" s="48" t="n">
        <x:v>0.45</x:v>
      </x:c>
      <x:c r="J738" s="48" t="n">
        <x:v>0.4</x:v>
      </x:c>
      <x:c r="K738" s="48" t="str">
        <x:v>Yes</x:v>
      </x:c>
      <x:c r="L738" s="48" t="str">
        <x:v>PDF text</x:v>
      </x:c>
    </x:row>
    <x:row r="739">
      <x:c r="A739" s="48" t="str">
        <x:v>YELLOW-0738</x:v>
      </x:c>
      <x:c r="B739" s="48" t="str">
        <x:v>YELLOW</x:v>
      </x:c>
      <x:c r="C739" s="48" t="str">
        <x:v>English</x:v>
      </x:c>
      <x:c r="D739" s="48" t="n">
        <x:v>49</x:v>
      </x:c>
      <x:c r="E739" s="48" t="str"/>
      <x:c r="F739" s="48" t="str">
        <x:v>If the Engineer fails either to issue the Taking-Over Certificate or to reject the Contractor’s application with the period of 28 days, and if the Works or Section (as the case may be) are substantially in accordance with the Contract, the TakingOver Certificate shall be deemed to have been issued on the last day of that period.</x:v>
      </x:c>
      <x:c r="G739" s="48" t="str">
        <x:v>Obligation</x:v>
      </x:c>
      <x:c r="H739" s="48" t="str">
        <x:v>Contractor</x:v>
      </x:c>
      <x:c r="I739" s="48" t="n">
        <x:v>0.88</x:v>
      </x:c>
      <x:c r="J739" s="48" t="n">
        <x:v>0.68</x:v>
      </x:c>
      <x:c r="K739" s="48" t="str">
        <x:v>Yes</x:v>
      </x:c>
      <x:c r="L739" s="48" t="str">
        <x:v>PDF text</x:v>
      </x:c>
    </x:row>
    <x:row r="740">
      <x:c r="A740" s="48" t="str">
        <x:v>YELLOW-0739</x:v>
      </x:c>
      <x:c r="B740" s="48" t="str">
        <x:v>YELLOW</x:v>
      </x:c>
      <x:c r="C740" s="48" t="str">
        <x:v>English</x:v>
      </x:c>
      <x:c r="D740" s="48" t="n">
        <x:v>49</x:v>
      </x:c>
      <x:c r="E740" s="48" t="str"/>
      <x:c r="F740" s="48" t="str">
        <x:v>The Engineer may, at the sole discretion of the Employer, issue a Taking-Over</x:v>
      </x:c>
      <x:c r="G740" s="48" t="str">
        <x:v>Obligation</x:v>
      </x:c>
      <x:c r="H740" s="48" t="str">
        <x:v>Employer</x:v>
      </x:c>
      <x:c r="I740" s="48" t="n">
        <x:v>0.45</x:v>
      </x:c>
      <x:c r="J740" s="48" t="n">
        <x:v>0.68</x:v>
      </x:c>
      <x:c r="K740" s="48" t="str">
        <x:v>Yes</x:v>
      </x:c>
      <x:c r="L740" s="48" t="str">
        <x:v>PDF text</x:v>
      </x:c>
    </x:row>
    <x:row r="741">
      <x:c r="A741" s="48" t="str">
        <x:v>YELLOW-0740</x:v>
      </x:c>
      <x:c r="B741" s="48" t="str">
        <x:v>YELLOW</x:v>
      </x:c>
      <x:c r="C741" s="48" t="str">
        <x:v>English</x:v>
      </x:c>
      <x:c r="D741" s="48" t="n">
        <x:v>49</x:v>
      </x:c>
      <x:c r="E741" s="48" t="str"/>
      <x:c r="F741" s="48" t="str">
        <x:v>Certificate for any part of the Permanent Works.</x:v>
      </x:c>
      <x:c r="G741" s="48" t="str">
        <x:v>Obligation</x:v>
      </x:c>
      <x:c r="H741" s="48" t="str">
        <x:v>Shared</x:v>
      </x:c>
      <x:c r="I741" s="48" t="n">
        <x:v>0.55</x:v>
      </x:c>
      <x:c r="J741" s="48" t="n">
        <x:v>0.4</x:v>
      </x:c>
      <x:c r="K741" s="48" t="str">
        <x:v>Yes</x:v>
      </x:c>
      <x:c r="L741" s="48" t="str">
        <x:v>PDF text</x:v>
      </x:c>
    </x:row>
    <x:row r="742">
      <x:c r="A742" s="48" t="str">
        <x:v>YELLOW-0741</x:v>
      </x:c>
      <x:c r="B742" s="48" t="str">
        <x:v>YELLOW</x:v>
      </x:c>
      <x:c r="C742" s="48" t="str">
        <x:v>English</x:v>
      </x:c>
      <x:c r="D742" s="48" t="n">
        <x:v>49</x:v>
      </x:c>
      <x:c r="E742" s="48" t="str"/>
      <x:c r="F742" s="48" t="str">
        <x:v>The Employer shall not use any part of the Works (other than as a temporary</x:v>
      </x:c>
      <x:c r="G742" s="48" t="str">
        <x:v>Obligation</x:v>
      </x:c>
      <x:c r="H742" s="48" t="str">
        <x:v>Employer</x:v>
      </x:c>
      <x:c r="I742" s="48" t="n">
        <x:v>0.88</x:v>
      </x:c>
      <x:c r="J742" s="48" t="n">
        <x:v>0.92</x:v>
      </x:c>
      <x:c r="K742" s="48" t="str">
        <x:v>No</x:v>
      </x:c>
      <x:c r="L742" s="48" t="str">
        <x:v>PDF text</x:v>
      </x:c>
    </x:row>
    <x:row r="743">
      <x:c r="A743" s="48" t="str">
        <x:v>YELLOW-0742</x:v>
      </x:c>
      <x:c r="B743" s="48" t="str">
        <x:v>YELLOW</x:v>
      </x:c>
      <x:c r="C743" s="48" t="str">
        <x:v>English</x:v>
      </x:c>
      <x:c r="D743" s="48" t="n">
        <x:v>49</x:v>
      </x:c>
      <x:c r="E743" s="48" t="str"/>
      <x:c r="F743" s="48" t="str">
        <x:v>measure which is either specified in the Contract or agreed by both Parties) unless and until the Engineer has issued a Taking-Over Certificate for this part.</x:v>
      </x:c>
      <x:c r="G743" s="48" t="str">
        <x:v>Obligation</x:v>
      </x:c>
      <x:c r="H743" s="48" t="str">
        <x:v>Shared</x:v>
      </x:c>
      <x:c r="I743" s="48" t="n">
        <x:v>0.55</x:v>
      </x:c>
      <x:c r="J743" s="48" t="n">
        <x:v>0.93</x:v>
      </x:c>
      <x:c r="K743" s="48" t="str">
        <x:v>Yes</x:v>
      </x:c>
      <x:c r="L743" s="48" t="str">
        <x:v>PDF text</x:v>
      </x:c>
    </x:row>
    <x:row r="744">
      <x:c r="A744" s="48" t="str">
        <x:v>YELLOW-0743</x:v>
      </x:c>
      <x:c r="B744" s="48" t="str">
        <x:v>YELLOW</x:v>
      </x:c>
      <x:c r="C744" s="48" t="str">
        <x:v>English</x:v>
      </x:c>
      <x:c r="D744" s="48" t="n">
        <x:v>49</x:v>
      </x:c>
      <x:c r="E744" s="48" t="str"/>
      <x:c r="F744" s="48" t="str">
        <x:v>However, if the Employer does use any part of the Works before the Taking-Over Certificate is issued: (a) the part which is used shall be deemed to have been taken over as from the date on which it is used, (b) the Contractor shall cease to be liable for the care of such part as from this date, when responsibility shall pass to the Employer, and (c) if requested by the Contractor, the Engineer shall issue a Taking-Over Certificate for this part.</x:v>
      </x:c>
      <x:c r="G744" s="48" t="str">
        <x:v>Risk</x:v>
      </x:c>
      <x:c r="H744" s="48" t="str">
        <x:v>Contractor</x:v>
      </x:c>
      <x:c r="I744" s="48" t="n">
        <x:v>0.78</x:v>
      </x:c>
      <x:c r="J744" s="48" t="n">
        <x:v>0.92</x:v>
      </x:c>
      <x:c r="K744" s="48" t="str">
        <x:v>No</x:v>
      </x:c>
      <x:c r="L744" s="48" t="str">
        <x:v>PDF text</x:v>
      </x:c>
    </x:row>
    <x:row r="745">
      <x:c r="A745" s="48" t="str">
        <x:v>YELLOW-0744</x:v>
      </x:c>
      <x:c r="B745" s="48" t="str">
        <x:v>YELLOW</x:v>
      </x:c>
      <x:c r="C745" s="48" t="str">
        <x:v>English</x:v>
      </x:c>
      <x:c r="D745" s="48" t="n">
        <x:v>49</x:v>
      </x:c>
      <x:c r="E745" s="48" t="str"/>
      <x:c r="F745" s="48" t="str">
        <x:v>After the Engineer has issued a Taking-Over Certificate for a part of the Works, the</x:v>
      </x:c>
      <x:c r="G745" s="48" t="str">
        <x:v>Obligation</x:v>
      </x:c>
      <x:c r="H745" s="48" t="str">
        <x:v>Shared</x:v>
      </x:c>
      <x:c r="I745" s="48" t="n">
        <x:v>0.55</x:v>
      </x:c>
      <x:c r="J745" s="48" t="n">
        <x:v>0.4</x:v>
      </x:c>
      <x:c r="K745" s="48" t="str">
        <x:v>Yes</x:v>
      </x:c>
      <x:c r="L745" s="48" t="str">
        <x:v>PDF text</x:v>
      </x:c>
    </x:row>
    <x:row r="746">
      <x:c r="A746" s="48" t="str">
        <x:v>YELLOW-0745</x:v>
      </x:c>
      <x:c r="B746" s="48" t="str">
        <x:v>YELLOW</x:v>
      </x:c>
      <x:c r="C746" s="48" t="str">
        <x:v>English</x:v>
      </x:c>
      <x:c r="D746" s="48" t="n">
        <x:v>49</x:v>
      </x:c>
      <x:c r="E746" s="48" t="str"/>
      <x:c r="F746" s="48" t="str">
        <x:v>Contractor shall be given the earliest opportunity to take such steps as may be</x:v>
      </x:c>
      <x:c r="G746" s="48" t="str">
        <x:v>Obligation</x:v>
      </x:c>
      <x:c r="H746" s="48" t="str">
        <x:v>Contractor</x:v>
      </x:c>
      <x:c r="I746" s="48" t="n">
        <x:v>0.88</x:v>
      </x:c>
      <x:c r="J746" s="48" t="n">
        <x:v>0.68</x:v>
      </x:c>
      <x:c r="K746" s="48" t="str">
        <x:v>Yes</x:v>
      </x:c>
      <x:c r="L746" s="48" t="str">
        <x:v>PDF text</x:v>
      </x:c>
    </x:row>
    <x:row r="747">
      <x:c r="A747" s="48" t="str">
        <x:v>YELLOW-0746</x:v>
      </x:c>
      <x:c r="B747" s="48" t="str">
        <x:v>YELLOW</x:v>
      </x:c>
      <x:c r="C747" s="48" t="str">
        <x:v>English</x:v>
      </x:c>
      <x:c r="D747" s="48" t="n">
        <x:v>49</x:v>
      </x:c>
      <x:c r="E747" s="48" t="str"/>
      <x:c r="F747" s="48" t="str">
        <x:v>necessary to carry out any outstanding Tests on Completion.</x:v>
      </x:c>
      <x:c r="G747" s="48" t="str">
        <x:v>Obligation</x:v>
      </x:c>
      <x:c r="H747" s="48" t="str">
        <x:v>Shared</x:v>
      </x:c>
      <x:c r="I747" s="48" t="n">
        <x:v>0.45</x:v>
      </x:c>
      <x:c r="J747" s="48" t="n">
        <x:v>0.4</x:v>
      </x:c>
      <x:c r="K747" s="48" t="str">
        <x:v>Yes</x:v>
      </x:c>
      <x:c r="L747" s="48" t="str">
        <x:v>PDF text</x:v>
      </x:c>
    </x:row>
    <x:row r="748">
      <x:c r="A748" s="48" t="str">
        <x:v>YELLOW-0747</x:v>
      </x:c>
      <x:c r="B748" s="48" t="str">
        <x:v>YELLOW</x:v>
      </x:c>
      <x:c r="C748" s="48" t="str">
        <x:v>English</x:v>
      </x:c>
      <x:c r="D748" s="48" t="n">
        <x:v>49</x:v>
      </x:c>
      <x:c r="E748" s="48" t="str"/>
      <x:c r="F748" s="48" t="str">
        <x:v>The Contractor shall carry out these Tests on Completion as soon as practicable before the expiry date of the relevant Defects Notification Period.</x:v>
      </x:c>
      <x:c r="G748" s="48" t="str">
        <x:v>Obligation</x:v>
      </x:c>
      <x:c r="H748" s="48" t="str">
        <x:v>Contractor</x:v>
      </x:c>
      <x:c r="I748" s="48" t="n">
        <x:v>0.88</x:v>
      </x:c>
      <x:c r="J748" s="48" t="n">
        <x:v>0.92</x:v>
      </x:c>
      <x:c r="K748" s="48" t="str">
        <x:v>No</x:v>
      </x:c>
      <x:c r="L748" s="48" t="str">
        <x:v>PDF text</x:v>
      </x:c>
    </x:row>
    <x:row r="749">
      <x:c r="A749" s="48" t="str">
        <x:v>YELLOW-0748</x:v>
      </x:c>
      <x:c r="B749" s="48" t="str">
        <x:v>YELLOW</x:v>
      </x:c>
      <x:c r="C749" s="48" t="str">
        <x:v>English</x:v>
      </x:c>
      <x:c r="D749" s="48" t="n">
        <x:v>49</x:v>
      </x:c>
      <x:c r="E749" s="48" t="str"/>
      <x:c r="F749" s="48" t="str">
        <x:v>If the Contractor incurs Cost as a result of the Employer taking over and/or using a part of the Works, other than such use as is specified in the Contract or agreed by the Contractor, the Contractor shall (i) give notice to the Engineer and (ii) be entitled subject to Sub-Clause 20.1 [Contractor's Claims] to payment of any such Cost plus reasonable profit, which shall be included in the Contract Price.</x:v>
      </x:c>
      <x:c r="G749" s="48" t="str">
        <x:v>Risk</x:v>
      </x:c>
      <x:c r="H749" s="48" t="str">
        <x:v>Contractor</x:v>
      </x:c>
      <x:c r="I749" s="48" t="n">
        <x:v>0.78</x:v>
      </x:c>
      <x:c r="J749" s="48" t="n">
        <x:v>0.92</x:v>
      </x:c>
      <x:c r="K749" s="48" t="str">
        <x:v>No</x:v>
      </x:c>
      <x:c r="L749" s="48" t="str">
        <x:v>PDF text</x:v>
      </x:c>
    </x:row>
    <x:row r="750">
      <x:c r="A750" s="48" t="str">
        <x:v>YELLOW-0749</x:v>
      </x:c>
      <x:c r="B750" s="48" t="str">
        <x:v>YELLOW</x:v>
      </x:c>
      <x:c r="C750" s="48" t="str">
        <x:v>English</x:v>
      </x:c>
      <x:c r="D750" s="48" t="n">
        <x:v>49</x:v>
      </x:c>
      <x:c r="E750" s="48" t="str"/>
      <x:c r="F750" s="48" t="str">
        <x:v>After receiving this notice, the Engineer shall proceed in accordance with Sub-Clause 3.5 [Determinations] to agree or determine this Cost and profit.</x:v>
      </x:c>
      <x:c r="G750" s="48" t="str">
        <x:v>Obligation</x:v>
      </x:c>
      <x:c r="H750" s="48" t="str">
        <x:v>Shared</x:v>
      </x:c>
      <x:c r="I750" s="48" t="n">
        <x:v>0.88</x:v>
      </x:c>
      <x:c r="J750" s="48" t="n">
        <x:v>0.4</x:v>
      </x:c>
      <x:c r="K750" s="48" t="str">
        <x:v>Yes</x:v>
      </x:c>
      <x:c r="L750" s="48" t="str">
        <x:v>PDF text</x:v>
      </x:c>
    </x:row>
    <x:row r="751">
      <x:c r="A751" s="48" t="str">
        <x:v>YELLOW-0750</x:v>
      </x:c>
      <x:c r="B751" s="48" t="str">
        <x:v>YELLOW</x:v>
      </x:c>
      <x:c r="C751" s="48" t="str">
        <x:v>English</x:v>
      </x:c>
      <x:c r="D751" s="48" t="n">
        <x:v>49</x:v>
      </x:c>
      <x:c r="E751" s="48" t="str"/>
      <x:c r="F751" s="48" t="str">
        <x:v>If a Taking-Over Certificate has been issued for a part of the Works (other than a Section), the delay damages thereafter for completion of the remainder of the Works shall be reduced.</x:v>
      </x:c>
      <x:c r="G751" s="48" t="str">
        <x:v>Risk</x:v>
      </x:c>
      <x:c r="H751" s="48" t="str">
        <x:v>Shared</x:v>
      </x:c>
      <x:c r="I751" s="48" t="n">
        <x:v>0.78</x:v>
      </x:c>
      <x:c r="J751" s="48" t="n">
        <x:v>0.4</x:v>
      </x:c>
      <x:c r="K751" s="48" t="str">
        <x:v>Yes</x:v>
      </x:c>
      <x:c r="L751" s="48" t="str">
        <x:v>PDF text</x:v>
      </x:c>
    </x:row>
    <x:row r="752">
      <x:c r="A752" s="48" t="str">
        <x:v>YELLOW-0751</x:v>
      </x:c>
      <x:c r="B752" s="48" t="str">
        <x:v>YELLOW</x:v>
      </x:c>
      <x:c r="C752" s="48" t="str">
        <x:v>English</x:v>
      </x:c>
      <x:c r="D752" s="48" t="n">
        <x:v>49</x:v>
      </x:c>
      <x:c r="E752" s="48" t="str"/>
      <x:c r="F752" s="48" t="str">
        <x:v>Similarly, the delay damages for the remainder of the Section (if any) in which this part is included shall also be reduced.</x:v>
      </x:c>
      <x:c r="G752" s="48" t="str">
        <x:v>Risk</x:v>
      </x:c>
      <x:c r="H752" s="48" t="str">
        <x:v>Shared</x:v>
      </x:c>
      <x:c r="I752" s="48" t="n">
        <x:v>0.78</x:v>
      </x:c>
      <x:c r="J752" s="48" t="n">
        <x:v>0.4</x:v>
      </x:c>
      <x:c r="K752" s="48" t="str">
        <x:v>Yes</x:v>
      </x:c>
      <x:c r="L752" s="48" t="str">
        <x:v>PDF text</x:v>
      </x:c>
    </x:row>
    <x:row r="753">
      <x:c r="A753" s="48" t="str">
        <x:v>YELLOW-0752</x:v>
      </x:c>
      <x:c r="B753" s="48" t="str">
        <x:v>YELLOW</x:v>
      </x:c>
      <x:c r="C753" s="48" t="str">
        <x:v>English</x:v>
      </x:c>
      <x:c r="D753" s="48" t="n">
        <x:v>49</x:v>
      </x:c>
      <x:c r="E753" s="48" t="str"/>
      <x:c r="F753" s="48" t="str">
        <x:v>For any period of delay after the date stated in this Taking-Over Certificate, the proportional reduction in these delay damages shall be calculated as the proportion which the value of the part so certified bears to the value of the Works or Section (as the case may be) as a whole.</x:v>
      </x:c>
      <x:c r="G753" s="48" t="str">
        <x:v>Obligation</x:v>
      </x:c>
      <x:c r="H753" s="48" t="str">
        <x:v>Shared</x:v>
      </x:c>
      <x:c r="I753" s="48" t="n">
        <x:v>0.88</x:v>
      </x:c>
      <x:c r="J753" s="48" t="n">
        <x:v>0.4</x:v>
      </x:c>
      <x:c r="K753" s="48" t="str">
        <x:v>Yes</x:v>
      </x:c>
      <x:c r="L753" s="48" t="str">
        <x:v>PDF text</x:v>
      </x:c>
    </x:row>
    <x:row r="754">
      <x:c r="A754" s="48" t="str">
        <x:v>YELLOW-0753</x:v>
      </x:c>
      <x:c r="B754" s="48" t="str">
        <x:v>YELLOW</x:v>
      </x:c>
      <x:c r="C754" s="48" t="str">
        <x:v>English</x:v>
      </x:c>
      <x:c r="D754" s="48" t="n">
        <x:v>49</x:v>
      </x:c>
      <x:c r="E754" s="48" t="str"/>
      <x:c r="F754" s="48" t="str">
        <x:v>The Engineer shall proceed in accordance with Sub-Clause 3.5 [Determinations] to agree or determine these proportions.</x:v>
      </x:c>
      <x:c r="G754" s="48" t="str">
        <x:v>Obligation</x:v>
      </x:c>
      <x:c r="H754" s="48" t="str">
        <x:v>Shared</x:v>
      </x:c>
      <x:c r="I754" s="48" t="n">
        <x:v>0.88</x:v>
      </x:c>
      <x:c r="J754" s="48" t="n">
        <x:v>0.4</x:v>
      </x:c>
      <x:c r="K754" s="48" t="str">
        <x:v>Yes</x:v>
      </x:c>
      <x:c r="L754" s="48" t="str">
        <x:v>PDF text</x:v>
      </x:c>
    </x:row>
    <x:row r="755">
      <x:c r="A755" s="48" t="str">
        <x:v>YELLOW-0754</x:v>
      </x:c>
      <x:c r="B755" s="48" t="str">
        <x:v>YELLOW</x:v>
      </x:c>
      <x:c r="C755" s="48" t="str">
        <x:v>English</x:v>
      </x:c>
      <x:c r="D755" s="48" t="n">
        <x:v>49</x:v>
      </x:c>
      <x:c r="E755" s="48" t="str"/>
      <x:c r="F755" s="48" t="str">
        <x:v>The provisions of this paragraph shall only apply to the daily rate of delay damages under Sub-Clause 8.7 [Delay Damages], and shall not affect the maximum amount of these damages.</x:v>
      </x:c>
      <x:c r="G755" s="48" t="str">
        <x:v>Obligation</x:v>
      </x:c>
      <x:c r="H755" s="48" t="str">
        <x:v>Shared</x:v>
      </x:c>
      <x:c r="I755" s="48" t="n">
        <x:v>0.88</x:v>
      </x:c>
      <x:c r="J755" s="48" t="n">
        <x:v>0.4</x:v>
      </x:c>
      <x:c r="K755" s="48" t="str">
        <x:v>Yes</x:v>
      </x:c>
      <x:c r="L755" s="48" t="str">
        <x:v>PDF text</x:v>
      </x:c>
    </x:row>
    <x:row r="756">
      <x:c r="A756" s="48" t="str">
        <x:v>YELLOW-0755</x:v>
      </x:c>
      <x:c r="B756" s="48" t="str">
        <x:v>YELLOW</x:v>
      </x:c>
      <x:c r="C756" s="48" t="str">
        <x:v>English</x:v>
      </x:c>
      <x:c r="D756" s="48" t="n">
        <x:v>49</x:v>
      </x:c>
      <x:c r="E756" s="48" t="str"/>
      <x:c r="F756" s="48" t="str">
        <x:v>Taking Over</x:v>
      </x:c>
      <x:c r="G756" s="48" t="str">
        <x:v>Obligation</x:v>
      </x:c>
      <x:c r="H756" s="48" t="str">
        <x:v>Shared</x:v>
      </x:c>
      <x:c r="I756" s="48" t="n">
        <x:v>0.45</x:v>
      </x:c>
      <x:c r="J756" s="48" t="n">
        <x:v>0.4</x:v>
      </x:c>
      <x:c r="K756" s="48" t="str">
        <x:v>Yes</x:v>
      </x:c>
      <x:c r="L756" s="48" t="str">
        <x:v>PDF text</x:v>
      </x:c>
    </x:row>
    <x:row r="757">
      <x:c r="A757" s="48" t="str">
        <x:v>YELLOW-0756</x:v>
      </x:c>
      <x:c r="B757" s="48" t="str">
        <x:v>YELLOW</x:v>
      </x:c>
      <x:c r="C757" s="48" t="str">
        <x:v>English</x:v>
      </x:c>
      <x:c r="D757" s="48" t="n">
        <x:v>49</x:v>
      </x:c>
      <x:c r="E757" s="48" t="str"/>
      <x:c r="F757" s="48" t="str">
        <x:v>of Parts of the Works</x:v>
      </x:c>
      <x:c r="G757" s="48" t="str">
        <x:v>Obligation</x:v>
      </x:c>
      <x:c r="H757" s="48" t="str">
        <x:v>Shared</x:v>
      </x:c>
      <x:c r="I757" s="48" t="n">
        <x:v>0.45</x:v>
      </x:c>
      <x:c r="J757" s="48" t="n">
        <x:v>0.4</x:v>
      </x:c>
      <x:c r="K757" s="48" t="str">
        <x:v>Yes</x:v>
      </x:c>
      <x:c r="L757" s="48" t="str">
        <x:v>PDF text</x:v>
      </x:c>
    </x:row>
    <x:row r="758">
      <x:c r="A758" s="48" t="str">
        <x:v>YELLOW-0757</x:v>
      </x:c>
      <x:c r="B758" s="48" t="str">
        <x:v>YELLOW</x:v>
      </x:c>
      <x:c r="C758" s="48" t="str">
        <x:v>English</x:v>
      </x:c>
      <x:c r="D758" s="48" t="n">
        <x:v>50</x:v>
      </x:c>
      <x:c r="E758" s="48" t="str"/>
      <x:c r="F758" s="48" t="str">
        <x:v>If the Contractor is prevented, for more than 14 days, from carrying out the Tests on Completion by a cause for which the Employer is responsible, the Employer shall be deemed to have taken over the Works or Section (as the case may be) on the date when the Tests on Completion would otherwise have been completed.</x:v>
      </x:c>
      <x:c r="G758" s="48" t="str">
        <x:v>Obligation</x:v>
      </x:c>
      <x:c r="H758" s="48" t="str">
        <x:v>Employer</x:v>
      </x:c>
      <x:c r="I758" s="48" t="n">
        <x:v>0.88</x:v>
      </x:c>
      <x:c r="J758" s="48" t="n">
        <x:v>0.92</x:v>
      </x:c>
      <x:c r="K758" s="48" t="str">
        <x:v>No</x:v>
      </x:c>
      <x:c r="L758" s="48" t="str">
        <x:v>PDF text</x:v>
      </x:c>
    </x:row>
    <x:row r="759">
      <x:c r="A759" s="48" t="str">
        <x:v>YELLOW-0758</x:v>
      </x:c>
      <x:c r="B759" s="48" t="str">
        <x:v>YELLOW</x:v>
      </x:c>
      <x:c r="C759" s="48" t="str">
        <x:v>English</x:v>
      </x:c>
      <x:c r="D759" s="48" t="n">
        <x:v>50</x:v>
      </x:c>
      <x:c r="E759" s="48" t="str"/>
      <x:c r="F759" s="48" t="str">
        <x:v>The Engineer shall then issue a Taking-Over Certificate accordingly, and the</x:v>
      </x:c>
      <x:c r="G759" s="48" t="str">
        <x:v>Obligation</x:v>
      </x:c>
      <x:c r="H759" s="48" t="str">
        <x:v>Shared</x:v>
      </x:c>
      <x:c r="I759" s="48" t="n">
        <x:v>0.88</x:v>
      </x:c>
      <x:c r="J759" s="48" t="n">
        <x:v>0.4</x:v>
      </x:c>
      <x:c r="K759" s="48" t="str">
        <x:v>Yes</x:v>
      </x:c>
      <x:c r="L759" s="48" t="str">
        <x:v>PDF text</x:v>
      </x:c>
    </x:row>
    <x:row r="760">
      <x:c r="A760" s="48" t="str">
        <x:v>YELLOW-0759</x:v>
      </x:c>
      <x:c r="B760" s="48" t="str">
        <x:v>YELLOW</x:v>
      </x:c>
      <x:c r="C760" s="48" t="str">
        <x:v>English</x:v>
      </x:c>
      <x:c r="D760" s="48" t="n">
        <x:v>50</x:v>
      </x:c>
      <x:c r="E760" s="48" t="str"/>
      <x:c r="F760" s="48" t="str">
        <x:v>Contractor shall carry out the Tests on Completion as soon as practicable, before the expiry date of the Defects Notification Period.</x:v>
      </x:c>
      <x:c r="G760" s="48" t="str">
        <x:v>Obligation</x:v>
      </x:c>
      <x:c r="H760" s="48" t="str">
        <x:v>Contractor</x:v>
      </x:c>
      <x:c r="I760" s="48" t="n">
        <x:v>0.88</x:v>
      </x:c>
      <x:c r="J760" s="48" t="n">
        <x:v>0.68</x:v>
      </x:c>
      <x:c r="K760" s="48" t="str">
        <x:v>Yes</x:v>
      </x:c>
      <x:c r="L760" s="48" t="str">
        <x:v>PDF text</x:v>
      </x:c>
    </x:row>
    <x:row r="761">
      <x:c r="A761" s="48" t="str">
        <x:v>YELLOW-0760</x:v>
      </x:c>
      <x:c r="B761" s="48" t="str">
        <x:v>YELLOW</x:v>
      </x:c>
      <x:c r="C761" s="48" t="str">
        <x:v>English</x:v>
      </x:c>
      <x:c r="D761" s="48" t="n">
        <x:v>50</x:v>
      </x:c>
      <x:c r="E761" s="48" t="str"/>
      <x:c r="F761" s="48" t="str">
        <x:v>The Engineer shall require the Tests on Completion to be carried out by giving 14 days' notice and in accordance with the relevant provisions of the Contract.</x:v>
      </x:c>
      <x:c r="G761" s="48" t="str">
        <x:v>Obligation</x:v>
      </x:c>
      <x:c r="H761" s="48" t="str">
        <x:v>Shared</x:v>
      </x:c>
      <x:c r="I761" s="48" t="n">
        <x:v>0.88</x:v>
      </x:c>
      <x:c r="J761" s="48" t="n">
        <x:v>0.4</x:v>
      </x:c>
      <x:c r="K761" s="48" t="str">
        <x:v>Yes</x:v>
      </x:c>
      <x:c r="L761" s="48" t="str">
        <x:v>PDF text</x:v>
      </x:c>
    </x:row>
    <x:row r="762">
      <x:c r="A762" s="48" t="str">
        <x:v>YELLOW-0761</x:v>
      </x:c>
      <x:c r="B762" s="48" t="str">
        <x:v>YELLOW</x:v>
      </x:c>
      <x:c r="C762" s="48" t="str">
        <x:v>English</x:v>
      </x:c>
      <x:c r="D762" s="48" t="n">
        <x:v>50</x:v>
      </x:c>
      <x:c r="E762" s="48" t="str"/>
      <x:c r="F762" s="48" t="str">
        <x:v>If the Contractor suffers delay and/or incurs Cost as a result of this delay in carrying out the Tests on Completion, the Contractor shall give notice to the Engineer and shall be entitled subject to Sub-Clause 20.1 [Contractor's Claims] to: (a) an extension of time for any such delay, if completion is or will be delayed, under Sub-Clause 8.4 [Extension of Time for Completion], and (b) payment of any such Cost plus reasonable profit, which shall be included in the Contract Price.</x:v>
      </x:c>
      <x:c r="G762" s="48" t="str">
        <x:v>Risk</x:v>
      </x:c>
      <x:c r="H762" s="48" t="str">
        <x:v>Contractor</x:v>
      </x:c>
      <x:c r="I762" s="48" t="n">
        <x:v>0.78</x:v>
      </x:c>
      <x:c r="J762" s="48" t="n">
        <x:v>0.92</x:v>
      </x:c>
      <x:c r="K762" s="48" t="str">
        <x:v>No</x:v>
      </x:c>
      <x:c r="L762" s="48" t="str">
        <x:v>PDF text</x:v>
      </x:c>
    </x:row>
    <x:row r="763">
      <x:c r="A763" s="48" t="str">
        <x:v>YELLOW-0762</x:v>
      </x:c>
      <x:c r="B763" s="48" t="str">
        <x:v>YELLOW</x:v>
      </x:c>
      <x:c r="C763" s="48" t="str">
        <x:v>English</x:v>
      </x:c>
      <x:c r="D763" s="48" t="n">
        <x:v>50</x:v>
      </x:c>
      <x:c r="E763" s="48" t="str"/>
      <x:c r="F763" s="48" t="str">
        <x:v>Except as otherwise stated in a Taking-Over Certificate, a certificate for a Section or part of the Works shall not be deemed to certify completion of any ground or other surfaces requiring reinstatement.</x:v>
      </x:c>
      <x:c r="G763" s="48" t="str">
        <x:v>Obligation</x:v>
      </x:c>
      <x:c r="H763" s="48" t="str">
        <x:v>Shared</x:v>
      </x:c>
      <x:c r="I763" s="48" t="n">
        <x:v>0.88</x:v>
      </x:c>
      <x:c r="J763" s="48" t="n">
        <x:v>0.4</x:v>
      </x:c>
      <x:c r="K763" s="48" t="str">
        <x:v>Yes</x:v>
      </x:c>
      <x:c r="L763" s="48" t="str">
        <x:v>PDF text</x:v>
      </x:c>
    </x:row>
    <x:row r="764">
      <x:c r="A764" s="48" t="str">
        <x:v>YELLOW-0763</x:v>
      </x:c>
      <x:c r="B764" s="48" t="str">
        <x:v>YELLOW</x:v>
      </x:c>
      <x:c r="C764" s="48" t="str">
        <x:v>English</x:v>
      </x:c>
      <x:c r="D764" s="48" t="n">
        <x:v>50</x:v>
      </x:c>
      <x:c r="E764" s="48" t="str"/>
      <x:c r="F764" s="48" t="str">
        <x:v>In order that the Works and Contractor's Documents, and each Section, shall be in</x:v>
      </x:c>
      <x:c r="G764" s="48" t="str">
        <x:v>Obligation</x:v>
      </x:c>
      <x:c r="H764" s="48" t="str">
        <x:v>Contractor</x:v>
      </x:c>
      <x:c r="I764" s="48" t="n">
        <x:v>0.88</x:v>
      </x:c>
      <x:c r="J764" s="48" t="n">
        <x:v>0.68</x:v>
      </x:c>
      <x:c r="K764" s="48" t="str">
        <x:v>Yes</x:v>
      </x:c>
      <x:c r="L764" s="48" t="str">
        <x:v>PDF text</x:v>
      </x:c>
    </x:row>
    <x:row r="765">
      <x:c r="A765" s="48" t="str">
        <x:v>YELLOW-0764</x:v>
      </x:c>
      <x:c r="B765" s="48" t="str">
        <x:v>YELLOW</x:v>
      </x:c>
      <x:c r="C765" s="48" t="str">
        <x:v>English</x:v>
      </x:c>
      <x:c r="D765" s="48" t="n">
        <x:v>50</x:v>
      </x:c>
      <x:c r="E765" s="48" t="str"/>
      <x:c r="F765" s="48" t="str">
        <x:v>the condition required by the Contract (fair wear and tear excepted) by the expiry date of the relevant Defects Notification Period or as soon as practicable thereafter, the Contractor shall: (a) complete any work which is outstanding on the date stated in a Taking-Over</x:v>
      </x:c>
      <x:c r="G765" s="48" t="str">
        <x:v>Obligation</x:v>
      </x:c>
      <x:c r="H765" s="48" t="str">
        <x:v>Contractor</x:v>
      </x:c>
      <x:c r="I765" s="48" t="n">
        <x:v>0.88</x:v>
      </x:c>
      <x:c r="J765" s="48" t="n">
        <x:v>0.92</x:v>
      </x:c>
      <x:c r="K765" s="48" t="str">
        <x:v>No</x:v>
      </x:c>
      <x:c r="L765" s="48" t="str">
        <x:v>PDF text</x:v>
      </x:c>
    </x:row>
    <x:row r="766">
      <x:c r="A766" s="48" t="str">
        <x:v>YELLOW-0765</x:v>
      </x:c>
      <x:c r="B766" s="48" t="str">
        <x:v>YELLOW</x:v>
      </x:c>
      <x:c r="C766" s="48" t="str">
        <x:v>English</x:v>
      </x:c>
      <x:c r="D766" s="48" t="n">
        <x:v>50</x:v>
      </x:c>
      <x:c r="E766" s="48" t="str"/>
      <x:c r="F766" s="48" t="str">
        <x:v>Certificate, within such reasonable time as is instructed by the Engineer,</x:v>
      </x:c>
      <x:c r="G766" s="48" t="str">
        <x:v>Obligation</x:v>
      </x:c>
      <x:c r="H766" s="48" t="str">
        <x:v>Shared</x:v>
      </x:c>
      <x:c r="I766" s="48" t="n">
        <x:v>0.55</x:v>
      </x:c>
      <x:c r="J766" s="48" t="n">
        <x:v>0.4</x:v>
      </x:c>
      <x:c r="K766" s="48" t="str">
        <x:v>Yes</x:v>
      </x:c>
      <x:c r="L766" s="48" t="str">
        <x:v>PDF text</x:v>
      </x:c>
    </x:row>
    <x:row r="767">
      <x:c r="A767" s="48" t="str">
        <x:v>YELLOW-0766</x:v>
      </x:c>
      <x:c r="B767" s="48" t="str">
        <x:v>YELLOW</x:v>
      </x:c>
      <x:c r="C767" s="48" t="str">
        <x:v>English</x:v>
      </x:c>
      <x:c r="D767" s="48" t="n">
        <x:v>50</x:v>
      </x:c>
      <x:c r="E767" s="48" t="str"/>
      <x:c r="F767" s="48" t="str">
        <x:v>and (b) execute all work required to remedy defects or damage, as may be notified by (or on behalf of) the Employer on or before the expiry date of the Defects Notification Period for the Works or Section (as the case may be).</x:v>
      </x:c>
      <x:c r="G767" s="48" t="str">
        <x:v>Right</x:v>
      </x:c>
      <x:c r="H767" s="48" t="str">
        <x:v>Employer</x:v>
      </x:c>
      <x:c r="I767" s="48" t="n">
        <x:v>0.78</x:v>
      </x:c>
      <x:c r="J767" s="48" t="n">
        <x:v>0.68</x:v>
      </x:c>
      <x:c r="K767" s="48" t="str">
        <x:v>Yes</x:v>
      </x:c>
      <x:c r="L767" s="48" t="str">
        <x:v>PDF text</x:v>
      </x:c>
    </x:row>
    <x:row r="768">
      <x:c r="A768" s="48" t="str">
        <x:v>YELLOW-0767</x:v>
      </x:c>
      <x:c r="B768" s="48" t="str">
        <x:v>YELLOW</x:v>
      </x:c>
      <x:c r="C768" s="48" t="str">
        <x:v>English</x:v>
      </x:c>
      <x:c r="D768" s="48" t="n">
        <x:v>50</x:v>
      </x:c>
      <x:c r="E768" s="48" t="str"/>
      <x:c r="F768" s="48" t="str">
        <x:v>If a defect appears or damage occurs, the Contractor shall be notified accordingly, by (or on behalf of) the Employer.</x:v>
      </x:c>
      <x:c r="G768" s="48" t="str">
        <x:v>Risk</x:v>
      </x:c>
      <x:c r="H768" s="48" t="str">
        <x:v>Contractor</x:v>
      </x:c>
      <x:c r="I768" s="48" t="n">
        <x:v>0.78</x:v>
      </x:c>
      <x:c r="J768" s="48" t="n">
        <x:v>0.92</x:v>
      </x:c>
      <x:c r="K768" s="48" t="str">
        <x:v>No</x:v>
      </x:c>
      <x:c r="L768" s="48" t="str">
        <x:v>PDF text</x:v>
      </x:c>
    </x:row>
    <x:row r="769">
      <x:c r="A769" s="48" t="str">
        <x:v>YELLOW-0768</x:v>
      </x:c>
      <x:c r="B769" s="48" t="str">
        <x:v>YELLOW</x:v>
      </x:c>
      <x:c r="C769" s="48" t="str">
        <x:v>English</x:v>
      </x:c>
      <x:c r="D769" s="48" t="n">
        <x:v>50</x:v>
      </x:c>
      <x:c r="E769" s="48" t="str"/>
      <x:c r="F769" s="48" t="str">
        <x:v>All work referred to in sub-paragraph (b) of Sub-Clause 11.1 [Completion of Outstanding Work and Remedying Defects] shall be executed at the risk and cost of the Contractor, if and to the extent that the work is attributable to: (a) the design of the Works, other than a part of the design for which the Employer is responsible (if any), (b)</x:v>
      </x:c>
      <x:c r="G769" s="48" t="str">
        <x:v>Risk</x:v>
      </x:c>
      <x:c r="H769" s="48" t="str">
        <x:v>Shared</x:v>
      </x:c>
      <x:c r="I769" s="48" t="n">
        <x:v>0.78</x:v>
      </x:c>
      <x:c r="J769" s="48" t="n">
        <x:v>0.6</x:v>
      </x:c>
      <x:c r="K769" s="48" t="str">
        <x:v>Yes</x:v>
      </x:c>
      <x:c r="L769" s="48" t="str">
        <x:v>PDF text</x:v>
      </x:c>
    </x:row>
    <x:row r="770">
      <x:c r="A770" s="48" t="str">
        <x:v>YELLOW-0769</x:v>
      </x:c>
      <x:c r="B770" s="48" t="str">
        <x:v>YELLOW</x:v>
      </x:c>
      <x:c r="C770" s="48" t="str">
        <x:v>English</x:v>
      </x:c>
      <x:c r="D770" s="48" t="n">
        <x:v>50</x:v>
      </x:c>
      <x:c r="E770" s="48" t="str"/>
      <x:c r="F770" s="48" t="str">
        <x:v>Plant, Materials or workmanship not being in accordance with the Contract,</x:v>
      </x:c>
      <x:c r="G770" s="48" t="str">
        <x:v>Obligation</x:v>
      </x:c>
      <x:c r="H770" s="48" t="str">
        <x:v>Shared</x:v>
      </x:c>
      <x:c r="I770" s="48" t="n">
        <x:v>0.45</x:v>
      </x:c>
      <x:c r="J770" s="48" t="n">
        <x:v>0.4</x:v>
      </x:c>
      <x:c r="K770" s="48" t="str">
        <x:v>Yes</x:v>
      </x:c>
      <x:c r="L770" s="48" t="str">
        <x:v>PDF text</x:v>
      </x:c>
    </x:row>
    <x:row r="771">
      <x:c r="A771" s="48" t="str">
        <x:v>YELLOW-0770</x:v>
      </x:c>
      <x:c r="B771" s="48" t="str">
        <x:v>YELLOW</x:v>
      </x:c>
      <x:c r="C771" s="48" t="str">
        <x:v>English</x:v>
      </x:c>
      <x:c r="D771" s="48" t="n">
        <x:v>50</x:v>
      </x:c>
      <x:c r="E771" s="48" t="str"/>
      <x:c r="F771" s="48" t="str">
        <x:v>Interference with Tests</x:v>
      </x:c>
      <x:c r="G771" s="48" t="str">
        <x:v>Obligation</x:v>
      </x:c>
      <x:c r="H771" s="48" t="str">
        <x:v>Shared</x:v>
      </x:c>
      <x:c r="I771" s="48" t="n">
        <x:v>0.45</x:v>
      </x:c>
      <x:c r="J771" s="48" t="n">
        <x:v>0.4</x:v>
      </x:c>
      <x:c r="K771" s="48" t="str">
        <x:v>Yes</x:v>
      </x:c>
      <x:c r="L771" s="48" t="str">
        <x:v>PDF text</x:v>
      </x:c>
    </x:row>
    <x:row r="772">
      <x:c r="A772" s="48" t="str">
        <x:v>YELLOW-0771</x:v>
      </x:c>
      <x:c r="B772" s="48" t="str">
        <x:v>YELLOW</x:v>
      </x:c>
      <x:c r="C772" s="48" t="str">
        <x:v>English</x:v>
      </x:c>
      <x:c r="D772" s="48" t="n">
        <x:v>50</x:v>
      </x:c>
      <x:c r="E772" s="48" t="str"/>
      <x:c r="F772" s="48" t="str">
        <x:v>on Completion 10.4</x:v>
      </x:c>
      <x:c r="G772" s="48" t="str">
        <x:v>Obligation</x:v>
      </x:c>
      <x:c r="H772" s="48" t="str">
        <x:v>Shared</x:v>
      </x:c>
      <x:c r="I772" s="48" t="n">
        <x:v>0.45</x:v>
      </x:c>
      <x:c r="J772" s="48" t="n">
        <x:v>0.4</x:v>
      </x:c>
      <x:c r="K772" s="48" t="str">
        <x:v>Yes</x:v>
      </x:c>
      <x:c r="L772" s="48" t="str">
        <x:v>PDF text</x:v>
      </x:c>
    </x:row>
    <x:row r="773">
      <x:c r="A773" s="48" t="str">
        <x:v>YELLOW-0772</x:v>
      </x:c>
      <x:c r="B773" s="48" t="str">
        <x:v>YELLOW</x:v>
      </x:c>
      <x:c r="C773" s="48" t="str">
        <x:v>English</x:v>
      </x:c>
      <x:c r="D773" s="48" t="n">
        <x:v>50</x:v>
      </x:c>
      <x:c r="E773" s="48" t="str"/>
      <x:c r="F773" s="48" t="str">
        <x:v>Surfaces Requiring</x:v>
      </x:c>
      <x:c r="G773" s="48" t="str">
        <x:v>Obligation</x:v>
      </x:c>
      <x:c r="H773" s="48" t="str">
        <x:v>Shared</x:v>
      </x:c>
      <x:c r="I773" s="48" t="n">
        <x:v>0.45</x:v>
      </x:c>
      <x:c r="J773" s="48" t="n">
        <x:v>0.4</x:v>
      </x:c>
      <x:c r="K773" s="48" t="str">
        <x:v>Yes</x:v>
      </x:c>
      <x:c r="L773" s="48" t="str">
        <x:v>PDF text</x:v>
      </x:c>
    </x:row>
    <x:row r="774">
      <x:c r="A774" s="48" t="str">
        <x:v>YELLOW-0773</x:v>
      </x:c>
      <x:c r="B774" s="48" t="str">
        <x:v>YELLOW</x:v>
      </x:c>
      <x:c r="C774" s="48" t="str">
        <x:v>English</x:v>
      </x:c>
      <x:c r="D774" s="48" t="n">
        <x:v>50</x:v>
      </x:c>
      <x:c r="E774" s="48" t="str"/>
      <x:c r="F774" s="48" t="str">
        <x:v>Reinstatement</x:v>
      </x:c>
      <x:c r="G774" s="48" t="str">
        <x:v>Obligation</x:v>
      </x:c>
      <x:c r="H774" s="48" t="str">
        <x:v>Shared</x:v>
      </x:c>
      <x:c r="I774" s="48" t="n">
        <x:v>0.45</x:v>
      </x:c>
      <x:c r="J774" s="48" t="n">
        <x:v>0.4</x:v>
      </x:c>
      <x:c r="K774" s="48" t="str">
        <x:v>Yes</x:v>
      </x:c>
      <x:c r="L774" s="48" t="str">
        <x:v>PDF text</x:v>
      </x:c>
    </x:row>
    <x:row r="775">
      <x:c r="A775" s="48" t="str">
        <x:v>YELLOW-0774</x:v>
      </x:c>
      <x:c r="B775" s="48" t="str">
        <x:v>YELLOW</x:v>
      </x:c>
      <x:c r="C775" s="48" t="str">
        <x:v>English</x:v>
      </x:c>
      <x:c r="D775" s="48" t="n">
        <x:v>50</x:v>
      </x:c>
      <x:c r="E775" s="48" t="str"/>
      <x:c r="F775" s="48" t="str">
        <x:v>Completion of</x:v>
      </x:c>
      <x:c r="G775" s="48" t="str">
        <x:v>Obligation</x:v>
      </x:c>
      <x:c r="H775" s="48" t="str">
        <x:v>Shared</x:v>
      </x:c>
      <x:c r="I775" s="48" t="n">
        <x:v>0.45</x:v>
      </x:c>
      <x:c r="J775" s="48" t="n">
        <x:v>0.4</x:v>
      </x:c>
      <x:c r="K775" s="48" t="str">
        <x:v>Yes</x:v>
      </x:c>
      <x:c r="L775" s="48" t="str">
        <x:v>PDF text</x:v>
      </x:c>
    </x:row>
    <x:row r="776">
      <x:c r="A776" s="48" t="str">
        <x:v>YELLOW-0775</x:v>
      </x:c>
      <x:c r="B776" s="48" t="str">
        <x:v>YELLOW</x:v>
      </x:c>
      <x:c r="C776" s="48" t="str">
        <x:v>English</x:v>
      </x:c>
      <x:c r="D776" s="48" t="n">
        <x:v>50</x:v>
      </x:c>
      <x:c r="E776" s="48" t="str"/>
      <x:c r="F776" s="48" t="str">
        <x:v>Outstanding Work and</x:v>
      </x:c>
      <x:c r="G776" s="48" t="str">
        <x:v>Obligation</x:v>
      </x:c>
      <x:c r="H776" s="48" t="str">
        <x:v>Shared</x:v>
      </x:c>
      <x:c r="I776" s="48" t="n">
        <x:v>0.45</x:v>
      </x:c>
      <x:c r="J776" s="48" t="n">
        <x:v>0.4</x:v>
      </x:c>
      <x:c r="K776" s="48" t="str">
        <x:v>Yes</x:v>
      </x:c>
      <x:c r="L776" s="48" t="str">
        <x:v>PDF text</x:v>
      </x:c>
    </x:row>
    <x:row r="777">
      <x:c r="A777" s="48" t="str">
        <x:v>YELLOW-0776</x:v>
      </x:c>
      <x:c r="B777" s="48" t="str">
        <x:v>YELLOW</x:v>
      </x:c>
      <x:c r="C777" s="48" t="str">
        <x:v>English</x:v>
      </x:c>
      <x:c r="D777" s="48" t="n">
        <x:v>50</x:v>
      </x:c>
      <x:c r="E777" s="48" t="str"/>
      <x:c r="F777" s="48" t="str">
        <x:v>Remedying Defects</x:v>
      </x:c>
      <x:c r="G777" s="48" t="str">
        <x:v>Obligation</x:v>
      </x:c>
      <x:c r="H777" s="48" t="str">
        <x:v>Shared</x:v>
      </x:c>
      <x:c r="I777" s="48" t="n">
        <x:v>0.45</x:v>
      </x:c>
      <x:c r="J777" s="48" t="n">
        <x:v>0.4</x:v>
      </x:c>
      <x:c r="K777" s="48" t="str">
        <x:v>Yes</x:v>
      </x:c>
      <x:c r="L777" s="48" t="str">
        <x:v>PDF text</x:v>
      </x:c>
    </x:row>
    <x:row r="778">
      <x:c r="A778" s="48" t="str">
        <x:v>YELLOW-0777</x:v>
      </x:c>
      <x:c r="B778" s="48" t="str">
        <x:v>YELLOW</x:v>
      </x:c>
      <x:c r="C778" s="48" t="str">
        <x:v>English</x:v>
      </x:c>
      <x:c r="D778" s="48" t="n">
        <x:v>50</x:v>
      </x:c>
      <x:c r="E778" s="48" t="str"/>
      <x:c r="F778" s="48" t="str">
        <x:v>Cost of Remedying</x:v>
      </x:c>
      <x:c r="G778" s="48" t="str">
        <x:v>Obligation</x:v>
      </x:c>
      <x:c r="H778" s="48" t="str">
        <x:v>Shared</x:v>
      </x:c>
      <x:c r="I778" s="48" t="n">
        <x:v>0.45</x:v>
      </x:c>
      <x:c r="J778" s="48" t="n">
        <x:v>0.4</x:v>
      </x:c>
      <x:c r="K778" s="48" t="str">
        <x:v>Yes</x:v>
      </x:c>
      <x:c r="L778" s="48" t="str">
        <x:v>PDF text</x:v>
      </x:c>
    </x:row>
    <x:row r="779">
      <x:c r="A779" s="48" t="str">
        <x:v>YELLOW-0778</x:v>
      </x:c>
      <x:c r="B779" s="48" t="str">
        <x:v>YELLOW</x:v>
      </x:c>
      <x:c r="C779" s="48" t="str">
        <x:v>English</x:v>
      </x:c>
      <x:c r="D779" s="48" t="n">
        <x:v>50</x:v>
      </x:c>
      <x:c r="E779" s="48" t="str"/>
      <x:c r="F779" s="48" t="str">
        <x:v>Defects Liability</x:v>
      </x:c>
      <x:c r="G779" s="48" t="str">
        <x:v>Risk</x:v>
      </x:c>
      <x:c r="H779" s="48" t="str">
        <x:v>Shared</x:v>
      </x:c>
      <x:c r="I779" s="48" t="n">
        <x:v>0.78</x:v>
      </x:c>
      <x:c r="J779" s="48" t="n">
        <x:v>0.4</x:v>
      </x:c>
      <x:c r="K779" s="48" t="str">
        <x:v>Yes</x:v>
      </x:c>
      <x:c r="L779" s="48" t="str">
        <x:v>PDF text</x:v>
      </x:c>
    </x:row>
    <x:row r="780">
      <x:c r="A780" s="48" t="str">
        <x:v>YELLOW-0779</x:v>
      </x:c>
      <x:c r="B780" s="48" t="str">
        <x:v>YELLOW</x:v>
      </x:c>
      <x:c r="C780" s="48" t="str">
        <x:v>English</x:v>
      </x:c>
      <x:c r="D780" s="48" t="n">
        <x:v>51</x:v>
      </x:c>
      <x:c r="E780" s="48" t="str"/>
      <x:c r="F780" s="48" t="str">
        <x:v>(c) improper operation or maintenance which was attributable to matters for which the Contractor is responsible (under Sub-Clauses 5.5 to 5.7 or otherwise), or (d) failure by the Contractor to comply with any other obligation.</x:v>
      </x:c>
      <x:c r="G780" s="48" t="str">
        <x:v>Obligation</x:v>
      </x:c>
      <x:c r="H780" s="48" t="str">
        <x:v>Contractor</x:v>
      </x:c>
      <x:c r="I780" s="48" t="n">
        <x:v>0.45</x:v>
      </x:c>
      <x:c r="J780" s="48" t="n">
        <x:v>0.68</x:v>
      </x:c>
      <x:c r="K780" s="48" t="str">
        <x:v>Yes</x:v>
      </x:c>
      <x:c r="L780" s="48" t="str">
        <x:v>PDF text</x:v>
      </x:c>
    </x:row>
    <x:row r="781">
      <x:c r="A781" s="48" t="str">
        <x:v>YELLOW-0780</x:v>
      </x:c>
      <x:c r="B781" s="48" t="str">
        <x:v>YELLOW</x:v>
      </x:c>
      <x:c r="C781" s="48" t="str">
        <x:v>English</x:v>
      </x:c>
      <x:c r="D781" s="48" t="n">
        <x:v>51</x:v>
      </x:c>
      <x:c r="E781" s="48" t="str"/>
      <x:c r="F781" s="48" t="str">
        <x:v>If and to the extent that such work is attributable to any other cause, the Contractor shall be notified promptly by (or on behalf of) the Employer, and Sub-Clause 13.3 [Variation Procedure] shall apply.</x:v>
      </x:c>
      <x:c r="G781" s="48" t="str">
        <x:v>Obligation</x:v>
      </x:c>
      <x:c r="H781" s="48" t="str">
        <x:v>Contractor</x:v>
      </x:c>
      <x:c r="I781" s="48" t="n">
        <x:v>0.88</x:v>
      </x:c>
      <x:c r="J781" s="48" t="n">
        <x:v>0.92</x:v>
      </x:c>
      <x:c r="K781" s="48" t="str">
        <x:v>No</x:v>
      </x:c>
      <x:c r="L781" s="48" t="str">
        <x:v>PDF text</x:v>
      </x:c>
    </x:row>
    <x:row r="782">
      <x:c r="A782" s="48" t="str">
        <x:v>YELLOW-0781</x:v>
      </x:c>
      <x:c r="B782" s="48" t="str">
        <x:v>YELLOW</x:v>
      </x:c>
      <x:c r="C782" s="48" t="str">
        <x:v>English</x:v>
      </x:c>
      <x:c r="D782" s="48" t="n">
        <x:v>51</x:v>
      </x:c>
      <x:c r="E782" s="48" t="str"/>
      <x:c r="F782" s="48" t="str">
        <x:v>The Employer shall be entitled subject to Sub-Clause 2.5 [Employer's Claims] to an extension of the Defects Notification Period for the Works or a Section if and to the extent that the Works, Section or a major item of Plant (as the case may be, and after taking over) cannot be used for the purposes for which they are intended by reason of a defect or damage.</x:v>
      </x:c>
      <x:c r="G782" s="48" t="str">
        <x:v>Risk</x:v>
      </x:c>
      <x:c r="H782" s="48" t="str">
        <x:v>Employer</x:v>
      </x:c>
      <x:c r="I782" s="48" t="n">
        <x:v>0.78</x:v>
      </x:c>
      <x:c r="J782" s="48" t="n">
        <x:v>0.92</x:v>
      </x:c>
      <x:c r="K782" s="48" t="str">
        <x:v>No</x:v>
      </x:c>
      <x:c r="L782" s="48" t="str">
        <x:v>PDF text</x:v>
      </x:c>
    </x:row>
    <x:row r="783">
      <x:c r="A783" s="48" t="str">
        <x:v>YELLOW-0782</x:v>
      </x:c>
      <x:c r="B783" s="48" t="str">
        <x:v>YELLOW</x:v>
      </x:c>
      <x:c r="C783" s="48" t="str">
        <x:v>English</x:v>
      </x:c>
      <x:c r="D783" s="48" t="n">
        <x:v>51</x:v>
      </x:c>
      <x:c r="E783" s="48" t="str"/>
      <x:c r="F783" s="48" t="str">
        <x:v>However, a Defects Notification Period shall not be extended by more than two years.</x:v>
      </x:c>
      <x:c r="G783" s="48" t="str">
        <x:v>Obligation</x:v>
      </x:c>
      <x:c r="H783" s="48" t="str">
        <x:v>Shared</x:v>
      </x:c>
      <x:c r="I783" s="48" t="n">
        <x:v>0.88</x:v>
      </x:c>
      <x:c r="J783" s="48" t="n">
        <x:v>0.4</x:v>
      </x:c>
      <x:c r="K783" s="48" t="str">
        <x:v>Yes</x:v>
      </x:c>
      <x:c r="L783" s="48" t="str">
        <x:v>PDF text</x:v>
      </x:c>
    </x:row>
    <x:row r="784">
      <x:c r="A784" s="48" t="str">
        <x:v>YELLOW-0783</x:v>
      </x:c>
      <x:c r="B784" s="48" t="str">
        <x:v>YELLOW</x:v>
      </x:c>
      <x:c r="C784" s="48" t="str">
        <x:v>English</x:v>
      </x:c>
      <x:c r="D784" s="48" t="n">
        <x:v>51</x:v>
      </x:c>
      <x:c r="E784" s="48" t="str"/>
      <x:c r="F784" s="48" t="str">
        <x:v>If delivery and/or erection of Plant and/or Materials was suspended under Sub-Clause</x:v>
      </x:c>
      <x:c r="G784" s="48" t="str">
        <x:v>Obligation</x:v>
      </x:c>
      <x:c r="H784" s="48" t="str">
        <x:v>Shared</x:v>
      </x:c>
      <x:c r="I784" s="48" t="n">
        <x:v>0.45</x:v>
      </x:c>
      <x:c r="J784" s="48" t="n">
        <x:v>0.4</x:v>
      </x:c>
      <x:c r="K784" s="48" t="str">
        <x:v>Yes</x:v>
      </x:c>
      <x:c r="L784" s="48" t="str">
        <x:v>PDF text</x:v>
      </x:c>
    </x:row>
    <x:row r="785">
      <x:c r="A785" s="48" t="str">
        <x:v>YELLOW-0784</x:v>
      </x:c>
      <x:c r="B785" s="48" t="str">
        <x:v>YELLOW</x:v>
      </x:c>
      <x:c r="C785" s="48" t="str">
        <x:v>English</x:v>
      </x:c>
      <x:c r="D785" s="48" t="n">
        <x:v>51</x:v>
      </x:c>
      <x:c r="E785" s="48" t="str">
        <x:v>8.8</x:v>
      </x:c>
      <x:c r="F785" s="48" t="str">
        <x:v>8.8 [Suspension of Work] or Sub-Clause 16.1 [Contractor's Entitlement to Suspend</x:v>
      </x:c>
      <x:c r="G785" s="48" t="str">
        <x:v>Obligation</x:v>
      </x:c>
      <x:c r="H785" s="48" t="str">
        <x:v>Contractor</x:v>
      </x:c>
      <x:c r="I785" s="48" t="n">
        <x:v>0.45</x:v>
      </x:c>
      <x:c r="J785" s="48" t="n">
        <x:v>0.68</x:v>
      </x:c>
      <x:c r="K785" s="48" t="str">
        <x:v>Yes</x:v>
      </x:c>
      <x:c r="L785" s="48" t="str">
        <x:v>PDF text</x:v>
      </x:c>
    </x:row>
    <x:row r="786">
      <x:c r="A786" s="48" t="str">
        <x:v>YELLOW-0785</x:v>
      </x:c>
      <x:c r="B786" s="48" t="str">
        <x:v>YELLOW</x:v>
      </x:c>
      <x:c r="C786" s="48" t="str">
        <x:v>English</x:v>
      </x:c>
      <x:c r="D786" s="48" t="n">
        <x:v>51</x:v>
      </x:c>
      <x:c r="E786" s="48" t="str"/>
      <x:c r="F786" s="48" t="str">
        <x:v>Work], the Contractor's obligations under this Clause shall not apply to any defects or damage occurring more than two years after the Defects Notification Period for the Plant and/or Materials would otherwise have expired.</x:v>
      </x:c>
      <x:c r="G786" s="48" t="str">
        <x:v>Obligation</x:v>
      </x:c>
      <x:c r="H786" s="48" t="str">
        <x:v>Contractor</x:v>
      </x:c>
      <x:c r="I786" s="48" t="n">
        <x:v>0.88</x:v>
      </x:c>
      <x:c r="J786" s="48" t="n">
        <x:v>0.68</x:v>
      </x:c>
      <x:c r="K786" s="48" t="str">
        <x:v>Yes</x:v>
      </x:c>
      <x:c r="L786" s="48" t="str">
        <x:v>PDF text</x:v>
      </x:c>
    </x:row>
    <x:row r="787">
      <x:c r="A787" s="48" t="str">
        <x:v>YELLOW-0786</x:v>
      </x:c>
      <x:c r="B787" s="48" t="str">
        <x:v>YELLOW</x:v>
      </x:c>
      <x:c r="C787" s="48" t="str">
        <x:v>English</x:v>
      </x:c>
      <x:c r="D787" s="48" t="n">
        <x:v>51</x:v>
      </x:c>
      <x:c r="E787" s="48" t="str"/>
      <x:c r="F787" s="48" t="str">
        <x:v>If the Contractor fails to remedy any defect or damage within a reasonable time, a date may be fixed by (or on behalf of) the Employer, on or by which the defect or damage is to be remedied.</x:v>
      </x:c>
      <x:c r="G787" s="48" t="str">
        <x:v>Risk</x:v>
      </x:c>
      <x:c r="H787" s="48" t="str">
        <x:v>Shared</x:v>
      </x:c>
      <x:c r="I787" s="48" t="n">
        <x:v>0.78</x:v>
      </x:c>
      <x:c r="J787" s="48" t="n">
        <x:v>0.6</x:v>
      </x:c>
      <x:c r="K787" s="48" t="str">
        <x:v>Yes</x:v>
      </x:c>
      <x:c r="L787" s="48" t="str">
        <x:v>PDF text</x:v>
      </x:c>
    </x:row>
    <x:row r="788">
      <x:c r="A788" s="48" t="str">
        <x:v>YELLOW-0787</x:v>
      </x:c>
      <x:c r="B788" s="48" t="str">
        <x:v>YELLOW</x:v>
      </x:c>
      <x:c r="C788" s="48" t="str">
        <x:v>English</x:v>
      </x:c>
      <x:c r="D788" s="48" t="n">
        <x:v>51</x:v>
      </x:c>
      <x:c r="E788" s="48" t="str"/>
      <x:c r="F788" s="48" t="str">
        <x:v>The Contractor shall be given reasonable notice of this date.</x:v>
      </x:c>
      <x:c r="G788" s="48" t="str">
        <x:v>Obligation</x:v>
      </x:c>
      <x:c r="H788" s="48" t="str">
        <x:v>Contractor</x:v>
      </x:c>
      <x:c r="I788" s="48" t="n">
        <x:v>0.88</x:v>
      </x:c>
      <x:c r="J788" s="48" t="n">
        <x:v>0.92</x:v>
      </x:c>
      <x:c r="K788" s="48" t="str">
        <x:v>No</x:v>
      </x:c>
      <x:c r="L788" s="48" t="str">
        <x:v>PDF text</x:v>
      </x:c>
    </x:row>
    <x:row r="789">
      <x:c r="A789" s="48" t="str">
        <x:v>YELLOW-0788</x:v>
      </x:c>
      <x:c r="B789" s="48" t="str">
        <x:v>YELLOW</x:v>
      </x:c>
      <x:c r="C789" s="48" t="str">
        <x:v>English</x:v>
      </x:c>
      <x:c r="D789" s="48" t="n">
        <x:v>51</x:v>
      </x:c>
      <x:c r="E789" s="48" t="str"/>
      <x:c r="F789" s="48" t="str">
        <x:v>If the Contractor fails to remedy the defect or damage by this notified date and this remedial work was to be executed at the cost of the Contractor under Sub-Clause</x:v>
      </x:c>
      <x:c r="G789" s="48" t="str">
        <x:v>Risk</x:v>
      </x:c>
      <x:c r="H789" s="48" t="str">
        <x:v>Contractor</x:v>
      </x:c>
      <x:c r="I789" s="48" t="n">
        <x:v>0.78</x:v>
      </x:c>
      <x:c r="J789" s="48" t="n">
        <x:v>0.68</x:v>
      </x:c>
      <x:c r="K789" s="48" t="str">
        <x:v>Yes</x:v>
      </x:c>
      <x:c r="L789" s="48" t="str">
        <x:v>PDF text</x:v>
      </x:c>
    </x:row>
    <x:row r="790">
      <x:c r="A790" s="48" t="str">
        <x:v>YELLOW-0789</x:v>
      </x:c>
      <x:c r="B790" s="48" t="str">
        <x:v>YELLOW</x:v>
      </x:c>
      <x:c r="C790" s="48" t="str">
        <x:v>English</x:v>
      </x:c>
      <x:c r="D790" s="48" t="n">
        <x:v>51</x:v>
      </x:c>
      <x:c r="E790" s="48" t="str">
        <x:v>11.2</x:v>
      </x:c>
      <x:c r="F790" s="48" t="str">
        <x:v>11.2 [Cost of Remedying Defects], the Employer may (at his option):</x:v>
      </x:c>
      <x:c r="G790" s="48" t="str">
        <x:v>Obligation</x:v>
      </x:c>
      <x:c r="H790" s="48" t="str">
        <x:v>Employer</x:v>
      </x:c>
      <x:c r="I790" s="48" t="n">
        <x:v>0.45</x:v>
      </x:c>
      <x:c r="J790" s="48" t="n">
        <x:v>0.68</x:v>
      </x:c>
      <x:c r="K790" s="48" t="str">
        <x:v>Yes</x:v>
      </x:c>
      <x:c r="L790" s="48" t="str">
        <x:v>PDF text</x:v>
      </x:c>
    </x:row>
    <x:row r="791">
      <x:c r="A791" s="48" t="str">
        <x:v>YELLOW-0790</x:v>
      </x:c>
      <x:c r="B791" s="48" t="str">
        <x:v>YELLOW</x:v>
      </x:c>
      <x:c r="C791" s="48" t="str">
        <x:v>English</x:v>
      </x:c>
      <x:c r="D791" s="48" t="n">
        <x:v>51</x:v>
      </x:c>
      <x:c r="E791" s="48" t="str"/>
      <x:c r="F791" s="48" t="str">
        <x:v>(a) carry out the work himself or by others, in a reasonable manner and at the Contractor's cost, but the Contractor shall have no responsibility for this work; and the Contractor shall subject to Sub-Clause 2.5 [Employer's Claims] pay to the Employer the costs reasonably incurred by the Employer in remedying the defect or damage; (b) require the Engineer to agree or determine a reasonable reduction in the Contract Price in accordance with Sub-Clause 3.5 [Determinations]; or (c) if the defect or damage deprives the Employer of substantially the whole benefit of the Works or any major part of the Works, terminate the Contract as a whole, or in respect of such major part which cannot be put to the intended use.</x:v>
      </x:c>
      <x:c r="G791" s="48" t="str">
        <x:v>Risk</x:v>
      </x:c>
      <x:c r="H791" s="48" t="str">
        <x:v>Contractor</x:v>
      </x:c>
      <x:c r="I791" s="48" t="n">
        <x:v>0.78</x:v>
      </x:c>
      <x:c r="J791" s="48" t="n">
        <x:v>0.92</x:v>
      </x:c>
      <x:c r="K791" s="48" t="str">
        <x:v>No</x:v>
      </x:c>
      <x:c r="L791" s="48" t="str">
        <x:v>PDF text</x:v>
      </x:c>
    </x:row>
    <x:row r="792">
      <x:c r="A792" s="48" t="str">
        <x:v>YELLOW-0791</x:v>
      </x:c>
      <x:c r="B792" s="48" t="str">
        <x:v>YELLOW</x:v>
      </x:c>
      <x:c r="C792" s="48" t="str">
        <x:v>English</x:v>
      </x:c>
      <x:c r="D792" s="48" t="n">
        <x:v>51</x:v>
      </x:c>
      <x:c r="E792" s="48" t="str"/>
      <x:c r="F792" s="48" t="str">
        <x:v>Without prejudice to any other rights, under the Contract or otherwise, the</x:v>
      </x:c>
      <x:c r="G792" s="48" t="str">
        <x:v>Obligation</x:v>
      </x:c>
      <x:c r="H792" s="48" t="str">
        <x:v>Shared</x:v>
      </x:c>
      <x:c r="I792" s="48" t="n">
        <x:v>0.45</x:v>
      </x:c>
      <x:c r="J792" s="48" t="n">
        <x:v>0.4</x:v>
      </x:c>
      <x:c r="K792" s="48" t="str">
        <x:v>Yes</x:v>
      </x:c>
      <x:c r="L792" s="48" t="str">
        <x:v>PDF text</x:v>
      </x:c>
    </x:row>
    <x:row r="793">
      <x:c r="A793" s="48" t="str">
        <x:v>YELLOW-0792</x:v>
      </x:c>
      <x:c r="B793" s="48" t="str">
        <x:v>YELLOW</x:v>
      </x:c>
      <x:c r="C793" s="48" t="str">
        <x:v>English</x:v>
      </x:c>
      <x:c r="D793" s="48" t="n">
        <x:v>51</x:v>
      </x:c>
      <x:c r="E793" s="48" t="str"/>
      <x:c r="F793" s="48" t="str">
        <x:v>Employer shall then be entitled to recover all sums paid for the Works or for</x:v>
      </x:c>
      <x:c r="G793" s="48" t="str">
        <x:v>Obligation</x:v>
      </x:c>
      <x:c r="H793" s="48" t="str">
        <x:v>Employer</x:v>
      </x:c>
      <x:c r="I793" s="48" t="n">
        <x:v>0.88</x:v>
      </x:c>
      <x:c r="J793" s="48" t="n">
        <x:v>0.68</x:v>
      </x:c>
      <x:c r="K793" s="48" t="str">
        <x:v>Yes</x:v>
      </x:c>
      <x:c r="L793" s="48" t="str">
        <x:v>PDF text</x:v>
      </x:c>
    </x:row>
    <x:row r="794">
      <x:c r="A794" s="48" t="str">
        <x:v>YELLOW-0793</x:v>
      </x:c>
      <x:c r="B794" s="48" t="str">
        <x:v>YELLOW</x:v>
      </x:c>
      <x:c r="C794" s="48" t="str">
        <x:v>English</x:v>
      </x:c>
      <x:c r="D794" s="48" t="n">
        <x:v>51</x:v>
      </x:c>
      <x:c r="E794" s="48" t="str"/>
      <x:c r="F794" s="48" t="str">
        <x:v>such part (as the case may be), plus financing costs and the cost of dismantling the same, clearing the Site and returning Plant and Materials to the Contractor.</x:v>
      </x:c>
      <x:c r="G794" s="48" t="str">
        <x:v>Right</x:v>
      </x:c>
      <x:c r="H794" s="48" t="str">
        <x:v>Contractor</x:v>
      </x:c>
      <x:c r="I794" s="48" t="n">
        <x:v>0.78</x:v>
      </x:c>
      <x:c r="J794" s="48" t="n">
        <x:v>0.68</x:v>
      </x:c>
      <x:c r="K794" s="48" t="str">
        <x:v>Yes</x:v>
      </x:c>
      <x:c r="L794" s="48" t="str">
        <x:v>PDF text</x:v>
      </x:c>
    </x:row>
    <x:row r="795">
      <x:c r="A795" s="48" t="str">
        <x:v>YELLOW-0794</x:v>
      </x:c>
      <x:c r="B795" s="48" t="str">
        <x:v>YELLOW</x:v>
      </x:c>
      <x:c r="C795" s="48" t="str">
        <x:v>English</x:v>
      </x:c>
      <x:c r="D795" s="48" t="n">
        <x:v>51</x:v>
      </x:c>
      <x:c r="E795" s="48" t="str"/>
      <x:c r="F795" s="48" t="str">
        <x:v>If the defect or damage cannot be remedied expeditiously on the Site and the</x:v>
      </x:c>
      <x:c r="G795" s="48" t="str">
        <x:v>Risk</x:v>
      </x:c>
      <x:c r="H795" s="48" t="str">
        <x:v>Shared</x:v>
      </x:c>
      <x:c r="I795" s="48" t="n">
        <x:v>0.78</x:v>
      </x:c>
      <x:c r="J795" s="48" t="n">
        <x:v>0.4</x:v>
      </x:c>
      <x:c r="K795" s="48" t="str">
        <x:v>Yes</x:v>
      </x:c>
      <x:c r="L795" s="48" t="str">
        <x:v>PDF text</x:v>
      </x:c>
    </x:row>
    <x:row r="796">
      <x:c r="A796" s="48" t="str">
        <x:v>YELLOW-0795</x:v>
      </x:c>
      <x:c r="B796" s="48" t="str">
        <x:v>YELLOW</x:v>
      </x:c>
      <x:c r="C796" s="48" t="str">
        <x:v>English</x:v>
      </x:c>
      <x:c r="D796" s="48" t="n">
        <x:v>51</x:v>
      </x:c>
      <x:c r="E796" s="48" t="str"/>
      <x:c r="F796" s="48" t="str">
        <x:v>Employer gives consent, the Contractor may remove from the Site for the purposes</x:v>
      </x:c>
      <x:c r="G796" s="48" t="str">
        <x:v>Right</x:v>
      </x:c>
      <x:c r="H796" s="48" t="str">
        <x:v>Contractor</x:v>
      </x:c>
      <x:c r="I796" s="48" t="n">
        <x:v>0.78</x:v>
      </x:c>
      <x:c r="J796" s="48" t="n">
        <x:v>0.92</x:v>
      </x:c>
      <x:c r="K796" s="48" t="str">
        <x:v>No</x:v>
      </x:c>
      <x:c r="L796" s="48" t="str">
        <x:v>PDF text</x:v>
      </x:c>
    </x:row>
    <x:row r="797">
      <x:c r="A797" s="48" t="str">
        <x:v>YELLOW-0796</x:v>
      </x:c>
      <x:c r="B797" s="48" t="str">
        <x:v>YELLOW</x:v>
      </x:c>
      <x:c r="C797" s="48" t="str">
        <x:v>English</x:v>
      </x:c>
      <x:c r="D797" s="48" t="n">
        <x:v>51</x:v>
      </x:c>
      <x:c r="E797" s="48" t="str"/>
      <x:c r="F797" s="48" t="str">
        <x:v>of repair such items of Plant as are defective or damaged.</x:v>
      </x:c>
      <x:c r="G797" s="48" t="str">
        <x:v>Obligation</x:v>
      </x:c>
      <x:c r="H797" s="48" t="str">
        <x:v>Shared</x:v>
      </x:c>
      <x:c r="I797" s="48" t="n">
        <x:v>0.45</x:v>
      </x:c>
      <x:c r="J797" s="48" t="n">
        <x:v>0.4</x:v>
      </x:c>
      <x:c r="K797" s="48" t="str">
        <x:v>Yes</x:v>
      </x:c>
      <x:c r="L797" s="48" t="str">
        <x:v>PDF text</x:v>
      </x:c>
    </x:row>
    <x:row r="798">
      <x:c r="A798" s="48" t="str">
        <x:v>YELLOW-0797</x:v>
      </x:c>
      <x:c r="B798" s="48" t="str">
        <x:v>YELLOW</x:v>
      </x:c>
      <x:c r="C798" s="48" t="str">
        <x:v>English</x:v>
      </x:c>
      <x:c r="D798" s="48" t="n">
        <x:v>51</x:v>
      </x:c>
      <x:c r="E798" s="48" t="str"/>
      <x:c r="F798" s="48" t="str">
        <x:v>This consent may require the Contractor to increase the amount of the Performance Security by the full replacement cost of these items, or to provide other appropriate security.</x:v>
      </x:c>
      <x:c r="G798" s="48" t="str">
        <x:v>Right</x:v>
      </x:c>
      <x:c r="H798" s="48" t="str">
        <x:v>Contractor</x:v>
      </x:c>
      <x:c r="I798" s="48" t="n">
        <x:v>0.78</x:v>
      </x:c>
      <x:c r="J798" s="48" t="n">
        <x:v>0.68</x:v>
      </x:c>
      <x:c r="K798" s="48" t="str">
        <x:v>Yes</x:v>
      </x:c>
      <x:c r="L798" s="48" t="str">
        <x:v>PDF text</x:v>
      </x:c>
    </x:row>
    <x:row r="799">
      <x:c r="A799" s="48" t="str">
        <x:v>YELLOW-0798</x:v>
      </x:c>
      <x:c r="B799" s="48" t="str">
        <x:v>YELLOW</x:v>
      </x:c>
      <x:c r="C799" s="48" t="str">
        <x:v>English</x:v>
      </x:c>
      <x:c r="D799" s="48" t="n">
        <x:v>51</x:v>
      </x:c>
      <x:c r="E799" s="48" t="str"/>
      <x:c r="F799" s="48" t="str">
        <x:v>If the work of remedying of any defect or damage may affect the performance of the Works, the Engineer may require the repetition of any of the tests described in the 11.3</x:v>
      </x:c>
      <x:c r="G799" s="48" t="str">
        <x:v>Risk</x:v>
      </x:c>
      <x:c r="H799" s="48" t="str">
        <x:v>Shared</x:v>
      </x:c>
      <x:c r="I799" s="48" t="n">
        <x:v>0.78</x:v>
      </x:c>
      <x:c r="J799" s="48" t="n">
        <x:v>0.4</x:v>
      </x:c>
      <x:c r="K799" s="48" t="str">
        <x:v>Yes</x:v>
      </x:c>
      <x:c r="L799" s="48" t="str">
        <x:v>PDF text</x:v>
      </x:c>
    </x:row>
    <x:row r="800">
      <x:c r="A800" s="48" t="str">
        <x:v>YELLOW-0799</x:v>
      </x:c>
      <x:c r="B800" s="48" t="str">
        <x:v>YELLOW</x:v>
      </x:c>
      <x:c r="C800" s="48" t="str">
        <x:v>English</x:v>
      </x:c>
      <x:c r="D800" s="48" t="n">
        <x:v>51</x:v>
      </x:c>
      <x:c r="E800" s="48" t="str"/>
      <x:c r="F800" s="48" t="str">
        <x:v>Extension of Defects</x:v>
      </x:c>
      <x:c r="G800" s="48" t="str">
        <x:v>Obligation</x:v>
      </x:c>
      <x:c r="H800" s="48" t="str">
        <x:v>Shared</x:v>
      </x:c>
      <x:c r="I800" s="48" t="n">
        <x:v>0.45</x:v>
      </x:c>
      <x:c r="J800" s="48" t="n">
        <x:v>0.4</x:v>
      </x:c>
      <x:c r="K800" s="48" t="str">
        <x:v>Yes</x:v>
      </x:c>
      <x:c r="L800" s="48" t="str">
        <x:v>PDF text</x:v>
      </x:c>
    </x:row>
    <x:row r="801">
      <x:c r="A801" s="48" t="str">
        <x:v>YELLOW-0800</x:v>
      </x:c>
      <x:c r="B801" s="48" t="str">
        <x:v>YELLOW</x:v>
      </x:c>
      <x:c r="C801" s="48" t="str">
        <x:v>English</x:v>
      </x:c>
      <x:c r="D801" s="48" t="n">
        <x:v>51</x:v>
      </x:c>
      <x:c r="E801" s="48" t="str"/>
      <x:c r="F801" s="48" t="str">
        <x:v>Notification Period</x:v>
      </x:c>
      <x:c r="G801" s="48" t="str">
        <x:v>Obligation</x:v>
      </x:c>
      <x:c r="H801" s="48" t="str">
        <x:v>Shared</x:v>
      </x:c>
      <x:c r="I801" s="48" t="n">
        <x:v>0.45</x:v>
      </x:c>
      <x:c r="J801" s="48" t="n">
        <x:v>0.4</x:v>
      </x:c>
      <x:c r="K801" s="48" t="str">
        <x:v>Yes</x:v>
      </x:c>
      <x:c r="L801" s="48" t="str">
        <x:v>PDF text</x:v>
      </x:c>
    </x:row>
    <x:row r="802">
      <x:c r="A802" s="48" t="str">
        <x:v>YELLOW-0801</x:v>
      </x:c>
      <x:c r="B802" s="48" t="str">
        <x:v>YELLOW</x:v>
      </x:c>
      <x:c r="C802" s="48" t="str">
        <x:v>English</x:v>
      </x:c>
      <x:c r="D802" s="48" t="n">
        <x:v>51</x:v>
      </x:c>
      <x:c r="E802" s="48" t="str"/>
      <x:c r="F802" s="48" t="str">
        <x:v>Failure to Remedy</x:v>
      </x:c>
      <x:c r="G802" s="48" t="str">
        <x:v>Obligation</x:v>
      </x:c>
      <x:c r="H802" s="48" t="str">
        <x:v>Shared</x:v>
      </x:c>
      <x:c r="I802" s="48" t="n">
        <x:v>0.45</x:v>
      </x:c>
      <x:c r="J802" s="48" t="n">
        <x:v>0.4</x:v>
      </x:c>
      <x:c r="K802" s="48" t="str">
        <x:v>Yes</x:v>
      </x:c>
      <x:c r="L802" s="48" t="str">
        <x:v>PDF text</x:v>
      </x:c>
    </x:row>
    <x:row r="803">
      <x:c r="A803" s="48" t="str">
        <x:v>YELLOW-0802</x:v>
      </x:c>
      <x:c r="B803" s="48" t="str">
        <x:v>YELLOW</x:v>
      </x:c>
      <x:c r="C803" s="48" t="str">
        <x:v>English</x:v>
      </x:c>
      <x:c r="D803" s="48" t="n">
        <x:v>51</x:v>
      </x:c>
      <x:c r="E803" s="48" t="str"/>
      <x:c r="F803" s="48" t="str">
        <x:v>Removal of Defective</x:v>
      </x:c>
      <x:c r="G803" s="48" t="str">
        <x:v>Obligation</x:v>
      </x:c>
      <x:c r="H803" s="48" t="str">
        <x:v>Shared</x:v>
      </x:c>
      <x:c r="I803" s="48" t="n">
        <x:v>0.45</x:v>
      </x:c>
      <x:c r="J803" s="48" t="n">
        <x:v>0.4</x:v>
      </x:c>
      <x:c r="K803" s="48" t="str">
        <x:v>Yes</x:v>
      </x:c>
      <x:c r="L803" s="48" t="str">
        <x:v>PDF text</x:v>
      </x:c>
    </x:row>
    <x:row r="804">
      <x:c r="A804" s="48" t="str">
        <x:v>YELLOW-0803</x:v>
      </x:c>
      <x:c r="B804" s="48" t="str">
        <x:v>YELLOW</x:v>
      </x:c>
      <x:c r="C804" s="48" t="str">
        <x:v>English</x:v>
      </x:c>
      <x:c r="D804" s="48" t="n">
        <x:v>51</x:v>
      </x:c>
      <x:c r="E804" s="48" t="str"/>
      <x:c r="F804" s="48" t="str">
        <x:v>Further Tests</x:v>
      </x:c>
      <x:c r="G804" s="48" t="str">
        <x:v>Obligation</x:v>
      </x:c>
      <x:c r="H804" s="48" t="str">
        <x:v>Shared</x:v>
      </x:c>
      <x:c r="I804" s="48" t="n">
        <x:v>0.45</x:v>
      </x:c>
      <x:c r="J804" s="48" t="n">
        <x:v>0.4</x:v>
      </x:c>
      <x:c r="K804" s="48" t="str">
        <x:v>Yes</x:v>
      </x:c>
      <x:c r="L804" s="48" t="str">
        <x:v>PDF text</x:v>
      </x:c>
    </x:row>
    <x:row r="805">
      <x:c r="A805" s="48" t="str">
        <x:v>YELLOW-0804</x:v>
      </x:c>
      <x:c r="B805" s="48" t="str">
        <x:v>YELLOW</x:v>
      </x:c>
      <x:c r="C805" s="48" t="str">
        <x:v>English</x:v>
      </x:c>
      <x:c r="D805" s="48" t="n">
        <x:v>52</x:v>
      </x:c>
      <x:c r="E805" s="48" t="str"/>
      <x:c r="F805" s="48" t="str">
        <x:v>Right of Access</x:v>
      </x:c>
      <x:c r="G805" s="48" t="str">
        <x:v>Obligation</x:v>
      </x:c>
      <x:c r="H805" s="48" t="str">
        <x:v>Shared</x:v>
      </x:c>
      <x:c r="I805" s="48" t="n">
        <x:v>0.45</x:v>
      </x:c>
      <x:c r="J805" s="48" t="n">
        <x:v>0.4</x:v>
      </x:c>
      <x:c r="K805" s="48" t="str">
        <x:v>Yes</x:v>
      </x:c>
      <x:c r="L805" s="48" t="str">
        <x:v>PDF text</x:v>
      </x:c>
    </x:row>
    <x:row r="806">
      <x:c r="A806" s="48" t="str">
        <x:v>YELLOW-0805</x:v>
      </x:c>
      <x:c r="B806" s="48" t="str">
        <x:v>YELLOW</x:v>
      </x:c>
      <x:c r="C806" s="48" t="str">
        <x:v>English</x:v>
      </x:c>
      <x:c r="D806" s="48" t="n">
        <x:v>52</x:v>
      </x:c>
      <x:c r="E806" s="48" t="str"/>
      <x:c r="F806" s="48" t="str">
        <x:v>Contractor to Search</x:v>
      </x:c>
      <x:c r="G806" s="48" t="str">
        <x:v>Obligation</x:v>
      </x:c>
      <x:c r="H806" s="48" t="str">
        <x:v>Contractor</x:v>
      </x:c>
      <x:c r="I806" s="48" t="n">
        <x:v>0.45</x:v>
      </x:c>
      <x:c r="J806" s="48" t="n">
        <x:v>0.68</x:v>
      </x:c>
      <x:c r="K806" s="48" t="str">
        <x:v>Yes</x:v>
      </x:c>
      <x:c r="L806" s="48" t="str">
        <x:v>PDF text</x:v>
      </x:c>
    </x:row>
    <x:row r="807">
      <x:c r="A807" s="48" t="str">
        <x:v>YELLOW-0806</x:v>
      </x:c>
      <x:c r="B807" s="48" t="str">
        <x:v>YELLOW</x:v>
      </x:c>
      <x:c r="C807" s="48" t="str">
        <x:v>English</x:v>
      </x:c>
      <x:c r="D807" s="48" t="n">
        <x:v>52</x:v>
      </x:c>
      <x:c r="E807" s="48" t="str"/>
      <x:c r="F807" s="48" t="str">
        <x:v>Unfulfilled Obligations</x:v>
      </x:c>
      <x:c r="G807" s="48" t="str">
        <x:v>Obligation</x:v>
      </x:c>
      <x:c r="H807" s="48" t="str">
        <x:v>Shared</x:v>
      </x:c>
      <x:c r="I807" s="48" t="n">
        <x:v>0.45</x:v>
      </x:c>
      <x:c r="J807" s="48" t="n">
        <x:v>0.4</x:v>
      </x:c>
      <x:c r="K807" s="48" t="str">
        <x:v>Yes</x:v>
      </x:c>
      <x:c r="L807" s="48" t="str">
        <x:v>PDF text</x:v>
      </x:c>
    </x:row>
    <x:row r="808">
      <x:c r="A808" s="48" t="str">
        <x:v>YELLOW-0807</x:v>
      </x:c>
      <x:c r="B808" s="48" t="str">
        <x:v>YELLOW</x:v>
      </x:c>
      <x:c r="C808" s="48" t="str">
        <x:v>English</x:v>
      </x:c>
      <x:c r="D808" s="48" t="n">
        <x:v>52</x:v>
      </x:c>
      <x:c r="E808" s="48" t="str"/>
      <x:c r="F808" s="48" t="str">
        <x:v>Clearance of Site</x:v>
      </x:c>
      <x:c r="G808" s="48" t="str">
        <x:v>Obligation</x:v>
      </x:c>
      <x:c r="H808" s="48" t="str">
        <x:v>Shared</x:v>
      </x:c>
      <x:c r="I808" s="48" t="n">
        <x:v>0.45</x:v>
      </x:c>
      <x:c r="J808" s="48" t="n">
        <x:v>0.4</x:v>
      </x:c>
      <x:c r="K808" s="48" t="str">
        <x:v>Yes</x:v>
      </x:c>
      <x:c r="L808" s="48" t="str">
        <x:v>PDF text</x:v>
      </x:c>
    </x:row>
    <x:row r="809">
      <x:c r="A809" s="48" t="str">
        <x:v>YELLOW-0808</x:v>
      </x:c>
      <x:c r="B809" s="48" t="str">
        <x:v>YELLOW</x:v>
      </x:c>
      <x:c r="C809" s="48" t="str">
        <x:v>English</x:v>
      </x:c>
      <x:c r="D809" s="48" t="n">
        <x:v>52</x:v>
      </x:c>
      <x:c r="E809" s="48" t="str"/>
      <x:c r="F809" s="48" t="str">
        <x:v>Contract, including Tests on Completion and/or Tests after Completion.</x:v>
      </x:c>
      <x:c r="G809" s="48" t="str">
        <x:v>Obligation</x:v>
      </x:c>
      <x:c r="H809" s="48" t="str">
        <x:v>Shared</x:v>
      </x:c>
      <x:c r="I809" s="48" t="n">
        <x:v>0.45</x:v>
      </x:c>
      <x:c r="J809" s="48" t="n">
        <x:v>0.4</x:v>
      </x:c>
      <x:c r="K809" s="48" t="str">
        <x:v>Yes</x:v>
      </x:c>
      <x:c r="L809" s="48" t="str">
        <x:v>PDF text</x:v>
      </x:c>
    </x:row>
    <x:row r="810">
      <x:c r="A810" s="48" t="str">
        <x:v>YELLOW-0809</x:v>
      </x:c>
      <x:c r="B810" s="48" t="str">
        <x:v>YELLOW</x:v>
      </x:c>
      <x:c r="C810" s="48" t="str">
        <x:v>English</x:v>
      </x:c>
      <x:c r="D810" s="48" t="n">
        <x:v>52</x:v>
      </x:c>
      <x:c r="E810" s="48" t="str"/>
      <x:c r="F810" s="48" t="str">
        <x:v>The requirement shall be made by notice within 28 days after the defect or damage is remedied.</x:v>
      </x:c>
      <x:c r="G810" s="48" t="str">
        <x:v>Obligation</x:v>
      </x:c>
      <x:c r="H810" s="48" t="str">
        <x:v>Shared</x:v>
      </x:c>
      <x:c r="I810" s="48" t="n">
        <x:v>0.88</x:v>
      </x:c>
      <x:c r="J810" s="48" t="n">
        <x:v>0.4</x:v>
      </x:c>
      <x:c r="K810" s="48" t="str">
        <x:v>Yes</x:v>
      </x:c>
      <x:c r="L810" s="48" t="str">
        <x:v>PDF text</x:v>
      </x:c>
    </x:row>
    <x:row r="811">
      <x:c r="A811" s="48" t="str">
        <x:v>YELLOW-0810</x:v>
      </x:c>
      <x:c r="B811" s="48" t="str">
        <x:v>YELLOW</x:v>
      </x:c>
      <x:c r="C811" s="48" t="str">
        <x:v>English</x:v>
      </x:c>
      <x:c r="D811" s="48" t="n">
        <x:v>52</x:v>
      </x:c>
      <x:c r="E811" s="48" t="str"/>
      <x:c r="F811" s="48" t="str">
        <x:v>These tests shall be carried out in accordance with the terms applicable to the</x:v>
      </x:c>
      <x:c r="G811" s="48" t="str">
        <x:v>Obligation</x:v>
      </x:c>
      <x:c r="H811" s="48" t="str">
        <x:v>Shared</x:v>
      </x:c>
      <x:c r="I811" s="48" t="n">
        <x:v>0.88</x:v>
      </x:c>
      <x:c r="J811" s="48" t="n">
        <x:v>0.4</x:v>
      </x:c>
      <x:c r="K811" s="48" t="str">
        <x:v>Yes</x:v>
      </x:c>
      <x:c r="L811" s="48" t="str">
        <x:v>PDF text</x:v>
      </x:c>
    </x:row>
    <x:row r="812">
      <x:c r="A812" s="48" t="str">
        <x:v>YELLOW-0811</x:v>
      </x:c>
      <x:c r="B812" s="48" t="str">
        <x:v>YELLOW</x:v>
      </x:c>
      <x:c r="C812" s="48" t="str">
        <x:v>English</x:v>
      </x:c>
      <x:c r="D812" s="48" t="n">
        <x:v>52</x:v>
      </x:c>
      <x:c r="E812" s="48" t="str"/>
      <x:c r="F812" s="48" t="str">
        <x:v>previous tests, except that they shall be carried out at the risk and cost of the Party liable, under Sub-Clause 11.2 [Cost of Remedying Defects], for the cost of the remedial work.</x:v>
      </x:c>
      <x:c r="G812" s="48" t="str">
        <x:v>Risk</x:v>
      </x:c>
      <x:c r="H812" s="48" t="str">
        <x:v>Shared</x:v>
      </x:c>
      <x:c r="I812" s="48" t="n">
        <x:v>0.78</x:v>
      </x:c>
      <x:c r="J812" s="48" t="n">
        <x:v>0.4</x:v>
      </x:c>
      <x:c r="K812" s="48" t="str">
        <x:v>Yes</x:v>
      </x:c>
      <x:c r="L812" s="48" t="str">
        <x:v>PDF text</x:v>
      </x:c>
    </x:row>
    <x:row r="813">
      <x:c r="A813" s="48" t="str">
        <x:v>YELLOW-0812</x:v>
      </x:c>
      <x:c r="B813" s="48" t="str">
        <x:v>YELLOW</x:v>
      </x:c>
      <x:c r="C813" s="48" t="str">
        <x:v>English</x:v>
      </x:c>
      <x:c r="D813" s="48" t="n">
        <x:v>52</x:v>
      </x:c>
      <x:c r="E813" s="48" t="str"/>
      <x:c r="F813" s="48" t="str">
        <x:v>Until the Performance Certificate has been issued, the Contractor shall have the right of access to all parts of the Works and to records of the operation and performance of the Works, except as may be inconsistent with the Employer's reasonable security restrictions.</x:v>
      </x:c>
      <x:c r="G813" s="48" t="str">
        <x:v>Obligation</x:v>
      </x:c>
      <x:c r="H813" s="48" t="str">
        <x:v>Contractor</x:v>
      </x:c>
      <x:c r="I813" s="48" t="n">
        <x:v>0.88</x:v>
      </x:c>
      <x:c r="J813" s="48" t="n">
        <x:v>0.92</x:v>
      </x:c>
      <x:c r="K813" s="48" t="str">
        <x:v>No</x:v>
      </x:c>
      <x:c r="L813" s="48" t="str">
        <x:v>PDF text</x:v>
      </x:c>
    </x:row>
    <x:row r="814">
      <x:c r="A814" s="48" t="str">
        <x:v>YELLOW-0813</x:v>
      </x:c>
      <x:c r="B814" s="48" t="str">
        <x:v>YELLOW</x:v>
      </x:c>
      <x:c r="C814" s="48" t="str">
        <x:v>English</x:v>
      </x:c>
      <x:c r="D814" s="48" t="n">
        <x:v>52</x:v>
      </x:c>
      <x:c r="E814" s="48" t="str"/>
      <x:c r="F814" s="48" t="str">
        <x:v>The Contractor shall, if required by the Engineer, search for the cause of any defect, under the direction of the Engineer.</x:v>
      </x:c>
      <x:c r="G814" s="48" t="str">
        <x:v>Risk</x:v>
      </x:c>
      <x:c r="H814" s="48" t="str">
        <x:v>Contractor</x:v>
      </x:c>
      <x:c r="I814" s="48" t="n">
        <x:v>0.78</x:v>
      </x:c>
      <x:c r="J814" s="48" t="n">
        <x:v>0.92</x:v>
      </x:c>
      <x:c r="K814" s="48" t="str">
        <x:v>No</x:v>
      </x:c>
      <x:c r="L814" s="48" t="str">
        <x:v>PDF text</x:v>
      </x:c>
    </x:row>
    <x:row r="815">
      <x:c r="A815" s="48" t="str">
        <x:v>YELLOW-0814</x:v>
      </x:c>
      <x:c r="B815" s="48" t="str">
        <x:v>YELLOW</x:v>
      </x:c>
      <x:c r="C815" s="48" t="str">
        <x:v>English</x:v>
      </x:c>
      <x:c r="D815" s="48" t="n">
        <x:v>52</x:v>
      </x:c>
      <x:c r="E815" s="48" t="str"/>
      <x:c r="F815" s="48" t="str">
        <x:v>Unless the defect is to be remedied at the cost of the Contractor under Sub-Clause 11.2 [Cost of Remedying Defects], the Cost of the search plus reasonable profit shall be agreed or determined by the Engineer in accordance with Sub-Clause 3.5 [Determinations] and shall be included in the Contract Price.</x:v>
      </x:c>
      <x:c r="G815" s="48" t="str">
        <x:v>Obligation</x:v>
      </x:c>
      <x:c r="H815" s="48" t="str">
        <x:v>Contractor</x:v>
      </x:c>
      <x:c r="I815" s="48" t="n">
        <x:v>0.88</x:v>
      </x:c>
      <x:c r="J815" s="48" t="n">
        <x:v>0.68</x:v>
      </x:c>
      <x:c r="K815" s="48" t="str">
        <x:v>Yes</x:v>
      </x:c>
      <x:c r="L815" s="48" t="str">
        <x:v>PDF text</x:v>
      </x:c>
    </x:row>
    <x:row r="816">
      <x:c r="A816" s="48" t="str">
        <x:v>YELLOW-0815</x:v>
      </x:c>
      <x:c r="B816" s="48" t="str">
        <x:v>YELLOW</x:v>
      </x:c>
      <x:c r="C816" s="48" t="str">
        <x:v>English</x:v>
      </x:c>
      <x:c r="D816" s="48" t="n">
        <x:v>52</x:v>
      </x:c>
      <x:c r="E816" s="48" t="str"/>
      <x:c r="F816" s="48" t="str">
        <x:v>Performance of the Contractor's obligations shall not be considered to have been</x:v>
      </x:c>
      <x:c r="G816" s="48" t="str">
        <x:v>Obligation</x:v>
      </x:c>
      <x:c r="H816" s="48" t="str">
        <x:v>Contractor</x:v>
      </x:c>
      <x:c r="I816" s="48" t="n">
        <x:v>0.88</x:v>
      </x:c>
      <x:c r="J816" s="48" t="n">
        <x:v>0.68</x:v>
      </x:c>
      <x:c r="K816" s="48" t="str">
        <x:v>Yes</x:v>
      </x:c>
      <x:c r="L816" s="48" t="str">
        <x:v>PDF text</x:v>
      </x:c>
    </x:row>
    <x:row r="817">
      <x:c r="A817" s="48" t="str">
        <x:v>YELLOW-0816</x:v>
      </x:c>
      <x:c r="B817" s="48" t="str">
        <x:v>YELLOW</x:v>
      </x:c>
      <x:c r="C817" s="48" t="str">
        <x:v>English</x:v>
      </x:c>
      <x:c r="D817" s="48" t="n">
        <x:v>52</x:v>
      </x:c>
      <x:c r="E817" s="48" t="str"/>
      <x:c r="F817" s="48" t="str">
        <x:v>completed until the Engineer has issued the Performance Certificate to the Contractor, stating the date on which the Contractor completed his obligations under the Contract.</x:v>
      </x:c>
      <x:c r="G817" s="48" t="str">
        <x:v>Obligation</x:v>
      </x:c>
      <x:c r="H817" s="48" t="str">
        <x:v>Contractor</x:v>
      </x:c>
      <x:c r="I817" s="48" t="n">
        <x:v>0.55</x:v>
      </x:c>
      <x:c r="J817" s="48" t="n">
        <x:v>0.68</x:v>
      </x:c>
      <x:c r="K817" s="48" t="str">
        <x:v>Yes</x:v>
      </x:c>
      <x:c r="L817" s="48" t="str">
        <x:v>PDF text</x:v>
      </x:c>
    </x:row>
    <x:row r="818">
      <x:c r="A818" s="48" t="str">
        <x:v>YELLOW-0817</x:v>
      </x:c>
      <x:c r="B818" s="48" t="str">
        <x:v>YELLOW</x:v>
      </x:c>
      <x:c r="C818" s="48" t="str">
        <x:v>English</x:v>
      </x:c>
      <x:c r="D818" s="48" t="n">
        <x:v>52</x:v>
      </x:c>
      <x:c r="E818" s="48" t="str"/>
      <x:c r="F818" s="48" t="str">
        <x:v>The Engineer shall issue the Performance Certificate within 28 days after the latest of the expiry dates of the Defects Notification Periods, or as soon thereafter as the Contractor has supplied all the Contractor's Documents and completed and tested all the Works, including remedying any defects.</x:v>
      </x:c>
      <x:c r="G818" s="48" t="str">
        <x:v>Obligation</x:v>
      </x:c>
      <x:c r="H818" s="48" t="str">
        <x:v>Contractor</x:v>
      </x:c>
      <x:c r="I818" s="48" t="n">
        <x:v>0.88</x:v>
      </x:c>
      <x:c r="J818" s="48" t="n">
        <x:v>0.68</x:v>
      </x:c>
      <x:c r="K818" s="48" t="str">
        <x:v>Yes</x:v>
      </x:c>
      <x:c r="L818" s="48" t="str">
        <x:v>PDF text</x:v>
      </x:c>
    </x:row>
    <x:row r="819">
      <x:c r="A819" s="48" t="str">
        <x:v>YELLOW-0818</x:v>
      </x:c>
      <x:c r="B819" s="48" t="str">
        <x:v>YELLOW</x:v>
      </x:c>
      <x:c r="C819" s="48" t="str">
        <x:v>English</x:v>
      </x:c>
      <x:c r="D819" s="48" t="n">
        <x:v>52</x:v>
      </x:c>
      <x:c r="E819" s="48" t="str"/>
      <x:c r="F819" s="48" t="str">
        <x:v>A copy of the Performance Certificate shall be issued to the Employer.</x:v>
      </x:c>
      <x:c r="G819" s="48" t="str">
        <x:v>Obligation</x:v>
      </x:c>
      <x:c r="H819" s="48" t="str">
        <x:v>Employer</x:v>
      </x:c>
      <x:c r="I819" s="48" t="n">
        <x:v>0.88</x:v>
      </x:c>
      <x:c r="J819" s="48" t="n">
        <x:v>0.68</x:v>
      </x:c>
      <x:c r="K819" s="48" t="str">
        <x:v>Yes</x:v>
      </x:c>
      <x:c r="L819" s="48" t="str">
        <x:v>PDF text</x:v>
      </x:c>
    </x:row>
    <x:row r="820">
      <x:c r="A820" s="48" t="str">
        <x:v>YELLOW-0819</x:v>
      </x:c>
      <x:c r="B820" s="48" t="str">
        <x:v>YELLOW</x:v>
      </x:c>
      <x:c r="C820" s="48" t="str">
        <x:v>English</x:v>
      </x:c>
      <x:c r="D820" s="48" t="n">
        <x:v>52</x:v>
      </x:c>
      <x:c r="E820" s="48" t="str"/>
      <x:c r="F820" s="48" t="str">
        <x:v>Only the Performance Certificate shall be deemed to constitute acceptance of the</x:v>
      </x:c>
      <x:c r="G820" s="48" t="str">
        <x:v>Obligation</x:v>
      </x:c>
      <x:c r="H820" s="48" t="str">
        <x:v>Shared</x:v>
      </x:c>
      <x:c r="I820" s="48" t="n">
        <x:v>0.88</x:v>
      </x:c>
      <x:c r="J820" s="48" t="n">
        <x:v>0.4</x:v>
      </x:c>
      <x:c r="K820" s="48" t="str">
        <x:v>Yes</x:v>
      </x:c>
      <x:c r="L820" s="48" t="str">
        <x:v>PDF text</x:v>
      </x:c>
    </x:row>
    <x:row r="821">
      <x:c r="A821" s="48" t="str">
        <x:v>YELLOW-0820</x:v>
      </x:c>
      <x:c r="B821" s="48" t="str">
        <x:v>YELLOW</x:v>
      </x:c>
      <x:c r="C821" s="48" t="str">
        <x:v>English</x:v>
      </x:c>
      <x:c r="D821" s="48" t="n">
        <x:v>52</x:v>
      </x:c>
      <x:c r="E821" s="48" t="str"/>
      <x:c r="F821" s="48" t="str">
        <x:v>After the Performance Certificate has been issued, each Party shall remain liable for the fulfilment of any obligation which remains unperformed at that time.</x:v>
      </x:c>
      <x:c r="G821" s="48" t="str">
        <x:v>Risk</x:v>
      </x:c>
      <x:c r="H821" s="48" t="str">
        <x:v>Shared</x:v>
      </x:c>
      <x:c r="I821" s="48" t="n">
        <x:v>0.78</x:v>
      </x:c>
      <x:c r="J821" s="48" t="n">
        <x:v>0.93</x:v>
      </x:c>
      <x:c r="K821" s="48" t="str">
        <x:v>No</x:v>
      </x:c>
      <x:c r="L821" s="48" t="str">
        <x:v>PDF text</x:v>
      </x:c>
    </x:row>
    <x:row r="822">
      <x:c r="A822" s="48" t="str">
        <x:v>YELLOW-0821</x:v>
      </x:c>
      <x:c r="B822" s="48" t="str">
        <x:v>YELLOW</x:v>
      </x:c>
      <x:c r="C822" s="48" t="str">
        <x:v>English</x:v>
      </x:c>
      <x:c r="D822" s="48" t="n">
        <x:v>52</x:v>
      </x:c>
      <x:c r="E822" s="48" t="str"/>
      <x:c r="F822" s="48" t="str">
        <x:v>For the purposes of determining the nature and extent of unperformed obligations, the Contract shall be deemed to remain in force.</x:v>
      </x:c>
      <x:c r="G822" s="48" t="str">
        <x:v>Obligation</x:v>
      </x:c>
      <x:c r="H822" s="48" t="str">
        <x:v>Shared</x:v>
      </x:c>
      <x:c r="I822" s="48" t="n">
        <x:v>0.88</x:v>
      </x:c>
      <x:c r="J822" s="48" t="n">
        <x:v>0.4</x:v>
      </x:c>
      <x:c r="K822" s="48" t="str">
        <x:v>Yes</x:v>
      </x:c>
      <x:c r="L822" s="48" t="str">
        <x:v>PDF text</x:v>
      </x:c>
    </x:row>
    <x:row r="823">
      <x:c r="A823" s="48" t="str">
        <x:v>YELLOW-0822</x:v>
      </x:c>
      <x:c r="B823" s="48" t="str">
        <x:v>YELLOW</x:v>
      </x:c>
      <x:c r="C823" s="48" t="str">
        <x:v>English</x:v>
      </x:c>
      <x:c r="D823" s="48" t="n">
        <x:v>52</x:v>
      </x:c>
      <x:c r="E823" s="48" t="str"/>
      <x:c r="F823" s="48" t="str">
        <x:v>Upon receiving the Performance Certificate, the Contractor shall remove any</x:v>
      </x:c>
      <x:c r="G823" s="48" t="str">
        <x:v>Obligation</x:v>
      </x:c>
      <x:c r="H823" s="48" t="str">
        <x:v>Contractor</x:v>
      </x:c>
      <x:c r="I823" s="48" t="n">
        <x:v>0.88</x:v>
      </x:c>
      <x:c r="J823" s="48" t="n">
        <x:v>0.92</x:v>
      </x:c>
      <x:c r="K823" s="48" t="str">
        <x:v>No</x:v>
      </x:c>
      <x:c r="L823" s="48" t="str">
        <x:v>PDF text</x:v>
      </x:c>
    </x:row>
    <x:row r="824">
      <x:c r="A824" s="48" t="str">
        <x:v>YELLOW-0823</x:v>
      </x:c>
      <x:c r="B824" s="48" t="str">
        <x:v>YELLOW</x:v>
      </x:c>
      <x:c r="C824" s="48" t="str">
        <x:v>English</x:v>
      </x:c>
      <x:c r="D824" s="48" t="n">
        <x:v>52</x:v>
      </x:c>
      <x:c r="E824" s="48" t="str"/>
      <x:c r="F824" s="48" t="str">
        <x:v>remaining Contractor's Equipment, surplus material, wreckage, rubbish and Temporary Works from the Site.</x:v>
      </x:c>
      <x:c r="G824" s="48" t="str">
        <x:v>Obligation</x:v>
      </x:c>
      <x:c r="H824" s="48" t="str">
        <x:v>Contractor</x:v>
      </x:c>
      <x:c r="I824" s="48" t="n">
        <x:v>0.45</x:v>
      </x:c>
      <x:c r="J824" s="48" t="n">
        <x:v>0.68</x:v>
      </x:c>
      <x:c r="K824" s="48" t="str">
        <x:v>Yes</x:v>
      </x:c>
      <x:c r="L824" s="48" t="str">
        <x:v>PDF text</x:v>
      </x:c>
    </x:row>
    <x:row r="825">
      <x:c r="A825" s="48" t="str">
        <x:v>YELLOW-0824</x:v>
      </x:c>
      <x:c r="B825" s="48" t="str">
        <x:v>YELLOW</x:v>
      </x:c>
      <x:c r="C825" s="48" t="str">
        <x:v>English</x:v>
      </x:c>
      <x:c r="D825" s="48" t="n">
        <x:v>52</x:v>
      </x:c>
      <x:c r="E825" s="48" t="str"/>
      <x:c r="F825" s="48" t="str">
        <x:v>If all these items have not been removed within 28 days after the Employer receives a copy of the Performance Certificate, the Employer may sell or otherwise dispose of any remaining items.</x:v>
      </x:c>
      <x:c r="G825" s="48" t="str">
        <x:v>Right</x:v>
      </x:c>
      <x:c r="H825" s="48" t="str">
        <x:v>Employer</x:v>
      </x:c>
      <x:c r="I825" s="48" t="n">
        <x:v>0.78</x:v>
      </x:c>
      <x:c r="J825" s="48" t="n">
        <x:v>0.92</x:v>
      </x:c>
      <x:c r="K825" s="48" t="str">
        <x:v>No</x:v>
      </x:c>
      <x:c r="L825" s="48" t="str">
        <x:v>PDF text</x:v>
      </x:c>
    </x:row>
    <x:row r="826">
      <x:c r="A826" s="48" t="str">
        <x:v>YELLOW-0825</x:v>
      </x:c>
      <x:c r="B826" s="48" t="str">
        <x:v>YELLOW</x:v>
      </x:c>
      <x:c r="C826" s="48" t="str">
        <x:v>English</x:v>
      </x:c>
      <x:c r="D826" s="48" t="n">
        <x:v>52</x:v>
      </x:c>
      <x:c r="E826" s="48" t="str"/>
      <x:c r="F826" s="48" t="str">
        <x:v>The Employer shall be entitled to be paid the costs incurred in connection with, or attributable to, such sale or disposal and restoring the Site.</x:v>
      </x:c>
      <x:c r="G826" s="48" t="str">
        <x:v>Obligation</x:v>
      </x:c>
      <x:c r="H826" s="48" t="str">
        <x:v>Employer</x:v>
      </x:c>
      <x:c r="I826" s="48" t="n">
        <x:v>0.88</x:v>
      </x:c>
      <x:c r="J826" s="48" t="n">
        <x:v>0.92</x:v>
      </x:c>
      <x:c r="K826" s="48" t="str">
        <x:v>No</x:v>
      </x:c>
      <x:c r="L826" s="48" t="str">
        <x:v>PDF text</x:v>
      </x:c>
    </x:row>
    <x:row r="827">
      <x:c r="A827" s="48" t="str">
        <x:v>YELLOW-0826</x:v>
      </x:c>
      <x:c r="B827" s="48" t="str">
        <x:v>YELLOW</x:v>
      </x:c>
      <x:c r="C827" s="48" t="str">
        <x:v>English</x:v>
      </x:c>
      <x:c r="D827" s="48" t="n">
        <x:v>52</x:v>
      </x:c>
      <x:c r="E827" s="48" t="str"/>
      <x:c r="F827" s="48" t="str">
        <x:v>Any balance of the moneys from the sale shall be paid to the Contractor.</x:v>
      </x:c>
      <x:c r="G827" s="48" t="str">
        <x:v>Obligation</x:v>
      </x:c>
      <x:c r="H827" s="48" t="str">
        <x:v>Contractor</x:v>
      </x:c>
      <x:c r="I827" s="48" t="n">
        <x:v>0.88</x:v>
      </x:c>
      <x:c r="J827" s="48" t="n">
        <x:v>0.68</x:v>
      </x:c>
      <x:c r="K827" s="48" t="str">
        <x:v>Yes</x:v>
      </x:c>
      <x:c r="L827" s="48" t="str">
        <x:v>PDF text</x:v>
      </x:c>
    </x:row>
    <x:row r="828">
      <x:c r="A828" s="48" t="str">
        <x:v>YELLOW-0827</x:v>
      </x:c>
      <x:c r="B828" s="48" t="str">
        <x:v>YELLOW</x:v>
      </x:c>
      <x:c r="C828" s="48" t="str">
        <x:v>English</x:v>
      </x:c>
      <x:c r="D828" s="48" t="n">
        <x:v>52</x:v>
      </x:c>
      <x:c r="E828" s="48" t="str"/>
      <x:c r="F828" s="48" t="str">
        <x:v>If these moneys are less than the Employer's costs, the Contractor shall pay the outstanding balance to the Employer.</x:v>
      </x:c>
      <x:c r="G828" s="48" t="str">
        <x:v>Obligation</x:v>
      </x:c>
      <x:c r="H828" s="48" t="str">
        <x:v>Contractor</x:v>
      </x:c>
      <x:c r="I828" s="48" t="n">
        <x:v>0.88</x:v>
      </x:c>
      <x:c r="J828" s="48" t="n">
        <x:v>0.92</x:v>
      </x:c>
      <x:c r="K828" s="48" t="str">
        <x:v>No</x:v>
      </x:c>
      <x:c r="L828" s="48" t="str">
        <x:v>PDF text</x:v>
      </x:c>
    </x:row>
    <x:row r="829">
      <x:c r="A829" s="48" t="str">
        <x:v>YELLOW-0828</x:v>
      </x:c>
      <x:c r="B829" s="48" t="str">
        <x:v>YELLOW</x:v>
      </x:c>
      <x:c r="C829" s="48" t="str">
        <x:v>English</x:v>
      </x:c>
      <x:c r="D829" s="48" t="n">
        <x:v>53</x:v>
      </x:c>
      <x:c r="E829" s="48" t="str"/>
      <x:c r="F829" s="48" t="str">
        <x:v>Procedure for Tests</x:v>
      </x:c>
      <x:c r="G829" s="48" t="str">
        <x:v>Obligation</x:v>
      </x:c>
      <x:c r="H829" s="48" t="str">
        <x:v>Shared</x:v>
      </x:c>
      <x:c r="I829" s="48" t="n">
        <x:v>0.45</x:v>
      </x:c>
      <x:c r="J829" s="48" t="n">
        <x:v>0.4</x:v>
      </x:c>
      <x:c r="K829" s="48" t="str">
        <x:v>Yes</x:v>
      </x:c>
      <x:c r="L829" s="48" t="str">
        <x:v>PDF text</x:v>
      </x:c>
    </x:row>
    <x:row r="830">
      <x:c r="A830" s="48" t="str">
        <x:v>YELLOW-0829</x:v>
      </x:c>
      <x:c r="B830" s="48" t="str">
        <x:v>YELLOW</x:v>
      </x:c>
      <x:c r="C830" s="48" t="str">
        <x:v>English</x:v>
      </x:c>
      <x:c r="D830" s="48" t="n">
        <x:v>53</x:v>
      </x:c>
      <x:c r="E830" s="48" t="str"/>
      <x:c r="F830" s="48" t="str">
        <x:v>after Completion 12.2</x:v>
      </x:c>
      <x:c r="G830" s="48" t="str">
        <x:v>Obligation</x:v>
      </x:c>
      <x:c r="H830" s="48" t="str">
        <x:v>Shared</x:v>
      </x:c>
      <x:c r="I830" s="48" t="n">
        <x:v>0.45</x:v>
      </x:c>
      <x:c r="J830" s="48" t="n">
        <x:v>0.4</x:v>
      </x:c>
      <x:c r="K830" s="48" t="str">
        <x:v>Yes</x:v>
      </x:c>
      <x:c r="L830" s="48" t="str">
        <x:v>PDF text</x:v>
      </x:c>
    </x:row>
    <x:row r="831">
      <x:c r="A831" s="48" t="str">
        <x:v>YELLOW-0830</x:v>
      </x:c>
      <x:c r="B831" s="48" t="str">
        <x:v>YELLOW</x:v>
      </x:c>
      <x:c r="C831" s="48" t="str">
        <x:v>English</x:v>
      </x:c>
      <x:c r="D831" s="48" t="n">
        <x:v>53</x:v>
      </x:c>
      <x:c r="E831" s="48" t="str"/>
      <x:c r="F831" s="48" t="str">
        <x:v>If Tests after Completion are specified in the Contract, this Clause shall apply.</x:v>
      </x:c>
      <x:c r="G831" s="48" t="str">
        <x:v>Obligation</x:v>
      </x:c>
      <x:c r="H831" s="48" t="str">
        <x:v>Shared</x:v>
      </x:c>
      <x:c r="I831" s="48" t="n">
        <x:v>0.88</x:v>
      </x:c>
      <x:c r="J831" s="48" t="n">
        <x:v>0.4</x:v>
      </x:c>
      <x:c r="K831" s="48" t="str">
        <x:v>Yes</x:v>
      </x:c>
      <x:c r="L831" s="48" t="str">
        <x:v>PDF text</x:v>
      </x:c>
    </x:row>
    <x:row r="832">
      <x:c r="A832" s="48" t="str">
        <x:v>YELLOW-0831</x:v>
      </x:c>
      <x:c r="B832" s="48" t="str">
        <x:v>YELLOW</x:v>
      </x:c>
      <x:c r="C832" s="48" t="str">
        <x:v>English</x:v>
      </x:c>
      <x:c r="D832" s="48" t="n">
        <x:v>53</x:v>
      </x:c>
      <x:c r="E832" s="48" t="str"/>
      <x:c r="F832" s="48" t="str">
        <x:v>Unless otherwise stated in the Particular Conditions, the Employer shall: (a) provide all electricity, equipment, fuel, instruments, labour, materials, and suitably qualified and experienced staff, as are necessary to carry out the Tests after Completion efficiently, and (b) carry out the Tests after Completion in accordance with the manuals supplied by the Contractor under Sub-Clause 5.7 [Operation and Maintenance Manuals] and such guidance as the Contractor may be required to give during the course of these Tests; and in the presence of such Contractor's Personnel as either Party may reasonably request.</x:v>
      </x:c>
      <x:c r="G832" s="48" t="str">
        <x:v>Obligation</x:v>
      </x:c>
      <x:c r="H832" s="48" t="str">
        <x:v>Shared</x:v>
      </x:c>
      <x:c r="I832" s="48" t="n">
        <x:v>0.88</x:v>
      </x:c>
      <x:c r="J832" s="48" t="n">
        <x:v>0.93</x:v>
      </x:c>
      <x:c r="K832" s="48" t="str">
        <x:v>No</x:v>
      </x:c>
      <x:c r="L832" s="48" t="str">
        <x:v>PDF text</x:v>
      </x:c>
    </x:row>
    <x:row r="833">
      <x:c r="A833" s="48" t="str">
        <x:v>YELLOW-0832</x:v>
      </x:c>
      <x:c r="B833" s="48" t="str">
        <x:v>YELLOW</x:v>
      </x:c>
      <x:c r="C833" s="48" t="str">
        <x:v>English</x:v>
      </x:c>
      <x:c r="D833" s="48" t="n">
        <x:v>53</x:v>
      </x:c>
      <x:c r="E833" s="48" t="str"/>
      <x:c r="F833" s="48" t="str">
        <x:v>The Tests after Completion shall be carried out as soon as is reasonably practicable after the Works or Section have been taken over by the Employer.</x:v>
      </x:c>
      <x:c r="G833" s="48" t="str">
        <x:v>Obligation</x:v>
      </x:c>
      <x:c r="H833" s="48" t="str">
        <x:v>Employer</x:v>
      </x:c>
      <x:c r="I833" s="48" t="n">
        <x:v>0.88</x:v>
      </x:c>
      <x:c r="J833" s="48" t="n">
        <x:v>0.68</x:v>
      </x:c>
      <x:c r="K833" s="48" t="str">
        <x:v>Yes</x:v>
      </x:c>
      <x:c r="L833" s="48" t="str">
        <x:v>PDF text</x:v>
      </x:c>
    </x:row>
    <x:row r="834">
      <x:c r="A834" s="48" t="str">
        <x:v>YELLOW-0833</x:v>
      </x:c>
      <x:c r="B834" s="48" t="str">
        <x:v>YELLOW</x:v>
      </x:c>
      <x:c r="C834" s="48" t="str">
        <x:v>English</x:v>
      </x:c>
      <x:c r="D834" s="48" t="n">
        <x:v>53</x:v>
      </x:c>
      <x:c r="E834" s="48" t="str"/>
      <x:c r="F834" s="48" t="str">
        <x:v>The Employer shall give to the Contractor 21 days' notice of the date after which the Tests after Completion will be carried out.</x:v>
      </x:c>
      <x:c r="G834" s="48" t="str">
        <x:v>Obligation</x:v>
      </x:c>
      <x:c r="H834" s="48" t="str">
        <x:v>Employer</x:v>
      </x:c>
      <x:c r="I834" s="48" t="n">
        <x:v>0.88</x:v>
      </x:c>
      <x:c r="J834" s="48" t="n">
        <x:v>0.92</x:v>
      </x:c>
      <x:c r="K834" s="48" t="str">
        <x:v>No</x:v>
      </x:c>
      <x:c r="L834" s="48" t="str">
        <x:v>PDF text</x:v>
      </x:c>
    </x:row>
    <x:row r="835">
      <x:c r="A835" s="48" t="str">
        <x:v>YELLOW-0834</x:v>
      </x:c>
      <x:c r="B835" s="48" t="str">
        <x:v>YELLOW</x:v>
      </x:c>
      <x:c r="C835" s="48" t="str">
        <x:v>English</x:v>
      </x:c>
      <x:c r="D835" s="48" t="n">
        <x:v>53</x:v>
      </x:c>
      <x:c r="E835" s="48" t="str"/>
      <x:c r="F835" s="48" t="str">
        <x:v>Unless otherwise agreed, these Tests shall be carried out within 14 days after this date, on the day or days determined by the Employer.</x:v>
      </x:c>
      <x:c r="G835" s="48" t="str">
        <x:v>Obligation</x:v>
      </x:c>
      <x:c r="H835" s="48" t="str">
        <x:v>Employer</x:v>
      </x:c>
      <x:c r="I835" s="48" t="n">
        <x:v>0.88</x:v>
      </x:c>
      <x:c r="J835" s="48" t="n">
        <x:v>0.68</x:v>
      </x:c>
      <x:c r="K835" s="48" t="str">
        <x:v>Yes</x:v>
      </x:c>
      <x:c r="L835" s="48" t="str">
        <x:v>PDF text</x:v>
      </x:c>
    </x:row>
    <x:row r="836">
      <x:c r="A836" s="48" t="str">
        <x:v>YELLOW-0835</x:v>
      </x:c>
      <x:c r="B836" s="48" t="str">
        <x:v>YELLOW</x:v>
      </x:c>
      <x:c r="C836" s="48" t="str">
        <x:v>English</x:v>
      </x:c>
      <x:c r="D836" s="48" t="n">
        <x:v>53</x:v>
      </x:c>
      <x:c r="E836" s="48" t="str"/>
      <x:c r="F836" s="48" t="str">
        <x:v>If the Contractor does not attend at the time and place agreed, the Employer may</x:v>
      </x:c>
      <x:c r="G836" s="48" t="str">
        <x:v>Obligation</x:v>
      </x:c>
      <x:c r="H836" s="48" t="str">
        <x:v>Shared</x:v>
      </x:c>
      <x:c r="I836" s="48" t="n">
        <x:v>0.45</x:v>
      </x:c>
      <x:c r="J836" s="48" t="n">
        <x:v>0.6</x:v>
      </x:c>
      <x:c r="K836" s="48" t="str">
        <x:v>Yes</x:v>
      </x:c>
      <x:c r="L836" s="48" t="str">
        <x:v>PDF text</x:v>
      </x:c>
    </x:row>
    <x:row r="837">
      <x:c r="A837" s="48" t="str">
        <x:v>YELLOW-0836</x:v>
      </x:c>
      <x:c r="B837" s="48" t="str">
        <x:v>YELLOW</x:v>
      </x:c>
      <x:c r="C837" s="48" t="str">
        <x:v>English</x:v>
      </x:c>
      <x:c r="D837" s="48" t="n">
        <x:v>53</x:v>
      </x:c>
      <x:c r="E837" s="48" t="str"/>
      <x:c r="F837" s="48" t="str">
        <x:v>proceed with the Tests after Completion, which shall be deemed to have been made in the Contractor's presence, and the Contractor shall accept the readings as accurate.</x:v>
      </x:c>
      <x:c r="G837" s="48" t="str">
        <x:v>Obligation</x:v>
      </x:c>
      <x:c r="H837" s="48" t="str">
        <x:v>Contractor</x:v>
      </x:c>
      <x:c r="I837" s="48" t="n">
        <x:v>0.88</x:v>
      </x:c>
      <x:c r="J837" s="48" t="n">
        <x:v>0.92</x:v>
      </x:c>
      <x:c r="K837" s="48" t="str">
        <x:v>No</x:v>
      </x:c>
      <x:c r="L837" s="48" t="str">
        <x:v>PDF text</x:v>
      </x:c>
    </x:row>
    <x:row r="838">
      <x:c r="A838" s="48" t="str">
        <x:v>YELLOW-0837</x:v>
      </x:c>
      <x:c r="B838" s="48" t="str">
        <x:v>YELLOW</x:v>
      </x:c>
      <x:c r="C838" s="48" t="str">
        <x:v>English</x:v>
      </x:c>
      <x:c r="D838" s="48" t="n">
        <x:v>53</x:v>
      </x:c>
      <x:c r="E838" s="48" t="str"/>
      <x:c r="F838" s="48" t="str">
        <x:v>The results of the Tests after Completion shall be compiled and evaluated by both</x:v>
      </x:c>
      <x:c r="G838" s="48" t="str">
        <x:v>Obligation</x:v>
      </x:c>
      <x:c r="H838" s="48" t="str">
        <x:v>Shared</x:v>
      </x:c>
      <x:c r="I838" s="48" t="n">
        <x:v>0.88</x:v>
      </x:c>
      <x:c r="J838" s="48" t="n">
        <x:v>0.4</x:v>
      </x:c>
      <x:c r="K838" s="48" t="str">
        <x:v>Yes</x:v>
      </x:c>
      <x:c r="L838" s="48" t="str">
        <x:v>PDF text</x:v>
      </x:c>
    </x:row>
    <x:row r="839">
      <x:c r="A839" s="48" t="str">
        <x:v>YELLOW-0838</x:v>
      </x:c>
      <x:c r="B839" s="48" t="str">
        <x:v>YELLOW</x:v>
      </x:c>
      <x:c r="C839" s="48" t="str">
        <x:v>English</x:v>
      </x:c>
      <x:c r="D839" s="48" t="n">
        <x:v>53</x:v>
      </x:c>
      <x:c r="E839" s="48" t="str"/>
      <x:c r="F839" s="48" t="str">
        <x:v>Parties.</x:v>
      </x:c>
      <x:c r="G839" s="48" t="str">
        <x:v>Obligation</x:v>
      </x:c>
      <x:c r="H839" s="48" t="str">
        <x:v>Shared</x:v>
      </x:c>
      <x:c r="I839" s="48" t="n">
        <x:v>0.45</x:v>
      </x:c>
      <x:c r="J839" s="48" t="n">
        <x:v>0.4</x:v>
      </x:c>
      <x:c r="K839" s="48" t="str">
        <x:v>Yes</x:v>
      </x:c>
      <x:c r="L839" s="48" t="str">
        <x:v>PDF text</x:v>
      </x:c>
    </x:row>
    <x:row r="840">
      <x:c r="A840" s="48" t="str">
        <x:v>YELLOW-0839</x:v>
      </x:c>
      <x:c r="B840" s="48" t="str">
        <x:v>YELLOW</x:v>
      </x:c>
      <x:c r="C840" s="48" t="str">
        <x:v>English</x:v>
      </x:c>
      <x:c r="D840" s="48" t="n">
        <x:v>53</x:v>
      </x:c>
      <x:c r="E840" s="48" t="str"/>
      <x:c r="F840" s="48" t="str">
        <x:v>Appropriate account shall be taken of the effect of the Employer's prior use of the Works.</x:v>
      </x:c>
      <x:c r="G840" s="48" t="str">
        <x:v>Obligation</x:v>
      </x:c>
      <x:c r="H840" s="48" t="str">
        <x:v>Employer</x:v>
      </x:c>
      <x:c r="I840" s="48" t="n">
        <x:v>0.88</x:v>
      </x:c>
      <x:c r="J840" s="48" t="n">
        <x:v>0.68</x:v>
      </x:c>
      <x:c r="K840" s="48" t="str">
        <x:v>Yes</x:v>
      </x:c>
      <x:c r="L840" s="48" t="str">
        <x:v>PDF text</x:v>
      </x:c>
    </x:row>
    <x:row r="841">
      <x:c r="A841" s="48" t="str">
        <x:v>YELLOW-0840</x:v>
      </x:c>
      <x:c r="B841" s="48" t="str">
        <x:v>YELLOW</x:v>
      </x:c>
      <x:c r="C841" s="48" t="str">
        <x:v>English</x:v>
      </x:c>
      <x:c r="D841" s="48" t="n">
        <x:v>53</x:v>
      </x:c>
      <x:c r="E841" s="48" t="str"/>
      <x:c r="F841" s="48" t="str">
        <x:v>If the Contractor incurs Cost as a result of any unreasonable delay by the Employer to the Tests after Completion, the Contractor shall (i) give notice to the Engineer and (ii) be entitled subject to Sub-Clause 20.1 [Contractor's Claims] to payment of any such Cost plus reasonable profit, which shall be included in the Contract Price.</x:v>
      </x:c>
      <x:c r="G841" s="48" t="str">
        <x:v>Risk</x:v>
      </x:c>
      <x:c r="H841" s="48" t="str">
        <x:v>Contractor</x:v>
      </x:c>
      <x:c r="I841" s="48" t="n">
        <x:v>0.78</x:v>
      </x:c>
      <x:c r="J841" s="48" t="n">
        <x:v>0.92</x:v>
      </x:c>
      <x:c r="K841" s="48" t="str">
        <x:v>No</x:v>
      </x:c>
      <x:c r="L841" s="48" t="str">
        <x:v>PDF text</x:v>
      </x:c>
    </x:row>
    <x:row r="842">
      <x:c r="A842" s="48" t="str">
        <x:v>YELLOW-0841</x:v>
      </x:c>
      <x:c r="B842" s="48" t="str">
        <x:v>YELLOW</x:v>
      </x:c>
      <x:c r="C842" s="48" t="str">
        <x:v>English</x:v>
      </x:c>
      <x:c r="D842" s="48" t="n">
        <x:v>53</x:v>
      </x:c>
      <x:c r="E842" s="48" t="str">
        <x:v>3.5</x:v>
      </x:c>
      <x:c r="F842" s="48" t="str">
        <x:v>3.5 [Determinations] to agree or determine this Cost and profit.</x:v>
      </x:c>
      <x:c r="G842" s="48" t="str">
        <x:v>Obligation</x:v>
      </x:c>
      <x:c r="H842" s="48" t="str">
        <x:v>Shared</x:v>
      </x:c>
      <x:c r="I842" s="48" t="n">
        <x:v>0.45</x:v>
      </x:c>
      <x:c r="J842" s="48" t="n">
        <x:v>0.4</x:v>
      </x:c>
      <x:c r="K842" s="48" t="str">
        <x:v>Yes</x:v>
      </x:c>
      <x:c r="L842" s="48" t="str">
        <x:v>PDF text</x:v>
      </x:c>
    </x:row>
    <x:row r="843">
      <x:c r="A843" s="48" t="str">
        <x:v>YELLOW-0842</x:v>
      </x:c>
      <x:c r="B843" s="48" t="str">
        <x:v>YELLOW</x:v>
      </x:c>
      <x:c r="C843" s="48" t="str">
        <x:v>English</x:v>
      </x:c>
      <x:c r="D843" s="48" t="n">
        <x:v>53</x:v>
      </x:c>
      <x:c r="E843" s="48" t="str"/>
      <x:c r="F843" s="48" t="str">
        <x:v>If, for reasons not attributable to the Contractor, a Test after Completion on the Works or any Section cannot be completed during the Defects Notification Period (or any other period agreed upon by both Parties), then the Works or Section shall be deemed to have passed this Test after Completion.</x:v>
      </x:c>
      <x:c r="G843" s="48" t="str">
        <x:v>Obligation</x:v>
      </x:c>
      <x:c r="H843" s="48" t="str">
        <x:v>Shared</x:v>
      </x:c>
      <x:c r="I843" s="48" t="n">
        <x:v>0.88</x:v>
      </x:c>
      <x:c r="J843" s="48" t="n">
        <x:v>0.93</x:v>
      </x:c>
      <x:c r="K843" s="48" t="str">
        <x:v>No</x:v>
      </x:c>
      <x:c r="L843" s="48" t="str">
        <x:v>PDF text</x:v>
      </x:c>
    </x:row>
    <x:row r="844">
      <x:c r="A844" s="48" t="str">
        <x:v>YELLOW-0843</x:v>
      </x:c>
      <x:c r="B844" s="48" t="str">
        <x:v>YELLOW</x:v>
      </x:c>
      <x:c r="C844" s="48" t="str">
        <x:v>English</x:v>
      </x:c>
      <x:c r="D844" s="48" t="n">
        <x:v>53</x:v>
      </x:c>
      <x:c r="E844" s="48" t="str"/>
      <x:c r="F844" s="48" t="str">
        <x:v>If the Works, or a Section, fail to pass the Tests after Completion: (a) sub-paragraph (b) of Sub-Clause 11.1 [Completion of Outstanding Work and Remedying Defects] shall apply, and (b) either Party may then require the failed Tests, and the Tests after Completion on any related work, to be repeated under the same terms and conditions.</x:v>
      </x:c>
      <x:c r="G844" s="48" t="str">
        <x:v>Obligation</x:v>
      </x:c>
      <x:c r="H844" s="48" t="str">
        <x:v>Shared</x:v>
      </x:c>
      <x:c r="I844" s="48" t="n">
        <x:v>0.88</x:v>
      </x:c>
      <x:c r="J844" s="48" t="n">
        <x:v>0.93</x:v>
      </x:c>
      <x:c r="K844" s="48" t="str">
        <x:v>No</x:v>
      </x:c>
      <x:c r="L844" s="48" t="str">
        <x:v>PDF text</x:v>
      </x:c>
    </x:row>
    <x:row r="845">
      <x:c r="A845" s="48" t="str">
        <x:v>YELLOW-0844</x:v>
      </x:c>
      <x:c r="B845" s="48" t="str">
        <x:v>YELLOW</x:v>
      </x:c>
      <x:c r="C845" s="48" t="str">
        <x:v>English</x:v>
      </x:c>
      <x:c r="D845" s="48" t="n">
        <x:v>53</x:v>
      </x:c>
      <x:c r="E845" s="48" t="str"/>
      <x:c r="F845" s="48" t="str">
        <x:v>If and to the extent that this failure and retesting are attributable to any of the matters listed in sub-paragraphs (a) to (d) of Sub-Clause 11.2 [Cost of Remedying Defects]</x:v>
      </x:c>
      <x:c r="G845" s="48" t="str">
        <x:v>Risk</x:v>
      </x:c>
      <x:c r="H845" s="48" t="str">
        <x:v>Shared</x:v>
      </x:c>
      <x:c r="I845" s="48" t="n">
        <x:v>0.78</x:v>
      </x:c>
      <x:c r="J845" s="48" t="n">
        <x:v>0.4</x:v>
      </x:c>
      <x:c r="K845" s="48" t="str">
        <x:v>Yes</x:v>
      </x:c>
      <x:c r="L845" s="48" t="str">
        <x:v>PDF text</x:v>
      </x:c>
    </x:row>
    <x:row r="846">
      <x:c r="A846" s="48" t="str">
        <x:v>YELLOW-0845</x:v>
      </x:c>
      <x:c r="B846" s="48" t="str">
        <x:v>YELLOW</x:v>
      </x:c>
      <x:c r="C846" s="48" t="str">
        <x:v>English</x:v>
      </x:c>
      <x:c r="D846" s="48" t="n">
        <x:v>53</x:v>
      </x:c>
      <x:c r="E846" s="48" t="str"/>
      <x:c r="F846" s="48" t="str">
        <x:v>Test after Completion</x:v>
      </x:c>
      <x:c r="G846" s="48" t="str">
        <x:v>Obligation</x:v>
      </x:c>
      <x:c r="H846" s="48" t="str">
        <x:v>Shared</x:v>
      </x:c>
      <x:c r="I846" s="48" t="n">
        <x:v>0.45</x:v>
      </x:c>
      <x:c r="J846" s="48" t="n">
        <x:v>0.4</x:v>
      </x:c>
      <x:c r="K846" s="48" t="str">
        <x:v>Yes</x:v>
      </x:c>
      <x:c r="L846" s="48" t="str">
        <x:v>PDF text</x:v>
      </x:c>
    </x:row>
    <x:row r="847">
      <x:c r="A847" s="48" t="str">
        <x:v>YELLOW-0846</x:v>
      </x:c>
      <x:c r="B847" s="48" t="str">
        <x:v>YELLOW</x:v>
      </x:c>
      <x:c r="C847" s="48" t="str">
        <x:v>English</x:v>
      </x:c>
      <x:c r="D847" s="48" t="n">
        <x:v>54</x:v>
      </x:c>
      <x:c r="E847" s="48" t="str"/>
      <x:c r="F847" s="48" t="str">
        <x:v>Failure to Pass Tests</x:v>
      </x:c>
      <x:c r="G847" s="48" t="str">
        <x:v>Obligation</x:v>
      </x:c>
      <x:c r="H847" s="48" t="str">
        <x:v>Shared</x:v>
      </x:c>
      <x:c r="I847" s="48" t="n">
        <x:v>0.45</x:v>
      </x:c>
      <x:c r="J847" s="48" t="n">
        <x:v>0.4</x:v>
      </x:c>
      <x:c r="K847" s="48" t="str">
        <x:v>Yes</x:v>
      </x:c>
      <x:c r="L847" s="48" t="str">
        <x:v>PDF text</x:v>
      </x:c>
    </x:row>
    <x:row r="848">
      <x:c r="A848" s="48" t="str">
        <x:v>YELLOW-0847</x:v>
      </x:c>
      <x:c r="B848" s="48" t="str">
        <x:v>YELLOW</x:v>
      </x:c>
      <x:c r="C848" s="48" t="str">
        <x:v>English</x:v>
      </x:c>
      <x:c r="D848" s="48" t="n">
        <x:v>54</x:v>
      </x:c>
      <x:c r="E848" s="48" t="str"/>
      <x:c r="F848" s="48" t="str">
        <x:v>Right to Vary</x:v>
      </x:c>
      <x:c r="G848" s="48" t="str">
        <x:v>Right</x:v>
      </x:c>
      <x:c r="H848" s="48" t="str">
        <x:v>Shared</x:v>
      </x:c>
      <x:c r="I848" s="48" t="n">
        <x:v>0.78</x:v>
      </x:c>
      <x:c r="J848" s="48" t="n">
        <x:v>0.4</x:v>
      </x:c>
      <x:c r="K848" s="48" t="str">
        <x:v>Yes</x:v>
      </x:c>
      <x:c r="L848" s="48" t="str">
        <x:v>PDF text</x:v>
      </x:c>
    </x:row>
    <x:row r="849">
      <x:c r="A849" s="48" t="str">
        <x:v>YELLOW-0848</x:v>
      </x:c>
      <x:c r="B849" s="48" t="str">
        <x:v>YELLOW</x:v>
      </x:c>
      <x:c r="C849" s="48" t="str">
        <x:v>English</x:v>
      </x:c>
      <x:c r="D849" s="48" t="n">
        <x:v>54</x:v>
      </x:c>
      <x:c r="E849" s="48" t="str"/>
      <x:c r="F849" s="48" t="str">
        <x:v>Value Engineering</x:v>
      </x:c>
      <x:c r="G849" s="48" t="str">
        <x:v>Obligation</x:v>
      </x:c>
      <x:c r="H849" s="48" t="str">
        <x:v>Shared</x:v>
      </x:c>
      <x:c r="I849" s="48" t="n">
        <x:v>0.45</x:v>
      </x:c>
      <x:c r="J849" s="48" t="n">
        <x:v>0.4</x:v>
      </x:c>
      <x:c r="K849" s="48" t="str">
        <x:v>Yes</x:v>
      </x:c>
      <x:c r="L849" s="48" t="str">
        <x:v>PDF text</x:v>
      </x:c>
    </x:row>
    <x:row r="850">
      <x:c r="A850" s="48" t="str">
        <x:v>YELLOW-0849</x:v>
      </x:c>
      <x:c r="B850" s="48" t="str">
        <x:v>YELLOW</x:v>
      </x:c>
      <x:c r="C850" s="48" t="str">
        <x:v>English</x:v>
      </x:c>
      <x:c r="D850" s="48" t="n">
        <x:v>54</x:v>
      </x:c>
      <x:c r="E850" s="48" t="str"/>
      <x:c r="F850" s="48" t="str">
        <x:v>and cause the Employer to incur additional costs, the Contractor shall subject to SubClause 2.5 [Employer's Claims] pay these costs to the Employer.</x:v>
      </x:c>
      <x:c r="G850" s="48" t="str">
        <x:v>Obligation</x:v>
      </x:c>
      <x:c r="H850" s="48" t="str">
        <x:v>Contractor</x:v>
      </x:c>
      <x:c r="I850" s="48" t="n">
        <x:v>0.88</x:v>
      </x:c>
      <x:c r="J850" s="48" t="n">
        <x:v>0.92</x:v>
      </x:c>
      <x:c r="K850" s="48" t="str">
        <x:v>No</x:v>
      </x:c>
      <x:c r="L850" s="48" t="str">
        <x:v>PDF text</x:v>
      </x:c>
    </x:row>
    <x:row r="851">
      <x:c r="A851" s="48" t="str">
        <x:v>YELLOW-0850</x:v>
      </x:c>
      <x:c r="B851" s="48" t="str">
        <x:v>YELLOW</x:v>
      </x:c>
      <x:c r="C851" s="48" t="str">
        <x:v>English</x:v>
      </x:c>
      <x:c r="D851" s="48" t="n">
        <x:v>54</x:v>
      </x:c>
      <x:c r="E851" s="48" t="str"/>
      <x:c r="F851" s="48" t="str">
        <x:v>If the following conditions apply, namely: (a) the Works, or a Section, fail to pass any or all of the Tests after Completion, (b) the relevant sum payable as non-performance damages for this failure is stated (or its method of calculation is defined) in the Contract, and (c) the Contractor pays this relevant sum to the Employer during the Defects</x:v>
      </x:c>
      <x:c r="G851" s="48" t="str">
        <x:v>Risk</x:v>
      </x:c>
      <x:c r="H851" s="48" t="str">
        <x:v>Shared</x:v>
      </x:c>
      <x:c r="I851" s="48" t="n">
        <x:v>0.78</x:v>
      </x:c>
      <x:c r="J851" s="48" t="n">
        <x:v>0.6</x:v>
      </x:c>
      <x:c r="K851" s="48" t="str">
        <x:v>Yes</x:v>
      </x:c>
      <x:c r="L851" s="48" t="str">
        <x:v>PDF text</x:v>
      </x:c>
    </x:row>
    <x:row r="852">
      <x:c r="A852" s="48" t="str">
        <x:v>YELLOW-0851</x:v>
      </x:c>
      <x:c r="B852" s="48" t="str">
        <x:v>YELLOW</x:v>
      </x:c>
      <x:c r="C852" s="48" t="str">
        <x:v>English</x:v>
      </x:c>
      <x:c r="D852" s="48" t="n">
        <x:v>54</x:v>
      </x:c>
      <x:c r="E852" s="48" t="str"/>
      <x:c r="F852" s="48" t="str">
        <x:v>then the Works or Section shall be deemed to have passed these Tests after Completion.</x:v>
      </x:c>
      <x:c r="G852" s="48" t="str">
        <x:v>Obligation</x:v>
      </x:c>
      <x:c r="H852" s="48" t="str">
        <x:v>Shared</x:v>
      </x:c>
      <x:c r="I852" s="48" t="n">
        <x:v>0.88</x:v>
      </x:c>
      <x:c r="J852" s="48" t="n">
        <x:v>0.4</x:v>
      </x:c>
      <x:c r="K852" s="48" t="str">
        <x:v>Yes</x:v>
      </x:c>
      <x:c r="L852" s="48" t="str">
        <x:v>PDF text</x:v>
      </x:c>
    </x:row>
    <x:row r="853">
      <x:c r="A853" s="48" t="str">
        <x:v>YELLOW-0852</x:v>
      </x:c>
      <x:c r="B853" s="48" t="str">
        <x:v>YELLOW</x:v>
      </x:c>
      <x:c r="C853" s="48" t="str">
        <x:v>English</x:v>
      </x:c>
      <x:c r="D853" s="48" t="n">
        <x:v>54</x:v>
      </x:c>
      <x:c r="E853" s="48" t="str"/>
      <x:c r="F853" s="48" t="str">
        <x:v>If the Works, or a Section, fail to pass a Test after Completion and the Contractor proposes to make adjustments or modifications to the Works or such Section, the Contractor may be instructed by (or on behalf of) the Employer that right of access to the Works or Section cannot be given until a time that is convenient to the Employer.</x:v>
      </x:c>
      <x:c r="G853" s="48" t="str">
        <x:v>Right</x:v>
      </x:c>
      <x:c r="H853" s="48" t="str">
        <x:v>Contractor</x:v>
      </x:c>
      <x:c r="I853" s="48" t="n">
        <x:v>0.78</x:v>
      </x:c>
      <x:c r="J853" s="48" t="n">
        <x:v>0.92</x:v>
      </x:c>
      <x:c r="K853" s="48" t="str">
        <x:v>No</x:v>
      </x:c>
      <x:c r="L853" s="48" t="str">
        <x:v>PDF text</x:v>
      </x:c>
    </x:row>
    <x:row r="854">
      <x:c r="A854" s="48" t="str">
        <x:v>YELLOW-0853</x:v>
      </x:c>
      <x:c r="B854" s="48" t="str">
        <x:v>YELLOW</x:v>
      </x:c>
      <x:c r="C854" s="48" t="str">
        <x:v>English</x:v>
      </x:c>
      <x:c r="D854" s="48" t="n">
        <x:v>54</x:v>
      </x:c>
      <x:c r="E854" s="48" t="str"/>
      <x:c r="F854" s="48" t="str">
        <x:v>The Contractor shall then remain liable to carry out the adjustments or modifications and to satisfy this Test, within a reasonable period of receiving notice by (or on behalf of) the Employer of the time that is convenient to the Employer.</x:v>
      </x:c>
      <x:c r="G854" s="48" t="str">
        <x:v>Risk</x:v>
      </x:c>
      <x:c r="H854" s="48" t="str">
        <x:v>Contractor</x:v>
      </x:c>
      <x:c r="I854" s="48" t="n">
        <x:v>0.78</x:v>
      </x:c>
      <x:c r="J854" s="48" t="n">
        <x:v>0.92</x:v>
      </x:c>
      <x:c r="K854" s="48" t="str">
        <x:v>No</x:v>
      </x:c>
      <x:c r="L854" s="48" t="str">
        <x:v>PDF text</x:v>
      </x:c>
    </x:row>
    <x:row r="855">
      <x:c r="A855" s="48" t="str">
        <x:v>YELLOW-0854</x:v>
      </x:c>
      <x:c r="B855" s="48" t="str">
        <x:v>YELLOW</x:v>
      </x:c>
      <x:c r="C855" s="48" t="str">
        <x:v>English</x:v>
      </x:c>
      <x:c r="D855" s="48" t="n">
        <x:v>54</x:v>
      </x:c>
      <x:c r="E855" s="48" t="str"/>
      <x:c r="F855" s="48" t="str">
        <x:v>However, if the Contractor does not receive this notice during the relevant Defects Notification Period, the Contractor shall be relieved of this obligation and the Works or Section (as the case may be) shall be deemed to have passed this Test after Completion.</x:v>
      </x:c>
      <x:c r="G855" s="48" t="str">
        <x:v>Obligation</x:v>
      </x:c>
      <x:c r="H855" s="48" t="str">
        <x:v>Contractor</x:v>
      </x:c>
      <x:c r="I855" s="48" t="n">
        <x:v>0.88</x:v>
      </x:c>
      <x:c r="J855" s="48" t="n">
        <x:v>0.92</x:v>
      </x:c>
      <x:c r="K855" s="48" t="str">
        <x:v>No</x:v>
      </x:c>
      <x:c r="L855" s="48" t="str">
        <x:v>PDF text</x:v>
      </x:c>
    </x:row>
    <x:row r="856">
      <x:c r="A856" s="48" t="str">
        <x:v>YELLOW-0855</x:v>
      </x:c>
      <x:c r="B856" s="48" t="str">
        <x:v>YELLOW</x:v>
      </x:c>
      <x:c r="C856" s="48" t="str">
        <x:v>English</x:v>
      </x:c>
      <x:c r="D856" s="48" t="n">
        <x:v>54</x:v>
      </x:c>
      <x:c r="E856" s="48" t="str"/>
      <x:c r="F856" s="48" t="str">
        <x:v>If the Contractor incurs additional Cost as a result of any unreasonable delay by the</x:v>
      </x:c>
      <x:c r="G856" s="48" t="str">
        <x:v>Risk</x:v>
      </x:c>
      <x:c r="H856" s="48" t="str">
        <x:v>Contractor</x:v>
      </x:c>
      <x:c r="I856" s="48" t="n">
        <x:v>0.78</x:v>
      </x:c>
      <x:c r="J856" s="48" t="n">
        <x:v>0.68</x:v>
      </x:c>
      <x:c r="K856" s="48" t="str">
        <x:v>Yes</x:v>
      </x:c>
      <x:c r="L856" s="48" t="str">
        <x:v>PDF text</x:v>
      </x:c>
    </x:row>
    <x:row r="857">
      <x:c r="A857" s="48" t="str">
        <x:v>YELLOW-0856</x:v>
      </x:c>
      <x:c r="B857" s="48" t="str">
        <x:v>YELLOW</x:v>
      </x:c>
      <x:c r="C857" s="48" t="str">
        <x:v>English</x:v>
      </x:c>
      <x:c r="D857" s="48" t="n">
        <x:v>54</x:v>
      </x:c>
      <x:c r="E857" s="48" t="str"/>
      <x:c r="F857" s="48" t="str">
        <x:v>Employer in permitting access to the Works or Plant by the Contractor, either to</x:v>
      </x:c>
      <x:c r="G857" s="48" t="str">
        <x:v>Obligation</x:v>
      </x:c>
      <x:c r="H857" s="48" t="str">
        <x:v>Shared</x:v>
      </x:c>
      <x:c r="I857" s="48" t="n">
        <x:v>0.45</x:v>
      </x:c>
      <x:c r="J857" s="48" t="n">
        <x:v>0.6</x:v>
      </x:c>
      <x:c r="K857" s="48" t="str">
        <x:v>Yes</x:v>
      </x:c>
      <x:c r="L857" s="48" t="str">
        <x:v>PDF text</x:v>
      </x:c>
    </x:row>
    <x:row r="858">
      <x:c r="A858" s="48" t="str">
        <x:v>YELLOW-0857</x:v>
      </x:c>
      <x:c r="B858" s="48" t="str">
        <x:v>YELLOW</x:v>
      </x:c>
      <x:c r="C858" s="48" t="str">
        <x:v>English</x:v>
      </x:c>
      <x:c r="D858" s="48" t="n">
        <x:v>54</x:v>
      </x:c>
      <x:c r="E858" s="48" t="str"/>
      <x:c r="F858" s="48" t="str">
        <x:v>investigate the causes of a failure to pass a Test after Completion or to carry out any adjustments or modifications, the Contractor shall (i) give notice to the Engineer and (ii) be entitled subject to Sub-Clause 20.1 [Contractor's Claims] to payment of any such Cost plus reasonable profit, which shall be included in the Contract Price.</x:v>
      </x:c>
      <x:c r="G858" s="48" t="str">
        <x:v>Obligation</x:v>
      </x:c>
      <x:c r="H858" s="48" t="str">
        <x:v>Contractor</x:v>
      </x:c>
      <x:c r="I858" s="48" t="n">
        <x:v>0.88</x:v>
      </x:c>
      <x:c r="J858" s="48" t="n">
        <x:v>0.92</x:v>
      </x:c>
      <x:c r="K858" s="48" t="str">
        <x:v>No</x:v>
      </x:c>
      <x:c r="L858" s="48" t="str">
        <x:v>PDF text</x:v>
      </x:c>
    </x:row>
    <x:row r="859">
      <x:c r="A859" s="48" t="str">
        <x:v>YELLOW-0858</x:v>
      </x:c>
      <x:c r="B859" s="48" t="str">
        <x:v>YELLOW</x:v>
      </x:c>
      <x:c r="C859" s="48" t="str">
        <x:v>English</x:v>
      </x:c>
      <x:c r="D859" s="48" t="n">
        <x:v>54</x:v>
      </x:c>
      <x:c r="E859" s="48" t="str"/>
      <x:c r="F859" s="48" t="str">
        <x:v>Variations may be initiated by the Engineer at any time prior to issuing the Taking-Over Certificate for the Works, either by an instruction or by a request for the Contractor to submit a proposal.</x:v>
      </x:c>
      <x:c r="G859" s="48" t="str">
        <x:v>Right</x:v>
      </x:c>
      <x:c r="H859" s="48" t="str">
        <x:v>Contractor</x:v>
      </x:c>
      <x:c r="I859" s="48" t="n">
        <x:v>0.78</x:v>
      </x:c>
      <x:c r="J859" s="48" t="n">
        <x:v>0.68</x:v>
      </x:c>
      <x:c r="K859" s="48" t="str">
        <x:v>Yes</x:v>
      </x:c>
      <x:c r="L859" s="48" t="str">
        <x:v>PDF text</x:v>
      </x:c>
    </x:row>
    <x:row r="860">
      <x:c r="A860" s="48" t="str">
        <x:v>YELLOW-0859</x:v>
      </x:c>
      <x:c r="B860" s="48" t="str">
        <x:v>YELLOW</x:v>
      </x:c>
      <x:c r="C860" s="48" t="str">
        <x:v>English</x:v>
      </x:c>
      <x:c r="D860" s="48" t="n">
        <x:v>54</x:v>
      </x:c>
      <x:c r="E860" s="48" t="str"/>
      <x:c r="F860" s="48" t="str">
        <x:v>A Variation shall not comprise the omission of any work which is to be carried out by others.</x:v>
      </x:c>
      <x:c r="G860" s="48" t="str">
        <x:v>Obligation</x:v>
      </x:c>
      <x:c r="H860" s="48" t="str">
        <x:v>Shared</x:v>
      </x:c>
      <x:c r="I860" s="48" t="n">
        <x:v>0.88</x:v>
      </x:c>
      <x:c r="J860" s="48" t="n">
        <x:v>0.4</x:v>
      </x:c>
      <x:c r="K860" s="48" t="str">
        <x:v>Yes</x:v>
      </x:c>
      <x:c r="L860" s="48" t="str">
        <x:v>PDF text</x:v>
      </x:c>
    </x:row>
    <x:row r="861">
      <x:c r="A861" s="48" t="str">
        <x:v>YELLOW-0860</x:v>
      </x:c>
      <x:c r="B861" s="48" t="str">
        <x:v>YELLOW</x:v>
      </x:c>
      <x:c r="C861" s="48" t="str">
        <x:v>English</x:v>
      </x:c>
      <x:c r="D861" s="48" t="n">
        <x:v>54</x:v>
      </x:c>
      <x:c r="E861" s="48" t="str"/>
      <x:c r="F861" s="48" t="str">
        <x:v>The Contractor shall execute and be bound by each Variation, unless the Contractor promptly gives notice to the Engineer stating (with supporting particulars) that (i) the Contractor cannot readily obtain the Goods required for the Variation, (ii) it will reduce the safety or suitability of the Works, or (iii) it will have an adverse impact on the achievement of the Schedule of Guarantees.</x:v>
      </x:c>
      <x:c r="G861" s="48" t="str">
        <x:v>Obligation</x:v>
      </x:c>
      <x:c r="H861" s="48" t="str">
        <x:v>Contractor</x:v>
      </x:c>
      <x:c r="I861" s="48" t="n">
        <x:v>0.88</x:v>
      </x:c>
      <x:c r="J861" s="48" t="n">
        <x:v>0.92</x:v>
      </x:c>
      <x:c r="K861" s="48" t="str">
        <x:v>No</x:v>
      </x:c>
      <x:c r="L861" s="48" t="str">
        <x:v>PDF text</x:v>
      </x:c>
    </x:row>
    <x:row r="862">
      <x:c r="A862" s="48" t="str">
        <x:v>YELLOW-0861</x:v>
      </x:c>
      <x:c r="B862" s="48" t="str">
        <x:v>YELLOW</x:v>
      </x:c>
      <x:c r="C862" s="48" t="str">
        <x:v>English</x:v>
      </x:c>
      <x:c r="D862" s="48" t="n">
        <x:v>54</x:v>
      </x:c>
      <x:c r="E862" s="48" t="str"/>
      <x:c r="F862" s="48" t="str">
        <x:v>Upon receiving this notice, the Engineer shall cancel, confirm or vary the instruction.</x:v>
      </x:c>
      <x:c r="G862" s="48" t="str">
        <x:v>Obligation</x:v>
      </x:c>
      <x:c r="H862" s="48" t="str">
        <x:v>Shared</x:v>
      </x:c>
      <x:c r="I862" s="48" t="n">
        <x:v>0.88</x:v>
      </x:c>
      <x:c r="J862" s="48" t="n">
        <x:v>0.4</x:v>
      </x:c>
      <x:c r="K862" s="48" t="str">
        <x:v>Yes</x:v>
      </x:c>
      <x:c r="L862" s="48" t="str">
        <x:v>PDF text</x:v>
      </x:c>
    </x:row>
    <x:row r="863">
      <x:c r="A863" s="48" t="str">
        <x:v>YELLOW-0862</x:v>
      </x:c>
      <x:c r="B863" s="48" t="str">
        <x:v>YELLOW</x:v>
      </x:c>
      <x:c r="C863" s="48" t="str">
        <x:v>English</x:v>
      </x:c>
      <x:c r="D863" s="48" t="n">
        <x:v>54</x:v>
      </x:c>
      <x:c r="E863" s="48" t="str"/>
      <x:c r="F863" s="48" t="str">
        <x:v>The Contractor may, at any time, submit to the Engineer a written proposal which (in the Contractor's opinion) will, if adopted, (i) accelerate completion, (ii) reduce the cost</x:v>
      </x:c>
      <x:c r="G863" s="48" t="str">
        <x:v>Obligation</x:v>
      </x:c>
      <x:c r="H863" s="48" t="str">
        <x:v>Contractor</x:v>
      </x:c>
      <x:c r="I863" s="48" t="n">
        <x:v>0.45</x:v>
      </x:c>
      <x:c r="J863" s="48" t="n">
        <x:v>0.68</x:v>
      </x:c>
      <x:c r="K863" s="48" t="str">
        <x:v>Yes</x:v>
      </x:c>
      <x:c r="L863" s="48" t="str">
        <x:v>PDF text</x:v>
      </x:c>
    </x:row>
    <x:row r="864">
      <x:c r="A864" s="48" t="str">
        <x:v>YELLOW-0863</x:v>
      </x:c>
      <x:c r="B864" s="48" t="str">
        <x:v>YELLOW</x:v>
      </x:c>
      <x:c r="C864" s="48" t="str">
        <x:v>English</x:v>
      </x:c>
      <x:c r="D864" s="48" t="n">
        <x:v>54</x:v>
      </x:c>
      <x:c r="E864" s="48" t="str"/>
      <x:c r="F864" s="48" t="str">
        <x:v>Variations and Adjustments</x:v>
      </x:c>
      <x:c r="G864" s="48" t="str">
        <x:v>Obligation</x:v>
      </x:c>
      <x:c r="H864" s="48" t="str">
        <x:v>Shared</x:v>
      </x:c>
      <x:c r="I864" s="48" t="n">
        <x:v>0.45</x:v>
      </x:c>
      <x:c r="J864" s="48" t="n">
        <x:v>0.4</x:v>
      </x:c>
      <x:c r="K864" s="48" t="str">
        <x:v>Yes</x:v>
      </x:c>
      <x:c r="L864" s="48" t="str">
        <x:v>PDF text</x:v>
      </x:c>
    </x:row>
    <x:row r="865">
      <x:c r="A865" s="48" t="str">
        <x:v>YELLOW-0864</x:v>
      </x:c>
      <x:c r="B865" s="48" t="str">
        <x:v>YELLOW</x:v>
      </x:c>
      <x:c r="C865" s="48" t="str">
        <x:v>English</x:v>
      </x:c>
      <x:c r="D865" s="48" t="n">
        <x:v>55</x:v>
      </x:c>
      <x:c r="E865" s="48" t="str"/>
      <x:c r="F865" s="48" t="str">
        <x:v>Variation Procedure</x:v>
      </x:c>
      <x:c r="G865" s="48" t="str">
        <x:v>Obligation</x:v>
      </x:c>
      <x:c r="H865" s="48" t="str">
        <x:v>Shared</x:v>
      </x:c>
      <x:c r="I865" s="48" t="n">
        <x:v>0.55</x:v>
      </x:c>
      <x:c r="J865" s="48" t="n">
        <x:v>0.4</x:v>
      </x:c>
      <x:c r="K865" s="48" t="str">
        <x:v>Yes</x:v>
      </x:c>
      <x:c r="L865" s="48" t="str">
        <x:v>PDF text</x:v>
      </x:c>
    </x:row>
    <x:row r="866">
      <x:c r="A866" s="48" t="str">
        <x:v>YELLOW-0865</x:v>
      </x:c>
      <x:c r="B866" s="48" t="str">
        <x:v>YELLOW</x:v>
      </x:c>
      <x:c r="C866" s="48" t="str">
        <x:v>English</x:v>
      </x:c>
      <x:c r="D866" s="48" t="n">
        <x:v>55</x:v>
      </x:c>
      <x:c r="E866" s="48" t="str"/>
      <x:c r="F866" s="48" t="str">
        <x:v>Payment in Applicable</x:v>
      </x:c>
      <x:c r="G866" s="48" t="str">
        <x:v>Obligation</x:v>
      </x:c>
      <x:c r="H866" s="48" t="str">
        <x:v>Shared</x:v>
      </x:c>
      <x:c r="I866" s="48" t="n">
        <x:v>0.55</x:v>
      </x:c>
      <x:c r="J866" s="48" t="n">
        <x:v>0.4</x:v>
      </x:c>
      <x:c r="K866" s="48" t="str">
        <x:v>Yes</x:v>
      </x:c>
      <x:c r="L866" s="48" t="str">
        <x:v>PDF text</x:v>
      </x:c>
    </x:row>
    <x:row r="867">
      <x:c r="A867" s="48" t="str">
        <x:v>YELLOW-0866</x:v>
      </x:c>
      <x:c r="B867" s="48" t="str">
        <x:v>YELLOW</x:v>
      </x:c>
      <x:c r="C867" s="48" t="str">
        <x:v>English</x:v>
      </x:c>
      <x:c r="D867" s="48" t="n">
        <x:v>55</x:v>
      </x:c>
      <x:c r="E867" s="48" t="str"/>
      <x:c r="F867" s="48" t="str">
        <x:v>Currencies</x:v>
      </x:c>
      <x:c r="G867" s="48" t="str">
        <x:v>Obligation</x:v>
      </x:c>
      <x:c r="H867" s="48" t="str">
        <x:v>Shared</x:v>
      </x:c>
      <x:c r="I867" s="48" t="n">
        <x:v>0.45</x:v>
      </x:c>
      <x:c r="J867" s="48" t="n">
        <x:v>0.4</x:v>
      </x:c>
      <x:c r="K867" s="48" t="str">
        <x:v>Yes</x:v>
      </x:c>
      <x:c r="L867" s="48" t="str">
        <x:v>PDF text</x:v>
      </x:c>
    </x:row>
    <x:row r="868">
      <x:c r="A868" s="48" t="str">
        <x:v>YELLOW-0867</x:v>
      </x:c>
      <x:c r="B868" s="48" t="str">
        <x:v>YELLOW</x:v>
      </x:c>
      <x:c r="C868" s="48" t="str">
        <x:v>English</x:v>
      </x:c>
      <x:c r="D868" s="48" t="n">
        <x:v>55</x:v>
      </x:c>
      <x:c r="E868" s="48" t="str"/>
      <x:c r="F868" s="48" t="str">
        <x:v>Provisional Sums</x:v>
      </x:c>
      <x:c r="G868" s="48" t="str">
        <x:v>Obligation</x:v>
      </x:c>
      <x:c r="H868" s="48" t="str">
        <x:v>Shared</x:v>
      </x:c>
      <x:c r="I868" s="48" t="n">
        <x:v>0.45</x:v>
      </x:c>
      <x:c r="J868" s="48" t="n">
        <x:v>0.4</x:v>
      </x:c>
      <x:c r="K868" s="48" t="str">
        <x:v>Yes</x:v>
      </x:c>
      <x:c r="L868" s="48" t="str">
        <x:v>PDF text</x:v>
      </x:c>
    </x:row>
    <x:row r="869">
      <x:c r="A869" s="48" t="str">
        <x:v>YELLOW-0868</x:v>
      </x:c>
      <x:c r="B869" s="48" t="str">
        <x:v>YELLOW</x:v>
      </x:c>
      <x:c r="C869" s="48" t="str">
        <x:v>English</x:v>
      </x:c>
      <x:c r="D869" s="48" t="n">
        <x:v>55</x:v>
      </x:c>
      <x:c r="E869" s="48" t="str"/>
      <x:c r="F869" s="48" t="str">
        <x:v>to the Employer of executing, maintaining or operating the Works, (iii) improve the efficiency or value to the Employer of the completed Works, or (iv) otherwise be of benefit to the Employer.</x:v>
      </x:c>
      <x:c r="G869" s="48" t="str">
        <x:v>Obligation</x:v>
      </x:c>
      <x:c r="H869" s="48" t="str">
        <x:v>Employer</x:v>
      </x:c>
      <x:c r="I869" s="48" t="n">
        <x:v>0.45</x:v>
      </x:c>
      <x:c r="J869" s="48" t="n">
        <x:v>0.68</x:v>
      </x:c>
      <x:c r="K869" s="48" t="str">
        <x:v>Yes</x:v>
      </x:c>
      <x:c r="L869" s="48" t="str">
        <x:v>PDF text</x:v>
      </x:c>
    </x:row>
    <x:row r="870">
      <x:c r="A870" s="48" t="str">
        <x:v>YELLOW-0869</x:v>
      </x:c>
      <x:c r="B870" s="48" t="str">
        <x:v>YELLOW</x:v>
      </x:c>
      <x:c r="C870" s="48" t="str">
        <x:v>English</x:v>
      </x:c>
      <x:c r="D870" s="48" t="n">
        <x:v>55</x:v>
      </x:c>
      <x:c r="E870" s="48" t="str"/>
      <x:c r="F870" s="48" t="str">
        <x:v>The proposal shall be prepared at the cost of the Contractor and shall include the items listed in Sub-Clause 13.3 [Variation Procedure].</x:v>
      </x:c>
      <x:c r="G870" s="48" t="str">
        <x:v>Obligation</x:v>
      </x:c>
      <x:c r="H870" s="48" t="str">
        <x:v>Contractor</x:v>
      </x:c>
      <x:c r="I870" s="48" t="n">
        <x:v>0.88</x:v>
      </x:c>
      <x:c r="J870" s="48" t="n">
        <x:v>0.68</x:v>
      </x:c>
      <x:c r="K870" s="48" t="str">
        <x:v>Yes</x:v>
      </x:c>
      <x:c r="L870" s="48" t="str">
        <x:v>PDF text</x:v>
      </x:c>
    </x:row>
    <x:row r="871">
      <x:c r="A871" s="48" t="str">
        <x:v>YELLOW-0870</x:v>
      </x:c>
      <x:c r="B871" s="48" t="str">
        <x:v>YELLOW</x:v>
      </x:c>
      <x:c r="C871" s="48" t="str">
        <x:v>English</x:v>
      </x:c>
      <x:c r="D871" s="48" t="n">
        <x:v>55</x:v>
      </x:c>
      <x:c r="E871" s="48" t="str"/>
      <x:c r="F871" s="48" t="str">
        <x:v>If the Engineer requests a proposal, prior to instructing a Variation, the Contractor shall respond in writing as soon as practicable, either by giving reasons why he cannot comply (if this is the case) or by submitting: (a) a description of the proposed design and/or work to be performed and a programme for its execution, (b) the Contractor's proposal for any necessary modifications to the programme according to Sub-Clause 8.3 [Programme] and to the Time for Completion, and (c) the Contractor's proposal for adjustment to the Contract Price.</x:v>
      </x:c>
      <x:c r="G871" s="48" t="str">
        <x:v>Obligation</x:v>
      </x:c>
      <x:c r="H871" s="48" t="str">
        <x:v>Contractor</x:v>
      </x:c>
      <x:c r="I871" s="48" t="n">
        <x:v>0.88</x:v>
      </x:c>
      <x:c r="J871" s="48" t="n">
        <x:v>0.92</x:v>
      </x:c>
      <x:c r="K871" s="48" t="str">
        <x:v>No</x:v>
      </x:c>
      <x:c r="L871" s="48" t="str">
        <x:v>PDF text</x:v>
      </x:c>
    </x:row>
    <x:row r="872">
      <x:c r="A872" s="48" t="str">
        <x:v>YELLOW-0871</x:v>
      </x:c>
      <x:c r="B872" s="48" t="str">
        <x:v>YELLOW</x:v>
      </x:c>
      <x:c r="C872" s="48" t="str">
        <x:v>English</x:v>
      </x:c>
      <x:c r="D872" s="48" t="n">
        <x:v>55</x:v>
      </x:c>
      <x:c r="E872" s="48" t="str"/>
      <x:c r="F872" s="48" t="str">
        <x:v>The Engineer shall, as soon as practicable after receiving such proposal (under SubClause 13.2 [Value Engineering] or otherwise), respond with approval, disapproval or comments.</x:v>
      </x:c>
      <x:c r="G872" s="48" t="str">
        <x:v>Obligation</x:v>
      </x:c>
      <x:c r="H872" s="48" t="str">
        <x:v>Shared</x:v>
      </x:c>
      <x:c r="I872" s="48" t="n">
        <x:v>0.88</x:v>
      </x:c>
      <x:c r="J872" s="48" t="n">
        <x:v>0.4</x:v>
      </x:c>
      <x:c r="K872" s="48" t="str">
        <x:v>Yes</x:v>
      </x:c>
      <x:c r="L872" s="48" t="str">
        <x:v>PDF text</x:v>
      </x:c>
    </x:row>
    <x:row r="873">
      <x:c r="A873" s="48" t="str">
        <x:v>YELLOW-0872</x:v>
      </x:c>
      <x:c r="B873" s="48" t="str">
        <x:v>YELLOW</x:v>
      </x:c>
      <x:c r="C873" s="48" t="str">
        <x:v>English</x:v>
      </x:c>
      <x:c r="D873" s="48" t="n">
        <x:v>55</x:v>
      </x:c>
      <x:c r="E873" s="48" t="str"/>
      <x:c r="F873" s="48" t="str">
        <x:v>The Contractor shall not delay any work whilst awaiting a response.</x:v>
      </x:c>
      <x:c r="G873" s="48" t="str">
        <x:v>Obligation</x:v>
      </x:c>
      <x:c r="H873" s="48" t="str">
        <x:v>Contractor</x:v>
      </x:c>
      <x:c r="I873" s="48" t="n">
        <x:v>0.88</x:v>
      </x:c>
      <x:c r="J873" s="48" t="n">
        <x:v>0.92</x:v>
      </x:c>
      <x:c r="K873" s="48" t="str">
        <x:v>No</x:v>
      </x:c>
      <x:c r="L873" s="48" t="str">
        <x:v>PDF text</x:v>
      </x:c>
    </x:row>
    <x:row r="874">
      <x:c r="A874" s="48" t="str">
        <x:v>YELLOW-0873</x:v>
      </x:c>
      <x:c r="B874" s="48" t="str">
        <x:v>YELLOW</x:v>
      </x:c>
      <x:c r="C874" s="48" t="str">
        <x:v>English</x:v>
      </x:c>
      <x:c r="D874" s="48" t="n">
        <x:v>55</x:v>
      </x:c>
      <x:c r="E874" s="48" t="str"/>
      <x:c r="F874" s="48" t="str">
        <x:v>Each instruction to execute a Variation, with any requirements for the recording of Costs, shall be issued by the Engineer to the Contractor, who shall acknowledge receipt.</x:v>
      </x:c>
      <x:c r="G874" s="48" t="str">
        <x:v>Obligation</x:v>
      </x:c>
      <x:c r="H874" s="48" t="str">
        <x:v>Contractor</x:v>
      </x:c>
      <x:c r="I874" s="48" t="n">
        <x:v>0.88</x:v>
      </x:c>
      <x:c r="J874" s="48" t="n">
        <x:v>0.68</x:v>
      </x:c>
      <x:c r="K874" s="48" t="str">
        <x:v>Yes</x:v>
      </x:c>
      <x:c r="L874" s="48" t="str">
        <x:v>PDF text</x:v>
      </x:c>
    </x:row>
    <x:row r="875">
      <x:c r="A875" s="48" t="str">
        <x:v>YELLOW-0874</x:v>
      </x:c>
      <x:c r="B875" s="48" t="str">
        <x:v>YELLOW</x:v>
      </x:c>
      <x:c r="C875" s="48" t="str">
        <x:v>English</x:v>
      </x:c>
      <x:c r="D875" s="48" t="n">
        <x:v>55</x:v>
      </x:c>
      <x:c r="E875" s="48" t="str"/>
      <x:c r="F875" s="48" t="str">
        <x:v>Upon instructing or approving a Variation, the Engineer shall proceed in accordance with Sub-Clause 3.5 [Determinations] to agree or determine adjustments to the Contract Price and the Schedule of Payments.</x:v>
      </x:c>
      <x:c r="G875" s="48" t="str">
        <x:v>Obligation</x:v>
      </x:c>
      <x:c r="H875" s="48" t="str">
        <x:v>Shared</x:v>
      </x:c>
      <x:c r="I875" s="48" t="n">
        <x:v>0.88</x:v>
      </x:c>
      <x:c r="J875" s="48" t="n">
        <x:v>0.4</x:v>
      </x:c>
      <x:c r="K875" s="48" t="str">
        <x:v>Yes</x:v>
      </x:c>
      <x:c r="L875" s="48" t="str">
        <x:v>PDF text</x:v>
      </x:c>
    </x:row>
    <x:row r="876">
      <x:c r="A876" s="48" t="str">
        <x:v>YELLOW-0875</x:v>
      </x:c>
      <x:c r="B876" s="48" t="str">
        <x:v>YELLOW</x:v>
      </x:c>
      <x:c r="C876" s="48" t="str">
        <x:v>English</x:v>
      </x:c>
      <x:c r="D876" s="48" t="n">
        <x:v>55</x:v>
      </x:c>
      <x:c r="E876" s="48" t="str"/>
      <x:c r="F876" s="48" t="str">
        <x:v>These adjustments shall include reasonable profit, and shall take account of the Contractor's submissions under SubClause 13.2 [Value Engineering] if applicable.</x:v>
      </x:c>
      <x:c r="G876" s="48" t="str">
        <x:v>Obligation</x:v>
      </x:c>
      <x:c r="H876" s="48" t="str">
        <x:v>Contractor</x:v>
      </x:c>
      <x:c r="I876" s="48" t="n">
        <x:v>0.88</x:v>
      </x:c>
      <x:c r="J876" s="48" t="n">
        <x:v>0.68</x:v>
      </x:c>
      <x:c r="K876" s="48" t="str">
        <x:v>Yes</x:v>
      </x:c>
      <x:c r="L876" s="48" t="str">
        <x:v>PDF text</x:v>
      </x:c>
    </x:row>
    <x:row r="877">
      <x:c r="A877" s="48" t="str">
        <x:v>YELLOW-0876</x:v>
      </x:c>
      <x:c r="B877" s="48" t="str">
        <x:v>YELLOW</x:v>
      </x:c>
      <x:c r="C877" s="48" t="str">
        <x:v>English</x:v>
      </x:c>
      <x:c r="D877" s="48" t="n">
        <x:v>55</x:v>
      </x:c>
      <x:c r="E877" s="48" t="str"/>
      <x:c r="F877" s="48" t="str">
        <x:v>If the Contract provides for payment of the Contract Price in more than one currency, then whenever an adjustment is agreed, approved or determined as stated above, the amount payable in each of the applicable currencies shall be specified.</x:v>
      </x:c>
      <x:c r="G877" s="48" t="str">
        <x:v>Obligation</x:v>
      </x:c>
      <x:c r="H877" s="48" t="str">
        <x:v>Shared</x:v>
      </x:c>
      <x:c r="I877" s="48" t="n">
        <x:v>0.88</x:v>
      </x:c>
      <x:c r="J877" s="48" t="n">
        <x:v>0.4</x:v>
      </x:c>
      <x:c r="K877" s="48" t="str">
        <x:v>Yes</x:v>
      </x:c>
      <x:c r="L877" s="48" t="str">
        <x:v>PDF text</x:v>
      </x:c>
    </x:row>
    <x:row r="878">
      <x:c r="A878" s="48" t="str">
        <x:v>YELLOW-0877</x:v>
      </x:c>
      <x:c r="B878" s="48" t="str">
        <x:v>YELLOW</x:v>
      </x:c>
      <x:c r="C878" s="48" t="str">
        <x:v>English</x:v>
      </x:c>
      <x:c r="D878" s="48" t="n">
        <x:v>55</x:v>
      </x:c>
      <x:c r="E878" s="48" t="str"/>
      <x:c r="F878" s="48" t="str">
        <x:v>For this purpose, reference shall be made to the actual or expected currency proportions of the Cost of the varied work, and to the proportions of various currencies specified for payment of the Contract Price.</x:v>
      </x:c>
      <x:c r="G878" s="48" t="str">
        <x:v>Obligation</x:v>
      </x:c>
      <x:c r="H878" s="48" t="str">
        <x:v>Shared</x:v>
      </x:c>
      <x:c r="I878" s="48" t="n">
        <x:v>0.88</x:v>
      </x:c>
      <x:c r="J878" s="48" t="n">
        <x:v>0.4</x:v>
      </x:c>
      <x:c r="K878" s="48" t="str">
        <x:v>Yes</x:v>
      </x:c>
      <x:c r="L878" s="48" t="str">
        <x:v>PDF text</x:v>
      </x:c>
    </x:row>
    <x:row r="879">
      <x:c r="A879" s="48" t="str">
        <x:v>YELLOW-0878</x:v>
      </x:c>
      <x:c r="B879" s="48" t="str">
        <x:v>YELLOW</x:v>
      </x:c>
      <x:c r="C879" s="48" t="str">
        <x:v>English</x:v>
      </x:c>
      <x:c r="D879" s="48" t="n">
        <x:v>55</x:v>
      </x:c>
      <x:c r="E879" s="48" t="str"/>
      <x:c r="F879" s="48" t="str">
        <x:v>Each Provisional Sum shall only be used, in whole or in part, in accordance with the Engineer's instructions, and the Contract Price shall be adjusted accordingly.</x:v>
      </x:c>
      <x:c r="G879" s="48" t="str">
        <x:v>Obligation</x:v>
      </x:c>
      <x:c r="H879" s="48" t="str">
        <x:v>Shared</x:v>
      </x:c>
      <x:c r="I879" s="48" t="n">
        <x:v>0.88</x:v>
      </x:c>
      <x:c r="J879" s="48" t="n">
        <x:v>0.4</x:v>
      </x:c>
      <x:c r="K879" s="48" t="str">
        <x:v>Yes</x:v>
      </x:c>
      <x:c r="L879" s="48" t="str">
        <x:v>PDF text</x:v>
      </x:c>
    </x:row>
    <x:row r="880">
      <x:c r="A880" s="48" t="str">
        <x:v>YELLOW-0879</x:v>
      </x:c>
      <x:c r="B880" s="48" t="str">
        <x:v>YELLOW</x:v>
      </x:c>
      <x:c r="C880" s="48" t="str">
        <x:v>English</x:v>
      </x:c>
      <x:c r="D880" s="48" t="n">
        <x:v>55</x:v>
      </x:c>
      <x:c r="E880" s="48" t="str"/>
      <x:c r="F880" s="48" t="str">
        <x:v>The total sum paid to the Contractor shall include only such amounts, for the work, supplies or services to which the Provisional Sum relates, as the Engineer shall have instructed.</x:v>
      </x:c>
      <x:c r="G880" s="48" t="str">
        <x:v>Obligation</x:v>
      </x:c>
      <x:c r="H880" s="48" t="str">
        <x:v>Contractor</x:v>
      </x:c>
      <x:c r="I880" s="48" t="n">
        <x:v>0.88</x:v>
      </x:c>
      <x:c r="J880" s="48" t="n">
        <x:v>0.92</x:v>
      </x:c>
      <x:c r="K880" s="48" t="str">
        <x:v>No</x:v>
      </x:c>
      <x:c r="L880" s="48" t="str">
        <x:v>PDF text</x:v>
      </x:c>
    </x:row>
    <x:row r="881">
      <x:c r="A881" s="48" t="str">
        <x:v>YELLOW-0880</x:v>
      </x:c>
      <x:c r="B881" s="48" t="str">
        <x:v>YELLOW</x:v>
      </x:c>
      <x:c r="C881" s="48" t="str">
        <x:v>English</x:v>
      </x:c>
      <x:c r="D881" s="48" t="n">
        <x:v>55</x:v>
      </x:c>
      <x:c r="E881" s="48" t="str"/>
      <x:c r="F881" s="48" t="str">
        <x:v>For each Provisional Sum, the Engineer may instruct: (a) work to be executed (including Plant, Materials or services to be supplied) by the Contractor and valued under Sub-Clause 13.3 [Variation Procedure]; and/or (b)</x:v>
      </x:c>
      <x:c r="G881" s="48" t="str">
        <x:v>Right</x:v>
      </x:c>
      <x:c r="H881" s="48" t="str">
        <x:v>Contractor</x:v>
      </x:c>
      <x:c r="I881" s="48" t="n">
        <x:v>0.78</x:v>
      </x:c>
      <x:c r="J881" s="48" t="n">
        <x:v>0.68</x:v>
      </x:c>
      <x:c r="K881" s="48" t="str">
        <x:v>Yes</x:v>
      </x:c>
      <x:c r="L881" s="48" t="str">
        <x:v>PDF text</x:v>
      </x:c>
    </x:row>
    <x:row r="882">
      <x:c r="A882" s="48" t="str">
        <x:v>YELLOW-0881</x:v>
      </x:c>
      <x:c r="B882" s="48" t="str">
        <x:v>YELLOW</x:v>
      </x:c>
      <x:c r="C882" s="48" t="str">
        <x:v>English</x:v>
      </x:c>
      <x:c r="D882" s="48" t="n">
        <x:v>55</x:v>
      </x:c>
      <x:c r="E882" s="48" t="str"/>
      <x:c r="F882" s="48" t="str">
        <x:v>Plant, Materials or services to be purchased by the Contractor, for which there</x:v>
      </x:c>
      <x:c r="G882" s="48" t="str">
        <x:v>Obligation</x:v>
      </x:c>
      <x:c r="H882" s="48" t="str">
        <x:v>Contractor</x:v>
      </x:c>
      <x:c r="I882" s="48" t="n">
        <x:v>0.45</x:v>
      </x:c>
      <x:c r="J882" s="48" t="n">
        <x:v>0.68</x:v>
      </x:c>
      <x:c r="K882" s="48" t="str">
        <x:v>Yes</x:v>
      </x:c>
      <x:c r="L882" s="48" t="str">
        <x:v>PDF text</x:v>
      </x:c>
    </x:row>
    <x:row r="883">
      <x:c r="A883" s="48" t="str">
        <x:v>YELLOW-0882</x:v>
      </x:c>
      <x:c r="B883" s="48" t="str">
        <x:v>YELLOW</x:v>
      </x:c>
      <x:c r="C883" s="48" t="str">
        <x:v>English</x:v>
      </x:c>
      <x:c r="D883" s="48" t="n">
        <x:v>55</x:v>
      </x:c>
      <x:c r="E883" s="48" t="str"/>
      <x:c r="F883" s="48" t="str">
        <x:v>shall be included in the Contract Price: (i) the actual amounts paid (or due to be paid) by the Contractor, and (ii) a sum for overhead charges and profit, calculated as a percentage of these actual amounts by applying the relevant percentage rate (if any) stated in the appropriate Schedule.</x:v>
      </x:c>
      <x:c r="G883" s="48" t="str">
        <x:v>Obligation</x:v>
      </x:c>
      <x:c r="H883" s="48" t="str">
        <x:v>Contractor</x:v>
      </x:c>
      <x:c r="I883" s="48" t="n">
        <x:v>0.88</x:v>
      </x:c>
      <x:c r="J883" s="48" t="n">
        <x:v>0.68</x:v>
      </x:c>
      <x:c r="K883" s="48" t="str">
        <x:v>Yes</x:v>
      </x:c>
      <x:c r="L883" s="48" t="str">
        <x:v>PDF text</x:v>
      </x:c>
    </x:row>
    <x:row r="884">
      <x:c r="A884" s="48" t="str">
        <x:v>YELLOW-0883</x:v>
      </x:c>
      <x:c r="B884" s="48" t="str">
        <x:v>YELLOW</x:v>
      </x:c>
      <x:c r="C884" s="48" t="str">
        <x:v>English</x:v>
      </x:c>
      <x:c r="D884" s="48" t="n">
        <x:v>55</x:v>
      </x:c>
      <x:c r="E884" s="48" t="str"/>
      <x:c r="F884" s="48" t="str">
        <x:v>If there is no such rate, the percentage rate stated in the Appendix to Tender shall be applied.</x:v>
      </x:c>
      <x:c r="G884" s="48" t="str">
        <x:v>Obligation</x:v>
      </x:c>
      <x:c r="H884" s="48" t="str">
        <x:v>Shared</x:v>
      </x:c>
      <x:c r="I884" s="48" t="n">
        <x:v>0.88</x:v>
      </x:c>
      <x:c r="J884" s="48" t="n">
        <x:v>0.4</x:v>
      </x:c>
      <x:c r="K884" s="48" t="str">
        <x:v>Yes</x:v>
      </x:c>
      <x:c r="L884" s="48" t="str">
        <x:v>PDF text</x:v>
      </x:c>
    </x:row>
    <x:row r="885">
      <x:c r="A885" s="48" t="str">
        <x:v>YELLOW-0884</x:v>
      </x:c>
      <x:c r="B885" s="48" t="str">
        <x:v>YELLOW</x:v>
      </x:c>
      <x:c r="C885" s="48" t="str">
        <x:v>English</x:v>
      </x:c>
      <x:c r="D885" s="48" t="n">
        <x:v>56</x:v>
      </x:c>
      <x:c r="E885" s="48" t="str"/>
      <x:c r="F885" s="48" t="str">
        <x:v>Adjustments for</x:v>
      </x:c>
      <x:c r="G885" s="48" t="str">
        <x:v>Obligation</x:v>
      </x:c>
      <x:c r="H885" s="48" t="str">
        <x:v>Shared</x:v>
      </x:c>
      <x:c r="I885" s="48" t="n">
        <x:v>0.45</x:v>
      </x:c>
      <x:c r="J885" s="48" t="n">
        <x:v>0.4</x:v>
      </x:c>
      <x:c r="K885" s="48" t="str">
        <x:v>Yes</x:v>
      </x:c>
      <x:c r="L885" s="48" t="str">
        <x:v>PDF text</x:v>
      </x:c>
    </x:row>
    <x:row r="886">
      <x:c r="A886" s="48" t="str">
        <x:v>YELLOW-0885</x:v>
      </x:c>
      <x:c r="B886" s="48" t="str">
        <x:v>YELLOW</x:v>
      </x:c>
      <x:c r="C886" s="48" t="str">
        <x:v>English</x:v>
      </x:c>
      <x:c r="D886" s="48" t="n">
        <x:v>56</x:v>
      </x:c>
      <x:c r="E886" s="48" t="str"/>
      <x:c r="F886" s="48" t="str">
        <x:v>Changes in Legislation</x:v>
      </x:c>
      <x:c r="G886" s="48" t="str">
        <x:v>Obligation</x:v>
      </x:c>
      <x:c r="H886" s="48" t="str">
        <x:v>Shared</x:v>
      </x:c>
      <x:c r="I886" s="48" t="n">
        <x:v>0.45</x:v>
      </x:c>
      <x:c r="J886" s="48" t="n">
        <x:v>0.4</x:v>
      </x:c>
      <x:c r="K886" s="48" t="str">
        <x:v>Yes</x:v>
      </x:c>
      <x:c r="L886" s="48" t="str">
        <x:v>PDF text</x:v>
      </x:c>
    </x:row>
    <x:row r="887">
      <x:c r="A887" s="48" t="str">
        <x:v>YELLOW-0886</x:v>
      </x:c>
      <x:c r="B887" s="48" t="str">
        <x:v>YELLOW</x:v>
      </x:c>
      <x:c r="C887" s="48" t="str">
        <x:v>English</x:v>
      </x:c>
      <x:c r="D887" s="48" t="n">
        <x:v>56</x:v>
      </x:c>
      <x:c r="E887" s="48" t="str"/>
      <x:c r="F887" s="48" t="str">
        <x:v>Changes in Cost</x:v>
      </x:c>
      <x:c r="G887" s="48" t="str">
        <x:v>Obligation</x:v>
      </x:c>
      <x:c r="H887" s="48" t="str">
        <x:v>Shared</x:v>
      </x:c>
      <x:c r="I887" s="48" t="n">
        <x:v>0.45</x:v>
      </x:c>
      <x:c r="J887" s="48" t="n">
        <x:v>0.4</x:v>
      </x:c>
      <x:c r="K887" s="48" t="str">
        <x:v>Yes</x:v>
      </x:c>
      <x:c r="L887" s="48" t="str">
        <x:v>PDF text</x:v>
      </x:c>
    </x:row>
    <x:row r="888">
      <x:c r="A888" s="48" t="str">
        <x:v>YELLOW-0887</x:v>
      </x:c>
      <x:c r="B888" s="48" t="str">
        <x:v>YELLOW</x:v>
      </x:c>
      <x:c r="C888" s="48" t="str">
        <x:v>English</x:v>
      </x:c>
      <x:c r="D888" s="48" t="n">
        <x:v>56</x:v>
      </x:c>
      <x:c r="E888" s="48" t="str"/>
      <x:c r="F888" s="48" t="str">
        <x:v>The Contractor shall, when required by the Engineer, produce quotations, invoices, vouchers and accounts or receipts in substantiation.</x:v>
      </x:c>
      <x:c r="G888" s="48" t="str">
        <x:v>Obligation</x:v>
      </x:c>
      <x:c r="H888" s="48" t="str">
        <x:v>Contractor</x:v>
      </x:c>
      <x:c r="I888" s="48" t="n">
        <x:v>0.88</x:v>
      </x:c>
      <x:c r="J888" s="48" t="n">
        <x:v>0.92</x:v>
      </x:c>
      <x:c r="K888" s="48" t="str">
        <x:v>No</x:v>
      </x:c>
      <x:c r="L888" s="48" t="str">
        <x:v>PDF text</x:v>
      </x:c>
    </x:row>
    <x:row r="889">
      <x:c r="A889" s="48" t="str">
        <x:v>YELLOW-0888</x:v>
      </x:c>
      <x:c r="B889" s="48" t="str">
        <x:v>YELLOW</x:v>
      </x:c>
      <x:c r="C889" s="48" t="str">
        <x:v>English</x:v>
      </x:c>
      <x:c r="D889" s="48" t="n">
        <x:v>56</x:v>
      </x:c>
      <x:c r="E889" s="48" t="str"/>
      <x:c r="F889" s="48" t="str">
        <x:v>For work of a minor or incidental nature, the Engineer may instruct that a Variation shall be executed on a daywork basis.</x:v>
      </x:c>
      <x:c r="G889" s="48" t="str">
        <x:v>Obligation</x:v>
      </x:c>
      <x:c r="H889" s="48" t="str">
        <x:v>Shared</x:v>
      </x:c>
      <x:c r="I889" s="48" t="n">
        <x:v>0.88</x:v>
      </x:c>
      <x:c r="J889" s="48" t="n">
        <x:v>0.4</x:v>
      </x:c>
      <x:c r="K889" s="48" t="str">
        <x:v>Yes</x:v>
      </x:c>
      <x:c r="L889" s="48" t="str">
        <x:v>PDF text</x:v>
      </x:c>
    </x:row>
    <x:row r="890">
      <x:c r="A890" s="48" t="str">
        <x:v>YELLOW-0889</x:v>
      </x:c>
      <x:c r="B890" s="48" t="str">
        <x:v>YELLOW</x:v>
      </x:c>
      <x:c r="C890" s="48" t="str">
        <x:v>English</x:v>
      </x:c>
      <x:c r="D890" s="48" t="n">
        <x:v>56</x:v>
      </x:c>
      <x:c r="E890" s="48" t="str"/>
      <x:c r="F890" s="48" t="str">
        <x:v>The work shall then be valued in accordance with the daywork schedule included in the Contract, and the following procedure shall apply.</x:v>
      </x:c>
      <x:c r="G890" s="48" t="str">
        <x:v>Obligation</x:v>
      </x:c>
      <x:c r="H890" s="48" t="str">
        <x:v>Shared</x:v>
      </x:c>
      <x:c r="I890" s="48" t="n">
        <x:v>0.88</x:v>
      </x:c>
      <x:c r="J890" s="48" t="n">
        <x:v>0.4</x:v>
      </x:c>
      <x:c r="K890" s="48" t="str">
        <x:v>Yes</x:v>
      </x:c>
      <x:c r="L890" s="48" t="str">
        <x:v>PDF text</x:v>
      </x:c>
    </x:row>
    <x:row r="891">
      <x:c r="A891" s="48" t="str">
        <x:v>YELLOW-0890</x:v>
      </x:c>
      <x:c r="B891" s="48" t="str">
        <x:v>YELLOW</x:v>
      </x:c>
      <x:c r="C891" s="48" t="str">
        <x:v>English</x:v>
      </x:c>
      <x:c r="D891" s="48" t="n">
        <x:v>56</x:v>
      </x:c>
      <x:c r="E891" s="48" t="str"/>
      <x:c r="F891" s="48" t="str">
        <x:v>If a daywork schedule is not included in the Contract, this Sub-Clause shall not apply.</x:v>
      </x:c>
      <x:c r="G891" s="48" t="str">
        <x:v>Obligation</x:v>
      </x:c>
      <x:c r="H891" s="48" t="str">
        <x:v>Shared</x:v>
      </x:c>
      <x:c r="I891" s="48" t="n">
        <x:v>0.88</x:v>
      </x:c>
      <x:c r="J891" s="48" t="n">
        <x:v>0.4</x:v>
      </x:c>
      <x:c r="K891" s="48" t="str">
        <x:v>Yes</x:v>
      </x:c>
      <x:c r="L891" s="48" t="str">
        <x:v>PDF text</x:v>
      </x:c>
    </x:row>
    <x:row r="892">
      <x:c r="A892" s="48" t="str">
        <x:v>YELLOW-0891</x:v>
      </x:c>
      <x:c r="B892" s="48" t="str">
        <x:v>YELLOW</x:v>
      </x:c>
      <x:c r="C892" s="48" t="str">
        <x:v>English</x:v>
      </x:c>
      <x:c r="D892" s="48" t="n">
        <x:v>56</x:v>
      </x:c>
      <x:c r="E892" s="48" t="str"/>
      <x:c r="F892" s="48" t="str">
        <x:v>Before ordering Goods for the work, the Contractor shall submit quotations to the</x:v>
      </x:c>
      <x:c r="G892" s="48" t="str">
        <x:v>Obligation</x:v>
      </x:c>
      <x:c r="H892" s="48" t="str">
        <x:v>Contractor</x:v>
      </x:c>
      <x:c r="I892" s="48" t="n">
        <x:v>0.88</x:v>
      </x:c>
      <x:c r="J892" s="48" t="n">
        <x:v>0.92</x:v>
      </x:c>
      <x:c r="K892" s="48" t="str">
        <x:v>No</x:v>
      </x:c>
      <x:c r="L892" s="48" t="str">
        <x:v>PDF text</x:v>
      </x:c>
    </x:row>
    <x:row r="893">
      <x:c r="A893" s="48" t="str">
        <x:v>YELLOW-0892</x:v>
      </x:c>
      <x:c r="B893" s="48" t="str">
        <x:v>YELLOW</x:v>
      </x:c>
      <x:c r="C893" s="48" t="str">
        <x:v>English</x:v>
      </x:c>
      <x:c r="D893" s="48" t="n">
        <x:v>56</x:v>
      </x:c>
      <x:c r="E893" s="48" t="str"/>
      <x:c r="F893" s="48" t="str">
        <x:v>When applying for payment, the Contractor shall submit invoices, vouchers and accounts or receipts for any Goods.</x:v>
      </x:c>
      <x:c r="G893" s="48" t="str">
        <x:v>Obligation</x:v>
      </x:c>
      <x:c r="H893" s="48" t="str">
        <x:v>Contractor</x:v>
      </x:c>
      <x:c r="I893" s="48" t="n">
        <x:v>0.88</x:v>
      </x:c>
      <x:c r="J893" s="48" t="n">
        <x:v>0.92</x:v>
      </x:c>
      <x:c r="K893" s="48" t="str">
        <x:v>No</x:v>
      </x:c>
      <x:c r="L893" s="48" t="str">
        <x:v>PDF text</x:v>
      </x:c>
    </x:row>
    <x:row r="894">
      <x:c r="A894" s="48" t="str">
        <x:v>YELLOW-0893</x:v>
      </x:c>
      <x:c r="B894" s="48" t="str">
        <x:v>YELLOW</x:v>
      </x:c>
      <x:c r="C894" s="48" t="str">
        <x:v>English</x:v>
      </x:c>
      <x:c r="D894" s="48" t="n">
        <x:v>56</x:v>
      </x:c>
      <x:c r="E894" s="48" t="str"/>
      <x:c r="F894" s="48" t="str">
        <x:v>Except for any items for which the daywork schedule specifies that payment is not</x:v>
      </x:c>
      <x:c r="G894" s="48" t="str">
        <x:v>Obligation</x:v>
      </x:c>
      <x:c r="H894" s="48" t="str">
        <x:v>Shared</x:v>
      </x:c>
      <x:c r="I894" s="48" t="n">
        <x:v>0.55</x:v>
      </x:c>
      <x:c r="J894" s="48" t="n">
        <x:v>0.4</x:v>
      </x:c>
      <x:c r="K894" s="48" t="str">
        <x:v>Yes</x:v>
      </x:c>
      <x:c r="L894" s="48" t="str">
        <x:v>PDF text</x:v>
      </x:c>
    </x:row>
    <x:row r="895">
      <x:c r="A895" s="48" t="str">
        <x:v>YELLOW-0894</x:v>
      </x:c>
      <x:c r="B895" s="48" t="str">
        <x:v>YELLOW</x:v>
      </x:c>
      <x:c r="C895" s="48" t="str">
        <x:v>English</x:v>
      </x:c>
      <x:c r="D895" s="48" t="n">
        <x:v>56</x:v>
      </x:c>
      <x:c r="E895" s="48" t="str"/>
      <x:c r="F895" s="48" t="str">
        <x:v>due, the Contractor shall deliver each day to the Engineer accurate statements in duplicate which shall include the following details of the resources used in executing the previous day's work: (a) the names, occupations and time of Contractor's Personnel, (b) the identification, type and time of Contractor's Equipment and Temporary</x:v>
      </x:c>
      <x:c r="G895" s="48" t="str">
        <x:v>Obligation</x:v>
      </x:c>
      <x:c r="H895" s="48" t="str">
        <x:v>Contractor</x:v>
      </x:c>
      <x:c r="I895" s="48" t="n">
        <x:v>0.88</x:v>
      </x:c>
      <x:c r="J895" s="48" t="n">
        <x:v>0.92</x:v>
      </x:c>
      <x:c r="K895" s="48" t="str">
        <x:v>No</x:v>
      </x:c>
      <x:c r="L895" s="48" t="str">
        <x:v>PDF text</x:v>
      </x:c>
    </x:row>
    <x:row r="896">
      <x:c r="A896" s="48" t="str">
        <x:v>YELLOW-0895</x:v>
      </x:c>
      <x:c r="B896" s="48" t="str">
        <x:v>YELLOW</x:v>
      </x:c>
      <x:c r="C896" s="48" t="str">
        <x:v>English</x:v>
      </x:c>
      <x:c r="D896" s="48" t="n">
        <x:v>56</x:v>
      </x:c>
      <x:c r="E896" s="48" t="str"/>
      <x:c r="F896" s="48" t="str">
        <x:v>Works, and</x:v>
      </x:c>
      <x:c r="G896" s="48" t="str">
        <x:v>Obligation</x:v>
      </x:c>
      <x:c r="H896" s="48" t="str">
        <x:v>Shared</x:v>
      </x:c>
      <x:c r="I896" s="48" t="n">
        <x:v>0.45</x:v>
      </x:c>
      <x:c r="J896" s="48" t="n">
        <x:v>0.4</x:v>
      </x:c>
      <x:c r="K896" s="48" t="str">
        <x:v>Yes</x:v>
      </x:c>
      <x:c r="L896" s="48" t="str">
        <x:v>PDF text</x:v>
      </x:c>
    </x:row>
    <x:row r="897">
      <x:c r="A897" s="48" t="str">
        <x:v>YELLOW-0896</x:v>
      </x:c>
      <x:c r="B897" s="48" t="str">
        <x:v>YELLOW</x:v>
      </x:c>
      <x:c r="C897" s="48" t="str">
        <x:v>English</x:v>
      </x:c>
      <x:c r="D897" s="48" t="n">
        <x:v>56</x:v>
      </x:c>
      <x:c r="E897" s="48" t="str"/>
      <x:c r="F897" s="48" t="str">
        <x:v>(c) the quantities and types of Plant and Materials used.</x:v>
      </x:c>
      <x:c r="G897" s="48" t="str">
        <x:v>Obligation</x:v>
      </x:c>
      <x:c r="H897" s="48" t="str">
        <x:v>Shared</x:v>
      </x:c>
      <x:c r="I897" s="48" t="n">
        <x:v>0.45</x:v>
      </x:c>
      <x:c r="J897" s="48" t="n">
        <x:v>0.4</x:v>
      </x:c>
      <x:c r="K897" s="48" t="str">
        <x:v>Yes</x:v>
      </x:c>
      <x:c r="L897" s="48" t="str">
        <x:v>PDF text</x:v>
      </x:c>
    </x:row>
    <x:row r="898">
      <x:c r="A898" s="48" t="str">
        <x:v>YELLOW-0897</x:v>
      </x:c>
      <x:c r="B898" s="48" t="str">
        <x:v>YELLOW</x:v>
      </x:c>
      <x:c r="C898" s="48" t="str">
        <x:v>English</x:v>
      </x:c>
      <x:c r="D898" s="48" t="n">
        <x:v>56</x:v>
      </x:c>
      <x:c r="E898" s="48" t="str"/>
      <x:c r="F898" s="48" t="str">
        <x:v>One copy of each statement will, if correct, or when agreed, be signed by the Engineer and returned to the Contractor.</x:v>
      </x:c>
      <x:c r="G898" s="48" t="str">
        <x:v>Obligation</x:v>
      </x:c>
      <x:c r="H898" s="48" t="str">
        <x:v>Contractor</x:v>
      </x:c>
      <x:c r="I898" s="48" t="n">
        <x:v>0.45</x:v>
      </x:c>
      <x:c r="J898" s="48" t="n">
        <x:v>0.68</x:v>
      </x:c>
      <x:c r="K898" s="48" t="str">
        <x:v>Yes</x:v>
      </x:c>
      <x:c r="L898" s="48" t="str">
        <x:v>PDF text</x:v>
      </x:c>
    </x:row>
    <x:row r="899">
      <x:c r="A899" s="48" t="str">
        <x:v>YELLOW-0898</x:v>
      </x:c>
      <x:c r="B899" s="48" t="str">
        <x:v>YELLOW</x:v>
      </x:c>
      <x:c r="C899" s="48" t="str">
        <x:v>English</x:v>
      </x:c>
      <x:c r="D899" s="48" t="n">
        <x:v>56</x:v>
      </x:c>
      <x:c r="E899" s="48" t="str"/>
      <x:c r="F899" s="48" t="str">
        <x:v>The Contractor shall then submit priced statements of these resources to the Engineer, prior to their inclusion in the next Statement under Sub-Clause 14.3 [Application for Interim Payment Certificates].</x:v>
      </x:c>
      <x:c r="G899" s="48" t="str">
        <x:v>Obligation</x:v>
      </x:c>
      <x:c r="H899" s="48" t="str">
        <x:v>Contractor</x:v>
      </x:c>
      <x:c r="I899" s="48" t="n">
        <x:v>0.88</x:v>
      </x:c>
      <x:c r="J899" s="48" t="n">
        <x:v>0.92</x:v>
      </x:c>
      <x:c r="K899" s="48" t="str">
        <x:v>No</x:v>
      </x:c>
      <x:c r="L899" s="48" t="str">
        <x:v>PDF text</x:v>
      </x:c>
    </x:row>
    <x:row r="900">
      <x:c r="A900" s="48" t="str">
        <x:v>YELLOW-0899</x:v>
      </x:c>
      <x:c r="B900" s="48" t="str">
        <x:v>YELLOW</x:v>
      </x:c>
      <x:c r="C900" s="48" t="str">
        <x:v>English</x:v>
      </x:c>
      <x:c r="D900" s="48" t="n">
        <x:v>56</x:v>
      </x:c>
      <x:c r="E900" s="48" t="str"/>
      <x:c r="F900" s="48" t="str">
        <x:v>The Contract Price shall be adjusted to take account of any increase or decrease in Cost resulting from a change in the Laws of the Country (including the introduction of new Laws and the repeal or modification of existing Laws) or in the judicial or official governmental interpretation of such Laws, made after the Base Date, which affect the Contractor in the performance of obligations under the Contract.</x:v>
      </x:c>
      <x:c r="G900" s="48" t="str">
        <x:v>Obligation</x:v>
      </x:c>
      <x:c r="H900" s="48" t="str">
        <x:v>Contractor</x:v>
      </x:c>
      <x:c r="I900" s="48" t="n">
        <x:v>0.88</x:v>
      </x:c>
      <x:c r="J900" s="48" t="n">
        <x:v>0.68</x:v>
      </x:c>
      <x:c r="K900" s="48" t="str">
        <x:v>Yes</x:v>
      </x:c>
      <x:c r="L900" s="48" t="str">
        <x:v>PDF text</x:v>
      </x:c>
    </x:row>
    <x:row r="901">
      <x:c r="A901" s="48" t="str">
        <x:v>YELLOW-0900</x:v>
      </x:c>
      <x:c r="B901" s="48" t="str">
        <x:v>YELLOW</x:v>
      </x:c>
      <x:c r="C901" s="48" t="str">
        <x:v>English</x:v>
      </x:c>
      <x:c r="D901" s="48" t="n">
        <x:v>56</x:v>
      </x:c>
      <x:c r="E901" s="48" t="str"/>
      <x:c r="F901" s="48" t="str">
        <x:v>If the Contractor suffers (or will suffer) delay and/or incurs (or will incur) additional Cost as a result of these changes in the Laws or in such interpretations, made after the</x:v>
      </x:c>
      <x:c r="G901" s="48" t="str">
        <x:v>Risk</x:v>
      </x:c>
      <x:c r="H901" s="48" t="str">
        <x:v>Contractor</x:v>
      </x:c>
      <x:c r="I901" s="48" t="n">
        <x:v>0.78</x:v>
      </x:c>
      <x:c r="J901" s="48" t="n">
        <x:v>0.68</x:v>
      </x:c>
      <x:c r="K901" s="48" t="str">
        <x:v>Yes</x:v>
      </x:c>
      <x:c r="L901" s="48" t="str">
        <x:v>PDF text</x:v>
      </x:c>
    </x:row>
    <x:row r="902">
      <x:c r="A902" s="48" t="str">
        <x:v>YELLOW-0901</x:v>
      </x:c>
      <x:c r="B902" s="48" t="str">
        <x:v>YELLOW</x:v>
      </x:c>
      <x:c r="C902" s="48" t="str">
        <x:v>English</x:v>
      </x:c>
      <x:c r="D902" s="48" t="n">
        <x:v>56</x:v>
      </x:c>
      <x:c r="E902" s="48" t="str"/>
      <x:c r="F902" s="48" t="str">
        <x:v>Base Date, the Contractor shall give notice to the Engineer and shall be entitled</x:v>
      </x:c>
      <x:c r="G902" s="48" t="str">
        <x:v>Obligation</x:v>
      </x:c>
      <x:c r="H902" s="48" t="str">
        <x:v>Contractor</x:v>
      </x:c>
      <x:c r="I902" s="48" t="n">
        <x:v>0.88</x:v>
      </x:c>
      <x:c r="J902" s="48" t="n">
        <x:v>0.92</x:v>
      </x:c>
      <x:c r="K902" s="48" t="str">
        <x:v>No</x:v>
      </x:c>
      <x:c r="L902" s="48" t="str">
        <x:v>PDF text</x:v>
      </x:c>
    </x:row>
    <x:row r="903">
      <x:c r="A903" s="48" t="str">
        <x:v>YELLOW-0902</x:v>
      </x:c>
      <x:c r="B903" s="48" t="str">
        <x:v>YELLOW</x:v>
      </x:c>
      <x:c r="C903" s="48" t="str">
        <x:v>English</x:v>
      </x:c>
      <x:c r="D903" s="48" t="n">
        <x:v>56</x:v>
      </x:c>
      <x:c r="E903" s="48" t="str"/>
      <x:c r="F903" s="48" t="str">
        <x:v>subject to Sub-Clause 20.1 [Contractor's Claims] to: (a) an extension of time for any such delay, if completion is or will be delayed, under Sub-Clause 8.4 [Extension of Time for Completion], and (b) payment of any such Cost, which shall be included in the Contract Price.</x:v>
      </x:c>
      <x:c r="G903" s="48" t="str">
        <x:v>Risk</x:v>
      </x:c>
      <x:c r="H903" s="48" t="str">
        <x:v>Contractor</x:v>
      </x:c>
      <x:c r="I903" s="48" t="n">
        <x:v>0.78</x:v>
      </x:c>
      <x:c r="J903" s="48" t="n">
        <x:v>0.68</x:v>
      </x:c>
      <x:c r="K903" s="48" t="str">
        <x:v>Yes</x:v>
      </x:c>
      <x:c r="L903" s="48" t="str">
        <x:v>PDF text</x:v>
      </x:c>
    </x:row>
    <x:row r="904">
      <x:c r="A904" s="48" t="str">
        <x:v>YELLOW-0903</x:v>
      </x:c>
      <x:c r="B904" s="48" t="str">
        <x:v>YELLOW</x:v>
      </x:c>
      <x:c r="C904" s="48" t="str">
        <x:v>English</x:v>
      </x:c>
      <x:c r="D904" s="48" t="n">
        <x:v>56</x:v>
      </x:c>
      <x:c r="E904" s="48" t="str"/>
      <x:c r="F904" s="48" t="str">
        <x:v>In this Sub-Clause, "table of adjustment data" means the completed table of adjustment data included in the Appendix to Tender.</x:v>
      </x:c>
      <x:c r="G904" s="48" t="str">
        <x:v>Definition</x:v>
      </x:c>
      <x:c r="H904" s="48" t="str"/>
      <x:c r="I904" s="48" t="n">
        <x:v>0.97</x:v>
      </x:c>
      <x:c r="J904" s="48" t="n">
        <x:v>0.99</x:v>
      </x:c>
      <x:c r="K904" s="48" t="str">
        <x:v>No</x:v>
      </x:c>
      <x:c r="L904" s="48" t="str">
        <x:v>PDF text</x:v>
      </x:c>
    </x:row>
    <x:row r="905">
      <x:c r="A905" s="48" t="str">
        <x:v>YELLOW-0904</x:v>
      </x:c>
      <x:c r="B905" s="48" t="str">
        <x:v>YELLOW</x:v>
      </x:c>
      <x:c r="C905" s="48" t="str">
        <x:v>English</x:v>
      </x:c>
      <x:c r="D905" s="48" t="n">
        <x:v>56</x:v>
      </x:c>
      <x:c r="E905" s="48" t="str"/>
      <x:c r="F905" s="48" t="str">
        <x:v>If there is no such table of adjustment data, this Sub-Clause shall not apply.</x:v>
      </x:c>
      <x:c r="G905" s="48" t="str">
        <x:v>Obligation</x:v>
      </x:c>
      <x:c r="H905" s="48" t="str">
        <x:v>Shared</x:v>
      </x:c>
      <x:c r="I905" s="48" t="n">
        <x:v>0.88</x:v>
      </x:c>
      <x:c r="J905" s="48" t="n">
        <x:v>0.4</x:v>
      </x:c>
      <x:c r="K905" s="48" t="str">
        <x:v>Yes</x:v>
      </x:c>
      <x:c r="L905" s="48" t="str">
        <x:v>PDF text</x:v>
      </x:c>
    </x:row>
    <x:row r="906">
      <x:c r="A906" s="48" t="str">
        <x:v>YELLOW-0905</x:v>
      </x:c>
      <x:c r="B906" s="48" t="str">
        <x:v>YELLOW</x:v>
      </x:c>
      <x:c r="C906" s="48" t="str">
        <x:v>English</x:v>
      </x:c>
      <x:c r="D906" s="48" t="n">
        <x:v>56</x:v>
      </x:c>
      <x:c r="E906" s="48" t="str"/>
      <x:c r="F906" s="48" t="str">
        <x:v>If this Sub-Clause applies, the amounts payable to the Contractor shall be adjusted for rises or falls in the cost of labour, Goods and other inputs to the Works, by the addition or deduction of the amounts determined by the formulae prescribed in this Sub-Clause.</x:v>
      </x:c>
      <x:c r="G906" s="48" t="str">
        <x:v>Obligation</x:v>
      </x:c>
      <x:c r="H906" s="48" t="str">
        <x:v>Contractor</x:v>
      </x:c>
      <x:c r="I906" s="48" t="n">
        <x:v>0.88</x:v>
      </x:c>
      <x:c r="J906" s="48" t="n">
        <x:v>0.92</x:v>
      </x:c>
      <x:c r="K906" s="48" t="str">
        <x:v>No</x:v>
      </x:c>
      <x:c r="L906" s="48" t="str">
        <x:v>PDF text</x:v>
      </x:c>
    </x:row>
    <x:row r="907">
      <x:c r="A907" s="48" t="str">
        <x:v>YELLOW-0906</x:v>
      </x:c>
      <x:c r="B907" s="48" t="str">
        <x:v>YELLOW</x:v>
      </x:c>
      <x:c r="C907" s="48" t="str">
        <x:v>English</x:v>
      </x:c>
      <x:c r="D907" s="48" t="n">
        <x:v>56</x:v>
      </x:c>
      <x:c r="E907" s="48" t="str"/>
      <x:c r="F907" s="48" t="str">
        <x:v>To the extent that full compensation for any rise or fall in Costs is not</x:v>
      </x:c>
      <x:c r="G907" s="48" t="str">
        <x:v>Obligation</x:v>
      </x:c>
      <x:c r="H907" s="48" t="str">
        <x:v>Shared</x:v>
      </x:c>
      <x:c r="I907" s="48" t="n">
        <x:v>0.45</x:v>
      </x:c>
      <x:c r="J907" s="48" t="n">
        <x:v>0.4</x:v>
      </x:c>
      <x:c r="K907" s="48" t="str">
        <x:v>Yes</x:v>
      </x:c>
      <x:c r="L907" s="48" t="str">
        <x:v>PDF text</x:v>
      </x:c>
    </x:row>
    <x:row r="908">
      <x:c r="A908" s="48" t="str">
        <x:v>YELLOW-0907</x:v>
      </x:c>
      <x:c r="B908" s="48" t="str">
        <x:v>YELLOW</x:v>
      </x:c>
      <x:c r="C908" s="48" t="str">
        <x:v>English</x:v>
      </x:c>
      <x:c r="D908" s="48" t="n">
        <x:v>57</x:v>
      </x:c>
      <x:c r="E908" s="48" t="str"/>
      <x:c r="F908" s="48" t="str">
        <x:v>covered by the provisions of this or other Clauses, the Accepted Contract Amount shall be deemed to have included amounts to cover the contingency of other rises and falls in costs.</x:v>
      </x:c>
      <x:c r="G908" s="48" t="str">
        <x:v>Obligation</x:v>
      </x:c>
      <x:c r="H908" s="48" t="str">
        <x:v>Shared</x:v>
      </x:c>
      <x:c r="I908" s="48" t="n">
        <x:v>0.88</x:v>
      </x:c>
      <x:c r="J908" s="48" t="n">
        <x:v>0.4</x:v>
      </x:c>
      <x:c r="K908" s="48" t="str">
        <x:v>Yes</x:v>
      </x:c>
      <x:c r="L908" s="48" t="str">
        <x:v>PDF text</x:v>
      </x:c>
    </x:row>
    <x:row r="909">
      <x:c r="A909" s="48" t="str">
        <x:v>YELLOW-0908</x:v>
      </x:c>
      <x:c r="B909" s="48" t="str">
        <x:v>YELLOW</x:v>
      </x:c>
      <x:c r="C909" s="48" t="str">
        <x:v>English</x:v>
      </x:c>
      <x:c r="D909" s="48" t="n">
        <x:v>57</x:v>
      </x:c>
      <x:c r="E909" s="48" t="str"/>
      <x:c r="F909" s="48" t="str">
        <x:v>The adjustment to be applied to the amount otherwise payable to the Contractor, as valued in accordance with the appropriate Schedule and certified in Payment Certificates, shall be determined from formulae for each of the currencies in which the Contract Price is payable.</x:v>
      </x:c>
      <x:c r="G909" s="48" t="str">
        <x:v>Obligation</x:v>
      </x:c>
      <x:c r="H909" s="48" t="str">
        <x:v>Contractor</x:v>
      </x:c>
      <x:c r="I909" s="48" t="n">
        <x:v>0.88</x:v>
      </x:c>
      <x:c r="J909" s="48" t="n">
        <x:v>0.68</x:v>
      </x:c>
      <x:c r="K909" s="48" t="str">
        <x:v>Yes</x:v>
      </x:c>
      <x:c r="L909" s="48" t="str">
        <x:v>PDF text</x:v>
      </x:c>
    </x:row>
    <x:row r="910">
      <x:c r="A910" s="48" t="str">
        <x:v>YELLOW-0909</x:v>
      </x:c>
      <x:c r="B910" s="48" t="str">
        <x:v>YELLOW</x:v>
      </x:c>
      <x:c r="C910" s="48" t="str">
        <x:v>English</x:v>
      </x:c>
      <x:c r="D910" s="48" t="n">
        <x:v>57</x:v>
      </x:c>
      <x:c r="E910" s="48" t="str"/>
      <x:c r="F910" s="48" t="str">
        <x:v>No adjustment is to be applied to work valued on the basis of Cost or current prices.</x:v>
      </x:c>
      <x:c r="G910" s="48" t="str">
        <x:v>Obligation</x:v>
      </x:c>
      <x:c r="H910" s="48" t="str">
        <x:v>Shared</x:v>
      </x:c>
      <x:c r="I910" s="48" t="n">
        <x:v>0.45</x:v>
      </x:c>
      <x:c r="J910" s="48" t="n">
        <x:v>0.4</x:v>
      </x:c>
      <x:c r="K910" s="48" t="str">
        <x:v>Yes</x:v>
      </x:c>
      <x:c r="L910" s="48" t="str">
        <x:v>PDF text</x:v>
      </x:c>
    </x:row>
    <x:row r="911">
      <x:c r="A911" s="48" t="str">
        <x:v>YELLOW-0910</x:v>
      </x:c>
      <x:c r="B911" s="48" t="str">
        <x:v>YELLOW</x:v>
      </x:c>
      <x:c r="C911" s="48" t="str">
        <x:v>English</x:v>
      </x:c>
      <x:c r="D911" s="48" t="n">
        <x:v>57</x:v>
      </x:c>
      <x:c r="E911" s="48" t="str"/>
      <x:c r="F911" s="48" t="str">
        <x:v>The formulae shall be of the following general type: Pn = a + b Ln + c En + d Mn + ......</x:v>
      </x:c>
      <x:c r="G911" s="48" t="str">
        <x:v>Obligation</x:v>
      </x:c>
      <x:c r="H911" s="48" t="str">
        <x:v>Shared</x:v>
      </x:c>
      <x:c r="I911" s="48" t="n">
        <x:v>0.88</x:v>
      </x:c>
      <x:c r="J911" s="48" t="n">
        <x:v>0.4</x:v>
      </x:c>
      <x:c r="K911" s="48" t="str">
        <x:v>Yes</x:v>
      </x:c>
      <x:c r="L911" s="48" t="str">
        <x:v>PDF text</x:v>
      </x:c>
    </x:row>
    <x:row r="912">
      <x:c r="A912" s="48" t="str">
        <x:v>YELLOW-0911</x:v>
      </x:c>
      <x:c r="B912" s="48" t="str">
        <x:v>YELLOW</x:v>
      </x:c>
      <x:c r="C912" s="48" t="str">
        <x:v>English</x:v>
      </x:c>
      <x:c r="D912" s="48" t="n">
        <x:v>57</x:v>
      </x:c>
      <x:c r="E912" s="48" t="str"/>
      <x:c r="F912" s="48" t="str">
        <x:v>Lo Eo Mo where: "Pn" is the adjustment multiplier to be applied to the estimated contract value in the relevant currency of the work carried out in period "n", this period being a month unless otherwise stated in the Appendix to Tender; "a" is a fixed coefficient, stated in the relevant table of adjustment data, representing the non-adjustable portion in contractual payments; "b", "c", "d", … are coefficients representing the estimated proportion of each cost element related to the execution of the Works, as stated in the relevant table of adjustment data; such tabulated cost elements may be indicative of resources such as labour, equipment and materials; "Ln", "En", "Mn", … are the current cost indices or reference prices for period "n", expressed in the relevant currency of payment, each of which is applicable to the relevant tabulated cost element on the date 49 days prior to the last day of the period (to which the particular Payment Certificate relates); and "Lo", "Eo", "Mo", … are the base cost indices or reference prices, expressed in the relevant currency of payment, each of which is applicable to the relevant tabulated cost element on the Base Date.</x:v>
      </x:c>
      <x:c r="G912" s="48" t="str">
        <x:v>Right</x:v>
      </x:c>
      <x:c r="H912" s="48" t="str">
        <x:v>Shared</x:v>
      </x:c>
      <x:c r="I912" s="48" t="n">
        <x:v>0.78</x:v>
      </x:c>
      <x:c r="J912" s="48" t="n">
        <x:v>0.4</x:v>
      </x:c>
      <x:c r="K912" s="48" t="str">
        <x:v>Yes</x:v>
      </x:c>
      <x:c r="L912" s="48" t="str">
        <x:v>PDF text</x:v>
      </x:c>
    </x:row>
    <x:row r="913">
      <x:c r="A913" s="48" t="str">
        <x:v>YELLOW-0912</x:v>
      </x:c>
      <x:c r="B913" s="48" t="str">
        <x:v>YELLOW</x:v>
      </x:c>
      <x:c r="C913" s="48" t="str">
        <x:v>English</x:v>
      </x:c>
      <x:c r="D913" s="48" t="n">
        <x:v>57</x:v>
      </x:c>
      <x:c r="E913" s="48" t="str"/>
      <x:c r="F913" s="48" t="str">
        <x:v>The cost indices or reference prices stated in the table of adjustment data shall be used.</x:v>
      </x:c>
      <x:c r="G913" s="48" t="str">
        <x:v>Obligation</x:v>
      </x:c>
      <x:c r="H913" s="48" t="str">
        <x:v>Shared</x:v>
      </x:c>
      <x:c r="I913" s="48" t="n">
        <x:v>0.88</x:v>
      </x:c>
      <x:c r="J913" s="48" t="n">
        <x:v>0.4</x:v>
      </x:c>
      <x:c r="K913" s="48" t="str">
        <x:v>Yes</x:v>
      </x:c>
      <x:c r="L913" s="48" t="str">
        <x:v>PDF text</x:v>
      </x:c>
    </x:row>
    <x:row r="914">
      <x:c r="A914" s="48" t="str">
        <x:v>YELLOW-0913</x:v>
      </x:c>
      <x:c r="B914" s="48" t="str">
        <x:v>YELLOW</x:v>
      </x:c>
      <x:c r="C914" s="48" t="str">
        <x:v>English</x:v>
      </x:c>
      <x:c r="D914" s="48" t="n">
        <x:v>57</x:v>
      </x:c>
      <x:c r="E914" s="48" t="str"/>
      <x:c r="F914" s="48" t="str">
        <x:v>If their source is in doubt, it shall be determined by the Engineer.</x:v>
      </x:c>
      <x:c r="G914" s="48" t="str">
        <x:v>Obligation</x:v>
      </x:c>
      <x:c r="H914" s="48" t="str">
        <x:v>Shared</x:v>
      </x:c>
      <x:c r="I914" s="48" t="n">
        <x:v>0.88</x:v>
      </x:c>
      <x:c r="J914" s="48" t="n">
        <x:v>0.4</x:v>
      </x:c>
      <x:c r="K914" s="48" t="str">
        <x:v>Yes</x:v>
      </x:c>
      <x:c r="L914" s="48" t="str">
        <x:v>PDF text</x:v>
      </x:c>
    </x:row>
    <x:row r="915">
      <x:c r="A915" s="48" t="str">
        <x:v>YELLOW-0914</x:v>
      </x:c>
      <x:c r="B915" s="48" t="str">
        <x:v>YELLOW</x:v>
      </x:c>
      <x:c r="C915" s="48" t="str">
        <x:v>English</x:v>
      </x:c>
      <x:c r="D915" s="48" t="n">
        <x:v>57</x:v>
      </x:c>
      <x:c r="E915" s="48" t="str"/>
      <x:c r="F915" s="48" t="str">
        <x:v>For this purpose, reference shall be made to the values of the indices at stated dates (quoted in the fourth and fifth columns respectively of the table) for the purposes of clarification of the source; although these dates (and thus these values) may not correspond to the base cost indices.</x:v>
      </x:c>
      <x:c r="G915" s="48" t="str">
        <x:v>Obligation</x:v>
      </x:c>
      <x:c r="H915" s="48" t="str">
        <x:v>Shared</x:v>
      </x:c>
      <x:c r="I915" s="48" t="n">
        <x:v>0.88</x:v>
      </x:c>
      <x:c r="J915" s="48" t="n">
        <x:v>0.4</x:v>
      </x:c>
      <x:c r="K915" s="48" t="str">
        <x:v>Yes</x:v>
      </x:c>
      <x:c r="L915" s="48" t="str">
        <x:v>PDF text</x:v>
      </x:c>
    </x:row>
    <x:row r="916">
      <x:c r="A916" s="48" t="str">
        <x:v>YELLOW-0915</x:v>
      </x:c>
      <x:c r="B916" s="48" t="str">
        <x:v>YELLOW</x:v>
      </x:c>
      <x:c r="C916" s="48" t="str">
        <x:v>English</x:v>
      </x:c>
      <x:c r="D916" s="48" t="n">
        <x:v>57</x:v>
      </x:c>
      <x:c r="E916" s="48" t="str"/>
      <x:c r="F916" s="48" t="str">
        <x:v>In cases where the "currency of index" (stated in the table) is not the relevant currency of payment, each index shall be converted into the relevant currency of payment at the selling rate, established by the central bank of the Country, of this relevant currency on the above date for which the index is required to be applicable.</x:v>
      </x:c>
      <x:c r="G916" s="48" t="str">
        <x:v>Obligation</x:v>
      </x:c>
      <x:c r="H916" s="48" t="str">
        <x:v>Shared</x:v>
      </x:c>
      <x:c r="I916" s="48" t="n">
        <x:v>0.88</x:v>
      </x:c>
      <x:c r="J916" s="48" t="n">
        <x:v>0.4</x:v>
      </x:c>
      <x:c r="K916" s="48" t="str">
        <x:v>Yes</x:v>
      </x:c>
      <x:c r="L916" s="48" t="str">
        <x:v>PDF text</x:v>
      </x:c>
    </x:row>
    <x:row r="917">
      <x:c r="A917" s="48" t="str">
        <x:v>YELLOW-0916</x:v>
      </x:c>
      <x:c r="B917" s="48" t="str">
        <x:v>YELLOW</x:v>
      </x:c>
      <x:c r="C917" s="48" t="str">
        <x:v>English</x:v>
      </x:c>
      <x:c r="D917" s="48" t="n">
        <x:v>57</x:v>
      </x:c>
      <x:c r="E917" s="48" t="str"/>
      <x:c r="F917" s="48" t="str">
        <x:v>Until such time as each current cost index is available, the Engineer shall determine a provisional index for the issue of Interim Payment Certificates.</x:v>
      </x:c>
      <x:c r="G917" s="48" t="str">
        <x:v>Obligation</x:v>
      </x:c>
      <x:c r="H917" s="48" t="str">
        <x:v>Shared</x:v>
      </x:c>
      <x:c r="I917" s="48" t="n">
        <x:v>0.88</x:v>
      </x:c>
      <x:c r="J917" s="48" t="n">
        <x:v>0.4</x:v>
      </x:c>
      <x:c r="K917" s="48" t="str">
        <x:v>Yes</x:v>
      </x:c>
      <x:c r="L917" s="48" t="str">
        <x:v>PDF text</x:v>
      </x:c>
    </x:row>
    <x:row r="918">
      <x:c r="A918" s="48" t="str">
        <x:v>YELLOW-0917</x:v>
      </x:c>
      <x:c r="B918" s="48" t="str">
        <x:v>YELLOW</x:v>
      </x:c>
      <x:c r="C918" s="48" t="str">
        <x:v>English</x:v>
      </x:c>
      <x:c r="D918" s="48" t="n">
        <x:v>57</x:v>
      </x:c>
      <x:c r="E918" s="48" t="str"/>
      <x:c r="F918" s="48" t="str">
        <x:v>When a current cost index is available, the adjustment shall be recalculated accordingly.</x:v>
      </x:c>
      <x:c r="G918" s="48" t="str">
        <x:v>Obligation</x:v>
      </x:c>
      <x:c r="H918" s="48" t="str">
        <x:v>Shared</x:v>
      </x:c>
      <x:c r="I918" s="48" t="n">
        <x:v>0.88</x:v>
      </x:c>
      <x:c r="J918" s="48" t="n">
        <x:v>0.4</x:v>
      </x:c>
      <x:c r="K918" s="48" t="str">
        <x:v>Yes</x:v>
      </x:c>
      <x:c r="L918" s="48" t="str">
        <x:v>PDF text</x:v>
      </x:c>
    </x:row>
    <x:row r="919">
      <x:c r="A919" s="48" t="str">
        <x:v>YELLOW-0918</x:v>
      </x:c>
      <x:c r="B919" s="48" t="str">
        <x:v>YELLOW</x:v>
      </x:c>
      <x:c r="C919" s="48" t="str">
        <x:v>English</x:v>
      </x:c>
      <x:c r="D919" s="48" t="n">
        <x:v>57</x:v>
      </x:c>
      <x:c r="E919" s="48" t="str"/>
      <x:c r="F919" s="48" t="str">
        <x:v>If the Contractor fails to complete the Works within the Time for Completion,</x:v>
      </x:c>
      <x:c r="G919" s="48" t="str">
        <x:v>Obligation</x:v>
      </x:c>
      <x:c r="H919" s="48" t="str">
        <x:v>Contractor</x:v>
      </x:c>
      <x:c r="I919" s="48" t="n">
        <x:v>0.45</x:v>
      </x:c>
      <x:c r="J919" s="48" t="n">
        <x:v>0.68</x:v>
      </x:c>
      <x:c r="K919" s="48" t="str">
        <x:v>Yes</x:v>
      </x:c>
      <x:c r="L919" s="48" t="str">
        <x:v>PDF text</x:v>
      </x:c>
    </x:row>
    <x:row r="920">
      <x:c r="A920" s="48" t="str">
        <x:v>YELLOW-0919</x:v>
      </x:c>
      <x:c r="B920" s="48" t="str">
        <x:v>YELLOW</x:v>
      </x:c>
      <x:c r="C920" s="48" t="str">
        <x:v>English</x:v>
      </x:c>
      <x:c r="D920" s="48" t="n">
        <x:v>57</x:v>
      </x:c>
      <x:c r="E920" s="48" t="str"/>
      <x:c r="F920" s="48" t="str">
        <x:v>adjustment of prices thereafter shall be made using either (i) each index or price applicable on the date 49 days prior to the expiry of the Time for Completion of the Works, or (ii) the current index or price: whichever is more favourable to the Employer.</x:v>
      </x:c>
      <x:c r="G920" s="48" t="str">
        <x:v>Obligation</x:v>
      </x:c>
      <x:c r="H920" s="48" t="str">
        <x:v>Employer</x:v>
      </x:c>
      <x:c r="I920" s="48" t="n">
        <x:v>0.88</x:v>
      </x:c>
      <x:c r="J920" s="48" t="n">
        <x:v>0.68</x:v>
      </x:c>
      <x:c r="K920" s="48" t="str">
        <x:v>Yes</x:v>
      </x:c>
      <x:c r="L920" s="48" t="str">
        <x:v>PDF text</x:v>
      </x:c>
    </x:row>
    <x:row r="921">
      <x:c r="A921" s="48" t="str">
        <x:v>YELLOW-0920</x:v>
      </x:c>
      <x:c r="B921" s="48" t="str">
        <x:v>YELLOW</x:v>
      </x:c>
      <x:c r="C921" s="48" t="str">
        <x:v>English</x:v>
      </x:c>
      <x:c r="D921" s="48" t="n">
        <x:v>57</x:v>
      </x:c>
      <x:c r="E921" s="48" t="str"/>
      <x:c r="F921" s="48" t="str">
        <x:v>The weightings (coefficients) for each of the factors of cost stated in the table(s) of adjustment data shall only be adjusted if they have been rendered unreasonable, unbalanced or inapplicable, as a result of Variations.</x:v>
      </x:c>
      <x:c r="G921" s="48" t="str">
        <x:v>Obligation</x:v>
      </x:c>
      <x:c r="H921" s="48" t="str">
        <x:v>Shared</x:v>
      </x:c>
      <x:c r="I921" s="48" t="n">
        <x:v>0.88</x:v>
      </x:c>
      <x:c r="J921" s="48" t="n">
        <x:v>0.4</x:v>
      </x:c>
      <x:c r="K921" s="48" t="str">
        <x:v>Yes</x:v>
      </x:c>
      <x:c r="L921" s="48" t="str">
        <x:v>PDF text</x:v>
      </x:c>
    </x:row>
    <x:row r="922">
      <x:c r="A922" s="48" t="str">
        <x:v>YELLOW-0921</x:v>
      </x:c>
      <x:c r="B922" s="48" t="str">
        <x:v>YELLOW</x:v>
      </x:c>
      <x:c r="C922" s="48" t="str">
        <x:v>English</x:v>
      </x:c>
      <x:c r="D922" s="48" t="n">
        <x:v>58</x:v>
      </x:c>
      <x:c r="E922" s="48" t="str"/>
      <x:c r="F922" s="48" t="str">
        <x:v>The Contract Price</x:v>
      </x:c>
      <x:c r="G922" s="48" t="str">
        <x:v>Obligation</x:v>
      </x:c>
      <x:c r="H922" s="48" t="str">
        <x:v>Shared</x:v>
      </x:c>
      <x:c r="I922" s="48" t="n">
        <x:v>0.45</x:v>
      </x:c>
      <x:c r="J922" s="48" t="n">
        <x:v>0.4</x:v>
      </x:c>
      <x:c r="K922" s="48" t="str">
        <x:v>Yes</x:v>
      </x:c>
      <x:c r="L922" s="48" t="str">
        <x:v>PDF text</x:v>
      </x:c>
    </x:row>
    <x:row r="923">
      <x:c r="A923" s="48" t="str">
        <x:v>YELLOW-0922</x:v>
      </x:c>
      <x:c r="B923" s="48" t="str">
        <x:v>YELLOW</x:v>
      </x:c>
      <x:c r="C923" s="48" t="str">
        <x:v>English</x:v>
      </x:c>
      <x:c r="D923" s="48" t="n">
        <x:v>58</x:v>
      </x:c>
      <x:c r="E923" s="48" t="str"/>
      <x:c r="F923" s="48" t="str">
        <x:v>Advance Payment</x:v>
      </x:c>
      <x:c r="G923" s="48" t="str">
        <x:v>Obligation</x:v>
      </x:c>
      <x:c r="H923" s="48" t="str">
        <x:v>Shared</x:v>
      </x:c>
      <x:c r="I923" s="48" t="n">
        <x:v>0.55</x:v>
      </x:c>
      <x:c r="J923" s="48" t="n">
        <x:v>0.4</x:v>
      </x:c>
      <x:c r="K923" s="48" t="str">
        <x:v>Yes</x:v>
      </x:c>
      <x:c r="L923" s="48" t="str">
        <x:v>PDF text</x:v>
      </x:c>
    </x:row>
    <x:row r="924">
      <x:c r="A924" s="48" t="str">
        <x:v>YELLOW-0923</x:v>
      </x:c>
      <x:c r="B924" s="48" t="str">
        <x:v>YELLOW</x:v>
      </x:c>
      <x:c r="C924" s="48" t="str">
        <x:v>English</x:v>
      </x:c>
      <x:c r="D924" s="48" t="n">
        <x:v>58</x:v>
      </x:c>
      <x:c r="E924" s="48" t="str"/>
      <x:c r="F924" s="48" t="str">
        <x:v>Unless otherwise stated in the Particular Conditions: (a) the Contract Price shall be the lump sum Accepted Contract Amount and be subject to adjustments in accordance with the Contract; (b) the Contractor shall pay all taxes, duties and fees required to be paid by him under the Contract, and the Contract Price shall not be adjusted for any of these costs, except as stated in Sub-Clause 13.7 [Adjustments for Changes in Legislation]; (c) any quantities which may be set out in a Schedule are estimated quantities and are not to be taken as the actual and correct quantities of the Works which the Contractor is required to execute; and (d) any quantities or price data which may be set out in a Schedule shall be used for the purposes stated in the Schedule and may be inapplicable for other purposes.</x:v>
      </x:c>
      <x:c r="G924" s="48" t="str">
        <x:v>Obligation</x:v>
      </x:c>
      <x:c r="H924" s="48" t="str">
        <x:v>Contractor</x:v>
      </x:c>
      <x:c r="I924" s="48" t="n">
        <x:v>0.88</x:v>
      </x:c>
      <x:c r="J924" s="48" t="n">
        <x:v>0.92</x:v>
      </x:c>
      <x:c r="K924" s="48" t="str">
        <x:v>No</x:v>
      </x:c>
      <x:c r="L924" s="48" t="str">
        <x:v>PDF text</x:v>
      </x:c>
    </x:row>
    <x:row r="925">
      <x:c r="A925" s="48" t="str">
        <x:v>YELLOW-0924</x:v>
      </x:c>
      <x:c r="B925" s="48" t="str">
        <x:v>YELLOW</x:v>
      </x:c>
      <x:c r="C925" s="48" t="str">
        <x:v>English</x:v>
      </x:c>
      <x:c r="D925" s="48" t="n">
        <x:v>58</x:v>
      </x:c>
      <x:c r="E925" s="48" t="str"/>
      <x:c r="F925" s="48" t="str">
        <x:v>However, if any part of the Works is to be paid according to quantity supplied or work done, the provisions for measurement and evaluation shall be as stated in the Particular Conditions.</x:v>
      </x:c>
      <x:c r="G925" s="48" t="str">
        <x:v>Obligation</x:v>
      </x:c>
      <x:c r="H925" s="48" t="str">
        <x:v>Shared</x:v>
      </x:c>
      <x:c r="I925" s="48" t="n">
        <x:v>0.88</x:v>
      </x:c>
      <x:c r="J925" s="48" t="n">
        <x:v>0.4</x:v>
      </x:c>
      <x:c r="K925" s="48" t="str">
        <x:v>Yes</x:v>
      </x:c>
      <x:c r="L925" s="48" t="str">
        <x:v>PDF text</x:v>
      </x:c>
    </x:row>
    <x:row r="926">
      <x:c r="A926" s="48" t="str">
        <x:v>YELLOW-0925</x:v>
      </x:c>
      <x:c r="B926" s="48" t="str">
        <x:v>YELLOW</x:v>
      </x:c>
      <x:c r="C926" s="48" t="str">
        <x:v>English</x:v>
      </x:c>
      <x:c r="D926" s="48" t="n">
        <x:v>58</x:v>
      </x:c>
      <x:c r="E926" s="48" t="str"/>
      <x:c r="F926" s="48" t="str">
        <x:v>The Contract Price shall be determined accordingly, subject to adjustments in accordance with the Contract.</x:v>
      </x:c>
      <x:c r="G926" s="48" t="str">
        <x:v>Obligation</x:v>
      </x:c>
      <x:c r="H926" s="48" t="str">
        <x:v>Shared</x:v>
      </x:c>
      <x:c r="I926" s="48" t="n">
        <x:v>0.88</x:v>
      </x:c>
      <x:c r="J926" s="48" t="n">
        <x:v>0.4</x:v>
      </x:c>
      <x:c r="K926" s="48" t="str">
        <x:v>Yes</x:v>
      </x:c>
      <x:c r="L926" s="48" t="str">
        <x:v>PDF text</x:v>
      </x:c>
    </x:row>
    <x:row r="927">
      <x:c r="A927" s="48" t="str">
        <x:v>YELLOW-0926</x:v>
      </x:c>
      <x:c r="B927" s="48" t="str">
        <x:v>YELLOW</x:v>
      </x:c>
      <x:c r="C927" s="48" t="str">
        <x:v>English</x:v>
      </x:c>
      <x:c r="D927" s="48" t="n">
        <x:v>58</x:v>
      </x:c>
      <x:c r="E927" s="48" t="str"/>
      <x:c r="F927" s="48" t="str">
        <x:v>The Employer shall make an advance payment, as an interest-free loan for</x:v>
      </x:c>
      <x:c r="G927" s="48" t="str">
        <x:v>Obligation</x:v>
      </x:c>
      <x:c r="H927" s="48" t="str">
        <x:v>Employer</x:v>
      </x:c>
      <x:c r="I927" s="48" t="n">
        <x:v>0.88</x:v>
      </x:c>
      <x:c r="J927" s="48" t="n">
        <x:v>0.92</x:v>
      </x:c>
      <x:c r="K927" s="48" t="str">
        <x:v>No</x:v>
      </x:c>
      <x:c r="L927" s="48" t="str">
        <x:v>PDF text</x:v>
      </x:c>
    </x:row>
    <x:row r="928">
      <x:c r="A928" s="48" t="str">
        <x:v>YELLOW-0927</x:v>
      </x:c>
      <x:c r="B928" s="48" t="str">
        <x:v>YELLOW</x:v>
      </x:c>
      <x:c r="C928" s="48" t="str">
        <x:v>English</x:v>
      </x:c>
      <x:c r="D928" s="48" t="n">
        <x:v>58</x:v>
      </x:c>
      <x:c r="E928" s="48" t="str"/>
      <x:c r="F928" s="48" t="str">
        <x:v>mobilisation and design, when the Contractor submits a guarantee in accordance with this Sub-Clause.</x:v>
      </x:c>
      <x:c r="G928" s="48" t="str">
        <x:v>Obligation</x:v>
      </x:c>
      <x:c r="H928" s="48" t="str">
        <x:v>Contractor</x:v>
      </x:c>
      <x:c r="I928" s="48" t="n">
        <x:v>0.45</x:v>
      </x:c>
      <x:c r="J928" s="48" t="n">
        <x:v>0.68</x:v>
      </x:c>
      <x:c r="K928" s="48" t="str">
        <x:v>Yes</x:v>
      </x:c>
      <x:c r="L928" s="48" t="str">
        <x:v>PDF text</x:v>
      </x:c>
    </x:row>
    <x:row r="929">
      <x:c r="A929" s="48" t="str">
        <x:v>YELLOW-0928</x:v>
      </x:c>
      <x:c r="B929" s="48" t="str">
        <x:v>YELLOW</x:v>
      </x:c>
      <x:c r="C929" s="48" t="str">
        <x:v>English</x:v>
      </x:c>
      <x:c r="D929" s="48" t="n">
        <x:v>58</x:v>
      </x:c>
      <x:c r="E929" s="48" t="str"/>
      <x:c r="F929" s="48" t="str">
        <x:v>The total advance payment, the number and timing of instalments (if more than one), and the applicable currencies and proportions, shall be as stated in the Appendix to Tender.</x:v>
      </x:c>
      <x:c r="G929" s="48" t="str">
        <x:v>Obligation</x:v>
      </x:c>
      <x:c r="H929" s="48" t="str">
        <x:v>Shared</x:v>
      </x:c>
      <x:c r="I929" s="48" t="n">
        <x:v>0.88</x:v>
      </x:c>
      <x:c r="J929" s="48" t="n">
        <x:v>0.4</x:v>
      </x:c>
      <x:c r="K929" s="48" t="str">
        <x:v>Yes</x:v>
      </x:c>
      <x:c r="L929" s="48" t="str">
        <x:v>PDF text</x:v>
      </x:c>
    </x:row>
    <x:row r="930">
      <x:c r="A930" s="48" t="str">
        <x:v>YELLOW-0929</x:v>
      </x:c>
      <x:c r="B930" s="48" t="str">
        <x:v>YELLOW</x:v>
      </x:c>
      <x:c r="C930" s="48" t="str">
        <x:v>English</x:v>
      </x:c>
      <x:c r="D930" s="48" t="n">
        <x:v>58</x:v>
      </x:c>
      <x:c r="E930" s="48" t="str"/>
      <x:c r="F930" s="48" t="str">
        <x:v>Unless and until the Employer receives this guarantee, or if the total advance payment is not stated in the Appendix to Tender, this Sub-Clause shall not apply.</x:v>
      </x:c>
      <x:c r="G930" s="48" t="str">
        <x:v>Obligation</x:v>
      </x:c>
      <x:c r="H930" s="48" t="str">
        <x:v>Employer</x:v>
      </x:c>
      <x:c r="I930" s="48" t="n">
        <x:v>0.88</x:v>
      </x:c>
      <x:c r="J930" s="48" t="n">
        <x:v>0.68</x:v>
      </x:c>
      <x:c r="K930" s="48" t="str">
        <x:v>Yes</x:v>
      </x:c>
      <x:c r="L930" s="48" t="str">
        <x:v>PDF text</x:v>
      </x:c>
    </x:row>
    <x:row r="931">
      <x:c r="A931" s="48" t="str">
        <x:v>YELLOW-0930</x:v>
      </x:c>
      <x:c r="B931" s="48" t="str">
        <x:v>YELLOW</x:v>
      </x:c>
      <x:c r="C931" s="48" t="str">
        <x:v>English</x:v>
      </x:c>
      <x:c r="D931" s="48" t="n">
        <x:v>58</x:v>
      </x:c>
      <x:c r="E931" s="48" t="str"/>
      <x:c r="F931" s="48" t="str">
        <x:v>The Engineer shall issue an Interim Payment Certificate for the first instalment after receiving a Statement (under Sub-Clause 14.3 [Application for Interim Payment Certificates]) and after the Employer receives (i) the Performance Security in accordance with Sub-Clause 4.2 [Performance Security] and (ii) a guarantee in amounts and currencies equal to the advance payment.</x:v>
      </x:c>
      <x:c r="G931" s="48" t="str">
        <x:v>Obligation</x:v>
      </x:c>
      <x:c r="H931" s="48" t="str">
        <x:v>Employer</x:v>
      </x:c>
      <x:c r="I931" s="48" t="n">
        <x:v>0.88</x:v>
      </x:c>
      <x:c r="J931" s="48" t="n">
        <x:v>0.68</x:v>
      </x:c>
      <x:c r="K931" s="48" t="str">
        <x:v>Yes</x:v>
      </x:c>
      <x:c r="L931" s="48" t="str">
        <x:v>PDF text</x:v>
      </x:c>
    </x:row>
    <x:row r="932">
      <x:c r="A932" s="48" t="str">
        <x:v>YELLOW-0931</x:v>
      </x:c>
      <x:c r="B932" s="48" t="str">
        <x:v>YELLOW</x:v>
      </x:c>
      <x:c r="C932" s="48" t="str">
        <x:v>English</x:v>
      </x:c>
      <x:c r="D932" s="48" t="n">
        <x:v>58</x:v>
      </x:c>
      <x:c r="E932" s="48" t="str"/>
      <x:c r="F932" s="48" t="str">
        <x:v>This guarantee shall be issued by an entity and from within a country (or other jurisdiction) approved by the Employer, and shall be in the form annexed to the Particular Conditions or in another form approved by the Employer.</x:v>
      </x:c>
      <x:c r="G932" s="48" t="str">
        <x:v>Obligation</x:v>
      </x:c>
      <x:c r="H932" s="48" t="str">
        <x:v>Employer</x:v>
      </x:c>
      <x:c r="I932" s="48" t="n">
        <x:v>0.88</x:v>
      </x:c>
      <x:c r="J932" s="48" t="n">
        <x:v>0.68</x:v>
      </x:c>
      <x:c r="K932" s="48" t="str">
        <x:v>Yes</x:v>
      </x:c>
      <x:c r="L932" s="48" t="str">
        <x:v>PDF text</x:v>
      </x:c>
    </x:row>
    <x:row r="933">
      <x:c r="A933" s="48" t="str">
        <x:v>YELLOW-0932</x:v>
      </x:c>
      <x:c r="B933" s="48" t="str">
        <x:v>YELLOW</x:v>
      </x:c>
      <x:c r="C933" s="48" t="str">
        <x:v>English</x:v>
      </x:c>
      <x:c r="D933" s="48" t="n">
        <x:v>58</x:v>
      </x:c>
      <x:c r="E933" s="48" t="str"/>
      <x:c r="F933" s="48" t="str">
        <x:v>The Contractor shall ensure that the guarantee is valid and enforceable until the</x:v>
      </x:c>
      <x:c r="G933" s="48" t="str">
        <x:v>Obligation</x:v>
      </x:c>
      <x:c r="H933" s="48" t="str">
        <x:v>Contractor</x:v>
      </x:c>
      <x:c r="I933" s="48" t="n">
        <x:v>0.88</x:v>
      </x:c>
      <x:c r="J933" s="48" t="n">
        <x:v>0.92</x:v>
      </x:c>
      <x:c r="K933" s="48" t="str">
        <x:v>No</x:v>
      </x:c>
      <x:c r="L933" s="48" t="str">
        <x:v>PDF text</x:v>
      </x:c>
    </x:row>
    <x:row r="934">
      <x:c r="A934" s="48" t="str">
        <x:v>YELLOW-0933</x:v>
      </x:c>
      <x:c r="B934" s="48" t="str">
        <x:v>YELLOW</x:v>
      </x:c>
      <x:c r="C934" s="48" t="str">
        <x:v>English</x:v>
      </x:c>
      <x:c r="D934" s="48" t="n">
        <x:v>58</x:v>
      </x:c>
      <x:c r="E934" s="48" t="str"/>
      <x:c r="F934" s="48" t="str">
        <x:v>advance payment has been repaid, but its amount may be progressively reduced by the amount repaid by the Contractor as indicated in the Payment Certificates.</x:v>
      </x:c>
      <x:c r="G934" s="48" t="str">
        <x:v>Right</x:v>
      </x:c>
      <x:c r="H934" s="48" t="str">
        <x:v>Contractor</x:v>
      </x:c>
      <x:c r="I934" s="48" t="n">
        <x:v>0.78</x:v>
      </x:c>
      <x:c r="J934" s="48" t="n">
        <x:v>0.68</x:v>
      </x:c>
      <x:c r="K934" s="48" t="str">
        <x:v>Yes</x:v>
      </x:c>
      <x:c r="L934" s="48" t="str">
        <x:v>PDF text</x:v>
      </x:c>
    </x:row>
    <x:row r="935">
      <x:c r="A935" s="48" t="str">
        <x:v>YELLOW-0934</x:v>
      </x:c>
      <x:c r="B935" s="48" t="str">
        <x:v>YELLOW</x:v>
      </x:c>
      <x:c r="C935" s="48" t="str">
        <x:v>English</x:v>
      </x:c>
      <x:c r="D935" s="48" t="n">
        <x:v>58</x:v>
      </x:c>
      <x:c r="E935" s="48" t="str"/>
      <x:c r="F935" s="48" t="str">
        <x:v>If the terms of the guarantee specify its expiry date, and the advance payment has not been repaid by the date 28 days prior to the expiry date, the Contractor shall extend the validity of the guarantee until the advance payment has been repaid.</x:v>
      </x:c>
      <x:c r="G935" s="48" t="str">
        <x:v>Obligation</x:v>
      </x:c>
      <x:c r="H935" s="48" t="str">
        <x:v>Contractor</x:v>
      </x:c>
      <x:c r="I935" s="48" t="n">
        <x:v>0.88</x:v>
      </x:c>
      <x:c r="J935" s="48" t="n">
        <x:v>0.92</x:v>
      </x:c>
      <x:c r="K935" s="48" t="str">
        <x:v>No</x:v>
      </x:c>
      <x:c r="L935" s="48" t="str">
        <x:v>PDF text</x:v>
      </x:c>
    </x:row>
    <x:row r="936">
      <x:c r="A936" s="48" t="str">
        <x:v>YELLOW-0935</x:v>
      </x:c>
      <x:c r="B936" s="48" t="str">
        <x:v>YELLOW</x:v>
      </x:c>
      <x:c r="C936" s="48" t="str">
        <x:v>English</x:v>
      </x:c>
      <x:c r="D936" s="48" t="n">
        <x:v>58</x:v>
      </x:c>
      <x:c r="E936" s="48" t="str"/>
      <x:c r="F936" s="48" t="str">
        <x:v>The advance payment shall be repaid through percentage deductions in Payment</x:v>
      </x:c>
      <x:c r="G936" s="48" t="str">
        <x:v>Obligation</x:v>
      </x:c>
      <x:c r="H936" s="48" t="str">
        <x:v>Shared</x:v>
      </x:c>
      <x:c r="I936" s="48" t="n">
        <x:v>0.88</x:v>
      </x:c>
      <x:c r="J936" s="48" t="n">
        <x:v>0.4</x:v>
      </x:c>
      <x:c r="K936" s="48" t="str">
        <x:v>Yes</x:v>
      </x:c>
      <x:c r="L936" s="48" t="str">
        <x:v>PDF text</x:v>
      </x:c>
    </x:row>
    <x:row r="937">
      <x:c r="A937" s="48" t="str">
        <x:v>YELLOW-0936</x:v>
      </x:c>
      <x:c r="B937" s="48" t="str">
        <x:v>YELLOW</x:v>
      </x:c>
      <x:c r="C937" s="48" t="str">
        <x:v>English</x:v>
      </x:c>
      <x:c r="D937" s="48" t="n">
        <x:v>58</x:v>
      </x:c>
      <x:c r="E937" s="48" t="str"/>
      <x:c r="F937" s="48" t="str">
        <x:v>Unless other percentages are stated in the Appendix to Tender: (a) deductions shall commence in the Payment Certificate in which the total of all certified interim payments (excluding the advance payment and deductions and</x:v>
      </x:c>
      <x:c r="G937" s="48" t="str">
        <x:v>Obligation</x:v>
      </x:c>
      <x:c r="H937" s="48" t="str">
        <x:v>Shared</x:v>
      </x:c>
      <x:c r="I937" s="48" t="n">
        <x:v>0.88</x:v>
      </x:c>
      <x:c r="J937" s="48" t="n">
        <x:v>0.4</x:v>
      </x:c>
      <x:c r="K937" s="48" t="str">
        <x:v>Yes</x:v>
      </x:c>
      <x:c r="L937" s="48" t="str">
        <x:v>PDF text</x:v>
      </x:c>
    </x:row>
    <x:row r="938">
      <x:c r="A938" s="48" t="str">
        <x:v>YELLOW-0937</x:v>
      </x:c>
      <x:c r="B938" s="48" t="str">
        <x:v>YELLOW</x:v>
      </x:c>
      <x:c r="C938" s="48" t="str">
        <x:v>English</x:v>
      </x:c>
      <x:c r="D938" s="48" t="n">
        <x:v>58</x:v>
      </x:c>
      <x:c r="E938" s="48" t="str"/>
      <x:c r="F938" s="48" t="str">
        <x:v>Contract Price and Payment</x:v>
      </x:c>
      <x:c r="G938" s="48" t="str">
        <x:v>Obligation</x:v>
      </x:c>
      <x:c r="H938" s="48" t="str">
        <x:v>Shared</x:v>
      </x:c>
      <x:c r="I938" s="48" t="n">
        <x:v>0.55</x:v>
      </x:c>
      <x:c r="J938" s="48" t="n">
        <x:v>0.4</x:v>
      </x:c>
      <x:c r="K938" s="48" t="str">
        <x:v>Yes</x:v>
      </x:c>
      <x:c r="L938" s="48" t="str">
        <x:v>PDF text</x:v>
      </x:c>
    </x:row>
    <x:row r="939">
      <x:c r="A939" s="48" t="str">
        <x:v>YELLOW-0938</x:v>
      </x:c>
      <x:c r="B939" s="48" t="str">
        <x:v>YELLOW</x:v>
      </x:c>
      <x:c r="C939" s="48" t="str">
        <x:v>English</x:v>
      </x:c>
      <x:c r="D939" s="48" t="n">
        <x:v>59</x:v>
      </x:c>
      <x:c r="E939" s="48" t="str"/>
      <x:c r="F939" s="48" t="str">
        <x:v>Application for Interim</x:v>
      </x:c>
      <x:c r="G939" s="48" t="str">
        <x:v>Obligation</x:v>
      </x:c>
      <x:c r="H939" s="48" t="str">
        <x:v>Shared</x:v>
      </x:c>
      <x:c r="I939" s="48" t="n">
        <x:v>0.45</x:v>
      </x:c>
      <x:c r="J939" s="48" t="n">
        <x:v>0.4</x:v>
      </x:c>
      <x:c r="K939" s="48" t="str">
        <x:v>Yes</x:v>
      </x:c>
      <x:c r="L939" s="48" t="str">
        <x:v>PDF text</x:v>
      </x:c>
    </x:row>
    <x:row r="940">
      <x:c r="A940" s="48" t="str">
        <x:v>YELLOW-0939</x:v>
      </x:c>
      <x:c r="B940" s="48" t="str">
        <x:v>YELLOW</x:v>
      </x:c>
      <x:c r="C940" s="48" t="str">
        <x:v>English</x:v>
      </x:c>
      <x:c r="D940" s="48" t="n">
        <x:v>59</x:v>
      </x:c>
      <x:c r="E940" s="48" t="str"/>
      <x:c r="F940" s="48" t="str">
        <x:v>Payment Certificates</x:v>
      </x:c>
      <x:c r="G940" s="48" t="str">
        <x:v>Obligation</x:v>
      </x:c>
      <x:c r="H940" s="48" t="str">
        <x:v>Shared</x:v>
      </x:c>
      <x:c r="I940" s="48" t="n">
        <x:v>0.55</x:v>
      </x:c>
      <x:c r="J940" s="48" t="n">
        <x:v>0.4</x:v>
      </x:c>
      <x:c r="K940" s="48" t="str">
        <x:v>Yes</x:v>
      </x:c>
      <x:c r="L940" s="48" t="str">
        <x:v>PDF text</x:v>
      </x:c>
    </x:row>
    <x:row r="941">
      <x:c r="A941" s="48" t="str">
        <x:v>YELLOW-0940</x:v>
      </x:c>
      <x:c r="B941" s="48" t="str">
        <x:v>YELLOW</x:v>
      </x:c>
      <x:c r="C941" s="48" t="str">
        <x:v>English</x:v>
      </x:c>
      <x:c r="D941" s="48" t="n">
        <x:v>59</x:v>
      </x:c>
      <x:c r="E941" s="48" t="str"/>
      <x:c r="F941" s="48" t="str">
        <x:v>Schedule of Payments</x:v>
      </x:c>
      <x:c r="G941" s="48" t="str">
        <x:v>Obligation</x:v>
      </x:c>
      <x:c r="H941" s="48" t="str">
        <x:v>Shared</x:v>
      </x:c>
      <x:c r="I941" s="48" t="n">
        <x:v>0.45</x:v>
      </x:c>
      <x:c r="J941" s="48" t="n">
        <x:v>0.4</x:v>
      </x:c>
      <x:c r="K941" s="48" t="str">
        <x:v>Yes</x:v>
      </x:c>
      <x:c r="L941" s="48" t="str">
        <x:v>PDF text</x:v>
      </x:c>
    </x:row>
    <x:row r="942">
      <x:c r="A942" s="48" t="str">
        <x:v>YELLOW-0941</x:v>
      </x:c>
      <x:c r="B942" s="48" t="str">
        <x:v>YELLOW</x:v>
      </x:c>
      <x:c r="C942" s="48" t="str">
        <x:v>English</x:v>
      </x:c>
      <x:c r="D942" s="48" t="n">
        <x:v>59</x:v>
      </x:c>
      <x:c r="E942" s="48" t="str"/>
      <x:c r="F942" s="48" t="str">
        <x:v>repayments of retention) exceeds ten per cent (10%) of the Accepted Contract Amount less Provisional Sums; and (b) deductions shall be made at the amortisation rate of one quarter (25%) of the amount of each Payment Certificate (excluding the advance payment and deductions and repayments of retention) in the currencies and proportions of the advance payment, until such time as the advance payment has been repaid.</x:v>
      </x:c>
      <x:c r="G942" s="48" t="str">
        <x:v>Obligation</x:v>
      </x:c>
      <x:c r="H942" s="48" t="str">
        <x:v>Shared</x:v>
      </x:c>
      <x:c r="I942" s="48" t="n">
        <x:v>0.88</x:v>
      </x:c>
      <x:c r="J942" s="48" t="n">
        <x:v>0.4</x:v>
      </x:c>
      <x:c r="K942" s="48" t="str">
        <x:v>Yes</x:v>
      </x:c>
      <x:c r="L942" s="48" t="str">
        <x:v>PDF text</x:v>
      </x:c>
    </x:row>
    <x:row r="943">
      <x:c r="A943" s="48" t="str">
        <x:v>YELLOW-0942</x:v>
      </x:c>
      <x:c r="B943" s="48" t="str">
        <x:v>YELLOW</x:v>
      </x:c>
      <x:c r="C943" s="48" t="str">
        <x:v>English</x:v>
      </x:c>
      <x:c r="D943" s="48" t="n">
        <x:v>59</x:v>
      </x:c>
      <x:c r="E943" s="48" t="str"/>
      <x:c r="F943" s="48" t="str">
        <x:v>If the advance payment has not been repaid prior to the issue of the Taking-Over</x:v>
      </x:c>
      <x:c r="G943" s="48" t="str">
        <x:v>Obligation</x:v>
      </x:c>
      <x:c r="H943" s="48" t="str">
        <x:v>Shared</x:v>
      </x:c>
      <x:c r="I943" s="48" t="n">
        <x:v>0.55</x:v>
      </x:c>
      <x:c r="J943" s="48" t="n">
        <x:v>0.4</x:v>
      </x:c>
      <x:c r="K943" s="48" t="str">
        <x:v>Yes</x:v>
      </x:c>
      <x:c r="L943" s="48" t="str">
        <x:v>PDF text</x:v>
      </x:c>
    </x:row>
    <x:row r="944">
      <x:c r="A944" s="48" t="str">
        <x:v>YELLOW-0943</x:v>
      </x:c>
      <x:c r="B944" s="48" t="str">
        <x:v>YELLOW</x:v>
      </x:c>
      <x:c r="C944" s="48" t="str">
        <x:v>English</x:v>
      </x:c>
      <x:c r="D944" s="48" t="n">
        <x:v>59</x:v>
      </x:c>
      <x:c r="E944" s="48" t="str"/>
      <x:c r="F944" s="48" t="str">
        <x:v>Certificate for the Works or prior to termination under Clause 15 [Termination by Employer], Clause 16 [Suspension and Termination by Contractor] or Clause 19 [Force Majeure] (as the case may be), the whole of the balance then outstanding shall immediately become due and payable by the Contractor to the Employer.</x:v>
      </x:c>
      <x:c r="G944" s="48" t="str">
        <x:v>Obligation</x:v>
      </x:c>
      <x:c r="H944" s="48" t="str">
        <x:v>Shared</x:v>
      </x:c>
      <x:c r="I944" s="48" t="n">
        <x:v>0.88</x:v>
      </x:c>
      <x:c r="J944" s="48" t="n">
        <x:v>0.6</x:v>
      </x:c>
      <x:c r="K944" s="48" t="str">
        <x:v>Yes</x:v>
      </x:c>
      <x:c r="L944" s="48" t="str">
        <x:v>PDF text</x:v>
      </x:c>
    </x:row>
    <x:row r="945">
      <x:c r="A945" s="48" t="str">
        <x:v>YELLOW-0944</x:v>
      </x:c>
      <x:c r="B945" s="48" t="str">
        <x:v>YELLOW</x:v>
      </x:c>
      <x:c r="C945" s="48" t="str">
        <x:v>English</x:v>
      </x:c>
      <x:c r="D945" s="48" t="n">
        <x:v>59</x:v>
      </x:c>
      <x:c r="E945" s="48" t="str"/>
      <x:c r="F945" s="48" t="str">
        <x:v>The Contractor shall submit a Statement in six copies to the Engineer after the end of the period of payment stated in the Contract (if not stated, after the end of each month), in a form approved by the Engineer, showing in detail the amounts to which the Contractor considers himself to be entitled, together with supporting documents which shall include the relevant report on progress in accordance with Sub-Clause</x:v>
      </x:c>
      <x:c r="G945" s="48" t="str">
        <x:v>Obligation</x:v>
      </x:c>
      <x:c r="H945" s="48" t="str">
        <x:v>Contractor</x:v>
      </x:c>
      <x:c r="I945" s="48" t="n">
        <x:v>0.88</x:v>
      </x:c>
      <x:c r="J945" s="48" t="n">
        <x:v>0.92</x:v>
      </x:c>
      <x:c r="K945" s="48" t="str">
        <x:v>No</x:v>
      </x:c>
      <x:c r="L945" s="48" t="str">
        <x:v>PDF text</x:v>
      </x:c>
    </x:row>
    <x:row r="946">
      <x:c r="A946" s="48" t="str">
        <x:v>YELLOW-0945</x:v>
      </x:c>
      <x:c r="B946" s="48" t="str">
        <x:v>YELLOW</x:v>
      </x:c>
      <x:c r="C946" s="48" t="str">
        <x:v>English</x:v>
      </x:c>
      <x:c r="D946" s="48" t="n">
        <x:v>59</x:v>
      </x:c>
      <x:c r="E946" s="48" t="str"/>
      <x:c r="F946" s="48" t="str">
        <x:v>The Statement shall include the following items, as applicable, which shall be</x:v>
      </x:c>
      <x:c r="G946" s="48" t="str">
        <x:v>Obligation</x:v>
      </x:c>
      <x:c r="H946" s="48" t="str">
        <x:v>Shared</x:v>
      </x:c>
      <x:c r="I946" s="48" t="n">
        <x:v>0.88</x:v>
      </x:c>
      <x:c r="J946" s="48" t="n">
        <x:v>0.4</x:v>
      </x:c>
      <x:c r="K946" s="48" t="str">
        <x:v>Yes</x:v>
      </x:c>
      <x:c r="L946" s="48" t="str">
        <x:v>PDF text</x:v>
      </x:c>
    </x:row>
    <x:row r="947">
      <x:c r="A947" s="48" t="str">
        <x:v>YELLOW-0946</x:v>
      </x:c>
      <x:c r="B947" s="48" t="str">
        <x:v>YELLOW</x:v>
      </x:c>
      <x:c r="C947" s="48" t="str">
        <x:v>English</x:v>
      </x:c>
      <x:c r="D947" s="48" t="n">
        <x:v>59</x:v>
      </x:c>
      <x:c r="E947" s="48" t="str"/>
      <x:c r="F947" s="48" t="str">
        <x:v>expressed in the various currencies in which the Contract Price is payable, in the sequence listed: (a) the estimated contract value of the Works executed and the Contractor's</x:v>
      </x:c>
      <x:c r="G947" s="48" t="str">
        <x:v>Obligation</x:v>
      </x:c>
      <x:c r="H947" s="48" t="str">
        <x:v>Contractor</x:v>
      </x:c>
      <x:c r="I947" s="48" t="n">
        <x:v>0.45</x:v>
      </x:c>
      <x:c r="J947" s="48" t="n">
        <x:v>0.68</x:v>
      </x:c>
      <x:c r="K947" s="48" t="str">
        <x:v>Yes</x:v>
      </x:c>
      <x:c r="L947" s="48" t="str">
        <x:v>PDF text</x:v>
      </x:c>
    </x:row>
    <x:row r="948">
      <x:c r="A948" s="48" t="str">
        <x:v>YELLOW-0947</x:v>
      </x:c>
      <x:c r="B948" s="48" t="str">
        <x:v>YELLOW</x:v>
      </x:c>
      <x:c r="C948" s="48" t="str">
        <x:v>English</x:v>
      </x:c>
      <x:c r="D948" s="48" t="n">
        <x:v>59</x:v>
      </x:c>
      <x:c r="E948" s="48" t="str"/>
      <x:c r="F948" s="48" t="str">
        <x:v>Documents produced up to the end of the month (including Variations but</x:v>
      </x:c>
      <x:c r="G948" s="48" t="str">
        <x:v>Obligation</x:v>
      </x:c>
      <x:c r="H948" s="48" t="str">
        <x:v>Shared</x:v>
      </x:c>
      <x:c r="I948" s="48" t="n">
        <x:v>0.45</x:v>
      </x:c>
      <x:c r="J948" s="48" t="n">
        <x:v>0.4</x:v>
      </x:c>
      <x:c r="K948" s="48" t="str">
        <x:v>Yes</x:v>
      </x:c>
      <x:c r="L948" s="48" t="str">
        <x:v>PDF text</x:v>
      </x:c>
    </x:row>
    <x:row r="949">
      <x:c r="A949" s="48" t="str">
        <x:v>YELLOW-0948</x:v>
      </x:c>
      <x:c r="B949" s="48" t="str">
        <x:v>YELLOW</x:v>
      </x:c>
      <x:c r="C949" s="48" t="str">
        <x:v>English</x:v>
      </x:c>
      <x:c r="D949" s="48" t="n">
        <x:v>59</x:v>
      </x:c>
      <x:c r="E949" s="48" t="str"/>
      <x:c r="F949" s="48" t="str">
        <x:v>excluding items described in sub-paragraphs (b) to (g) below); (b) any amounts to be added and deducted for changes in legislation and changes in cost, in accordance with Sub-Clause 13.7 [Adjustments for Changes in Legislation] and Sub-Clause 13.8 [Adjustments for Changes in Cost]; (c) any amount to be deducted for retention, calculated by applying the percentage of retention stated in the Appendix to Tender to the total of the above amounts, until the amount so retained by the Employer reaches the limit of Retention Money (if any) stated in the Appendix to Tender; (d) any amounts to be added and deducted for the advance payment and repayments in accordance with Sub-Clause 14.2 [Advance Payment]; (e) any amounts to be added and deducted for Plant and Materials in accordance with Sub-Clause 14.5 [Plant and Materials intended for the Works]; (f) any other additions or deductions which may have become due under the Contract or otherwise, including those under Clause 20 [Claims, Disputes and Arbitration]; and (g) the deduction of amounts certified in all previous Payment Certificates.</x:v>
      </x:c>
      <x:c r="G949" s="48" t="str">
        <x:v>Right</x:v>
      </x:c>
      <x:c r="H949" s="48" t="str">
        <x:v>Employer</x:v>
      </x:c>
      <x:c r="I949" s="48" t="n">
        <x:v>0.78</x:v>
      </x:c>
      <x:c r="J949" s="48" t="n">
        <x:v>0.68</x:v>
      </x:c>
      <x:c r="K949" s="48" t="str">
        <x:v>Yes</x:v>
      </x:c>
      <x:c r="L949" s="48" t="str">
        <x:v>PDF text</x:v>
      </x:c>
    </x:row>
    <x:row r="950">
      <x:c r="A950" s="48" t="str">
        <x:v>YELLOW-0949</x:v>
      </x:c>
      <x:c r="B950" s="48" t="str">
        <x:v>YELLOW</x:v>
      </x:c>
      <x:c r="C950" s="48" t="str">
        <x:v>English</x:v>
      </x:c>
      <x:c r="D950" s="48" t="n">
        <x:v>59</x:v>
      </x:c>
      <x:c r="E950" s="48" t="str"/>
      <x:c r="F950" s="48" t="str">
        <x:v>If the Contract includes a Schedule of Payments specifying the instalments in which the Contract Price will be paid, then, unless otherwise stated in this Schedule: (a) the instalments quoted in the Schedule of Payments shall be the estimated contract values for the purposes of sub-paragraph (a) of Sub-Clause 14.3 [Application for Interim Payment Certificates]; (b) Sub-Clause 14.5 [Plant and Materials intended for the Works] shall not apply; and (c) if these instalments are not defined by reference to the actual progress achieved in executing the Works, and if actual progress is found to be less than</x:v>
      </x:c>
      <x:c r="G950" s="48" t="str">
        <x:v>Obligation</x:v>
      </x:c>
      <x:c r="H950" s="48" t="str">
        <x:v>Shared</x:v>
      </x:c>
      <x:c r="I950" s="48" t="n">
        <x:v>0.88</x:v>
      </x:c>
      <x:c r="J950" s="48" t="n">
        <x:v>0.4</x:v>
      </x:c>
      <x:c r="K950" s="48" t="str">
        <x:v>Yes</x:v>
      </x:c>
      <x:c r="L950" s="48" t="str">
        <x:v>PDF text</x:v>
      </x:c>
    </x:row>
    <x:row r="951">
      <x:c r="A951" s="48" t="str">
        <x:v>YELLOW-0950</x:v>
      </x:c>
      <x:c r="B951" s="48" t="str">
        <x:v>YELLOW</x:v>
      </x:c>
      <x:c r="C951" s="48" t="str">
        <x:v>English</x:v>
      </x:c>
      <x:c r="D951" s="48" t="n">
        <x:v>60</x:v>
      </x:c>
      <x:c r="E951" s="48" t="str"/>
      <x:c r="F951" s="48" t="str">
        <x:v>Plant and Materials</x:v>
      </x:c>
      <x:c r="G951" s="48" t="str">
        <x:v>Obligation</x:v>
      </x:c>
      <x:c r="H951" s="48" t="str">
        <x:v>Shared</x:v>
      </x:c>
      <x:c r="I951" s="48" t="n">
        <x:v>0.45</x:v>
      </x:c>
      <x:c r="J951" s="48" t="n">
        <x:v>0.4</x:v>
      </x:c>
      <x:c r="K951" s="48" t="str">
        <x:v>Yes</x:v>
      </x:c>
      <x:c r="L951" s="48" t="str">
        <x:v>PDF text</x:v>
      </x:c>
    </x:row>
    <x:row r="952">
      <x:c r="A952" s="48" t="str">
        <x:v>YELLOW-0951</x:v>
      </x:c>
      <x:c r="B952" s="48" t="str">
        <x:v>YELLOW</x:v>
      </x:c>
      <x:c r="C952" s="48" t="str">
        <x:v>English</x:v>
      </x:c>
      <x:c r="D952" s="48" t="n">
        <x:v>60</x:v>
      </x:c>
      <x:c r="E952" s="48" t="str"/>
      <x:c r="F952" s="48" t="str">
        <x:v>intended for the Works that on which the Schedule of Payments was based, then the Engineer may proceed in accordance with Sub-Clause 3.5 [Determinations] to agree or determine revised instalments, which shall take account of the extent to which progress is less than that on which the instalments were previously based.</x:v>
      </x:c>
      <x:c r="G952" s="48" t="str">
        <x:v>Obligation</x:v>
      </x:c>
      <x:c r="H952" s="48" t="str">
        <x:v>Shared</x:v>
      </x:c>
      <x:c r="I952" s="48" t="n">
        <x:v>0.88</x:v>
      </x:c>
      <x:c r="J952" s="48" t="n">
        <x:v>0.4</x:v>
      </x:c>
      <x:c r="K952" s="48" t="str">
        <x:v>Yes</x:v>
      </x:c>
      <x:c r="L952" s="48" t="str">
        <x:v>PDF text</x:v>
      </x:c>
    </x:row>
    <x:row r="953">
      <x:c r="A953" s="48" t="str">
        <x:v>YELLOW-0952</x:v>
      </x:c>
      <x:c r="B953" s="48" t="str">
        <x:v>YELLOW</x:v>
      </x:c>
      <x:c r="C953" s="48" t="str">
        <x:v>English</x:v>
      </x:c>
      <x:c r="D953" s="48" t="n">
        <x:v>60</x:v>
      </x:c>
      <x:c r="E953" s="48" t="str"/>
      <x:c r="F953" s="48" t="str">
        <x:v>If the Contract does not include a Schedule of Payments, the Contractor shall submit non-binding estimates of the payments which he expects to become due during each quarterly period.</x:v>
      </x:c>
      <x:c r="G953" s="48" t="str">
        <x:v>Obligation</x:v>
      </x:c>
      <x:c r="H953" s="48" t="str">
        <x:v>Contractor</x:v>
      </x:c>
      <x:c r="I953" s="48" t="n">
        <x:v>0.88</x:v>
      </x:c>
      <x:c r="J953" s="48" t="n">
        <x:v>0.92</x:v>
      </x:c>
      <x:c r="K953" s="48" t="str">
        <x:v>No</x:v>
      </x:c>
      <x:c r="L953" s="48" t="str">
        <x:v>PDF text</x:v>
      </x:c>
    </x:row>
    <x:row r="954">
      <x:c r="A954" s="48" t="str">
        <x:v>YELLOW-0953</x:v>
      </x:c>
      <x:c r="B954" s="48" t="str">
        <x:v>YELLOW</x:v>
      </x:c>
      <x:c r="C954" s="48" t="str">
        <x:v>English</x:v>
      </x:c>
      <x:c r="D954" s="48" t="n">
        <x:v>60</x:v>
      </x:c>
      <x:c r="E954" s="48" t="str"/>
      <x:c r="F954" s="48" t="str">
        <x:v>The first estimate shall be submitted within 42 days after the Commencement Date.</x:v>
      </x:c>
      <x:c r="G954" s="48" t="str">
        <x:v>Obligation</x:v>
      </x:c>
      <x:c r="H954" s="48" t="str">
        <x:v>Shared</x:v>
      </x:c>
      <x:c r="I954" s="48" t="n">
        <x:v>0.88</x:v>
      </x:c>
      <x:c r="J954" s="48" t="n">
        <x:v>0.4</x:v>
      </x:c>
      <x:c r="K954" s="48" t="str">
        <x:v>Yes</x:v>
      </x:c>
      <x:c r="L954" s="48" t="str">
        <x:v>PDF text</x:v>
      </x:c>
    </x:row>
    <x:row r="955">
      <x:c r="A955" s="48" t="str">
        <x:v>YELLOW-0954</x:v>
      </x:c>
      <x:c r="B955" s="48" t="str">
        <x:v>YELLOW</x:v>
      </x:c>
      <x:c r="C955" s="48" t="str">
        <x:v>English</x:v>
      </x:c>
      <x:c r="D955" s="48" t="n">
        <x:v>60</x:v>
      </x:c>
      <x:c r="E955" s="48" t="str"/>
      <x:c r="F955" s="48" t="str">
        <x:v>Revised estimates shall be submitted at quarterly intervals, until the Taking-Over Certificate has been issued for the Works.</x:v>
      </x:c>
      <x:c r="G955" s="48" t="str">
        <x:v>Obligation</x:v>
      </x:c>
      <x:c r="H955" s="48" t="str">
        <x:v>Shared</x:v>
      </x:c>
      <x:c r="I955" s="48" t="n">
        <x:v>0.88</x:v>
      </x:c>
      <x:c r="J955" s="48" t="n">
        <x:v>0.4</x:v>
      </x:c>
      <x:c r="K955" s="48" t="str">
        <x:v>Yes</x:v>
      </x:c>
      <x:c r="L955" s="48" t="str">
        <x:v>PDF text</x:v>
      </x:c>
    </x:row>
    <x:row r="956">
      <x:c r="A956" s="48" t="str">
        <x:v>YELLOW-0955</x:v>
      </x:c>
      <x:c r="B956" s="48" t="str">
        <x:v>YELLOW</x:v>
      </x:c>
      <x:c r="C956" s="48" t="str">
        <x:v>English</x:v>
      </x:c>
      <x:c r="D956" s="48" t="n">
        <x:v>60</x:v>
      </x:c>
      <x:c r="E956" s="48" t="str"/>
      <x:c r="F956" s="48" t="str">
        <x:v>If this Sub-Clause applies, Interim Payment Certificates shall include, under subparagraph (e) of Sub-Clause 14.3, (i) an amount for Plant and Materials which have been sent to the Site for incorporation in the Permanent Works, and (ii) a reduction when the contract value of such Plant and Materials is included as part of the Permanent Works under sub-paragraph (a) of Sub-Clause 14.3 [Application for Interim Payment Certificates].</x:v>
      </x:c>
      <x:c r="G956" s="48" t="str">
        <x:v>Obligation</x:v>
      </x:c>
      <x:c r="H956" s="48" t="str">
        <x:v>Shared</x:v>
      </x:c>
      <x:c r="I956" s="48" t="n">
        <x:v>0.88</x:v>
      </x:c>
      <x:c r="J956" s="48" t="n">
        <x:v>0.4</x:v>
      </x:c>
      <x:c r="K956" s="48" t="str">
        <x:v>Yes</x:v>
      </x:c>
      <x:c r="L956" s="48" t="str">
        <x:v>PDF text</x:v>
      </x:c>
    </x:row>
    <x:row r="957">
      <x:c r="A957" s="48" t="str">
        <x:v>YELLOW-0956</x:v>
      </x:c>
      <x:c r="B957" s="48" t="str">
        <x:v>YELLOW</x:v>
      </x:c>
      <x:c r="C957" s="48" t="str">
        <x:v>English</x:v>
      </x:c>
      <x:c r="D957" s="48" t="n">
        <x:v>60</x:v>
      </x:c>
      <x:c r="E957" s="48" t="str"/>
      <x:c r="F957" s="48" t="str">
        <x:v>If the lists referred to in sub-paragraphs (b)(i) or (c)(i) below are not included in the Appendix to Tender, this Sub-Clause shall not apply.</x:v>
      </x:c>
      <x:c r="G957" s="48" t="str">
        <x:v>Obligation</x:v>
      </x:c>
      <x:c r="H957" s="48" t="str">
        <x:v>Shared</x:v>
      </x:c>
      <x:c r="I957" s="48" t="n">
        <x:v>0.88</x:v>
      </x:c>
      <x:c r="J957" s="48" t="n">
        <x:v>0.4</x:v>
      </x:c>
      <x:c r="K957" s="48" t="str">
        <x:v>Yes</x:v>
      </x:c>
      <x:c r="L957" s="48" t="str">
        <x:v>PDF text</x:v>
      </x:c>
    </x:row>
    <x:row r="958">
      <x:c r="A958" s="48" t="str">
        <x:v>YELLOW-0957</x:v>
      </x:c>
      <x:c r="B958" s="48" t="str">
        <x:v>YELLOW</x:v>
      </x:c>
      <x:c r="C958" s="48" t="str">
        <x:v>English</x:v>
      </x:c>
      <x:c r="D958" s="48" t="n">
        <x:v>61</x:v>
      </x:c>
      <x:c r="E958" s="48" t="str"/>
      <x:c r="F958" s="48" t="str">
        <x:v>Issue of Interim Payment</x:v>
      </x:c>
      <x:c r="G958" s="48" t="str">
        <x:v>Obligation</x:v>
      </x:c>
      <x:c r="H958" s="48" t="str">
        <x:v>Shared</x:v>
      </x:c>
      <x:c r="I958" s="48" t="n">
        <x:v>0.55</x:v>
      </x:c>
      <x:c r="J958" s="48" t="n">
        <x:v>0.4</x:v>
      </x:c>
      <x:c r="K958" s="48" t="str">
        <x:v>Yes</x:v>
      </x:c>
      <x:c r="L958" s="48" t="str">
        <x:v>PDF text</x:v>
      </x:c>
    </x:row>
    <x:row r="959">
      <x:c r="A959" s="48" t="str">
        <x:v>YELLOW-0958</x:v>
      </x:c>
      <x:c r="B959" s="48" t="str">
        <x:v>YELLOW</x:v>
      </x:c>
      <x:c r="C959" s="48" t="str">
        <x:v>English</x:v>
      </x:c>
      <x:c r="D959" s="48" t="n">
        <x:v>61</x:v>
      </x:c>
      <x:c r="E959" s="48" t="str"/>
      <x:c r="F959" s="48" t="str">
        <x:v>The additional amount to be certified shall be the equivalent of eighty percent of the Engineer's determination of the cost of the Plant and Materials (including delivery to</x:v>
      </x:c>
      <x:c r="G959" s="48" t="str">
        <x:v>Obligation</x:v>
      </x:c>
      <x:c r="H959" s="48" t="str">
        <x:v>Shared</x:v>
      </x:c>
      <x:c r="I959" s="48" t="n">
        <x:v>0.88</x:v>
      </x:c>
      <x:c r="J959" s="48" t="n">
        <x:v>0.4</x:v>
      </x:c>
      <x:c r="K959" s="48" t="str">
        <x:v>Yes</x:v>
      </x:c>
      <x:c r="L959" s="48" t="str">
        <x:v>PDF text</x:v>
      </x:c>
    </x:row>
    <x:row r="960">
      <x:c r="A960" s="48" t="str">
        <x:v>YELLOW-0959</x:v>
      </x:c>
      <x:c r="B960" s="48" t="str">
        <x:v>YELLOW</x:v>
      </x:c>
      <x:c r="C960" s="48" t="str">
        <x:v>English</x:v>
      </x:c>
      <x:c r="D960" s="48" t="n">
        <x:v>61</x:v>
      </x:c>
      <x:c r="E960" s="48" t="str"/>
      <x:c r="F960" s="48" t="str">
        <x:v>Site), taking account of the documents mentioned in this Sub-Clause and of the</x:v>
      </x:c>
      <x:c r="G960" s="48" t="str">
        <x:v>Obligation</x:v>
      </x:c>
      <x:c r="H960" s="48" t="str">
        <x:v>Shared</x:v>
      </x:c>
      <x:c r="I960" s="48" t="n">
        <x:v>0.45</x:v>
      </x:c>
      <x:c r="J960" s="48" t="n">
        <x:v>0.4</x:v>
      </x:c>
      <x:c r="K960" s="48" t="str">
        <x:v>Yes</x:v>
      </x:c>
      <x:c r="L960" s="48" t="str">
        <x:v>PDF text</x:v>
      </x:c>
    </x:row>
    <x:row r="961">
      <x:c r="A961" s="48" t="str">
        <x:v>YELLOW-0960</x:v>
      </x:c>
      <x:c r="B961" s="48" t="str">
        <x:v>YELLOW</x:v>
      </x:c>
      <x:c r="C961" s="48" t="str">
        <x:v>English</x:v>
      </x:c>
      <x:c r="D961" s="48" t="n">
        <x:v>61</x:v>
      </x:c>
      <x:c r="E961" s="48" t="str"/>
      <x:c r="F961" s="48" t="str">
        <x:v>contract value of the Plant and Materials.</x:v>
      </x:c>
      <x:c r="G961" s="48" t="str">
        <x:v>Obligation</x:v>
      </x:c>
      <x:c r="H961" s="48" t="str">
        <x:v>Shared</x:v>
      </x:c>
      <x:c r="I961" s="48" t="n">
        <x:v>0.45</x:v>
      </x:c>
      <x:c r="J961" s="48" t="n">
        <x:v>0.4</x:v>
      </x:c>
      <x:c r="K961" s="48" t="str">
        <x:v>Yes</x:v>
      </x:c>
      <x:c r="L961" s="48" t="str">
        <x:v>PDF text</x:v>
      </x:c>
    </x:row>
    <x:row r="962">
      <x:c r="A962" s="48" t="str">
        <x:v>YELLOW-0961</x:v>
      </x:c>
      <x:c r="B962" s="48" t="str">
        <x:v>YELLOW</x:v>
      </x:c>
      <x:c r="C962" s="48" t="str">
        <x:v>English</x:v>
      </x:c>
      <x:c r="D962" s="48" t="n">
        <x:v>61</x:v>
      </x:c>
      <x:c r="E962" s="48" t="str"/>
      <x:c r="F962" s="48" t="str">
        <x:v>The currencies for this additional amount shall be the same as those in which payment will become due when the contract value is included under sub-paragraph (a) of SubClause 14.3 [Application for Interim Payment Certificates].</x:v>
      </x:c>
      <x:c r="G962" s="48" t="str">
        <x:v>Obligation</x:v>
      </x:c>
      <x:c r="H962" s="48" t="str">
        <x:v>Shared</x:v>
      </x:c>
      <x:c r="I962" s="48" t="n">
        <x:v>0.88</x:v>
      </x:c>
      <x:c r="J962" s="48" t="n">
        <x:v>0.4</x:v>
      </x:c>
      <x:c r="K962" s="48" t="str">
        <x:v>Yes</x:v>
      </x:c>
      <x:c r="L962" s="48" t="str">
        <x:v>PDF text</x:v>
      </x:c>
    </x:row>
    <x:row r="963">
      <x:c r="A963" s="48" t="str">
        <x:v>YELLOW-0962</x:v>
      </x:c>
      <x:c r="B963" s="48" t="str">
        <x:v>YELLOW</x:v>
      </x:c>
      <x:c r="C963" s="48" t="str">
        <x:v>English</x:v>
      </x:c>
      <x:c r="D963" s="48" t="n">
        <x:v>61</x:v>
      </x:c>
      <x:c r="E963" s="48" t="str"/>
      <x:c r="F963" s="48" t="str">
        <x:v>At that time, the Payment Certificate shall include the applicable reduction which shall be equivalent to, and in the same currencies and proportions as, this additional amount for the relevant Plant and Materials.</x:v>
      </x:c>
      <x:c r="G963" s="48" t="str">
        <x:v>Obligation</x:v>
      </x:c>
      <x:c r="H963" s="48" t="str">
        <x:v>Shared</x:v>
      </x:c>
      <x:c r="I963" s="48" t="n">
        <x:v>0.88</x:v>
      </x:c>
      <x:c r="J963" s="48" t="n">
        <x:v>0.4</x:v>
      </x:c>
      <x:c r="K963" s="48" t="str">
        <x:v>Yes</x:v>
      </x:c>
      <x:c r="L963" s="48" t="str">
        <x:v>PDF text</x:v>
      </x:c>
    </x:row>
    <x:row r="964">
      <x:c r="A964" s="48" t="str">
        <x:v>YELLOW-0963</x:v>
      </x:c>
      <x:c r="B964" s="48" t="str">
        <x:v>YELLOW</x:v>
      </x:c>
      <x:c r="C964" s="48" t="str">
        <x:v>English</x:v>
      </x:c>
      <x:c r="D964" s="48" t="n">
        <x:v>61</x:v>
      </x:c>
      <x:c r="E964" s="48" t="str"/>
      <x:c r="F964" s="48" t="str">
        <x:v>No amount will be certified or paid until the Employer has received and approved the Performance Security.</x:v>
      </x:c>
      <x:c r="G964" s="48" t="str">
        <x:v>Obligation</x:v>
      </x:c>
      <x:c r="H964" s="48" t="str">
        <x:v>Employer</x:v>
      </x:c>
      <x:c r="I964" s="48" t="n">
        <x:v>0.45</x:v>
      </x:c>
      <x:c r="J964" s="48" t="n">
        <x:v>0.68</x:v>
      </x:c>
      <x:c r="K964" s="48" t="str">
        <x:v>Yes</x:v>
      </x:c>
      <x:c r="L964" s="48" t="str">
        <x:v>PDF text</x:v>
      </x:c>
    </x:row>
    <x:row r="965">
      <x:c r="A965" s="48" t="str">
        <x:v>YELLOW-0964</x:v>
      </x:c>
      <x:c r="B965" s="48" t="str">
        <x:v>YELLOW</x:v>
      </x:c>
      <x:c r="C965" s="48" t="str">
        <x:v>English</x:v>
      </x:c>
      <x:c r="D965" s="48" t="n">
        <x:v>61</x:v>
      </x:c>
      <x:c r="E965" s="48" t="str"/>
      <x:c r="F965" s="48" t="str">
        <x:v>Thereafter, the Engineer shall, within 28 days after receiving a</x:v>
      </x:c>
      <x:c r="G965" s="48" t="str">
        <x:v>Obligation</x:v>
      </x:c>
      <x:c r="H965" s="48" t="str">
        <x:v>Shared</x:v>
      </x:c>
      <x:c r="I965" s="48" t="n">
        <x:v>0.88</x:v>
      </x:c>
      <x:c r="J965" s="48" t="n">
        <x:v>0.4</x:v>
      </x:c>
      <x:c r="K965" s="48" t="str">
        <x:v>Yes</x:v>
      </x:c>
      <x:c r="L965" s="48" t="str">
        <x:v>PDF text</x:v>
      </x:c>
    </x:row>
    <x:row r="966">
      <x:c r="A966" s="48" t="str">
        <x:v>YELLOW-0965</x:v>
      </x:c>
      <x:c r="B966" s="48" t="str">
        <x:v>YELLOW</x:v>
      </x:c>
      <x:c r="C966" s="48" t="str">
        <x:v>English</x:v>
      </x:c>
      <x:c r="D966" s="48" t="n">
        <x:v>61</x:v>
      </x:c>
      <x:c r="E966" s="48" t="str"/>
      <x:c r="F966" s="48" t="str">
        <x:v>Statement and supporting documents, issue to the Employer an Interim Payment</x:v>
      </x:c>
      <x:c r="G966" s="48" t="str">
        <x:v>Obligation</x:v>
      </x:c>
      <x:c r="H966" s="48" t="str">
        <x:v>Employer</x:v>
      </x:c>
      <x:c r="I966" s="48" t="n">
        <x:v>0.55</x:v>
      </x:c>
      <x:c r="J966" s="48" t="n">
        <x:v>0.68</x:v>
      </x:c>
      <x:c r="K966" s="48" t="str">
        <x:v>Yes</x:v>
      </x:c>
      <x:c r="L966" s="48" t="str">
        <x:v>PDF text</x:v>
      </x:c>
    </x:row>
    <x:row r="967">
      <x:c r="A967" s="48" t="str">
        <x:v>YELLOW-0966</x:v>
      </x:c>
      <x:c r="B967" s="48" t="str">
        <x:v>YELLOW</x:v>
      </x:c>
      <x:c r="C967" s="48" t="str">
        <x:v>English</x:v>
      </x:c>
      <x:c r="D967" s="48" t="n">
        <x:v>61</x:v>
      </x:c>
      <x:c r="E967" s="48" t="str"/>
      <x:c r="F967" s="48" t="str">
        <x:v>Certificate which shall state the amount which the Engineer fairly determines to be due, with supporting particulars.</x:v>
      </x:c>
      <x:c r="G967" s="48" t="str">
        <x:v>Obligation</x:v>
      </x:c>
      <x:c r="H967" s="48" t="str">
        <x:v>Shared</x:v>
      </x:c>
      <x:c r="I967" s="48" t="n">
        <x:v>0.88</x:v>
      </x:c>
      <x:c r="J967" s="48" t="n">
        <x:v>0.4</x:v>
      </x:c>
      <x:c r="K967" s="48" t="str">
        <x:v>Yes</x:v>
      </x:c>
      <x:c r="L967" s="48" t="str">
        <x:v>PDF text</x:v>
      </x:c>
    </x:row>
    <x:row r="968">
      <x:c r="A968" s="48" t="str">
        <x:v>YELLOW-0967</x:v>
      </x:c>
      <x:c r="B968" s="48" t="str">
        <x:v>YELLOW</x:v>
      </x:c>
      <x:c r="C968" s="48" t="str">
        <x:v>English</x:v>
      </x:c>
      <x:c r="D968" s="48" t="n">
        <x:v>61</x:v>
      </x:c>
      <x:c r="E968" s="48" t="str"/>
      <x:c r="F968" s="48" t="str">
        <x:v>However, prior to issuing the Taking-Over Certificate for the Works, the Engineer shall not be bound to issue an Interim Payment Certificate in an amount which would (after retention and other deductions) be less than the minimum amount of Interim Payment Certificates (if any) stated in the Appendix to Tender.</x:v>
      </x:c>
      <x:c r="G968" s="48" t="str">
        <x:v>Obligation</x:v>
      </x:c>
      <x:c r="H968" s="48" t="str">
        <x:v>Shared</x:v>
      </x:c>
      <x:c r="I968" s="48" t="n">
        <x:v>0.88</x:v>
      </x:c>
      <x:c r="J968" s="48" t="n">
        <x:v>0.4</x:v>
      </x:c>
      <x:c r="K968" s="48" t="str">
        <x:v>Yes</x:v>
      </x:c>
      <x:c r="L968" s="48" t="str">
        <x:v>PDF text</x:v>
      </x:c>
    </x:row>
    <x:row r="969">
      <x:c r="A969" s="48" t="str">
        <x:v>YELLOW-0968</x:v>
      </x:c>
      <x:c r="B969" s="48" t="str">
        <x:v>YELLOW</x:v>
      </x:c>
      <x:c r="C969" s="48" t="str">
        <x:v>English</x:v>
      </x:c>
      <x:c r="D969" s="48" t="n">
        <x:v>61</x:v>
      </x:c>
      <x:c r="E969" s="48" t="str"/>
      <x:c r="F969" s="48" t="str">
        <x:v>In this event, the Engineer shall give notice to the Contractor accordingly.</x:v>
      </x:c>
      <x:c r="G969" s="48" t="str">
        <x:v>Obligation</x:v>
      </x:c>
      <x:c r="H969" s="48" t="str">
        <x:v>Contractor</x:v>
      </x:c>
      <x:c r="I969" s="48" t="n">
        <x:v>0.88</x:v>
      </x:c>
      <x:c r="J969" s="48" t="n">
        <x:v>0.68</x:v>
      </x:c>
      <x:c r="K969" s="48" t="str">
        <x:v>Yes</x:v>
      </x:c>
      <x:c r="L969" s="48" t="str">
        <x:v>PDF text</x:v>
      </x:c>
    </x:row>
    <x:row r="970">
      <x:c r="A970" s="48" t="str">
        <x:v>YELLOW-0969</x:v>
      </x:c>
      <x:c r="B970" s="48" t="str">
        <x:v>YELLOW</x:v>
      </x:c>
      <x:c r="C970" s="48" t="str">
        <x:v>English</x:v>
      </x:c>
      <x:c r="D970" s="48" t="n">
        <x:v>61</x:v>
      </x:c>
      <x:c r="E970" s="48" t="str"/>
      <x:c r="F970" s="48" t="str">
        <x:v>An Interim Payment Certificate shall not be withheld for any other reason,</x:v>
      </x:c>
      <x:c r="G970" s="48" t="str">
        <x:v>Obligation</x:v>
      </x:c>
      <x:c r="H970" s="48" t="str">
        <x:v>Shared</x:v>
      </x:c>
      <x:c r="I970" s="48" t="n">
        <x:v>0.88</x:v>
      </x:c>
      <x:c r="J970" s="48" t="n">
        <x:v>0.4</x:v>
      </x:c>
      <x:c r="K970" s="48" t="str">
        <x:v>Yes</x:v>
      </x:c>
      <x:c r="L970" s="48" t="str">
        <x:v>PDF text</x:v>
      </x:c>
    </x:row>
    <x:row r="971">
      <x:c r="A971" s="48" t="str">
        <x:v>YELLOW-0970</x:v>
      </x:c>
      <x:c r="B971" s="48" t="str">
        <x:v>YELLOW</x:v>
      </x:c>
      <x:c r="C971" s="48" t="str">
        <x:v>English</x:v>
      </x:c>
      <x:c r="D971" s="48" t="n">
        <x:v>61</x:v>
      </x:c>
      <x:c r="E971" s="48" t="str"/>
      <x:c r="F971" s="48" t="str">
        <x:v>although: (a) if any thing supplied or work done by the Contractor is not in accordance with the Contract, the cost of rectification or replacement may be withheld until rectification or replacement has been completed; and/or (b) if the Contractor was or is failing to perform any work or obligation in accordance with the Contract, and had been so notified by the Engineer, the value of this work or obligation may be withheld until the work or obligation has been performed.</x:v>
      </x:c>
      <x:c r="G971" s="48" t="str">
        <x:v>Right</x:v>
      </x:c>
      <x:c r="H971" s="48" t="str">
        <x:v>Contractor</x:v>
      </x:c>
      <x:c r="I971" s="48" t="n">
        <x:v>0.78</x:v>
      </x:c>
      <x:c r="J971" s="48" t="n">
        <x:v>0.68</x:v>
      </x:c>
      <x:c r="K971" s="48" t="str">
        <x:v>Yes</x:v>
      </x:c>
      <x:c r="L971" s="48" t="str">
        <x:v>PDF text</x:v>
      </x:c>
    </x:row>
    <x:row r="972">
      <x:c r="A972" s="48" t="str">
        <x:v>YELLOW-0971</x:v>
      </x:c>
      <x:c r="B972" s="48" t="str">
        <x:v>YELLOW</x:v>
      </x:c>
      <x:c r="C972" s="48" t="str">
        <x:v>English</x:v>
      </x:c>
      <x:c r="D972" s="48" t="n">
        <x:v>61</x:v>
      </x:c>
      <x:c r="E972" s="48" t="str"/>
      <x:c r="F972" s="48" t="str">
        <x:v>The Engineer may in any Payment Certificate make any correction or modification that should properly be made to any previous Payment Certificate.</x:v>
      </x:c>
      <x:c r="G972" s="48" t="str">
        <x:v>Right</x:v>
      </x:c>
      <x:c r="H972" s="48" t="str">
        <x:v>Shared</x:v>
      </x:c>
      <x:c r="I972" s="48" t="n">
        <x:v>0.78</x:v>
      </x:c>
      <x:c r="J972" s="48" t="n">
        <x:v>0.4</x:v>
      </x:c>
      <x:c r="K972" s="48" t="str">
        <x:v>Yes</x:v>
      </x:c>
      <x:c r="L972" s="48" t="str">
        <x:v>PDF text</x:v>
      </x:c>
    </x:row>
    <x:row r="973">
      <x:c r="A973" s="48" t="str">
        <x:v>YELLOW-0972</x:v>
      </x:c>
      <x:c r="B973" s="48" t="str">
        <x:v>YELLOW</x:v>
      </x:c>
      <x:c r="C973" s="48" t="str">
        <x:v>English</x:v>
      </x:c>
      <x:c r="D973" s="48" t="n">
        <x:v>61</x:v>
      </x:c>
      <x:c r="E973" s="48" t="str"/>
      <x:c r="F973" s="48" t="str">
        <x:v>A Payment Certificate shall not be deemed to indicate the Engineer's acceptance, approval, consent or satisfaction.</x:v>
      </x:c>
      <x:c r="G973" s="48" t="str">
        <x:v>Obligation</x:v>
      </x:c>
      <x:c r="H973" s="48" t="str">
        <x:v>Shared</x:v>
      </x:c>
      <x:c r="I973" s="48" t="n">
        <x:v>0.88</x:v>
      </x:c>
      <x:c r="J973" s="48" t="n">
        <x:v>0.4</x:v>
      </x:c>
      <x:c r="K973" s="48" t="str">
        <x:v>Yes</x:v>
      </x:c>
      <x:c r="L973" s="48" t="str">
        <x:v>PDF text</x:v>
      </x:c>
    </x:row>
    <x:row r="974">
      <x:c r="A974" s="48" t="str">
        <x:v>YELLOW-0973</x:v>
      </x:c>
      <x:c r="B974" s="48" t="str">
        <x:v>YELLOW</x:v>
      </x:c>
      <x:c r="C974" s="48" t="str">
        <x:v>English</x:v>
      </x:c>
      <x:c r="D974" s="48" t="n">
        <x:v>61</x:v>
      </x:c>
      <x:c r="E974" s="48" t="str"/>
      <x:c r="F974" s="48" t="str">
        <x:v>The Employer shall pay to the Contractor: (a) the first instalment of the advance payment within 42 days after issuing the Letter of Acceptance or within 21 days after receiving the documents in accordance with Sub-Clause 4.2 [Performance Security] and Sub-Clause 14.2 [Advance Payment], whichever is later; (b) the amount certified in each Interim Payment Certificate within 56 days after the Engineer receives the Statement and supporting documents; and (c) the amount certified in the Final Payment Certificate within 56 days after the Employer receives this Payment Certificate.</x:v>
      </x:c>
      <x:c r="G974" s="48" t="str">
        <x:v>Obligation</x:v>
      </x:c>
      <x:c r="H974" s="48" t="str">
        <x:v>Employer</x:v>
      </x:c>
      <x:c r="I974" s="48" t="n">
        <x:v>0.88</x:v>
      </x:c>
      <x:c r="J974" s="48" t="n">
        <x:v>0.92</x:v>
      </x:c>
      <x:c r="K974" s="48" t="str">
        <x:v>No</x:v>
      </x:c>
      <x:c r="L974" s="48" t="str">
        <x:v>PDF text</x:v>
      </x:c>
    </x:row>
    <x:row r="975">
      <x:c r="A975" s="48" t="str">
        <x:v>YELLOW-0974</x:v>
      </x:c>
      <x:c r="B975" s="48" t="str">
        <x:v>YELLOW</x:v>
      </x:c>
      <x:c r="C975" s="48" t="str">
        <x:v>English</x:v>
      </x:c>
      <x:c r="D975" s="48" t="n">
        <x:v>61</x:v>
      </x:c>
      <x:c r="E975" s="48" t="str"/>
      <x:c r="F975" s="48" t="str">
        <x:v>Payment of the amount due in each currency shall be made into the bank account,</x:v>
      </x:c>
      <x:c r="G975" s="48" t="str">
        <x:v>Obligation</x:v>
      </x:c>
      <x:c r="H975" s="48" t="str">
        <x:v>Shared</x:v>
      </x:c>
      <x:c r="I975" s="48" t="n">
        <x:v>0.88</x:v>
      </x:c>
      <x:c r="J975" s="48" t="n">
        <x:v>0.4</x:v>
      </x:c>
      <x:c r="K975" s="48" t="str">
        <x:v>Yes</x:v>
      </x:c>
      <x:c r="L975" s="48" t="str">
        <x:v>PDF text</x:v>
      </x:c>
    </x:row>
    <x:row r="976">
      <x:c r="A976" s="48" t="str">
        <x:v>YELLOW-0975</x:v>
      </x:c>
      <x:c r="B976" s="48" t="str">
        <x:v>YELLOW</x:v>
      </x:c>
      <x:c r="C976" s="48" t="str">
        <x:v>English</x:v>
      </x:c>
      <x:c r="D976" s="48" t="n">
        <x:v>61</x:v>
      </x:c>
      <x:c r="E976" s="48" t="str"/>
      <x:c r="F976" s="48" t="str">
        <x:v>nominated by the Contractor, in the payment country (for this currency) specified in the Contract.</x:v>
      </x:c>
      <x:c r="G976" s="48" t="str">
        <x:v>Obligation</x:v>
      </x:c>
      <x:c r="H976" s="48" t="str">
        <x:v>Contractor</x:v>
      </x:c>
      <x:c r="I976" s="48" t="n">
        <x:v>0.55</x:v>
      </x:c>
      <x:c r="J976" s="48" t="n">
        <x:v>0.68</x:v>
      </x:c>
      <x:c r="K976" s="48" t="str">
        <x:v>Yes</x:v>
      </x:c>
      <x:c r="L976" s="48" t="str">
        <x:v>PDF text</x:v>
      </x:c>
    </x:row>
    <x:row r="977">
      <x:c r="A977" s="48" t="str">
        <x:v>YELLOW-0976</x:v>
      </x:c>
      <x:c r="B977" s="48" t="str">
        <x:v>YELLOW</x:v>
      </x:c>
      <x:c r="C977" s="48" t="str">
        <x:v>English</x:v>
      </x:c>
      <x:c r="D977" s="48" t="n">
        <x:v>62</x:v>
      </x:c>
      <x:c r="E977" s="48" t="str"/>
      <x:c r="F977" s="48" t="str">
        <x:v>Delayed Payment</x:v>
      </x:c>
      <x:c r="G977" s="48" t="str">
        <x:v>Obligation</x:v>
      </x:c>
      <x:c r="H977" s="48" t="str">
        <x:v>Shared</x:v>
      </x:c>
      <x:c r="I977" s="48" t="n">
        <x:v>0.55</x:v>
      </x:c>
      <x:c r="J977" s="48" t="n">
        <x:v>0.4</x:v>
      </x:c>
      <x:c r="K977" s="48" t="str">
        <x:v>Yes</x:v>
      </x:c>
      <x:c r="L977" s="48" t="str">
        <x:v>PDF text</x:v>
      </x:c>
    </x:row>
    <x:row r="978">
      <x:c r="A978" s="48" t="str">
        <x:v>YELLOW-0977</x:v>
      </x:c>
      <x:c r="B978" s="48" t="str">
        <x:v>YELLOW</x:v>
      </x:c>
      <x:c r="C978" s="48" t="str">
        <x:v>English</x:v>
      </x:c>
      <x:c r="D978" s="48" t="n">
        <x:v>62</x:v>
      </x:c>
      <x:c r="E978" s="48" t="str"/>
      <x:c r="F978" s="48" t="str">
        <x:v>Payment of Retention</x:v>
      </x:c>
      <x:c r="G978" s="48" t="str">
        <x:v>Obligation</x:v>
      </x:c>
      <x:c r="H978" s="48" t="str">
        <x:v>Shared</x:v>
      </x:c>
      <x:c r="I978" s="48" t="n">
        <x:v>0.55</x:v>
      </x:c>
      <x:c r="J978" s="48" t="n">
        <x:v>0.4</x:v>
      </x:c>
      <x:c r="K978" s="48" t="str">
        <x:v>Yes</x:v>
      </x:c>
      <x:c r="L978" s="48" t="str">
        <x:v>PDF text</x:v>
      </x:c>
    </x:row>
    <x:row r="979">
      <x:c r="A979" s="48" t="str">
        <x:v>YELLOW-0978</x:v>
      </x:c>
      <x:c r="B979" s="48" t="str">
        <x:v>YELLOW</x:v>
      </x:c>
      <x:c r="C979" s="48" t="str">
        <x:v>English</x:v>
      </x:c>
      <x:c r="D979" s="48" t="n">
        <x:v>62</x:v>
      </x:c>
      <x:c r="E979" s="48" t="str"/>
      <x:c r="F979" s="48" t="str">
        <x:v>Statement at Completion</x:v>
      </x:c>
      <x:c r="G979" s="48" t="str">
        <x:v>Obligation</x:v>
      </x:c>
      <x:c r="H979" s="48" t="str">
        <x:v>Shared</x:v>
      </x:c>
      <x:c r="I979" s="48" t="n">
        <x:v>0.45</x:v>
      </x:c>
      <x:c r="J979" s="48" t="n">
        <x:v>0.4</x:v>
      </x:c>
      <x:c r="K979" s="48" t="str">
        <x:v>Yes</x:v>
      </x:c>
      <x:c r="L979" s="48" t="str">
        <x:v>PDF text</x:v>
      </x:c>
    </x:row>
    <x:row r="980">
      <x:c r="A980" s="48" t="str">
        <x:v>YELLOW-0979</x:v>
      </x:c>
      <x:c r="B980" s="48" t="str">
        <x:v>YELLOW</x:v>
      </x:c>
      <x:c r="C980" s="48" t="str">
        <x:v>English</x:v>
      </x:c>
      <x:c r="D980" s="48" t="n">
        <x:v>62</x:v>
      </x:c>
      <x:c r="E980" s="48" t="str"/>
      <x:c r="F980" s="48" t="str">
        <x:v>Application for Final</x:v>
      </x:c>
      <x:c r="G980" s="48" t="str">
        <x:v>Obligation</x:v>
      </x:c>
      <x:c r="H980" s="48" t="str">
        <x:v>Shared</x:v>
      </x:c>
      <x:c r="I980" s="48" t="n">
        <x:v>0.45</x:v>
      </x:c>
      <x:c r="J980" s="48" t="n">
        <x:v>0.4</x:v>
      </x:c>
      <x:c r="K980" s="48" t="str">
        <x:v>Yes</x:v>
      </x:c>
      <x:c r="L980" s="48" t="str">
        <x:v>PDF text</x:v>
      </x:c>
    </x:row>
    <x:row r="981">
      <x:c r="A981" s="48" t="str">
        <x:v>YELLOW-0980</x:v>
      </x:c>
      <x:c r="B981" s="48" t="str">
        <x:v>YELLOW</x:v>
      </x:c>
      <x:c r="C981" s="48" t="str">
        <x:v>English</x:v>
      </x:c>
      <x:c r="D981" s="48" t="n">
        <x:v>62</x:v>
      </x:c>
      <x:c r="E981" s="48" t="str"/>
      <x:c r="F981" s="48" t="str">
        <x:v>Payment Certificate</x:v>
      </x:c>
      <x:c r="G981" s="48" t="str">
        <x:v>Obligation</x:v>
      </x:c>
      <x:c r="H981" s="48" t="str">
        <x:v>Shared</x:v>
      </x:c>
      <x:c r="I981" s="48" t="n">
        <x:v>0.55</x:v>
      </x:c>
      <x:c r="J981" s="48" t="n">
        <x:v>0.4</x:v>
      </x:c>
      <x:c r="K981" s="48" t="str">
        <x:v>Yes</x:v>
      </x:c>
      <x:c r="L981" s="48" t="str">
        <x:v>PDF text</x:v>
      </x:c>
    </x:row>
    <x:row r="982">
      <x:c r="A982" s="48" t="str">
        <x:v>YELLOW-0981</x:v>
      </x:c>
      <x:c r="B982" s="48" t="str">
        <x:v>YELLOW</x:v>
      </x:c>
      <x:c r="C982" s="48" t="str">
        <x:v>English</x:v>
      </x:c>
      <x:c r="D982" s="48" t="n">
        <x:v>62</x:v>
      </x:c>
      <x:c r="E982" s="48" t="str"/>
      <x:c r="F982" s="48" t="str">
        <x:v>If the Contractor does not receive payment in accordance with Sub-Clause 14.7 [Payment], the Contractor shall be entitled to receive financing charges compounded monthly on the amount unpaid during the period of delay.</x:v>
      </x:c>
      <x:c r="G982" s="48" t="str">
        <x:v>Risk</x:v>
      </x:c>
      <x:c r="H982" s="48" t="str">
        <x:v>Contractor</x:v>
      </x:c>
      <x:c r="I982" s="48" t="n">
        <x:v>0.78</x:v>
      </x:c>
      <x:c r="J982" s="48" t="n">
        <x:v>0.92</x:v>
      </x:c>
      <x:c r="K982" s="48" t="str">
        <x:v>No</x:v>
      </x:c>
      <x:c r="L982" s="48" t="str">
        <x:v>PDF text</x:v>
      </x:c>
    </x:row>
    <x:row r="983">
      <x:c r="A983" s="48" t="str">
        <x:v>YELLOW-0982</x:v>
      </x:c>
      <x:c r="B983" s="48" t="str">
        <x:v>YELLOW</x:v>
      </x:c>
      <x:c r="C983" s="48" t="str">
        <x:v>English</x:v>
      </x:c>
      <x:c r="D983" s="48" t="n">
        <x:v>62</x:v>
      </x:c>
      <x:c r="E983" s="48" t="str"/>
      <x:c r="F983" s="48" t="str">
        <x:v>This period shall be deemed to commence on the date for payment specified in Sub-Clause 14.7 [Payment], irrespective (in the case of its sub-paragraph (b)) of the date on which any Interim Payment Certificate is issued.</x:v>
      </x:c>
      <x:c r="G983" s="48" t="str">
        <x:v>Obligation</x:v>
      </x:c>
      <x:c r="H983" s="48" t="str">
        <x:v>Shared</x:v>
      </x:c>
      <x:c r="I983" s="48" t="n">
        <x:v>0.88</x:v>
      </x:c>
      <x:c r="J983" s="48" t="n">
        <x:v>0.4</x:v>
      </x:c>
      <x:c r="K983" s="48" t="str">
        <x:v>Yes</x:v>
      </x:c>
      <x:c r="L983" s="48" t="str">
        <x:v>PDF text</x:v>
      </x:c>
    </x:row>
    <x:row r="984">
      <x:c r="A984" s="48" t="str">
        <x:v>YELLOW-0983</x:v>
      </x:c>
      <x:c r="B984" s="48" t="str">
        <x:v>YELLOW</x:v>
      </x:c>
      <x:c r="C984" s="48" t="str">
        <x:v>English</x:v>
      </x:c>
      <x:c r="D984" s="48" t="n">
        <x:v>62</x:v>
      </x:c>
      <x:c r="E984" s="48" t="str"/>
      <x:c r="F984" s="48" t="str">
        <x:v>Unless otherwise stated in the Particular Conditions, these financing charges shall be calculated at the annual rate of three percentage points above the discount rate of the central bank in the country of the currency of payment, and shall be paid in such currency.</x:v>
      </x:c>
      <x:c r="G984" s="48" t="str">
        <x:v>Obligation</x:v>
      </x:c>
      <x:c r="H984" s="48" t="str">
        <x:v>Shared</x:v>
      </x:c>
      <x:c r="I984" s="48" t="n">
        <x:v>0.88</x:v>
      </x:c>
      <x:c r="J984" s="48" t="n">
        <x:v>0.4</x:v>
      </x:c>
      <x:c r="K984" s="48" t="str">
        <x:v>Yes</x:v>
      </x:c>
      <x:c r="L984" s="48" t="str">
        <x:v>PDF text</x:v>
      </x:c>
    </x:row>
    <x:row r="985">
      <x:c r="A985" s="48" t="str">
        <x:v>YELLOW-0984</x:v>
      </x:c>
      <x:c r="B985" s="48" t="str">
        <x:v>YELLOW</x:v>
      </x:c>
      <x:c r="C985" s="48" t="str">
        <x:v>English</x:v>
      </x:c>
      <x:c r="D985" s="48" t="n">
        <x:v>62</x:v>
      </x:c>
      <x:c r="E985" s="48" t="str"/>
      <x:c r="F985" s="48" t="str">
        <x:v>The Contractor shall be entitled to this payment without formal notice or certification, and without prejudice to any other right or remedy.</x:v>
      </x:c>
      <x:c r="G985" s="48" t="str">
        <x:v>Obligation</x:v>
      </x:c>
      <x:c r="H985" s="48" t="str">
        <x:v>Contractor</x:v>
      </x:c>
      <x:c r="I985" s="48" t="n">
        <x:v>0.88</x:v>
      </x:c>
      <x:c r="J985" s="48" t="n">
        <x:v>0.92</x:v>
      </x:c>
      <x:c r="K985" s="48" t="str">
        <x:v>No</x:v>
      </x:c>
      <x:c r="L985" s="48" t="str">
        <x:v>PDF text</x:v>
      </x:c>
    </x:row>
    <x:row r="986">
      <x:c r="A986" s="48" t="str">
        <x:v>YELLOW-0985</x:v>
      </x:c>
      <x:c r="B986" s="48" t="str">
        <x:v>YELLOW</x:v>
      </x:c>
      <x:c r="C986" s="48" t="str">
        <x:v>English</x:v>
      </x:c>
      <x:c r="D986" s="48" t="n">
        <x:v>62</x:v>
      </x:c>
      <x:c r="E986" s="48" t="str"/>
      <x:c r="F986" s="48" t="str">
        <x:v>When the Taking-Over Certificate has been issued for the Works, and the Works have passed all specified tests (including the Tests after Completion, if any), the first half of the Retention Money shall be certified by the Engineer for payment to the Contractor.</x:v>
      </x:c>
      <x:c r="G986" s="48" t="str">
        <x:v>Obligation</x:v>
      </x:c>
      <x:c r="H986" s="48" t="str">
        <x:v>Contractor</x:v>
      </x:c>
      <x:c r="I986" s="48" t="n">
        <x:v>0.88</x:v>
      </x:c>
      <x:c r="J986" s="48" t="n">
        <x:v>0.68</x:v>
      </x:c>
      <x:c r="K986" s="48" t="str">
        <x:v>Yes</x:v>
      </x:c>
      <x:c r="L986" s="48" t="str">
        <x:v>PDF text</x:v>
      </x:c>
    </x:row>
    <x:row r="987">
      <x:c r="A987" s="48" t="str">
        <x:v>YELLOW-0986</x:v>
      </x:c>
      <x:c r="B987" s="48" t="str">
        <x:v>YELLOW</x:v>
      </x:c>
      <x:c r="C987" s="48" t="str">
        <x:v>English</x:v>
      </x:c>
      <x:c r="D987" s="48" t="n">
        <x:v>62</x:v>
      </x:c>
      <x:c r="E987" s="48" t="str"/>
      <x:c r="F987" s="48" t="str">
        <x:v>If a Taking-Over Certificate is issued for a Section, the relevant percentage of the first half of the Retention Money shall be certified and paid when the Section passes all tests.</x:v>
      </x:c>
      <x:c r="G987" s="48" t="str">
        <x:v>Obligation</x:v>
      </x:c>
      <x:c r="H987" s="48" t="str">
        <x:v>Shared</x:v>
      </x:c>
      <x:c r="I987" s="48" t="n">
        <x:v>0.88</x:v>
      </x:c>
      <x:c r="J987" s="48" t="n">
        <x:v>0.4</x:v>
      </x:c>
      <x:c r="K987" s="48" t="str">
        <x:v>Yes</x:v>
      </x:c>
      <x:c r="L987" s="48" t="str">
        <x:v>PDF text</x:v>
      </x:c>
    </x:row>
    <x:row r="988">
      <x:c r="A988" s="48" t="str">
        <x:v>YELLOW-0987</x:v>
      </x:c>
      <x:c r="B988" s="48" t="str">
        <x:v>YELLOW</x:v>
      </x:c>
      <x:c r="C988" s="48" t="str">
        <x:v>English</x:v>
      </x:c>
      <x:c r="D988" s="48" t="n">
        <x:v>62</x:v>
      </x:c>
      <x:c r="E988" s="48" t="str"/>
      <x:c r="F988" s="48" t="str">
        <x:v>Promptly after the latest of the expiry dates of the Defects Notification Periods, the outstanding balance of the Retention Money shall be certified by the Engineer for payment to the Contractor.</x:v>
      </x:c>
      <x:c r="G988" s="48" t="str">
        <x:v>Obligation</x:v>
      </x:c>
      <x:c r="H988" s="48" t="str">
        <x:v>Contractor</x:v>
      </x:c>
      <x:c r="I988" s="48" t="n">
        <x:v>0.88</x:v>
      </x:c>
      <x:c r="J988" s="48" t="n">
        <x:v>0.68</x:v>
      </x:c>
      <x:c r="K988" s="48" t="str">
        <x:v>Yes</x:v>
      </x:c>
      <x:c r="L988" s="48" t="str">
        <x:v>PDF text</x:v>
      </x:c>
    </x:row>
    <x:row r="989">
      <x:c r="A989" s="48" t="str">
        <x:v>YELLOW-0988</x:v>
      </x:c>
      <x:c r="B989" s="48" t="str">
        <x:v>YELLOW</x:v>
      </x:c>
      <x:c r="C989" s="48" t="str">
        <x:v>English</x:v>
      </x:c>
      <x:c r="D989" s="48" t="n">
        <x:v>62</x:v>
      </x:c>
      <x:c r="E989" s="48" t="str"/>
      <x:c r="F989" s="48" t="str">
        <x:v>If a Taking-Over Certificate was issued for a Section, the relevant percentage of the second half of the Retention Money shall be certified and paid promptly after the expiry date of the Defects Notification Period for the Section.</x:v>
      </x:c>
      <x:c r="G989" s="48" t="str">
        <x:v>Obligation</x:v>
      </x:c>
      <x:c r="H989" s="48" t="str">
        <x:v>Shared</x:v>
      </x:c>
      <x:c r="I989" s="48" t="n">
        <x:v>0.88</x:v>
      </x:c>
      <x:c r="J989" s="48" t="n">
        <x:v>0.4</x:v>
      </x:c>
      <x:c r="K989" s="48" t="str">
        <x:v>Yes</x:v>
      </x:c>
      <x:c r="L989" s="48" t="str">
        <x:v>PDF text</x:v>
      </x:c>
    </x:row>
    <x:row r="990">
      <x:c r="A990" s="48" t="str">
        <x:v>YELLOW-0989</x:v>
      </x:c>
      <x:c r="B990" s="48" t="str">
        <x:v>YELLOW</x:v>
      </x:c>
      <x:c r="C990" s="48" t="str">
        <x:v>English</x:v>
      </x:c>
      <x:c r="D990" s="48" t="n">
        <x:v>62</x:v>
      </x:c>
      <x:c r="E990" s="48" t="str"/>
      <x:c r="F990" s="48" t="str">
        <x:v>However, if any work remains to be executed under Clause 11 [Defects Liability] or Clause 12 [Tests after Completion], the Engineer shall be entitled to withhold certification of the estimated cost of this work until it has been executed.</x:v>
      </x:c>
      <x:c r="G990" s="48" t="str">
        <x:v>Risk</x:v>
      </x:c>
      <x:c r="H990" s="48" t="str">
        <x:v>Shared</x:v>
      </x:c>
      <x:c r="I990" s="48" t="n">
        <x:v>0.78</x:v>
      </x:c>
      <x:c r="J990" s="48" t="n">
        <x:v>0.4</x:v>
      </x:c>
      <x:c r="K990" s="48" t="str">
        <x:v>Yes</x:v>
      </x:c>
      <x:c r="L990" s="48" t="str">
        <x:v>PDF text</x:v>
      </x:c>
    </x:row>
    <x:row r="991">
      <x:c r="A991" s="48" t="str">
        <x:v>YELLOW-0990</x:v>
      </x:c>
      <x:c r="B991" s="48" t="str">
        <x:v>YELLOW</x:v>
      </x:c>
      <x:c r="C991" s="48" t="str">
        <x:v>English</x:v>
      </x:c>
      <x:c r="D991" s="48" t="n">
        <x:v>62</x:v>
      </x:c>
      <x:c r="E991" s="48" t="str"/>
      <x:c r="F991" s="48" t="str">
        <x:v>The relevant percentage for each Section shall be the percentage value of the Section as stated in the Appendix to Tender.</x:v>
      </x:c>
      <x:c r="G991" s="48" t="str">
        <x:v>Obligation</x:v>
      </x:c>
      <x:c r="H991" s="48" t="str">
        <x:v>Shared</x:v>
      </x:c>
      <x:c r="I991" s="48" t="n">
        <x:v>0.88</x:v>
      </x:c>
      <x:c r="J991" s="48" t="n">
        <x:v>0.4</x:v>
      </x:c>
      <x:c r="K991" s="48" t="str">
        <x:v>Yes</x:v>
      </x:c>
      <x:c r="L991" s="48" t="str">
        <x:v>PDF text</x:v>
      </x:c>
    </x:row>
    <x:row r="992">
      <x:c r="A992" s="48" t="str">
        <x:v>YELLOW-0991</x:v>
      </x:c>
      <x:c r="B992" s="48" t="str">
        <x:v>YELLOW</x:v>
      </x:c>
      <x:c r="C992" s="48" t="str">
        <x:v>English</x:v>
      </x:c>
      <x:c r="D992" s="48" t="n">
        <x:v>62</x:v>
      </x:c>
      <x:c r="E992" s="48" t="str"/>
      <x:c r="F992" s="48" t="str">
        <x:v>If the percentage value of a Section is not stated in the Appendix to Tender, no percentage of either half of the Retention Money shall be released under this Sub-Clause in respect of such Section.</x:v>
      </x:c>
      <x:c r="G992" s="48" t="str">
        <x:v>Obligation</x:v>
      </x:c>
      <x:c r="H992" s="48" t="str">
        <x:v>Shared</x:v>
      </x:c>
      <x:c r="I992" s="48" t="n">
        <x:v>0.88</x:v>
      </x:c>
      <x:c r="J992" s="48" t="n">
        <x:v>0.4</x:v>
      </x:c>
      <x:c r="K992" s="48" t="str">
        <x:v>Yes</x:v>
      </x:c>
      <x:c r="L992" s="48" t="str">
        <x:v>PDF text</x:v>
      </x:c>
    </x:row>
    <x:row r="993">
      <x:c r="A993" s="48" t="str">
        <x:v>YELLOW-0992</x:v>
      </x:c>
      <x:c r="B993" s="48" t="str">
        <x:v>YELLOW</x:v>
      </x:c>
      <x:c r="C993" s="48" t="str">
        <x:v>English</x:v>
      </x:c>
      <x:c r="D993" s="48" t="n">
        <x:v>62</x:v>
      </x:c>
      <x:c r="E993" s="48" t="str"/>
      <x:c r="F993" s="48" t="str">
        <x:v>Within 84 days after receiving the Taking-Over Certificate for the Works, the Contractor shall submit to the Engineer six copies of a Statement at completion with supporting documents, in accordance with Sub-Clause 14.3 [Application for Interim Payment Certificates], showing: (a) the value of all work done in accordance with the Contract up to the date stated in the Taking-Over Certificate for the Works, (b) any further sums which the Contractor considers to be due, and (c) an estimate of any other amounts which the Contractor considers will become due to him under the Contract.</x:v>
      </x:c>
      <x:c r="G993" s="48" t="str">
        <x:v>Obligation</x:v>
      </x:c>
      <x:c r="H993" s="48" t="str">
        <x:v>Contractor</x:v>
      </x:c>
      <x:c r="I993" s="48" t="n">
        <x:v>0.88</x:v>
      </x:c>
      <x:c r="J993" s="48" t="n">
        <x:v>0.92</x:v>
      </x:c>
      <x:c r="K993" s="48" t="str">
        <x:v>No</x:v>
      </x:c>
      <x:c r="L993" s="48" t="str">
        <x:v>PDF text</x:v>
      </x:c>
    </x:row>
    <x:row r="994">
      <x:c r="A994" s="48" t="str">
        <x:v>YELLOW-0993</x:v>
      </x:c>
      <x:c r="B994" s="48" t="str">
        <x:v>YELLOW</x:v>
      </x:c>
      <x:c r="C994" s="48" t="str">
        <x:v>English</x:v>
      </x:c>
      <x:c r="D994" s="48" t="n">
        <x:v>62</x:v>
      </x:c>
      <x:c r="E994" s="48" t="str"/>
      <x:c r="F994" s="48" t="str">
        <x:v>Estimated amounts shall be shown separately in this Statement at completion.</x:v>
      </x:c>
      <x:c r="G994" s="48" t="str">
        <x:v>Obligation</x:v>
      </x:c>
      <x:c r="H994" s="48" t="str">
        <x:v>Shared</x:v>
      </x:c>
      <x:c r="I994" s="48" t="n">
        <x:v>0.88</x:v>
      </x:c>
      <x:c r="J994" s="48" t="n">
        <x:v>0.4</x:v>
      </x:c>
      <x:c r="K994" s="48" t="str">
        <x:v>Yes</x:v>
      </x:c>
      <x:c r="L994" s="48" t="str">
        <x:v>PDF text</x:v>
      </x:c>
    </x:row>
    <x:row r="995">
      <x:c r="A995" s="48" t="str">
        <x:v>YELLOW-0994</x:v>
      </x:c>
      <x:c r="B995" s="48" t="str">
        <x:v>YELLOW</x:v>
      </x:c>
      <x:c r="C995" s="48" t="str">
        <x:v>English</x:v>
      </x:c>
      <x:c r="D995" s="48" t="n">
        <x:v>62</x:v>
      </x:c>
      <x:c r="E995" s="48" t="str"/>
      <x:c r="F995" s="48" t="str">
        <x:v>The Engineer shall then certify in accordance with Sub-Clause 14.6 [Issue of Interim Payment Certificates].</x:v>
      </x:c>
      <x:c r="G995" s="48" t="str">
        <x:v>Obligation</x:v>
      </x:c>
      <x:c r="H995" s="48" t="str">
        <x:v>Shared</x:v>
      </x:c>
      <x:c r="I995" s="48" t="n">
        <x:v>0.88</x:v>
      </x:c>
      <x:c r="J995" s="48" t="n">
        <x:v>0.4</x:v>
      </x:c>
      <x:c r="K995" s="48" t="str">
        <x:v>Yes</x:v>
      </x:c>
      <x:c r="L995" s="48" t="str">
        <x:v>PDF text</x:v>
      </x:c>
    </x:row>
    <x:row r="996">
      <x:c r="A996" s="48" t="str">
        <x:v>YELLOW-0995</x:v>
      </x:c>
      <x:c r="B996" s="48" t="str">
        <x:v>YELLOW</x:v>
      </x:c>
      <x:c r="C996" s="48" t="str">
        <x:v>English</x:v>
      </x:c>
      <x:c r="D996" s="48" t="n">
        <x:v>62</x:v>
      </x:c>
      <x:c r="E996" s="48" t="str"/>
      <x:c r="F996" s="48" t="str">
        <x:v>Within 56 days after receiving the Performance Certificate, the Contractor shall submit, to the Engineer, six copies of a draft final statement with supporting documents showing in detail in a form approved by the Engineer:</x:v>
      </x:c>
      <x:c r="G996" s="48" t="str">
        <x:v>Obligation</x:v>
      </x:c>
      <x:c r="H996" s="48" t="str">
        <x:v>Contractor</x:v>
      </x:c>
      <x:c r="I996" s="48" t="n">
        <x:v>0.88</x:v>
      </x:c>
      <x:c r="J996" s="48" t="n">
        <x:v>0.92</x:v>
      </x:c>
      <x:c r="K996" s="48" t="str">
        <x:v>No</x:v>
      </x:c>
      <x:c r="L996" s="48" t="str">
        <x:v>PDF text</x:v>
      </x:c>
    </x:row>
    <x:row r="997">
      <x:c r="A997" s="48" t="str">
        <x:v>YELLOW-0996</x:v>
      </x:c>
      <x:c r="B997" s="48" t="str">
        <x:v>YELLOW</x:v>
      </x:c>
      <x:c r="C997" s="48" t="str">
        <x:v>English</x:v>
      </x:c>
      <x:c r="D997" s="48" t="n">
        <x:v>63</x:v>
      </x:c>
      <x:c r="E997" s="48" t="str"/>
      <x:c r="F997" s="48" t="str">
        <x:v>Discharge</x:v>
      </x:c>
      <x:c r="G997" s="48" t="str">
        <x:v>Obligation</x:v>
      </x:c>
      <x:c r="H997" s="48" t="str">
        <x:v>Shared</x:v>
      </x:c>
      <x:c r="I997" s="48" t="n">
        <x:v>0.45</x:v>
      </x:c>
      <x:c r="J997" s="48" t="n">
        <x:v>0.4</x:v>
      </x:c>
      <x:c r="K997" s="48" t="str">
        <x:v>Yes</x:v>
      </x:c>
      <x:c r="L997" s="48" t="str">
        <x:v>PDF text</x:v>
      </x:c>
    </x:row>
    <x:row r="998">
      <x:c r="A998" s="48" t="str">
        <x:v>YELLOW-0997</x:v>
      </x:c>
      <x:c r="B998" s="48" t="str">
        <x:v>YELLOW</x:v>
      </x:c>
      <x:c r="C998" s="48" t="str">
        <x:v>English</x:v>
      </x:c>
      <x:c r="D998" s="48" t="n">
        <x:v>63</x:v>
      </x:c>
      <x:c r="E998" s="48" t="str"/>
      <x:c r="F998" s="48" t="str">
        <x:v>Issue of Final Payment</x:v>
      </x:c>
      <x:c r="G998" s="48" t="str">
        <x:v>Obligation</x:v>
      </x:c>
      <x:c r="H998" s="48" t="str">
        <x:v>Shared</x:v>
      </x:c>
      <x:c r="I998" s="48" t="n">
        <x:v>0.55</x:v>
      </x:c>
      <x:c r="J998" s="48" t="n">
        <x:v>0.4</x:v>
      </x:c>
      <x:c r="K998" s="48" t="str">
        <x:v>Yes</x:v>
      </x:c>
      <x:c r="L998" s="48" t="str">
        <x:v>PDF text</x:v>
      </x:c>
    </x:row>
    <x:row r="999">
      <x:c r="A999" s="48" t="str">
        <x:v>YELLOW-0998</x:v>
      </x:c>
      <x:c r="B999" s="48" t="str">
        <x:v>YELLOW</x:v>
      </x:c>
      <x:c r="C999" s="48" t="str">
        <x:v>English</x:v>
      </x:c>
      <x:c r="D999" s="48" t="n">
        <x:v>63</x:v>
      </x:c>
      <x:c r="E999" s="48" t="str"/>
      <x:c r="F999" s="48" t="str">
        <x:v>Certificate</x:v>
      </x:c>
      <x:c r="G999" s="48" t="str">
        <x:v>Obligation</x:v>
      </x:c>
      <x:c r="H999" s="48" t="str">
        <x:v>Shared</x:v>
      </x:c>
      <x:c r="I999" s="48" t="n">
        <x:v>0.55</x:v>
      </x:c>
      <x:c r="J999" s="48" t="n">
        <x:v>0.4</x:v>
      </x:c>
      <x:c r="K999" s="48" t="str">
        <x:v>Yes</x:v>
      </x:c>
      <x:c r="L999" s="48" t="str">
        <x:v>PDF text</x:v>
      </x:c>
    </x:row>
    <x:row r="1000">
      <x:c r="A1000" s="48" t="str">
        <x:v>YELLOW-0999</x:v>
      </x:c>
      <x:c r="B1000" s="48" t="str">
        <x:v>YELLOW</x:v>
      </x:c>
      <x:c r="C1000" s="48" t="str">
        <x:v>English</x:v>
      </x:c>
      <x:c r="D1000" s="48" t="n">
        <x:v>63</x:v>
      </x:c>
      <x:c r="E1000" s="48" t="str"/>
      <x:c r="F1000" s="48" t="str">
        <x:v>Cessation of Employer’s</x:v>
      </x:c>
      <x:c r="G1000" s="48" t="str">
        <x:v>Obligation</x:v>
      </x:c>
      <x:c r="H1000" s="48" t="str">
        <x:v>Employer</x:v>
      </x:c>
      <x:c r="I1000" s="48" t="n">
        <x:v>0.45</x:v>
      </x:c>
      <x:c r="J1000" s="48" t="n">
        <x:v>0.68</x:v>
      </x:c>
      <x:c r="K1000" s="48" t="str">
        <x:v>Yes</x:v>
      </x:c>
      <x:c r="L1000" s="48" t="str">
        <x:v>PDF text</x:v>
      </x:c>
    </x:row>
    <x:row r="1001">
      <x:c r="A1001" s="48" t="str">
        <x:v>YELLOW-1000</x:v>
      </x:c>
      <x:c r="B1001" s="48" t="str">
        <x:v>YELLOW</x:v>
      </x:c>
      <x:c r="C1001" s="48" t="str">
        <x:v>English</x:v>
      </x:c>
      <x:c r="D1001" s="48" t="n">
        <x:v>63</x:v>
      </x:c>
      <x:c r="E1001" s="48" t="str"/>
      <x:c r="F1001" s="48" t="str">
        <x:v>Liability</x:v>
      </x:c>
      <x:c r="G1001" s="48" t="str">
        <x:v>Risk</x:v>
      </x:c>
      <x:c r="H1001" s="48" t="str">
        <x:v>Shared</x:v>
      </x:c>
      <x:c r="I1001" s="48" t="n">
        <x:v>0.78</x:v>
      </x:c>
      <x:c r="J1001" s="48" t="n">
        <x:v>0.4</x:v>
      </x:c>
      <x:c r="K1001" s="48" t="str">
        <x:v>Yes</x:v>
      </x:c>
      <x:c r="L1001" s="48" t="str">
        <x:v>PDF text</x:v>
      </x:c>
    </x:row>
    <x:row r="1002">
      <x:c r="A1002" s="48" t="str">
        <x:v>YELLOW-1001</x:v>
      </x:c>
      <x:c r="B1002" s="48" t="str">
        <x:v>YELLOW</x:v>
      </x:c>
      <x:c r="C1002" s="48" t="str">
        <x:v>English</x:v>
      </x:c>
      <x:c r="D1002" s="48" t="n">
        <x:v>63</x:v>
      </x:c>
      <x:c r="E1002" s="48" t="str"/>
      <x:c r="F1002" s="48" t="str">
        <x:v>(a) the value of all work done in accordance with the Contract, and (b) any further sums which the Contractor considers to be due to him under the Contract or otherwise.</x:v>
      </x:c>
      <x:c r="G1002" s="48" t="str">
        <x:v>Obligation</x:v>
      </x:c>
      <x:c r="H1002" s="48" t="str">
        <x:v>Contractor</x:v>
      </x:c>
      <x:c r="I1002" s="48" t="n">
        <x:v>0.45</x:v>
      </x:c>
      <x:c r="J1002" s="48" t="n">
        <x:v>0.68</x:v>
      </x:c>
      <x:c r="K1002" s="48" t="str">
        <x:v>Yes</x:v>
      </x:c>
      <x:c r="L1002" s="48" t="str">
        <x:v>PDF text</x:v>
      </x:c>
    </x:row>
    <x:row r="1003">
      <x:c r="A1003" s="48" t="str">
        <x:v>YELLOW-1002</x:v>
      </x:c>
      <x:c r="B1003" s="48" t="str">
        <x:v>YELLOW</x:v>
      </x:c>
      <x:c r="C1003" s="48" t="str">
        <x:v>English</x:v>
      </x:c>
      <x:c r="D1003" s="48" t="n">
        <x:v>63</x:v>
      </x:c>
      <x:c r="E1003" s="48" t="str"/>
      <x:c r="F1003" s="48" t="str">
        <x:v>If the Engineer disagrees with or cannot verify any part of the draft final statement, the</x:v>
      </x:c>
      <x:c r="G1003" s="48" t="str">
        <x:v>Obligation</x:v>
      </x:c>
      <x:c r="H1003" s="48" t="str">
        <x:v>Shared</x:v>
      </x:c>
      <x:c r="I1003" s="48" t="n">
        <x:v>0.45</x:v>
      </x:c>
      <x:c r="J1003" s="48" t="n">
        <x:v>0.4</x:v>
      </x:c>
      <x:c r="K1003" s="48" t="str">
        <x:v>Yes</x:v>
      </x:c>
      <x:c r="L1003" s="48" t="str">
        <x:v>PDF text</x:v>
      </x:c>
    </x:row>
    <x:row r="1004">
      <x:c r="A1004" s="48" t="str">
        <x:v>YELLOW-1003</x:v>
      </x:c>
      <x:c r="B1004" s="48" t="str">
        <x:v>YELLOW</x:v>
      </x:c>
      <x:c r="C1004" s="48" t="str">
        <x:v>English</x:v>
      </x:c>
      <x:c r="D1004" s="48" t="n">
        <x:v>63</x:v>
      </x:c>
      <x:c r="E1004" s="48" t="str"/>
      <x:c r="F1004" s="48" t="str">
        <x:v>Contractor shall submit such further information as the Engineer may reasonably</x:v>
      </x:c>
      <x:c r="G1004" s="48" t="str">
        <x:v>Obligation</x:v>
      </x:c>
      <x:c r="H1004" s="48" t="str">
        <x:v>Contractor</x:v>
      </x:c>
      <x:c r="I1004" s="48" t="n">
        <x:v>0.88</x:v>
      </x:c>
      <x:c r="J1004" s="48" t="n">
        <x:v>0.68</x:v>
      </x:c>
      <x:c r="K1004" s="48" t="str">
        <x:v>Yes</x:v>
      </x:c>
      <x:c r="L1004" s="48" t="str">
        <x:v>PDF text</x:v>
      </x:c>
    </x:row>
    <x:row r="1005">
      <x:c r="A1005" s="48" t="str">
        <x:v>YELLOW-1004</x:v>
      </x:c>
      <x:c r="B1005" s="48" t="str">
        <x:v>YELLOW</x:v>
      </x:c>
      <x:c r="C1005" s="48" t="str">
        <x:v>English</x:v>
      </x:c>
      <x:c r="D1005" s="48" t="n">
        <x:v>63</x:v>
      </x:c>
      <x:c r="E1005" s="48" t="str"/>
      <x:c r="F1005" s="48" t="str">
        <x:v>require and shall make such changes in the draft as may be agreed between them.</x:v>
      </x:c>
      <x:c r="G1005" s="48" t="str">
        <x:v>Obligation</x:v>
      </x:c>
      <x:c r="H1005" s="48" t="str">
        <x:v>Shared</x:v>
      </x:c>
      <x:c r="I1005" s="48" t="n">
        <x:v>0.88</x:v>
      </x:c>
      <x:c r="J1005" s="48" t="n">
        <x:v>0.4</x:v>
      </x:c>
      <x:c r="K1005" s="48" t="str">
        <x:v>Yes</x:v>
      </x:c>
      <x:c r="L1005" s="48" t="str">
        <x:v>PDF text</x:v>
      </x:c>
    </x:row>
    <x:row r="1006">
      <x:c r="A1006" s="48" t="str">
        <x:v>YELLOW-1005</x:v>
      </x:c>
      <x:c r="B1006" s="48" t="str">
        <x:v>YELLOW</x:v>
      </x:c>
      <x:c r="C1006" s="48" t="str">
        <x:v>English</x:v>
      </x:c>
      <x:c r="D1006" s="48" t="n">
        <x:v>63</x:v>
      </x:c>
      <x:c r="E1006" s="48" t="str"/>
      <x:c r="F1006" s="48" t="str">
        <x:v>The Contractor shall then prepare and submit to the Engineer the final statement as agreed.</x:v>
      </x:c>
      <x:c r="G1006" s="48" t="str">
        <x:v>Obligation</x:v>
      </x:c>
      <x:c r="H1006" s="48" t="str">
        <x:v>Contractor</x:v>
      </x:c>
      <x:c r="I1006" s="48" t="n">
        <x:v>0.88</x:v>
      </x:c>
      <x:c r="J1006" s="48" t="n">
        <x:v>0.92</x:v>
      </x:c>
      <x:c r="K1006" s="48" t="str">
        <x:v>No</x:v>
      </x:c>
      <x:c r="L1006" s="48" t="str">
        <x:v>PDF text</x:v>
      </x:c>
    </x:row>
    <x:row r="1007">
      <x:c r="A1007" s="48" t="str">
        <x:v>YELLOW-1006</x:v>
      </x:c>
      <x:c r="B1007" s="48" t="str">
        <x:v>YELLOW</x:v>
      </x:c>
      <x:c r="C1007" s="48" t="str">
        <x:v>English</x:v>
      </x:c>
      <x:c r="D1007" s="48" t="n">
        <x:v>63</x:v>
      </x:c>
      <x:c r="E1007" s="48" t="str"/>
      <x:c r="F1007" s="48" t="str">
        <x:v>This agreed statement is referred to in these Conditions as the "Final Statement".</x:v>
      </x:c>
      <x:c r="G1007" s="48" t="str">
        <x:v>Obligation</x:v>
      </x:c>
      <x:c r="H1007" s="48" t="str">
        <x:v>Shared</x:v>
      </x:c>
      <x:c r="I1007" s="48" t="n">
        <x:v>0.45</x:v>
      </x:c>
      <x:c r="J1007" s="48" t="n">
        <x:v>0.4</x:v>
      </x:c>
      <x:c r="K1007" s="48" t="str">
        <x:v>Yes</x:v>
      </x:c>
      <x:c r="L1007" s="48" t="str">
        <x:v>PDF text</x:v>
      </x:c>
    </x:row>
    <x:row r="1008">
      <x:c r="A1008" s="48" t="str">
        <x:v>YELLOW-1007</x:v>
      </x:c>
      <x:c r="B1008" s="48" t="str">
        <x:v>YELLOW</x:v>
      </x:c>
      <x:c r="C1008" s="48" t="str">
        <x:v>English</x:v>
      </x:c>
      <x:c r="D1008" s="48" t="n">
        <x:v>63</x:v>
      </x:c>
      <x:c r="E1008" s="48" t="str"/>
      <x:c r="F1008" s="48" t="str">
        <x:v>However if, following discussions between the Engineer and the Contractor and any</x:v>
      </x:c>
      <x:c r="G1008" s="48" t="str">
        <x:v>Obligation</x:v>
      </x:c>
      <x:c r="H1008" s="48" t="str">
        <x:v>Contractor</x:v>
      </x:c>
      <x:c r="I1008" s="48" t="n">
        <x:v>0.45</x:v>
      </x:c>
      <x:c r="J1008" s="48" t="n">
        <x:v>0.68</x:v>
      </x:c>
      <x:c r="K1008" s="48" t="str">
        <x:v>Yes</x:v>
      </x:c>
      <x:c r="L1008" s="48" t="str">
        <x:v>PDF text</x:v>
      </x:c>
    </x:row>
    <x:row r="1009">
      <x:c r="A1009" s="48" t="str">
        <x:v>YELLOW-1008</x:v>
      </x:c>
      <x:c r="B1009" s="48" t="str">
        <x:v>YELLOW</x:v>
      </x:c>
      <x:c r="C1009" s="48" t="str">
        <x:v>English</x:v>
      </x:c>
      <x:c r="D1009" s="48" t="n">
        <x:v>63</x:v>
      </x:c>
      <x:c r="E1009" s="48" t="str"/>
      <x:c r="F1009" s="48" t="str">
        <x:v>changes to the draft final statement which are agreed, it becomes evident that a dispute exists, the Engineer shall deliver to the Employer (with a copy to the Contractor) an Interim Payment Certificate for the agreed parts of the draft final statement.</x:v>
      </x:c>
      <x:c r="G1009" s="48" t="str">
        <x:v>Obligation</x:v>
      </x:c>
      <x:c r="H1009" s="48" t="str">
        <x:v>Shared</x:v>
      </x:c>
      <x:c r="I1009" s="48" t="n">
        <x:v>0.88</x:v>
      </x:c>
      <x:c r="J1009" s="48" t="n">
        <x:v>0.6</x:v>
      </x:c>
      <x:c r="K1009" s="48" t="str">
        <x:v>Yes</x:v>
      </x:c>
      <x:c r="L1009" s="48" t="str">
        <x:v>PDF text</x:v>
      </x:c>
    </x:row>
    <x:row r="1010">
      <x:c r="A1010" s="48" t="str">
        <x:v>YELLOW-1009</x:v>
      </x:c>
      <x:c r="B1010" s="48" t="str">
        <x:v>YELLOW</x:v>
      </x:c>
      <x:c r="C1010" s="48" t="str">
        <x:v>English</x:v>
      </x:c>
      <x:c r="D1010" s="48" t="n">
        <x:v>63</x:v>
      </x:c>
      <x:c r="E1010" s="48" t="str"/>
      <x:c r="F1010" s="48" t="str">
        <x:v>Thereafter, if the dispute is finally resolved under Sub-Clause 20.4 [Obtaining Dispute Adjudication Board's Decision] or Sub-Clause 20.5 [Amicable Settlement], the Contractor shall then prepare and submit to the Employer (with a copy to the Engineer) a Final Statement.</x:v>
      </x:c>
      <x:c r="G1010" s="48" t="str">
        <x:v>Obligation</x:v>
      </x:c>
      <x:c r="H1010" s="48" t="str">
        <x:v>Contractor</x:v>
      </x:c>
      <x:c r="I1010" s="48" t="n">
        <x:v>0.88</x:v>
      </x:c>
      <x:c r="J1010" s="48" t="n">
        <x:v>0.92</x:v>
      </x:c>
      <x:c r="K1010" s="48" t="str">
        <x:v>No</x:v>
      </x:c>
      <x:c r="L1010" s="48" t="str">
        <x:v>PDF text</x:v>
      </x:c>
    </x:row>
    <x:row r="1011">
      <x:c r="A1011" s="48" t="str">
        <x:v>YELLOW-1010</x:v>
      </x:c>
      <x:c r="B1011" s="48" t="str">
        <x:v>YELLOW</x:v>
      </x:c>
      <x:c r="C1011" s="48" t="str">
        <x:v>English</x:v>
      </x:c>
      <x:c r="D1011" s="48" t="n">
        <x:v>63</x:v>
      </x:c>
      <x:c r="E1011" s="48" t="str"/>
      <x:c r="F1011" s="48" t="str">
        <x:v>When submitting the Final Statement, the Contractor shall submit a written discharge which confirms that the total of the Final Statement represents full and final settlement of all moneys due to the Contractor under or in connection with the Contract.</x:v>
      </x:c>
      <x:c r="G1011" s="48" t="str">
        <x:v>Obligation</x:v>
      </x:c>
      <x:c r="H1011" s="48" t="str">
        <x:v>Contractor</x:v>
      </x:c>
      <x:c r="I1011" s="48" t="n">
        <x:v>0.88</x:v>
      </x:c>
      <x:c r="J1011" s="48" t="n">
        <x:v>0.92</x:v>
      </x:c>
      <x:c r="K1011" s="48" t="str">
        <x:v>No</x:v>
      </x:c>
      <x:c r="L1011" s="48" t="str">
        <x:v>PDF text</x:v>
      </x:c>
    </x:row>
    <x:row r="1012">
      <x:c r="A1012" s="48" t="str">
        <x:v>YELLOW-1011</x:v>
      </x:c>
      <x:c r="B1012" s="48" t="str">
        <x:v>YELLOW</x:v>
      </x:c>
      <x:c r="C1012" s="48" t="str">
        <x:v>English</x:v>
      </x:c>
      <x:c r="D1012" s="48" t="n">
        <x:v>63</x:v>
      </x:c>
      <x:c r="E1012" s="48" t="str"/>
      <x:c r="F1012" s="48" t="str">
        <x:v>This discharge may state that it becomes effective when the Contractor has received the Performance Security and the out-standing balance of this total in which event the discharge will be effective on such date.</x:v>
      </x:c>
      <x:c r="G1012" s="48" t="str">
        <x:v>Right</x:v>
      </x:c>
      <x:c r="H1012" s="48" t="str">
        <x:v>Contractor</x:v>
      </x:c>
      <x:c r="I1012" s="48" t="n">
        <x:v>0.78</x:v>
      </x:c>
      <x:c r="J1012" s="48" t="n">
        <x:v>0.68</x:v>
      </x:c>
      <x:c r="K1012" s="48" t="str">
        <x:v>Yes</x:v>
      </x:c>
      <x:c r="L1012" s="48" t="str">
        <x:v>PDF text</x:v>
      </x:c>
    </x:row>
    <x:row r="1013">
      <x:c r="A1013" s="48" t="str">
        <x:v>YELLOW-1012</x:v>
      </x:c>
      <x:c r="B1013" s="48" t="str">
        <x:v>YELLOW</x:v>
      </x:c>
      <x:c r="C1013" s="48" t="str">
        <x:v>English</x:v>
      </x:c>
      <x:c r="D1013" s="48" t="n">
        <x:v>63</x:v>
      </x:c>
      <x:c r="E1013" s="48" t="str"/>
      <x:c r="F1013" s="48" t="str">
        <x:v>Within 28 days after receiving the Final Statement and written discharge in accordance with Sub-Clause 14.11 [Application for Final Payment Certificate] and Sub-Clause 14.12 [Discharge], the Engineer shall issue, to the Employer, the Final Payment Certificate which shall state: (a) the amount which is finally due, and (b) after giving credit to the Employer for all amounts previously paid by the</x:v>
      </x:c>
      <x:c r="G1013" s="48" t="str">
        <x:v>Obligation</x:v>
      </x:c>
      <x:c r="H1013" s="48" t="str">
        <x:v>Employer</x:v>
      </x:c>
      <x:c r="I1013" s="48" t="n">
        <x:v>0.88</x:v>
      </x:c>
      <x:c r="J1013" s="48" t="n">
        <x:v>0.68</x:v>
      </x:c>
      <x:c r="K1013" s="48" t="str">
        <x:v>Yes</x:v>
      </x:c>
      <x:c r="L1013" s="48" t="str">
        <x:v>PDF text</x:v>
      </x:c>
    </x:row>
    <x:row r="1014">
      <x:c r="A1014" s="48" t="str">
        <x:v>YELLOW-1013</x:v>
      </x:c>
      <x:c r="B1014" s="48" t="str">
        <x:v>YELLOW</x:v>
      </x:c>
      <x:c r="C1014" s="48" t="str">
        <x:v>English</x:v>
      </x:c>
      <x:c r="D1014" s="48" t="n">
        <x:v>63</x:v>
      </x:c>
      <x:c r="E1014" s="48" t="str"/>
      <x:c r="F1014" s="48" t="str">
        <x:v>Employer and for all sums to which the Employer is entitled, the balance (if any)</x:v>
      </x:c>
      <x:c r="G1014" s="48" t="str">
        <x:v>Obligation</x:v>
      </x:c>
      <x:c r="H1014" s="48" t="str">
        <x:v>Employer</x:v>
      </x:c>
      <x:c r="I1014" s="48" t="n">
        <x:v>0.45</x:v>
      </x:c>
      <x:c r="J1014" s="48" t="n">
        <x:v>0.68</x:v>
      </x:c>
      <x:c r="K1014" s="48" t="str">
        <x:v>Yes</x:v>
      </x:c>
      <x:c r="L1014" s="48" t="str">
        <x:v>PDF text</x:v>
      </x:c>
    </x:row>
    <x:row r="1015">
      <x:c r="A1015" s="48" t="str">
        <x:v>YELLOW-1014</x:v>
      </x:c>
      <x:c r="B1015" s="48" t="str">
        <x:v>YELLOW</x:v>
      </x:c>
      <x:c r="C1015" s="48" t="str">
        <x:v>English</x:v>
      </x:c>
      <x:c r="D1015" s="48" t="n">
        <x:v>63</x:v>
      </x:c>
      <x:c r="E1015" s="48" t="str"/>
      <x:c r="F1015" s="48" t="str">
        <x:v>due from the Employer to the Contractor or from the Contractor to the Employer, as the case may be.</x:v>
      </x:c>
      <x:c r="G1015" s="48" t="str">
        <x:v>Right</x:v>
      </x:c>
      <x:c r="H1015" s="48" t="str">
        <x:v>Shared</x:v>
      </x:c>
      <x:c r="I1015" s="48" t="n">
        <x:v>0.78</x:v>
      </x:c>
      <x:c r="J1015" s="48" t="n">
        <x:v>0.6</x:v>
      </x:c>
      <x:c r="K1015" s="48" t="str">
        <x:v>Yes</x:v>
      </x:c>
      <x:c r="L1015" s="48" t="str">
        <x:v>PDF text</x:v>
      </x:c>
    </x:row>
    <x:row r="1016">
      <x:c r="A1016" s="48" t="str">
        <x:v>YELLOW-1015</x:v>
      </x:c>
      <x:c r="B1016" s="48" t="str">
        <x:v>YELLOW</x:v>
      </x:c>
      <x:c r="C1016" s="48" t="str">
        <x:v>English</x:v>
      </x:c>
      <x:c r="D1016" s="48" t="n">
        <x:v>63</x:v>
      </x:c>
      <x:c r="E1016" s="48" t="str"/>
      <x:c r="F1016" s="48" t="str">
        <x:v>If the Contractor has not applied for a Final Payment Certificate in accordance with Sub-Clause 14.11 [Application for Final Payment Certificate] and Sub-Clause</x:v>
      </x:c>
      <x:c r="G1016" s="48" t="str">
        <x:v>Obligation</x:v>
      </x:c>
      <x:c r="H1016" s="48" t="str">
        <x:v>Contractor</x:v>
      </x:c>
      <x:c r="I1016" s="48" t="n">
        <x:v>0.55</x:v>
      </x:c>
      <x:c r="J1016" s="48" t="n">
        <x:v>0.68</x:v>
      </x:c>
      <x:c r="K1016" s="48" t="str">
        <x:v>Yes</x:v>
      </x:c>
      <x:c r="L1016" s="48" t="str">
        <x:v>PDF text</x:v>
      </x:c>
    </x:row>
    <x:row r="1017">
      <x:c r="A1017" s="48" t="str">
        <x:v>YELLOW-1016</x:v>
      </x:c>
      <x:c r="B1017" s="48" t="str">
        <x:v>YELLOW</x:v>
      </x:c>
      <x:c r="C1017" s="48" t="str">
        <x:v>English</x:v>
      </x:c>
      <x:c r="D1017" s="48" t="n">
        <x:v>63</x:v>
      </x:c>
      <x:c r="E1017" s="48" t="str">
        <x:v>14.12</x:v>
      </x:c>
      <x:c r="F1017" s="48" t="str">
        <x:v>14.12 [Discharge], the Engineer shall request the Contractor to do so. If the</x:v>
      </x:c>
      <x:c r="G1017" s="48" t="str">
        <x:v>Obligation</x:v>
      </x:c>
      <x:c r="H1017" s="48" t="str">
        <x:v>Contractor</x:v>
      </x:c>
      <x:c r="I1017" s="48" t="n">
        <x:v>0.88</x:v>
      </x:c>
      <x:c r="J1017" s="48" t="n">
        <x:v>0.68</x:v>
      </x:c>
      <x:c r="K1017" s="48" t="str">
        <x:v>Yes</x:v>
      </x:c>
      <x:c r="L1017" s="48" t="str">
        <x:v>PDF text</x:v>
      </x:c>
    </x:row>
    <x:row r="1018">
      <x:c r="A1018" s="48" t="str">
        <x:v>YELLOW-1017</x:v>
      </x:c>
      <x:c r="B1018" s="48" t="str">
        <x:v>YELLOW</x:v>
      </x:c>
      <x:c r="C1018" s="48" t="str">
        <x:v>English</x:v>
      </x:c>
      <x:c r="D1018" s="48" t="n">
        <x:v>63</x:v>
      </x:c>
      <x:c r="E1018" s="48" t="str"/>
      <x:c r="F1018" s="48" t="str">
        <x:v>Contractor fails to submit an application within a period of 28 days, the Engineer shall issue the Final Payment Certificate for such amount as he fairly determines to be due.</x:v>
      </x:c>
      <x:c r="G1018" s="48" t="str">
        <x:v>Obligation</x:v>
      </x:c>
      <x:c r="H1018" s="48" t="str">
        <x:v>Contractor</x:v>
      </x:c>
      <x:c r="I1018" s="48" t="n">
        <x:v>0.88</x:v>
      </x:c>
      <x:c r="J1018" s="48" t="n">
        <x:v>0.68</x:v>
      </x:c>
      <x:c r="K1018" s="48" t="str">
        <x:v>Yes</x:v>
      </x:c>
      <x:c r="L1018" s="48" t="str">
        <x:v>PDF text</x:v>
      </x:c>
    </x:row>
    <x:row r="1019">
      <x:c r="A1019" s="48" t="str">
        <x:v>YELLOW-1018</x:v>
      </x:c>
      <x:c r="B1019" s="48" t="str">
        <x:v>YELLOW</x:v>
      </x:c>
      <x:c r="C1019" s="48" t="str">
        <x:v>English</x:v>
      </x:c>
      <x:c r="D1019" s="48" t="n">
        <x:v>63</x:v>
      </x:c>
      <x:c r="E1019" s="48" t="str"/>
      <x:c r="F1019" s="48" t="str">
        <x:v>The Employer shall not be liable to the Contractor for any matter or thing under or in connection with the Contract or execution of the Works, except to the extent that the Contractor shall have included an amount expressly for it: (a) in the Final Statement and also (b) (except for matters or things arising after the issue of the Taking-Over Certificate for the Works) in the Statement at completion described in Sub-Clause 14.10 [Statement at Completion].</x:v>
      </x:c>
      <x:c r="G1019" s="48" t="str">
        <x:v>Risk</x:v>
      </x:c>
      <x:c r="H1019" s="48" t="str">
        <x:v>Contractor</x:v>
      </x:c>
      <x:c r="I1019" s="48" t="n">
        <x:v>0.78</x:v>
      </x:c>
      <x:c r="J1019" s="48" t="n">
        <x:v>0.92</x:v>
      </x:c>
      <x:c r="K1019" s="48" t="str">
        <x:v>No</x:v>
      </x:c>
      <x:c r="L1019" s="48" t="str">
        <x:v>PDF text</x:v>
      </x:c>
    </x:row>
    <x:row r="1020">
      <x:c r="A1020" s="48" t="str">
        <x:v>YELLOW-1019</x:v>
      </x:c>
      <x:c r="B1020" s="48" t="str">
        <x:v>YELLOW</x:v>
      </x:c>
      <x:c r="C1020" s="48" t="str">
        <x:v>English</x:v>
      </x:c>
      <x:c r="D1020" s="48" t="n">
        <x:v>64</x:v>
      </x:c>
      <x:c r="E1020" s="48" t="str"/>
      <x:c r="F1020" s="48" t="str">
        <x:v>Currencies of Payment</x:v>
      </x:c>
      <x:c r="G1020" s="48" t="str">
        <x:v>Obligation</x:v>
      </x:c>
      <x:c r="H1020" s="48" t="str">
        <x:v>Shared</x:v>
      </x:c>
      <x:c r="I1020" s="48" t="n">
        <x:v>0.55</x:v>
      </x:c>
      <x:c r="J1020" s="48" t="n">
        <x:v>0.4</x:v>
      </x:c>
      <x:c r="K1020" s="48" t="str">
        <x:v>Yes</x:v>
      </x:c>
      <x:c r="L1020" s="48" t="str">
        <x:v>PDF text</x:v>
      </x:c>
    </x:row>
    <x:row r="1021">
      <x:c r="A1021" s="48" t="str">
        <x:v>YELLOW-1020</x:v>
      </x:c>
      <x:c r="B1021" s="48" t="str">
        <x:v>YELLOW</x:v>
      </x:c>
      <x:c r="C1021" s="48" t="str">
        <x:v>English</x:v>
      </x:c>
      <x:c r="D1021" s="48" t="n">
        <x:v>64</x:v>
      </x:c>
      <x:c r="E1021" s="48" t="str"/>
      <x:c r="F1021" s="48" t="str">
        <x:v>Notice to Correct</x:v>
      </x:c>
      <x:c r="G1021" s="48" t="str">
        <x:v>Obligation</x:v>
      </x:c>
      <x:c r="H1021" s="48" t="str">
        <x:v>Shared</x:v>
      </x:c>
      <x:c r="I1021" s="48" t="n">
        <x:v>0.55</x:v>
      </x:c>
      <x:c r="J1021" s="48" t="n">
        <x:v>0.4</x:v>
      </x:c>
      <x:c r="K1021" s="48" t="str">
        <x:v>Yes</x:v>
      </x:c>
      <x:c r="L1021" s="48" t="str">
        <x:v>PDF text</x:v>
      </x:c>
    </x:row>
    <x:row r="1022">
      <x:c r="A1022" s="48" t="str">
        <x:v>YELLOW-1021</x:v>
      </x:c>
      <x:c r="B1022" s="48" t="str">
        <x:v>YELLOW</x:v>
      </x:c>
      <x:c r="C1022" s="48" t="str">
        <x:v>English</x:v>
      </x:c>
      <x:c r="D1022" s="48" t="n">
        <x:v>64</x:v>
      </x:c>
      <x:c r="E1022" s="48" t="str"/>
      <x:c r="F1022" s="48" t="str">
        <x:v>Termination by Employer</x:v>
      </x:c>
      <x:c r="G1022" s="48" t="str">
        <x:v>Obligation</x:v>
      </x:c>
      <x:c r="H1022" s="48" t="str">
        <x:v>Employer</x:v>
      </x:c>
      <x:c r="I1022" s="48" t="n">
        <x:v>0.55</x:v>
      </x:c>
      <x:c r="J1022" s="48" t="n">
        <x:v>0.68</x:v>
      </x:c>
      <x:c r="K1022" s="48" t="str">
        <x:v>Yes</x:v>
      </x:c>
      <x:c r="L1022" s="48" t="str">
        <x:v>PDF text</x:v>
      </x:c>
    </x:row>
    <x:row r="1023">
      <x:c r="A1023" s="48" t="str">
        <x:v>YELLOW-1022</x:v>
      </x:c>
      <x:c r="B1023" s="48" t="str">
        <x:v>YELLOW</x:v>
      </x:c>
      <x:c r="C1023" s="48" t="str">
        <x:v>English</x:v>
      </x:c>
      <x:c r="D1023" s="48" t="n">
        <x:v>64</x:v>
      </x:c>
      <x:c r="E1023" s="48" t="str"/>
      <x:c r="F1023" s="48" t="str">
        <x:v>However, this Sub-Clause shall not limit the Employer's liability under his indemnification obligations, or the Employer's liability in any case of fraud, deliberate default or reckless misconduct by the Employer.</x:v>
      </x:c>
      <x:c r="G1023" s="48" t="str">
        <x:v>Risk</x:v>
      </x:c>
      <x:c r="H1023" s="48" t="str">
        <x:v>Employer</x:v>
      </x:c>
      <x:c r="I1023" s="48" t="n">
        <x:v>0.78</x:v>
      </x:c>
      <x:c r="J1023" s="48" t="n">
        <x:v>0.68</x:v>
      </x:c>
      <x:c r="K1023" s="48" t="str">
        <x:v>Yes</x:v>
      </x:c>
      <x:c r="L1023" s="48" t="str">
        <x:v>PDF text</x:v>
      </x:c>
    </x:row>
    <x:row r="1024">
      <x:c r="A1024" s="48" t="str">
        <x:v>YELLOW-1023</x:v>
      </x:c>
      <x:c r="B1024" s="48" t="str">
        <x:v>YELLOW</x:v>
      </x:c>
      <x:c r="C1024" s="48" t="str">
        <x:v>English</x:v>
      </x:c>
      <x:c r="D1024" s="48" t="n">
        <x:v>64</x:v>
      </x:c>
      <x:c r="E1024" s="48" t="str"/>
      <x:c r="F1024" s="48" t="str">
        <x:v>The Contract Price shall be paid in the currency or currencies named in the Appendix to Tender.</x:v>
      </x:c>
      <x:c r="G1024" s="48" t="str">
        <x:v>Obligation</x:v>
      </x:c>
      <x:c r="H1024" s="48" t="str">
        <x:v>Shared</x:v>
      </x:c>
      <x:c r="I1024" s="48" t="n">
        <x:v>0.88</x:v>
      </x:c>
      <x:c r="J1024" s="48" t="n">
        <x:v>0.4</x:v>
      </x:c>
      <x:c r="K1024" s="48" t="str">
        <x:v>Yes</x:v>
      </x:c>
      <x:c r="L1024" s="48" t="str">
        <x:v>PDF text</x:v>
      </x:c>
    </x:row>
    <x:row r="1025">
      <x:c r="A1025" s="48" t="str">
        <x:v>YELLOW-1024</x:v>
      </x:c>
      <x:c r="B1025" s="48" t="str">
        <x:v>YELLOW</x:v>
      </x:c>
      <x:c r="C1025" s="48" t="str">
        <x:v>English</x:v>
      </x:c>
      <x:c r="D1025" s="48" t="n">
        <x:v>64</x:v>
      </x:c>
      <x:c r="E1025" s="48" t="str"/>
      <x:c r="F1025" s="48" t="str">
        <x:v>If the Contractor fails to carry out any obligation under the Contract, the Engineer may by notice require the Contractor to make good the failure and to remedy it within a specified reasonable time.</x:v>
      </x:c>
      <x:c r="G1025" s="48" t="str">
        <x:v>Risk</x:v>
      </x:c>
      <x:c r="H1025" s="48" t="str">
        <x:v>Contractor</x:v>
      </x:c>
      <x:c r="I1025" s="48" t="n">
        <x:v>0.78</x:v>
      </x:c>
      <x:c r="J1025" s="48" t="n">
        <x:v>0.68</x:v>
      </x:c>
      <x:c r="K1025" s="48" t="str">
        <x:v>Yes</x:v>
      </x:c>
      <x:c r="L1025" s="48" t="str">
        <x:v>PDF text</x:v>
      </x:c>
    </x:row>
    <x:row r="1026">
      <x:c r="A1026" s="48" t="str">
        <x:v>YELLOW-1025</x:v>
      </x:c>
      <x:c r="B1026" s="48" t="str">
        <x:v>YELLOW</x:v>
      </x:c>
      <x:c r="C1026" s="48" t="str">
        <x:v>English</x:v>
      </x:c>
      <x:c r="D1026" s="48" t="n">
        <x:v>64</x:v>
      </x:c>
      <x:c r="E1026" s="48" t="str"/>
      <x:c r="F1026" s="48" t="str">
        <x:v>The Employer shall be entitled to terminate the Contract if the Contractor: (a) fails to comply with Sub-Clause 4.2 [Performance Security] or with a notice under Sub-Clause 15.1 [Notice to Correct], (b) abandons the Works or otherwise plainly demonstrates the intention not to continue performance of his obligations under the Contract, (c) without reasonable excuse fails: (i) to proceed with the Works in accordance with Clause 8 [Commencement, Delays and Suspension], or (ii) to comply with a notice issued under Sub-Clause 7.5 [Rejection] or SubClause 7.6 [Remedial Work], within 28 days after receiving it,</x:v>
      </x:c>
      <x:c r="G1026" s="48" t="str">
        <x:v>Obligation</x:v>
      </x:c>
      <x:c r="H1026" s="48" t="str">
        <x:v>Employer</x:v>
      </x:c>
      <x:c r="I1026" s="48" t="n">
        <x:v>0.88</x:v>
      </x:c>
      <x:c r="J1026" s="48" t="n">
        <x:v>0.92</x:v>
      </x:c>
      <x:c r="K1026" s="48" t="str">
        <x:v>No</x:v>
      </x:c>
      <x:c r="L1026" s="48" t="str">
        <x:v>PDF text</x:v>
      </x:c>
    </x:row>
    <x:row r="1027">
      <x:c r="A1027" s="48" t="str">
        <x:v>YELLOW-1026</x:v>
      </x:c>
      <x:c r="B1027" s="48" t="str">
        <x:v>YELLOW</x:v>
      </x:c>
      <x:c r="C1027" s="48" t="str">
        <x:v>English</x:v>
      </x:c>
      <x:c r="D1027" s="48" t="n">
        <x:v>65</x:v>
      </x:c>
      <x:c r="E1027" s="48" t="str"/>
      <x:c r="F1027" s="48" t="str">
        <x:v>Valuation at Date of</x:v>
      </x:c>
      <x:c r="G1027" s="48" t="str">
        <x:v>Obligation</x:v>
      </x:c>
      <x:c r="H1027" s="48" t="str">
        <x:v>Shared</x:v>
      </x:c>
      <x:c r="I1027" s="48" t="n">
        <x:v>0.45</x:v>
      </x:c>
      <x:c r="J1027" s="48" t="n">
        <x:v>0.4</x:v>
      </x:c>
      <x:c r="K1027" s="48" t="str">
        <x:v>Yes</x:v>
      </x:c>
      <x:c r="L1027" s="48" t="str">
        <x:v>PDF text</x:v>
      </x:c>
    </x:row>
    <x:row r="1028">
      <x:c r="A1028" s="48" t="str">
        <x:v>YELLOW-1027</x:v>
      </x:c>
      <x:c r="B1028" s="48" t="str">
        <x:v>YELLOW</x:v>
      </x:c>
      <x:c r="C1028" s="48" t="str">
        <x:v>English</x:v>
      </x:c>
      <x:c r="D1028" s="48" t="n">
        <x:v>65</x:v>
      </x:c>
      <x:c r="E1028" s="48" t="str"/>
      <x:c r="F1028" s="48" t="str">
        <x:v>Termination</x:v>
      </x:c>
      <x:c r="G1028" s="48" t="str">
        <x:v>Obligation</x:v>
      </x:c>
      <x:c r="H1028" s="48" t="str">
        <x:v>Shared</x:v>
      </x:c>
      <x:c r="I1028" s="48" t="n">
        <x:v>0.55</x:v>
      </x:c>
      <x:c r="J1028" s="48" t="n">
        <x:v>0.4</x:v>
      </x:c>
      <x:c r="K1028" s="48" t="str">
        <x:v>Yes</x:v>
      </x:c>
      <x:c r="L1028" s="48" t="str">
        <x:v>PDF text</x:v>
      </x:c>
    </x:row>
    <x:row r="1029">
      <x:c r="A1029" s="48" t="str">
        <x:v>YELLOW-1028</x:v>
      </x:c>
      <x:c r="B1029" s="48" t="str">
        <x:v>YELLOW</x:v>
      </x:c>
      <x:c r="C1029" s="48" t="str">
        <x:v>English</x:v>
      </x:c>
      <x:c r="D1029" s="48" t="n">
        <x:v>65</x:v>
      </x:c>
      <x:c r="E1029" s="48" t="str"/>
      <x:c r="F1029" s="48" t="str">
        <x:v>Payment after</x:v>
      </x:c>
      <x:c r="G1029" s="48" t="str">
        <x:v>Obligation</x:v>
      </x:c>
      <x:c r="H1029" s="48" t="str">
        <x:v>Shared</x:v>
      </x:c>
      <x:c r="I1029" s="48" t="n">
        <x:v>0.55</x:v>
      </x:c>
      <x:c r="J1029" s="48" t="n">
        <x:v>0.4</x:v>
      </x:c>
      <x:c r="K1029" s="48" t="str">
        <x:v>Yes</x:v>
      </x:c>
      <x:c r="L1029" s="48" t="str">
        <x:v>PDF text</x:v>
      </x:c>
    </x:row>
    <x:row r="1030">
      <x:c r="A1030" s="48" t="str">
        <x:v>YELLOW-1029</x:v>
      </x:c>
      <x:c r="B1030" s="48" t="str">
        <x:v>YELLOW</x:v>
      </x:c>
      <x:c r="C1030" s="48" t="str">
        <x:v>English</x:v>
      </x:c>
      <x:c r="D1030" s="48" t="n">
        <x:v>65</x:v>
      </x:c>
      <x:c r="E1030" s="48" t="str"/>
      <x:c r="F1030" s="48" t="str">
        <x:v>(d) subcontracts the whole of the Works or assigns the Contract without the required agreement, (e) becomes bankrupt or insolvent, goes into liquidation, has a receiving or administration order made against him, compounds with his creditors, or carries on business under a receiver, trustee or manager for the benefit of his creditors, or if any act is done or event occurs which (under applicable Laws) has a similar effect to any of these acts or events, or (f) gives or offers to give (directly or indirectly) to any person any bribe, gift, gratuity, commission or other thing of value, as an inducement or reward: (i) for doing or forbearing to do any action in relation to the Contract, or (ii) for showing or forbearing to show favour or disfavour to any person in relation to the Contract, or if any of the Contractor's Personnel, agents or Subcontractors gives or offers to give (directly or indirectly) to any person any such inducement or reward as is described in this sub-paragraph (f).</x:v>
      </x:c>
      <x:c r="G1030" s="48" t="str">
        <x:v>Obligation</x:v>
      </x:c>
      <x:c r="H1030" s="48" t="str">
        <x:v>Contractor</x:v>
      </x:c>
      <x:c r="I1030" s="48" t="n">
        <x:v>0.45</x:v>
      </x:c>
      <x:c r="J1030" s="48" t="n">
        <x:v>0.68</x:v>
      </x:c>
      <x:c r="K1030" s="48" t="str">
        <x:v>Yes</x:v>
      </x:c>
      <x:c r="L1030" s="48" t="str">
        <x:v>PDF text</x:v>
      </x:c>
    </x:row>
    <x:row r="1031">
      <x:c r="A1031" s="48" t="str">
        <x:v>YELLOW-1030</x:v>
      </x:c>
      <x:c r="B1031" s="48" t="str">
        <x:v>YELLOW</x:v>
      </x:c>
      <x:c r="C1031" s="48" t="str">
        <x:v>English</x:v>
      </x:c>
      <x:c r="D1031" s="48" t="n">
        <x:v>65</x:v>
      </x:c>
      <x:c r="E1031" s="48" t="str"/>
      <x:c r="F1031" s="48" t="str">
        <x:v>However, lawful inducements and rewards to Contractor's Personnel shall not entitle termination.</x:v>
      </x:c>
      <x:c r="G1031" s="48" t="str">
        <x:v>Obligation</x:v>
      </x:c>
      <x:c r="H1031" s="48" t="str">
        <x:v>Contractor</x:v>
      </x:c>
      <x:c r="I1031" s="48" t="n">
        <x:v>0.88</x:v>
      </x:c>
      <x:c r="J1031" s="48" t="n">
        <x:v>0.68</x:v>
      </x:c>
      <x:c r="K1031" s="48" t="str">
        <x:v>Yes</x:v>
      </x:c>
      <x:c r="L1031" s="48" t="str">
        <x:v>PDF text</x:v>
      </x:c>
    </x:row>
    <x:row r="1032">
      <x:c r="A1032" s="48" t="str">
        <x:v>YELLOW-1031</x:v>
      </x:c>
      <x:c r="B1032" s="48" t="str">
        <x:v>YELLOW</x:v>
      </x:c>
      <x:c r="C1032" s="48" t="str">
        <x:v>English</x:v>
      </x:c>
      <x:c r="D1032" s="48" t="n">
        <x:v>65</x:v>
      </x:c>
      <x:c r="E1032" s="48" t="str"/>
      <x:c r="F1032" s="48" t="str">
        <x:v>In any of these events or circumstances, the Employer may, upon giving 14 days' notice to the Contractor, terminate the Contract and expel the Contractor from the Site.</x:v>
      </x:c>
      <x:c r="G1032" s="48" t="str">
        <x:v>Obligation</x:v>
      </x:c>
      <x:c r="H1032" s="48" t="str">
        <x:v>Shared</x:v>
      </x:c>
      <x:c r="I1032" s="48" t="n">
        <x:v>0.55</x:v>
      </x:c>
      <x:c r="J1032" s="48" t="n">
        <x:v>0.6</x:v>
      </x:c>
      <x:c r="K1032" s="48" t="str">
        <x:v>Yes</x:v>
      </x:c>
      <x:c r="L1032" s="48" t="str">
        <x:v>PDF text</x:v>
      </x:c>
    </x:row>
    <x:row r="1033">
      <x:c r="A1033" s="48" t="str">
        <x:v>YELLOW-1032</x:v>
      </x:c>
      <x:c r="B1033" s="48" t="str">
        <x:v>YELLOW</x:v>
      </x:c>
      <x:c r="C1033" s="48" t="str">
        <x:v>English</x:v>
      </x:c>
      <x:c r="D1033" s="48" t="n">
        <x:v>65</x:v>
      </x:c>
      <x:c r="E1033" s="48" t="str"/>
      <x:c r="F1033" s="48" t="str">
        <x:v>However, in the case of sub-paragraph (e) or (f), the Employer may by notice terminate the Contract immediately.</x:v>
      </x:c>
      <x:c r="G1033" s="48" t="str">
        <x:v>Right</x:v>
      </x:c>
      <x:c r="H1033" s="48" t="str">
        <x:v>Employer</x:v>
      </x:c>
      <x:c r="I1033" s="48" t="n">
        <x:v>0.78</x:v>
      </x:c>
      <x:c r="J1033" s="48" t="n">
        <x:v>0.92</x:v>
      </x:c>
      <x:c r="K1033" s="48" t="str">
        <x:v>No</x:v>
      </x:c>
      <x:c r="L1033" s="48" t="str">
        <x:v>PDF text</x:v>
      </x:c>
    </x:row>
    <x:row r="1034">
      <x:c r="A1034" s="48" t="str">
        <x:v>YELLOW-1033</x:v>
      </x:c>
      <x:c r="B1034" s="48" t="str">
        <x:v>YELLOW</x:v>
      </x:c>
      <x:c r="C1034" s="48" t="str">
        <x:v>English</x:v>
      </x:c>
      <x:c r="D1034" s="48" t="n">
        <x:v>65</x:v>
      </x:c>
      <x:c r="E1034" s="48" t="str"/>
      <x:c r="F1034" s="48" t="str">
        <x:v>The Employer's election to terminate the Contract shall not prejudice any other rights of the Employer, under the Contract or otherwise.</x:v>
      </x:c>
      <x:c r="G1034" s="48" t="str">
        <x:v>Obligation</x:v>
      </x:c>
      <x:c r="H1034" s="48" t="str">
        <x:v>Employer</x:v>
      </x:c>
      <x:c r="I1034" s="48" t="n">
        <x:v>0.88</x:v>
      </x:c>
      <x:c r="J1034" s="48" t="n">
        <x:v>0.68</x:v>
      </x:c>
      <x:c r="K1034" s="48" t="str">
        <x:v>Yes</x:v>
      </x:c>
      <x:c r="L1034" s="48" t="str">
        <x:v>PDF text</x:v>
      </x:c>
    </x:row>
    <x:row r="1035">
      <x:c r="A1035" s="48" t="str">
        <x:v>YELLOW-1034</x:v>
      </x:c>
      <x:c r="B1035" s="48" t="str">
        <x:v>YELLOW</x:v>
      </x:c>
      <x:c r="C1035" s="48" t="str">
        <x:v>English</x:v>
      </x:c>
      <x:c r="D1035" s="48" t="n">
        <x:v>65</x:v>
      </x:c>
      <x:c r="E1035" s="48" t="str"/>
      <x:c r="F1035" s="48" t="str">
        <x:v>The Contractor shall then leave the Site and deliver any required Goods, all</x:v>
      </x:c>
      <x:c r="G1035" s="48" t="str">
        <x:v>Obligation</x:v>
      </x:c>
      <x:c r="H1035" s="48" t="str">
        <x:v>Contractor</x:v>
      </x:c>
      <x:c r="I1035" s="48" t="n">
        <x:v>0.88</x:v>
      </x:c>
      <x:c r="J1035" s="48" t="n">
        <x:v>0.92</x:v>
      </x:c>
      <x:c r="K1035" s="48" t="str">
        <x:v>No</x:v>
      </x:c>
      <x:c r="L1035" s="48" t="str">
        <x:v>PDF text</x:v>
      </x:c>
    </x:row>
    <x:row r="1036">
      <x:c r="A1036" s="48" t="str">
        <x:v>YELLOW-1035</x:v>
      </x:c>
      <x:c r="B1036" s="48" t="str">
        <x:v>YELLOW</x:v>
      </x:c>
      <x:c r="C1036" s="48" t="str">
        <x:v>English</x:v>
      </x:c>
      <x:c r="D1036" s="48" t="n">
        <x:v>65</x:v>
      </x:c>
      <x:c r="E1036" s="48" t="str"/>
      <x:c r="F1036" s="48" t="str">
        <x:v>Contractor's Documents, and other design documents made by or for him, to the</x:v>
      </x:c>
      <x:c r="G1036" s="48" t="str">
        <x:v>Obligation</x:v>
      </x:c>
      <x:c r="H1036" s="48" t="str">
        <x:v>Contractor</x:v>
      </x:c>
      <x:c r="I1036" s="48" t="n">
        <x:v>0.45</x:v>
      </x:c>
      <x:c r="J1036" s="48" t="n">
        <x:v>0.68</x:v>
      </x:c>
      <x:c r="K1036" s="48" t="str">
        <x:v>Yes</x:v>
      </x:c>
      <x:c r="L1036" s="48" t="str">
        <x:v>PDF text</x:v>
      </x:c>
    </x:row>
    <x:row r="1037">
      <x:c r="A1037" s="48" t="str">
        <x:v>YELLOW-1036</x:v>
      </x:c>
      <x:c r="B1037" s="48" t="str">
        <x:v>YELLOW</x:v>
      </x:c>
      <x:c r="C1037" s="48" t="str">
        <x:v>English</x:v>
      </x:c>
      <x:c r="D1037" s="48" t="n">
        <x:v>65</x:v>
      </x:c>
      <x:c r="E1037" s="48" t="str"/>
      <x:c r="F1037" s="48" t="str">
        <x:v>However, the Contractor shall use his best efforts to comply immediately with any reasonable instructions included in the notice (i) for the assignment of any subcontract, and (ii) for the protection of life or property or for the safety of the Works.</x:v>
      </x:c>
      <x:c r="G1037" s="48" t="str">
        <x:v>Obligation</x:v>
      </x:c>
      <x:c r="H1037" s="48" t="str">
        <x:v>Contractor</x:v>
      </x:c>
      <x:c r="I1037" s="48" t="n">
        <x:v>0.88</x:v>
      </x:c>
      <x:c r="J1037" s="48" t="n">
        <x:v>0.92</x:v>
      </x:c>
      <x:c r="K1037" s="48" t="str">
        <x:v>No</x:v>
      </x:c>
      <x:c r="L1037" s="48" t="str">
        <x:v>PDF text</x:v>
      </x:c>
    </x:row>
    <x:row r="1038">
      <x:c r="A1038" s="48" t="str">
        <x:v>YELLOW-1037</x:v>
      </x:c>
      <x:c r="B1038" s="48" t="str">
        <x:v>YELLOW</x:v>
      </x:c>
      <x:c r="C1038" s="48" t="str">
        <x:v>English</x:v>
      </x:c>
      <x:c r="D1038" s="48" t="n">
        <x:v>65</x:v>
      </x:c>
      <x:c r="E1038" s="48" t="str"/>
      <x:c r="F1038" s="48" t="str">
        <x:v>After termination, the Employer may complete the Works and/or arrange for any other entities to do so.</x:v>
      </x:c>
      <x:c r="G1038" s="48" t="str">
        <x:v>Right</x:v>
      </x:c>
      <x:c r="H1038" s="48" t="str">
        <x:v>Employer</x:v>
      </x:c>
      <x:c r="I1038" s="48" t="n">
        <x:v>0.78</x:v>
      </x:c>
      <x:c r="J1038" s="48" t="n">
        <x:v>0.92</x:v>
      </x:c>
      <x:c r="K1038" s="48" t="str">
        <x:v>No</x:v>
      </x:c>
      <x:c r="L1038" s="48" t="str">
        <x:v>PDF text</x:v>
      </x:c>
    </x:row>
    <x:row r="1039">
      <x:c r="A1039" s="48" t="str">
        <x:v>YELLOW-1038</x:v>
      </x:c>
      <x:c r="B1039" s="48" t="str">
        <x:v>YELLOW</x:v>
      </x:c>
      <x:c r="C1039" s="48" t="str">
        <x:v>English</x:v>
      </x:c>
      <x:c r="D1039" s="48" t="n">
        <x:v>65</x:v>
      </x:c>
      <x:c r="E1039" s="48" t="str"/>
      <x:c r="F1039" s="48" t="str">
        <x:v>The Employer and these entities may then use any Goods,</x:v>
      </x:c>
      <x:c r="G1039" s="48" t="str">
        <x:v>Right</x:v>
      </x:c>
      <x:c r="H1039" s="48" t="str">
        <x:v>Employer</x:v>
      </x:c>
      <x:c r="I1039" s="48" t="n">
        <x:v>0.78</x:v>
      </x:c>
      <x:c r="J1039" s="48" t="n">
        <x:v>0.68</x:v>
      </x:c>
      <x:c r="K1039" s="48" t="str">
        <x:v>Yes</x:v>
      </x:c>
      <x:c r="L1039" s="48" t="str">
        <x:v>PDF text</x:v>
      </x:c>
    </x:row>
    <x:row r="1040">
      <x:c r="A1040" s="48" t="str">
        <x:v>YELLOW-1039</x:v>
      </x:c>
      <x:c r="B1040" s="48" t="str">
        <x:v>YELLOW</x:v>
      </x:c>
      <x:c r="C1040" s="48" t="str">
        <x:v>English</x:v>
      </x:c>
      <x:c r="D1040" s="48" t="n">
        <x:v>65</x:v>
      </x:c>
      <x:c r="E1040" s="48" t="str"/>
      <x:c r="F1040" s="48" t="str">
        <x:v>Contractor's Documents and other design documents made by or on behalf of the</x:v>
      </x:c>
      <x:c r="G1040" s="48" t="str">
        <x:v>Obligation</x:v>
      </x:c>
      <x:c r="H1040" s="48" t="str">
        <x:v>Contractor</x:v>
      </x:c>
      <x:c r="I1040" s="48" t="n">
        <x:v>0.45</x:v>
      </x:c>
      <x:c r="J1040" s="48" t="n">
        <x:v>0.68</x:v>
      </x:c>
      <x:c r="K1040" s="48" t="str">
        <x:v>Yes</x:v>
      </x:c>
      <x:c r="L1040" s="48" t="str">
        <x:v>PDF text</x:v>
      </x:c>
    </x:row>
    <x:row r="1041">
      <x:c r="A1041" s="48" t="str">
        <x:v>YELLOW-1040</x:v>
      </x:c>
      <x:c r="B1041" s="48" t="str">
        <x:v>YELLOW</x:v>
      </x:c>
      <x:c r="C1041" s="48" t="str">
        <x:v>English</x:v>
      </x:c>
      <x:c r="D1041" s="48" t="n">
        <x:v>65</x:v>
      </x:c>
      <x:c r="E1041" s="48" t="str"/>
      <x:c r="F1041" s="48" t="str">
        <x:v>Contractor.</x:v>
      </x:c>
      <x:c r="G1041" s="48" t="str">
        <x:v>Obligation</x:v>
      </x:c>
      <x:c r="H1041" s="48" t="str">
        <x:v>Contractor</x:v>
      </x:c>
      <x:c r="I1041" s="48" t="n">
        <x:v>0.45</x:v>
      </x:c>
      <x:c r="J1041" s="48" t="n">
        <x:v>0.68</x:v>
      </x:c>
      <x:c r="K1041" s="48" t="str">
        <x:v>Yes</x:v>
      </x:c>
      <x:c r="L1041" s="48" t="str">
        <x:v>PDF text</x:v>
      </x:c>
    </x:row>
    <x:row r="1042">
      <x:c r="A1042" s="48" t="str">
        <x:v>YELLOW-1041</x:v>
      </x:c>
      <x:c r="B1042" s="48" t="str">
        <x:v>YELLOW</x:v>
      </x:c>
      <x:c r="C1042" s="48" t="str">
        <x:v>English</x:v>
      </x:c>
      <x:c r="D1042" s="48" t="n">
        <x:v>65</x:v>
      </x:c>
      <x:c r="E1042" s="48" t="str"/>
      <x:c r="F1042" s="48" t="str">
        <x:v>The Employer shall then give notice that the Contractor's Equipment and Temporary</x:v>
      </x:c>
      <x:c r="G1042" s="48" t="str">
        <x:v>Obligation</x:v>
      </x:c>
      <x:c r="H1042" s="48" t="str">
        <x:v>Employer</x:v>
      </x:c>
      <x:c r="I1042" s="48" t="n">
        <x:v>0.88</x:v>
      </x:c>
      <x:c r="J1042" s="48" t="n">
        <x:v>0.92</x:v>
      </x:c>
      <x:c r="K1042" s="48" t="str">
        <x:v>No</x:v>
      </x:c>
      <x:c r="L1042" s="48" t="str">
        <x:v>PDF text</x:v>
      </x:c>
    </x:row>
    <x:row r="1043">
      <x:c r="A1043" s="48" t="str">
        <x:v>YELLOW-1042</x:v>
      </x:c>
      <x:c r="B1043" s="48" t="str">
        <x:v>YELLOW</x:v>
      </x:c>
      <x:c r="C1043" s="48" t="str">
        <x:v>English</x:v>
      </x:c>
      <x:c r="D1043" s="48" t="n">
        <x:v>65</x:v>
      </x:c>
      <x:c r="E1043" s="48" t="str"/>
      <x:c r="F1043" s="48" t="str">
        <x:v>Works will be released to the Contractor at or near the Site.</x:v>
      </x:c>
      <x:c r="G1043" s="48" t="str">
        <x:v>Obligation</x:v>
      </x:c>
      <x:c r="H1043" s="48" t="str">
        <x:v>Contractor</x:v>
      </x:c>
      <x:c r="I1043" s="48" t="n">
        <x:v>0.45</x:v>
      </x:c>
      <x:c r="J1043" s="48" t="n">
        <x:v>0.68</x:v>
      </x:c>
      <x:c r="K1043" s="48" t="str">
        <x:v>Yes</x:v>
      </x:c>
      <x:c r="L1043" s="48" t="str">
        <x:v>PDF text</x:v>
      </x:c>
    </x:row>
    <x:row r="1044">
      <x:c r="A1044" s="48" t="str">
        <x:v>YELLOW-1043</x:v>
      </x:c>
      <x:c r="B1044" s="48" t="str">
        <x:v>YELLOW</x:v>
      </x:c>
      <x:c r="C1044" s="48" t="str">
        <x:v>English</x:v>
      </x:c>
      <x:c r="D1044" s="48" t="n">
        <x:v>65</x:v>
      </x:c>
      <x:c r="E1044" s="48" t="str"/>
      <x:c r="F1044" s="48" t="str">
        <x:v>The Contractor shall promptly arrange their removal, at the risk and cost of the Contractor.</x:v>
      </x:c>
      <x:c r="G1044" s="48" t="str">
        <x:v>Risk</x:v>
      </x:c>
      <x:c r="H1044" s="48" t="str">
        <x:v>Contractor</x:v>
      </x:c>
      <x:c r="I1044" s="48" t="n">
        <x:v>0.78</x:v>
      </x:c>
      <x:c r="J1044" s="48" t="n">
        <x:v>0.92</x:v>
      </x:c>
      <x:c r="K1044" s="48" t="str">
        <x:v>No</x:v>
      </x:c>
      <x:c r="L1044" s="48" t="str">
        <x:v>PDF text</x:v>
      </x:c>
    </x:row>
    <x:row r="1045">
      <x:c r="A1045" s="48" t="str">
        <x:v>YELLOW-1044</x:v>
      </x:c>
      <x:c r="B1045" s="48" t="str">
        <x:v>YELLOW</x:v>
      </x:c>
      <x:c r="C1045" s="48" t="str">
        <x:v>English</x:v>
      </x:c>
      <x:c r="D1045" s="48" t="n">
        <x:v>65</x:v>
      </x:c>
      <x:c r="E1045" s="48" t="str"/>
      <x:c r="F1045" s="48" t="str">
        <x:v>However, if by this time the Contractor has failed to make a payment due to the Employer, these items may be sold by the Employer in order to recover this payment.</x:v>
      </x:c>
      <x:c r="G1045" s="48" t="str">
        <x:v>Right</x:v>
      </x:c>
      <x:c r="H1045" s="48" t="str">
        <x:v>Shared</x:v>
      </x:c>
      <x:c r="I1045" s="48" t="n">
        <x:v>0.78</x:v>
      </x:c>
      <x:c r="J1045" s="48" t="n">
        <x:v>0.6</x:v>
      </x:c>
      <x:c r="K1045" s="48" t="str">
        <x:v>Yes</x:v>
      </x:c>
      <x:c r="L1045" s="48" t="str">
        <x:v>PDF text</x:v>
      </x:c>
    </x:row>
    <x:row r="1046">
      <x:c r="A1046" s="48" t="str">
        <x:v>YELLOW-1045</x:v>
      </x:c>
      <x:c r="B1046" s="48" t="str">
        <x:v>YELLOW</x:v>
      </x:c>
      <x:c r="C1046" s="48" t="str">
        <x:v>English</x:v>
      </x:c>
      <x:c r="D1046" s="48" t="n">
        <x:v>65</x:v>
      </x:c>
      <x:c r="E1046" s="48" t="str"/>
      <x:c r="F1046" s="48" t="str">
        <x:v>Any balance of the proceeds shall then be paid to the Contractor.</x:v>
      </x:c>
      <x:c r="G1046" s="48" t="str">
        <x:v>Obligation</x:v>
      </x:c>
      <x:c r="H1046" s="48" t="str">
        <x:v>Contractor</x:v>
      </x:c>
      <x:c r="I1046" s="48" t="n">
        <x:v>0.88</x:v>
      </x:c>
      <x:c r="J1046" s="48" t="n">
        <x:v>0.68</x:v>
      </x:c>
      <x:c r="K1046" s="48" t="str">
        <x:v>Yes</x:v>
      </x:c>
      <x:c r="L1046" s="48" t="str">
        <x:v>PDF text</x:v>
      </x:c>
    </x:row>
    <x:row r="1047">
      <x:c r="A1047" s="48" t="str">
        <x:v>YELLOW-1046</x:v>
      </x:c>
      <x:c r="B1047" s="48" t="str">
        <x:v>YELLOW</x:v>
      </x:c>
      <x:c r="C1047" s="48" t="str">
        <x:v>English</x:v>
      </x:c>
      <x:c r="D1047" s="48" t="n">
        <x:v>65</x:v>
      </x:c>
      <x:c r="E1047" s="48" t="str"/>
      <x:c r="F1047" s="48" t="str">
        <x:v>As soon as practicable after a notice of termination under Sub-Clause 15.2 [Termination by Employer] has taken effect, the Engineer shall proceed in accordance with Sub-Clause 3.5 [Determinations] to agree or determine the value of the Works,</x:v>
      </x:c>
      <x:c r="G1047" s="48" t="str">
        <x:v>Obligation</x:v>
      </x:c>
      <x:c r="H1047" s="48" t="str">
        <x:v>Employer</x:v>
      </x:c>
      <x:c r="I1047" s="48" t="n">
        <x:v>0.88</x:v>
      </x:c>
      <x:c r="J1047" s="48" t="n">
        <x:v>0.68</x:v>
      </x:c>
      <x:c r="K1047" s="48" t="str">
        <x:v>Yes</x:v>
      </x:c>
      <x:c r="L1047" s="48" t="str">
        <x:v>PDF text</x:v>
      </x:c>
    </x:row>
    <x:row r="1048">
      <x:c r="A1048" s="48" t="str">
        <x:v>YELLOW-1047</x:v>
      </x:c>
      <x:c r="B1048" s="48" t="str">
        <x:v>YELLOW</x:v>
      </x:c>
      <x:c r="C1048" s="48" t="str">
        <x:v>English</x:v>
      </x:c>
      <x:c r="D1048" s="48" t="n">
        <x:v>65</x:v>
      </x:c>
      <x:c r="E1048" s="48" t="str"/>
      <x:c r="F1048" s="48" t="str">
        <x:v>Goods and Contractor's Documents, and any other sums due to the Contractor for</x:v>
      </x:c>
      <x:c r="G1048" s="48" t="str">
        <x:v>Obligation</x:v>
      </x:c>
      <x:c r="H1048" s="48" t="str">
        <x:v>Contractor</x:v>
      </x:c>
      <x:c r="I1048" s="48" t="n">
        <x:v>0.45</x:v>
      </x:c>
      <x:c r="J1048" s="48" t="n">
        <x:v>0.68</x:v>
      </x:c>
      <x:c r="K1048" s="48" t="str">
        <x:v>Yes</x:v>
      </x:c>
      <x:c r="L1048" s="48" t="str">
        <x:v>PDF text</x:v>
      </x:c>
    </x:row>
    <x:row r="1049">
      <x:c r="A1049" s="48" t="str">
        <x:v>YELLOW-1048</x:v>
      </x:c>
      <x:c r="B1049" s="48" t="str">
        <x:v>YELLOW</x:v>
      </x:c>
      <x:c r="C1049" s="48" t="str">
        <x:v>English</x:v>
      </x:c>
      <x:c r="D1049" s="48" t="n">
        <x:v>65</x:v>
      </x:c>
      <x:c r="E1049" s="48" t="str"/>
      <x:c r="F1049" s="48" t="str">
        <x:v>work executed in accordance with the Contract.</x:v>
      </x:c>
      <x:c r="G1049" s="48" t="str">
        <x:v>Obligation</x:v>
      </x:c>
      <x:c r="H1049" s="48" t="str">
        <x:v>Shared</x:v>
      </x:c>
      <x:c r="I1049" s="48" t="n">
        <x:v>0.45</x:v>
      </x:c>
      <x:c r="J1049" s="48" t="n">
        <x:v>0.4</x:v>
      </x:c>
      <x:c r="K1049" s="48" t="str">
        <x:v>Yes</x:v>
      </x:c>
      <x:c r="L1049" s="48" t="str">
        <x:v>PDF text</x:v>
      </x:c>
    </x:row>
    <x:row r="1050">
      <x:c r="A1050" s="48" t="str">
        <x:v>YELLOW-1049</x:v>
      </x:c>
      <x:c r="B1050" s="48" t="str">
        <x:v>YELLOW</x:v>
      </x:c>
      <x:c r="C1050" s="48" t="str">
        <x:v>English</x:v>
      </x:c>
      <x:c r="D1050" s="48" t="n">
        <x:v>65</x:v>
      </x:c>
      <x:c r="E1050" s="48" t="str"/>
      <x:c r="F1050" s="48" t="str">
        <x:v>After a notice of termination under Sub-Clause 15.2 [Termination by Employer] has taken effect, the Employer may:</x:v>
      </x:c>
      <x:c r="G1050" s="48" t="str">
        <x:v>Obligation</x:v>
      </x:c>
      <x:c r="H1050" s="48" t="str">
        <x:v>Employer</x:v>
      </x:c>
      <x:c r="I1050" s="48" t="n">
        <x:v>0.55</x:v>
      </x:c>
      <x:c r="J1050" s="48" t="n">
        <x:v>0.68</x:v>
      </x:c>
      <x:c r="K1050" s="48" t="str">
        <x:v>Yes</x:v>
      </x:c>
      <x:c r="L1050" s="48" t="str">
        <x:v>PDF text</x:v>
      </x:c>
    </x:row>
    <x:row r="1051">
      <x:c r="A1051" s="48" t="str">
        <x:v>YELLOW-1050</x:v>
      </x:c>
      <x:c r="B1051" s="48" t="str">
        <x:v>YELLOW</x:v>
      </x:c>
      <x:c r="C1051" s="48" t="str">
        <x:v>English</x:v>
      </x:c>
      <x:c r="D1051" s="48" t="n">
        <x:v>66</x:v>
      </x:c>
      <x:c r="E1051" s="48" t="str"/>
      <x:c r="F1051" s="48" t="str">
        <x:v>Employer’s Entitlement</x:v>
      </x:c>
      <x:c r="G1051" s="48" t="str">
        <x:v>Obligation</x:v>
      </x:c>
      <x:c r="H1051" s="48" t="str">
        <x:v>Employer</x:v>
      </x:c>
      <x:c r="I1051" s="48" t="n">
        <x:v>0.45</x:v>
      </x:c>
      <x:c r="J1051" s="48" t="n">
        <x:v>0.68</x:v>
      </x:c>
      <x:c r="K1051" s="48" t="str">
        <x:v>Yes</x:v>
      </x:c>
      <x:c r="L1051" s="48" t="str">
        <x:v>PDF text</x:v>
      </x:c>
    </x:row>
    <x:row r="1052">
      <x:c r="A1052" s="48" t="str">
        <x:v>YELLOW-1051</x:v>
      </x:c>
      <x:c r="B1052" s="48" t="str">
        <x:v>YELLOW</x:v>
      </x:c>
      <x:c r="C1052" s="48" t="str">
        <x:v>English</x:v>
      </x:c>
      <x:c r="D1052" s="48" t="n">
        <x:v>66</x:v>
      </x:c>
      <x:c r="E1052" s="48" t="str"/>
      <x:c r="F1052" s="48" t="str">
        <x:v>to Termination 16.1</x:v>
      </x:c>
      <x:c r="G1052" s="48" t="str">
        <x:v>Obligation</x:v>
      </x:c>
      <x:c r="H1052" s="48" t="str">
        <x:v>Shared</x:v>
      </x:c>
      <x:c r="I1052" s="48" t="n">
        <x:v>0.55</x:v>
      </x:c>
      <x:c r="J1052" s="48" t="n">
        <x:v>0.4</x:v>
      </x:c>
      <x:c r="K1052" s="48" t="str">
        <x:v>Yes</x:v>
      </x:c>
      <x:c r="L1052" s="48" t="str">
        <x:v>PDF text</x:v>
      </x:c>
    </x:row>
    <x:row r="1053">
      <x:c r="A1053" s="48" t="str">
        <x:v>YELLOW-1052</x:v>
      </x:c>
      <x:c r="B1053" s="48" t="str">
        <x:v>YELLOW</x:v>
      </x:c>
      <x:c r="C1053" s="48" t="str">
        <x:v>English</x:v>
      </x:c>
      <x:c r="D1053" s="48" t="n">
        <x:v>66</x:v>
      </x:c>
      <x:c r="E1053" s="48" t="str"/>
      <x:c r="F1053" s="48" t="str">
        <x:v>Contractor’s Entitlement</x:v>
      </x:c>
      <x:c r="G1053" s="48" t="str">
        <x:v>Obligation</x:v>
      </x:c>
      <x:c r="H1053" s="48" t="str">
        <x:v>Contractor</x:v>
      </x:c>
      <x:c r="I1053" s="48" t="n">
        <x:v>0.45</x:v>
      </x:c>
      <x:c r="J1053" s="48" t="n">
        <x:v>0.68</x:v>
      </x:c>
      <x:c r="K1053" s="48" t="str">
        <x:v>Yes</x:v>
      </x:c>
      <x:c r="L1053" s="48" t="str">
        <x:v>PDF text</x:v>
      </x:c>
    </x:row>
    <x:row r="1054">
      <x:c r="A1054" s="48" t="str">
        <x:v>YELLOW-1053</x:v>
      </x:c>
      <x:c r="B1054" s="48" t="str">
        <x:v>YELLOW</x:v>
      </x:c>
      <x:c r="C1054" s="48" t="str">
        <x:v>English</x:v>
      </x:c>
      <x:c r="D1054" s="48" t="n">
        <x:v>66</x:v>
      </x:c>
      <x:c r="E1054" s="48" t="str"/>
      <x:c r="F1054" s="48" t="str">
        <x:v>to Suspend Work (a) proceed in accordance with Sub-Clause 2.5 [Employer's Claims], (b) withhold further payments to the Contractor until the costs of design, execution, completion and remedying of any defects, damages for delay in completion (if any), and all other costs incurred by the Employer, have been established, and/or (c) recover from the Contractor any losses and damages incurred by the Employer and any extra costs of completing the Works, after allowing for any sum due to the Contractor under Sub-Clause 15.3 [Valuation at Date of Termination].</x:v>
      </x:c>
      <x:c r="G1054" s="48" t="str">
        <x:v>Risk</x:v>
      </x:c>
      <x:c r="H1054" s="48" t="str">
        <x:v>Shared</x:v>
      </x:c>
      <x:c r="I1054" s="48" t="n">
        <x:v>0.78</x:v>
      </x:c>
      <x:c r="J1054" s="48" t="n">
        <x:v>0.6</x:v>
      </x:c>
      <x:c r="K1054" s="48" t="str">
        <x:v>Yes</x:v>
      </x:c>
      <x:c r="L1054" s="48" t="str">
        <x:v>PDF text</x:v>
      </x:c>
    </x:row>
    <x:row r="1055">
      <x:c r="A1055" s="48" t="str">
        <x:v>YELLOW-1054</x:v>
      </x:c>
      <x:c r="B1055" s="48" t="str">
        <x:v>YELLOW</x:v>
      </x:c>
      <x:c r="C1055" s="48" t="str">
        <x:v>English</x:v>
      </x:c>
      <x:c r="D1055" s="48" t="n">
        <x:v>66</x:v>
      </x:c>
      <x:c r="E1055" s="48" t="str"/>
      <x:c r="F1055" s="48" t="str">
        <x:v>After recovering any such losses, damages and extra costs, the Employer shall pay any balance to the Contractor.</x:v>
      </x:c>
      <x:c r="G1055" s="48" t="str">
        <x:v>Obligation</x:v>
      </x:c>
      <x:c r="H1055" s="48" t="str">
        <x:v>Employer</x:v>
      </x:c>
      <x:c r="I1055" s="48" t="n">
        <x:v>0.88</x:v>
      </x:c>
      <x:c r="J1055" s="48" t="n">
        <x:v>0.92</x:v>
      </x:c>
      <x:c r="K1055" s="48" t="str">
        <x:v>No</x:v>
      </x:c>
      <x:c r="L1055" s="48" t="str">
        <x:v>PDF text</x:v>
      </x:c>
    </x:row>
    <x:row r="1056">
      <x:c r="A1056" s="48" t="str">
        <x:v>YELLOW-1055</x:v>
      </x:c>
      <x:c r="B1056" s="48" t="str">
        <x:v>YELLOW</x:v>
      </x:c>
      <x:c r="C1056" s="48" t="str">
        <x:v>English</x:v>
      </x:c>
      <x:c r="D1056" s="48" t="n">
        <x:v>66</x:v>
      </x:c>
      <x:c r="E1056" s="48" t="str"/>
      <x:c r="F1056" s="48" t="str">
        <x:v>The Employer shall be entitled to terminate the Contract, at any time for the</x:v>
      </x:c>
      <x:c r="G1056" s="48" t="str">
        <x:v>Obligation</x:v>
      </x:c>
      <x:c r="H1056" s="48" t="str">
        <x:v>Employer</x:v>
      </x:c>
      <x:c r="I1056" s="48" t="n">
        <x:v>0.88</x:v>
      </x:c>
      <x:c r="J1056" s="48" t="n">
        <x:v>0.92</x:v>
      </x:c>
      <x:c r="K1056" s="48" t="str">
        <x:v>No</x:v>
      </x:c>
      <x:c r="L1056" s="48" t="str">
        <x:v>PDF text</x:v>
      </x:c>
    </x:row>
    <x:row r="1057">
      <x:c r="A1057" s="48" t="str">
        <x:v>YELLOW-1056</x:v>
      </x:c>
      <x:c r="B1057" s="48" t="str">
        <x:v>YELLOW</x:v>
      </x:c>
      <x:c r="C1057" s="48" t="str">
        <x:v>English</x:v>
      </x:c>
      <x:c r="D1057" s="48" t="n">
        <x:v>66</x:v>
      </x:c>
      <x:c r="E1057" s="48" t="str"/>
      <x:c r="F1057" s="48" t="str">
        <x:v>Employer's convenience, by giving notice of such termination to the Contractor.</x:v>
      </x:c>
      <x:c r="G1057" s="48" t="str">
        <x:v>Obligation</x:v>
      </x:c>
      <x:c r="H1057" s="48" t="str">
        <x:v>Shared</x:v>
      </x:c>
      <x:c r="I1057" s="48" t="n">
        <x:v>0.55</x:v>
      </x:c>
      <x:c r="J1057" s="48" t="n">
        <x:v>0.6</x:v>
      </x:c>
      <x:c r="K1057" s="48" t="str">
        <x:v>Yes</x:v>
      </x:c>
      <x:c r="L1057" s="48" t="str">
        <x:v>PDF text</x:v>
      </x:c>
    </x:row>
    <x:row r="1058">
      <x:c r="A1058" s="48" t="str">
        <x:v>YELLOW-1057</x:v>
      </x:c>
      <x:c r="B1058" s="48" t="str">
        <x:v>YELLOW</x:v>
      </x:c>
      <x:c r="C1058" s="48" t="str">
        <x:v>English</x:v>
      </x:c>
      <x:c r="D1058" s="48" t="n">
        <x:v>66</x:v>
      </x:c>
      <x:c r="E1058" s="48" t="str"/>
      <x:c r="F1058" s="48" t="str">
        <x:v>The termination shall take effect 28 days after the later of the dates on which the Contractor receives this notice or the Employer returns the Performance Security.</x:v>
      </x:c>
      <x:c r="G1058" s="48" t="str">
        <x:v>Obligation</x:v>
      </x:c>
      <x:c r="H1058" s="48" t="str">
        <x:v>Shared</x:v>
      </x:c>
      <x:c r="I1058" s="48" t="n">
        <x:v>0.88</x:v>
      </x:c>
      <x:c r="J1058" s="48" t="n">
        <x:v>0.6</x:v>
      </x:c>
      <x:c r="K1058" s="48" t="str">
        <x:v>Yes</x:v>
      </x:c>
      <x:c r="L1058" s="48" t="str">
        <x:v>PDF text</x:v>
      </x:c>
    </x:row>
    <x:row r="1059">
      <x:c r="A1059" s="48" t="str">
        <x:v>YELLOW-1058</x:v>
      </x:c>
      <x:c r="B1059" s="48" t="str">
        <x:v>YELLOW</x:v>
      </x:c>
      <x:c r="C1059" s="48" t="str">
        <x:v>English</x:v>
      </x:c>
      <x:c r="D1059" s="48" t="n">
        <x:v>66</x:v>
      </x:c>
      <x:c r="E1059" s="48" t="str"/>
      <x:c r="F1059" s="48" t="str">
        <x:v>The Employer shall not terminate the Contract under this Sub-Clause in order to</x:v>
      </x:c>
      <x:c r="G1059" s="48" t="str">
        <x:v>Obligation</x:v>
      </x:c>
      <x:c r="H1059" s="48" t="str">
        <x:v>Employer</x:v>
      </x:c>
      <x:c r="I1059" s="48" t="n">
        <x:v>0.88</x:v>
      </x:c>
      <x:c r="J1059" s="48" t="n">
        <x:v>0.92</x:v>
      </x:c>
      <x:c r="K1059" s="48" t="str">
        <x:v>No</x:v>
      </x:c>
      <x:c r="L1059" s="48" t="str">
        <x:v>PDF text</x:v>
      </x:c>
    </x:row>
    <x:row r="1060">
      <x:c r="A1060" s="48" t="str">
        <x:v>YELLOW-1059</x:v>
      </x:c>
      <x:c r="B1060" s="48" t="str">
        <x:v>YELLOW</x:v>
      </x:c>
      <x:c r="C1060" s="48" t="str">
        <x:v>English</x:v>
      </x:c>
      <x:c r="D1060" s="48" t="n">
        <x:v>66</x:v>
      </x:c>
      <x:c r="E1060" s="48" t="str"/>
      <x:c r="F1060" s="48" t="str">
        <x:v>execute the Works himself or to arrange for the Works to be executed by another contractor.</x:v>
      </x:c>
      <x:c r="G1060" s="48" t="str">
        <x:v>Obligation</x:v>
      </x:c>
      <x:c r="H1060" s="48" t="str">
        <x:v>Contractor</x:v>
      </x:c>
      <x:c r="I1060" s="48" t="n">
        <x:v>0.45</x:v>
      </x:c>
      <x:c r="J1060" s="48" t="n">
        <x:v>0.68</x:v>
      </x:c>
      <x:c r="K1060" s="48" t="str">
        <x:v>Yes</x:v>
      </x:c>
      <x:c r="L1060" s="48" t="str">
        <x:v>PDF text</x:v>
      </x:c>
    </x:row>
    <x:row r="1061">
      <x:c r="A1061" s="48" t="str">
        <x:v>YELLOW-1060</x:v>
      </x:c>
      <x:c r="B1061" s="48" t="str">
        <x:v>YELLOW</x:v>
      </x:c>
      <x:c r="C1061" s="48" t="str">
        <x:v>English</x:v>
      </x:c>
      <x:c r="D1061" s="48" t="n">
        <x:v>66</x:v>
      </x:c>
      <x:c r="E1061" s="48" t="str"/>
      <x:c r="F1061" s="48" t="str">
        <x:v>After this termination, the Contractor shall proceed in accordance with Sub-Clause</x:v>
      </x:c>
      <x:c r="G1061" s="48" t="str">
        <x:v>Obligation</x:v>
      </x:c>
      <x:c r="H1061" s="48" t="str">
        <x:v>Contractor</x:v>
      </x:c>
      <x:c r="I1061" s="48" t="n">
        <x:v>0.88</x:v>
      </x:c>
      <x:c r="J1061" s="48" t="n">
        <x:v>0.92</x:v>
      </x:c>
      <x:c r="K1061" s="48" t="str">
        <x:v>No</x:v>
      </x:c>
      <x:c r="L1061" s="48" t="str">
        <x:v>PDF text</x:v>
      </x:c>
    </x:row>
    <x:row r="1062">
      <x:c r="A1062" s="48" t="str">
        <x:v>YELLOW-1061</x:v>
      </x:c>
      <x:c r="B1062" s="48" t="str">
        <x:v>YELLOW</x:v>
      </x:c>
      <x:c r="C1062" s="48" t="str">
        <x:v>English</x:v>
      </x:c>
      <x:c r="D1062" s="48" t="n">
        <x:v>66</x:v>
      </x:c>
      <x:c r="E1062" s="48" t="str">
        <x:v>16.3</x:v>
      </x:c>
      <x:c r="F1062" s="48" t="str">
        <x:v>16.3 [Cessation of Work and Removal of Contractor's Equipment] and shall be</x:v>
      </x:c>
      <x:c r="G1062" s="48" t="str">
        <x:v>Obligation</x:v>
      </x:c>
      <x:c r="H1062" s="48" t="str">
        <x:v>Contractor</x:v>
      </x:c>
      <x:c r="I1062" s="48" t="n">
        <x:v>0.88</x:v>
      </x:c>
      <x:c r="J1062" s="48" t="n">
        <x:v>0.68</x:v>
      </x:c>
      <x:c r="K1062" s="48" t="str">
        <x:v>Yes</x:v>
      </x:c>
      <x:c r="L1062" s="48" t="str">
        <x:v>PDF text</x:v>
      </x:c>
    </x:row>
    <x:row r="1063">
      <x:c r="A1063" s="48" t="str">
        <x:v>YELLOW-1062</x:v>
      </x:c>
      <x:c r="B1063" s="48" t="str">
        <x:v>YELLOW</x:v>
      </x:c>
      <x:c r="C1063" s="48" t="str">
        <x:v>English</x:v>
      </x:c>
      <x:c r="D1063" s="48" t="n">
        <x:v>66</x:v>
      </x:c>
      <x:c r="E1063" s="48" t="str"/>
      <x:c r="F1063" s="48" t="str">
        <x:v>paid in accordance with Sub-Clause 19.6 [Optional Termination, Payment and Release].</x:v>
      </x:c>
      <x:c r="G1063" s="48" t="str">
        <x:v>Obligation</x:v>
      </x:c>
      <x:c r="H1063" s="48" t="str">
        <x:v>Shared</x:v>
      </x:c>
      <x:c r="I1063" s="48" t="n">
        <x:v>0.55</x:v>
      </x:c>
      <x:c r="J1063" s="48" t="n">
        <x:v>0.4</x:v>
      </x:c>
      <x:c r="K1063" s="48" t="str">
        <x:v>Yes</x:v>
      </x:c>
      <x:c r="L1063" s="48" t="str">
        <x:v>PDF text</x:v>
      </x:c>
    </x:row>
    <x:row r="1064">
      <x:c r="A1064" s="48" t="str">
        <x:v>YELLOW-1063</x:v>
      </x:c>
      <x:c r="B1064" s="48" t="str">
        <x:v>YELLOW</x:v>
      </x:c>
      <x:c r="C1064" s="48" t="str">
        <x:v>English</x:v>
      </x:c>
      <x:c r="D1064" s="48" t="n">
        <x:v>66</x:v>
      </x:c>
      <x:c r="E1064" s="48" t="str"/>
      <x:c r="F1064" s="48" t="str">
        <x:v>If the Engineer fails to certify in accordance with Sub-Clause 14.6 [Issue of Interim Payment Certificates] or the Employer fails to comply with Sub-Clause 2.4 [Employer's Financial Arrangements] or Sub-Clause 14.7 [Payment], the Contractor may, after giving not less than 21 days' notice to the Employer, suspend work (or reduce the rate of work) unless and until the Contractor has received the Payment</x:v>
      </x:c>
      <x:c r="G1064" s="48" t="str">
        <x:v>Obligation</x:v>
      </x:c>
      <x:c r="H1064" s="48" t="str">
        <x:v>Shared</x:v>
      </x:c>
      <x:c r="I1064" s="48" t="n">
        <x:v>0.55</x:v>
      </x:c>
      <x:c r="J1064" s="48" t="n">
        <x:v>0.6</x:v>
      </x:c>
      <x:c r="K1064" s="48" t="str">
        <x:v>Yes</x:v>
      </x:c>
      <x:c r="L1064" s="48" t="str">
        <x:v>PDF text</x:v>
      </x:c>
    </x:row>
    <x:row r="1065">
      <x:c r="A1065" s="48" t="str">
        <x:v>YELLOW-1064</x:v>
      </x:c>
      <x:c r="B1065" s="48" t="str">
        <x:v>YELLOW</x:v>
      </x:c>
      <x:c r="C1065" s="48" t="str">
        <x:v>English</x:v>
      </x:c>
      <x:c r="D1065" s="48" t="n">
        <x:v>66</x:v>
      </x:c>
      <x:c r="E1065" s="48" t="str"/>
      <x:c r="F1065" s="48" t="str">
        <x:v>Certificate, reasonable evidence or payment, as the case may be and as described</x:v>
      </x:c>
      <x:c r="G1065" s="48" t="str">
        <x:v>Right</x:v>
      </x:c>
      <x:c r="H1065" s="48" t="str">
        <x:v>Shared</x:v>
      </x:c>
      <x:c r="I1065" s="48" t="n">
        <x:v>0.78</x:v>
      </x:c>
      <x:c r="J1065" s="48" t="n">
        <x:v>0.4</x:v>
      </x:c>
      <x:c r="K1065" s="48" t="str">
        <x:v>Yes</x:v>
      </x:c>
      <x:c r="L1065" s="48" t="str">
        <x:v>PDF text</x:v>
      </x:c>
    </x:row>
    <x:row r="1066">
      <x:c r="A1066" s="48" t="str">
        <x:v>YELLOW-1065</x:v>
      </x:c>
      <x:c r="B1066" s="48" t="str">
        <x:v>YELLOW</x:v>
      </x:c>
      <x:c r="C1066" s="48" t="str">
        <x:v>English</x:v>
      </x:c>
      <x:c r="D1066" s="48" t="n">
        <x:v>66</x:v>
      </x:c>
      <x:c r="E1066" s="48" t="str"/>
      <x:c r="F1066" s="48" t="str">
        <x:v>in the notice.</x:v>
      </x:c>
      <x:c r="G1066" s="48" t="str">
        <x:v>Obligation</x:v>
      </x:c>
      <x:c r="H1066" s="48" t="str">
        <x:v>Shared</x:v>
      </x:c>
      <x:c r="I1066" s="48" t="n">
        <x:v>0.55</x:v>
      </x:c>
      <x:c r="J1066" s="48" t="n">
        <x:v>0.4</x:v>
      </x:c>
      <x:c r="K1066" s="48" t="str">
        <x:v>Yes</x:v>
      </x:c>
      <x:c r="L1066" s="48" t="str">
        <x:v>PDF text</x:v>
      </x:c>
    </x:row>
    <x:row r="1067">
      <x:c r="A1067" s="48" t="str">
        <x:v>YELLOW-1066</x:v>
      </x:c>
      <x:c r="B1067" s="48" t="str">
        <x:v>YELLOW</x:v>
      </x:c>
      <x:c r="C1067" s="48" t="str">
        <x:v>English</x:v>
      </x:c>
      <x:c r="D1067" s="48" t="n">
        <x:v>66</x:v>
      </x:c>
      <x:c r="E1067" s="48" t="str"/>
      <x:c r="F1067" s="48" t="str">
        <x:v>The Contractor's action shall not prejudice his entitlements to financing charges under Sub-Clause 14.8 [Delayed Payment] and to termination under Sub-Clause 16.2 [Termination by Contractor].</x:v>
      </x:c>
      <x:c r="G1067" s="48" t="str">
        <x:v>Obligation</x:v>
      </x:c>
      <x:c r="H1067" s="48" t="str">
        <x:v>Contractor</x:v>
      </x:c>
      <x:c r="I1067" s="48" t="n">
        <x:v>0.88</x:v>
      </x:c>
      <x:c r="J1067" s="48" t="n">
        <x:v>0.68</x:v>
      </x:c>
      <x:c r="K1067" s="48" t="str">
        <x:v>Yes</x:v>
      </x:c>
      <x:c r="L1067" s="48" t="str">
        <x:v>PDF text</x:v>
      </x:c>
    </x:row>
    <x:row r="1068">
      <x:c r="A1068" s="48" t="str">
        <x:v>YELLOW-1067</x:v>
      </x:c>
      <x:c r="B1068" s="48" t="str">
        <x:v>YELLOW</x:v>
      </x:c>
      <x:c r="C1068" s="48" t="str">
        <x:v>English</x:v>
      </x:c>
      <x:c r="D1068" s="48" t="n">
        <x:v>66</x:v>
      </x:c>
      <x:c r="E1068" s="48" t="str"/>
      <x:c r="F1068" s="48" t="str">
        <x:v>If the Contractor subsequently receives such Payment Certificate, evidence or</x:v>
      </x:c>
      <x:c r="G1068" s="48" t="str">
        <x:v>Obligation</x:v>
      </x:c>
      <x:c r="H1068" s="48" t="str">
        <x:v>Contractor</x:v>
      </x:c>
      <x:c r="I1068" s="48" t="n">
        <x:v>0.55</x:v>
      </x:c>
      <x:c r="J1068" s="48" t="n">
        <x:v>0.68</x:v>
      </x:c>
      <x:c r="K1068" s="48" t="str">
        <x:v>Yes</x:v>
      </x:c>
      <x:c r="L1068" s="48" t="str">
        <x:v>PDF text</x:v>
      </x:c>
    </x:row>
    <x:row r="1069">
      <x:c r="A1069" s="48" t="str">
        <x:v>YELLOW-1068</x:v>
      </x:c>
      <x:c r="B1069" s="48" t="str">
        <x:v>YELLOW</x:v>
      </x:c>
      <x:c r="C1069" s="48" t="str">
        <x:v>English</x:v>
      </x:c>
      <x:c r="D1069" s="48" t="n">
        <x:v>66</x:v>
      </x:c>
      <x:c r="E1069" s="48" t="str"/>
      <x:c r="F1069" s="48" t="str">
        <x:v>payment (as described in the relevant Sub-Clause and in the above notice) before giving a notice of termination, the Contractor shall resume normal working as soon as is reasonably practicable.</x:v>
      </x:c>
      <x:c r="G1069" s="48" t="str">
        <x:v>Obligation</x:v>
      </x:c>
      <x:c r="H1069" s="48" t="str">
        <x:v>Contractor</x:v>
      </x:c>
      <x:c r="I1069" s="48" t="n">
        <x:v>0.88</x:v>
      </x:c>
      <x:c r="J1069" s="48" t="n">
        <x:v>0.92</x:v>
      </x:c>
      <x:c r="K1069" s="48" t="str">
        <x:v>No</x:v>
      </x:c>
      <x:c r="L1069" s="48" t="str">
        <x:v>PDF text</x:v>
      </x:c>
    </x:row>
    <x:row r="1070">
      <x:c r="A1070" s="48" t="str">
        <x:v>YELLOW-1069</x:v>
      </x:c>
      <x:c r="B1070" s="48" t="str">
        <x:v>YELLOW</x:v>
      </x:c>
      <x:c r="C1070" s="48" t="str">
        <x:v>English</x:v>
      </x:c>
      <x:c r="D1070" s="48" t="n">
        <x:v>66</x:v>
      </x:c>
      <x:c r="E1070" s="48" t="str"/>
      <x:c r="F1070" s="48" t="str">
        <x:v>If the Contractor suffers delay and/or incurs Cost as a result of suspending work (or reducing the rate of work) in accordance with this Sub-Clause, the Contractor shall give notice to the Engineer and shall be entitled subject to Sub-Clause 20.1 [Contractor's Claims] to: (a) an extension of time for any such delay, if completion is or will be delayed, under Sub-Clause 8.4 [Extension of Time for Completion], and (b) payment of any such Cost plus reasonable profit, which shall be included in the Contract Price.</x:v>
      </x:c>
      <x:c r="G1070" s="48" t="str">
        <x:v>Risk</x:v>
      </x:c>
      <x:c r="H1070" s="48" t="str">
        <x:v>Contractor</x:v>
      </x:c>
      <x:c r="I1070" s="48" t="n">
        <x:v>0.78</x:v>
      </x:c>
      <x:c r="J1070" s="48" t="n">
        <x:v>0.92</x:v>
      </x:c>
      <x:c r="K1070" s="48" t="str">
        <x:v>No</x:v>
      </x:c>
      <x:c r="L1070" s="48" t="str">
        <x:v>PDF text</x:v>
      </x:c>
    </x:row>
    <x:row r="1071">
      <x:c r="A1071" s="48" t="str">
        <x:v>YELLOW-1070</x:v>
      </x:c>
      <x:c r="B1071" s="48" t="str">
        <x:v>YELLOW</x:v>
      </x:c>
      <x:c r="C1071" s="48" t="str">
        <x:v>English</x:v>
      </x:c>
      <x:c r="D1071" s="48" t="n">
        <x:v>66</x:v>
      </x:c>
      <x:c r="E1071" s="48" t="str"/>
      <x:c r="F1071" s="48" t="str">
        <x:v>Suspension and Termination by Contractor</x:v>
      </x:c>
      <x:c r="G1071" s="48" t="str">
        <x:v>Obligation</x:v>
      </x:c>
      <x:c r="H1071" s="48" t="str">
        <x:v>Contractor</x:v>
      </x:c>
      <x:c r="I1071" s="48" t="n">
        <x:v>0.55</x:v>
      </x:c>
      <x:c r="J1071" s="48" t="n">
        <x:v>0.68</x:v>
      </x:c>
      <x:c r="K1071" s="48" t="str">
        <x:v>Yes</x:v>
      </x:c>
      <x:c r="L1071" s="48" t="str">
        <x:v>PDF text</x:v>
      </x:c>
    </x:row>
    <x:row r="1072">
      <x:c r="A1072" s="48" t="str">
        <x:v>YELLOW-1071</x:v>
      </x:c>
      <x:c r="B1072" s="48" t="str">
        <x:v>YELLOW</x:v>
      </x:c>
      <x:c r="C1072" s="48" t="str">
        <x:v>English</x:v>
      </x:c>
      <x:c r="D1072" s="48" t="n">
        <x:v>67</x:v>
      </x:c>
      <x:c r="E1072" s="48" t="str"/>
      <x:c r="F1072" s="48" t="str">
        <x:v>Termination by</x:v>
      </x:c>
      <x:c r="G1072" s="48" t="str">
        <x:v>Obligation</x:v>
      </x:c>
      <x:c r="H1072" s="48" t="str">
        <x:v>Shared</x:v>
      </x:c>
      <x:c r="I1072" s="48" t="n">
        <x:v>0.55</x:v>
      </x:c>
      <x:c r="J1072" s="48" t="n">
        <x:v>0.4</x:v>
      </x:c>
      <x:c r="K1072" s="48" t="str">
        <x:v>Yes</x:v>
      </x:c>
      <x:c r="L1072" s="48" t="str">
        <x:v>PDF text</x:v>
      </x:c>
    </x:row>
    <x:row r="1073">
      <x:c r="A1073" s="48" t="str">
        <x:v>YELLOW-1072</x:v>
      </x:c>
      <x:c r="B1073" s="48" t="str">
        <x:v>YELLOW</x:v>
      </x:c>
      <x:c r="C1073" s="48" t="str">
        <x:v>English</x:v>
      </x:c>
      <x:c r="D1073" s="48" t="n">
        <x:v>67</x:v>
      </x:c>
      <x:c r="E1073" s="48" t="str"/>
      <x:c r="F1073" s="48" t="str">
        <x:v>Cessation of Work and</x:v>
      </x:c>
      <x:c r="G1073" s="48" t="str">
        <x:v>Obligation</x:v>
      </x:c>
      <x:c r="H1073" s="48" t="str">
        <x:v>Shared</x:v>
      </x:c>
      <x:c r="I1073" s="48" t="n">
        <x:v>0.45</x:v>
      </x:c>
      <x:c r="J1073" s="48" t="n">
        <x:v>0.4</x:v>
      </x:c>
      <x:c r="K1073" s="48" t="str">
        <x:v>Yes</x:v>
      </x:c>
      <x:c r="L1073" s="48" t="str">
        <x:v>PDF text</x:v>
      </x:c>
    </x:row>
    <x:row r="1074">
      <x:c r="A1074" s="48" t="str">
        <x:v>YELLOW-1073</x:v>
      </x:c>
      <x:c r="B1074" s="48" t="str">
        <x:v>YELLOW</x:v>
      </x:c>
      <x:c r="C1074" s="48" t="str">
        <x:v>English</x:v>
      </x:c>
      <x:c r="D1074" s="48" t="n">
        <x:v>67</x:v>
      </x:c>
      <x:c r="E1074" s="48" t="str"/>
      <x:c r="F1074" s="48" t="str">
        <x:v>Removal of Contractor’s</x:v>
      </x:c>
      <x:c r="G1074" s="48" t="str">
        <x:v>Obligation</x:v>
      </x:c>
      <x:c r="H1074" s="48" t="str">
        <x:v>Contractor</x:v>
      </x:c>
      <x:c r="I1074" s="48" t="n">
        <x:v>0.45</x:v>
      </x:c>
      <x:c r="J1074" s="48" t="n">
        <x:v>0.68</x:v>
      </x:c>
      <x:c r="K1074" s="48" t="str">
        <x:v>Yes</x:v>
      </x:c>
      <x:c r="L1074" s="48" t="str">
        <x:v>PDF text</x:v>
      </x:c>
    </x:row>
    <x:row r="1075">
      <x:c r="A1075" s="48" t="str">
        <x:v>YELLOW-1074</x:v>
      </x:c>
      <x:c r="B1075" s="48" t="str">
        <x:v>YELLOW</x:v>
      </x:c>
      <x:c r="C1075" s="48" t="str">
        <x:v>English</x:v>
      </x:c>
      <x:c r="D1075" s="48" t="n">
        <x:v>67</x:v>
      </x:c>
      <x:c r="E1075" s="48" t="str"/>
      <x:c r="F1075" s="48" t="str">
        <x:v>Payment on Termination</x:v>
      </x:c>
      <x:c r="G1075" s="48" t="str">
        <x:v>Obligation</x:v>
      </x:c>
      <x:c r="H1075" s="48" t="str">
        <x:v>Shared</x:v>
      </x:c>
      <x:c r="I1075" s="48" t="n">
        <x:v>0.55</x:v>
      </x:c>
      <x:c r="J1075" s="48" t="n">
        <x:v>0.4</x:v>
      </x:c>
      <x:c r="K1075" s="48" t="str">
        <x:v>Yes</x:v>
      </x:c>
      <x:c r="L1075" s="48" t="str">
        <x:v>PDF text</x:v>
      </x:c>
    </x:row>
    <x:row r="1076">
      <x:c r="A1076" s="48" t="str">
        <x:v>YELLOW-1075</x:v>
      </x:c>
      <x:c r="B1076" s="48" t="str">
        <x:v>YELLOW</x:v>
      </x:c>
      <x:c r="C1076" s="48" t="str">
        <x:v>English</x:v>
      </x:c>
      <x:c r="D1076" s="48" t="n">
        <x:v>67</x:v>
      </x:c>
      <x:c r="E1076" s="48" t="str"/>
      <x:c r="F1076" s="48" t="str">
        <x:v>In any of these events or circumstances, the Contractor may, upon giving 14 days' notice to the Employer, terminate the Contract.</x:v>
      </x:c>
      <x:c r="G1076" s="48" t="str">
        <x:v>Obligation</x:v>
      </x:c>
      <x:c r="H1076" s="48" t="str">
        <x:v>Shared</x:v>
      </x:c>
      <x:c r="I1076" s="48" t="n">
        <x:v>0.55</x:v>
      </x:c>
      <x:c r="J1076" s="48" t="n">
        <x:v>0.6</x:v>
      </x:c>
      <x:c r="K1076" s="48" t="str">
        <x:v>Yes</x:v>
      </x:c>
      <x:c r="L1076" s="48" t="str">
        <x:v>PDF text</x:v>
      </x:c>
    </x:row>
    <x:row r="1077">
      <x:c r="A1077" s="48" t="str">
        <x:v>YELLOW-1076</x:v>
      </x:c>
      <x:c r="B1077" s="48" t="str">
        <x:v>YELLOW</x:v>
      </x:c>
      <x:c r="C1077" s="48" t="str">
        <x:v>English</x:v>
      </x:c>
      <x:c r="D1077" s="48" t="n">
        <x:v>67</x:v>
      </x:c>
      <x:c r="E1077" s="48" t="str"/>
      <x:c r="F1077" s="48" t="str">
        <x:v>However, in the case of subparagraph (f) or (g), the Contractor may by notice terminate the Contract immediately.</x:v>
      </x:c>
      <x:c r="G1077" s="48" t="str">
        <x:v>Right</x:v>
      </x:c>
      <x:c r="H1077" s="48" t="str">
        <x:v>Contractor</x:v>
      </x:c>
      <x:c r="I1077" s="48" t="n">
        <x:v>0.78</x:v>
      </x:c>
      <x:c r="J1077" s="48" t="n">
        <x:v>0.92</x:v>
      </x:c>
      <x:c r="K1077" s="48" t="str">
        <x:v>No</x:v>
      </x:c>
      <x:c r="L1077" s="48" t="str">
        <x:v>PDF text</x:v>
      </x:c>
    </x:row>
    <x:row r="1078">
      <x:c r="A1078" s="48" t="str">
        <x:v>YELLOW-1077</x:v>
      </x:c>
      <x:c r="B1078" s="48" t="str">
        <x:v>YELLOW</x:v>
      </x:c>
      <x:c r="C1078" s="48" t="str">
        <x:v>English</x:v>
      </x:c>
      <x:c r="D1078" s="48" t="n">
        <x:v>67</x:v>
      </x:c>
      <x:c r="E1078" s="48" t="str"/>
      <x:c r="F1078" s="48" t="str">
        <x:v>The Contractor's election to terminate the Contract shall not prejudice any other rights of the Contractor, under the Contract or otherwise.</x:v>
      </x:c>
      <x:c r="G1078" s="48" t="str">
        <x:v>Obligation</x:v>
      </x:c>
      <x:c r="H1078" s="48" t="str">
        <x:v>Contractor</x:v>
      </x:c>
      <x:c r="I1078" s="48" t="n">
        <x:v>0.88</x:v>
      </x:c>
      <x:c r="J1078" s="48" t="n">
        <x:v>0.68</x:v>
      </x:c>
      <x:c r="K1078" s="48" t="str">
        <x:v>Yes</x:v>
      </x:c>
      <x:c r="L1078" s="48" t="str">
        <x:v>PDF text</x:v>
      </x:c>
    </x:row>
    <x:row r="1079">
      <x:c r="A1079" s="48" t="str">
        <x:v>YELLOW-1078</x:v>
      </x:c>
      <x:c r="B1079" s="48" t="str">
        <x:v>YELLOW</x:v>
      </x:c>
      <x:c r="C1079" s="48" t="str">
        <x:v>English</x:v>
      </x:c>
      <x:c r="D1079" s="48" t="n">
        <x:v>67</x:v>
      </x:c>
      <x:c r="E1079" s="48" t="str"/>
      <x:c r="F1079" s="48" t="str">
        <x:v>After a notice of termination under Sub-Clause 15.5 [Employer's Entitlement to Termination], Sub-Clause 16.2 [Termination by Contractor] or Sub-Clause 19.6 [Optional Termination, Payment and Release] has taken effect, the Contractor shall promptly: (a) cease all further work, except for such work as may have been instructed by the Engineer for the protection of life or property or for the safety of the Works, (b) hand over Contractor's Documents, Plant, Materials and other work, for which the Contractor has received payment, and (c) remove all other Goods from the Site, except as necessary for safety, and leave the Site.</x:v>
      </x:c>
      <x:c r="G1079" s="48" t="str">
        <x:v>Obligation</x:v>
      </x:c>
      <x:c r="H1079" s="48" t="str">
        <x:v>Contractor</x:v>
      </x:c>
      <x:c r="I1079" s="48" t="n">
        <x:v>0.88</x:v>
      </x:c>
      <x:c r="J1079" s="48" t="n">
        <x:v>0.92</x:v>
      </x:c>
      <x:c r="K1079" s="48" t="str">
        <x:v>No</x:v>
      </x:c>
      <x:c r="L1079" s="48" t="str">
        <x:v>PDF text</x:v>
      </x:c>
    </x:row>
    <x:row r="1080">
      <x:c r="A1080" s="48" t="str">
        <x:v>YELLOW-1079</x:v>
      </x:c>
      <x:c r="B1080" s="48" t="str">
        <x:v>YELLOW</x:v>
      </x:c>
      <x:c r="C1080" s="48" t="str">
        <x:v>English</x:v>
      </x:c>
      <x:c r="D1080" s="48" t="n">
        <x:v>67</x:v>
      </x:c>
      <x:c r="E1080" s="48" t="str"/>
      <x:c r="F1080" s="48" t="str">
        <x:v>After a notice of termination under Sub-Clause 16.2 [Termination by Contractor] has taken effect, the Employer shall promptly: (a) return the Performance Security to the Contractor, (b) pay the Contractor in accordance with Sub-Clause 19.6 [Optional Termination, Payment and Release], and (c) pay to the Contractor the amount of any loss of profit or other loss or damage sustained by the Contractor as a result of this termination.</x:v>
      </x:c>
      <x:c r="G1080" s="48" t="str">
        <x:v>Risk</x:v>
      </x:c>
      <x:c r="H1080" s="48" t="str">
        <x:v>Employer</x:v>
      </x:c>
      <x:c r="I1080" s="48" t="n">
        <x:v>0.78</x:v>
      </x:c>
      <x:c r="J1080" s="48" t="n">
        <x:v>0.92</x:v>
      </x:c>
      <x:c r="K1080" s="48" t="str">
        <x:v>No</x:v>
      </x:c>
      <x:c r="L1080" s="48" t="str">
        <x:v>PDF text</x:v>
      </x:c>
    </x:row>
    <x:row r="1081">
      <x:c r="A1081" s="48" t="str">
        <x:v>YELLOW-1080</x:v>
      </x:c>
      <x:c r="B1081" s="48" t="str">
        <x:v>YELLOW</x:v>
      </x:c>
      <x:c r="C1081" s="48" t="str">
        <x:v>English</x:v>
      </x:c>
      <x:c r="D1081" s="48" t="n">
        <x:v>68</x:v>
      </x:c>
      <x:c r="E1081" s="48" t="str"/>
      <x:c r="F1081" s="48" t="str">
        <x:v>Indemnities</x:v>
      </x:c>
      <x:c r="G1081" s="48" t="str">
        <x:v>Obligation</x:v>
      </x:c>
      <x:c r="H1081" s="48" t="str">
        <x:v>Shared</x:v>
      </x:c>
      <x:c r="I1081" s="48" t="n">
        <x:v>0.45</x:v>
      </x:c>
      <x:c r="J1081" s="48" t="n">
        <x:v>0.4</x:v>
      </x:c>
      <x:c r="K1081" s="48" t="str">
        <x:v>Yes</x:v>
      </x:c>
      <x:c r="L1081" s="48" t="str">
        <x:v>PDF text</x:v>
      </x:c>
    </x:row>
    <x:row r="1082">
      <x:c r="A1082" s="48" t="str">
        <x:v>YELLOW-1081</x:v>
      </x:c>
      <x:c r="B1082" s="48" t="str">
        <x:v>YELLOW</x:v>
      </x:c>
      <x:c r="C1082" s="48" t="str">
        <x:v>English</x:v>
      </x:c>
      <x:c r="D1082" s="48" t="n">
        <x:v>68</x:v>
      </x:c>
      <x:c r="E1082" s="48" t="str"/>
      <x:c r="F1082" s="48" t="str">
        <x:v>Contractor's Care of the</x:v>
      </x:c>
      <x:c r="G1082" s="48" t="str">
        <x:v>Obligation</x:v>
      </x:c>
      <x:c r="H1082" s="48" t="str">
        <x:v>Contractor</x:v>
      </x:c>
      <x:c r="I1082" s="48" t="n">
        <x:v>0.45</x:v>
      </x:c>
      <x:c r="J1082" s="48" t="n">
        <x:v>0.68</x:v>
      </x:c>
      <x:c r="K1082" s="48" t="str">
        <x:v>Yes</x:v>
      </x:c>
      <x:c r="L1082" s="48" t="str">
        <x:v>PDF text</x:v>
      </x:c>
    </x:row>
    <x:row r="1083">
      <x:c r="A1083" s="48" t="str">
        <x:v>YELLOW-1082</x:v>
      </x:c>
      <x:c r="B1083" s="48" t="str">
        <x:v>YELLOW</x:v>
      </x:c>
      <x:c r="C1083" s="48" t="str">
        <x:v>English</x:v>
      </x:c>
      <x:c r="D1083" s="48" t="n">
        <x:v>68</x:v>
      </x:c>
      <x:c r="E1083" s="48" t="str"/>
      <x:c r="F1083" s="48" t="str">
        <x:v>The Contractor shall indemnify and hold harmless the Employer, the Employer's</x:v>
      </x:c>
      <x:c r="G1083" s="48" t="str">
        <x:v>Obligation</x:v>
      </x:c>
      <x:c r="H1083" s="48" t="str">
        <x:v>Contractor</x:v>
      </x:c>
      <x:c r="I1083" s="48" t="n">
        <x:v>0.88</x:v>
      </x:c>
      <x:c r="J1083" s="48" t="n">
        <x:v>0.92</x:v>
      </x:c>
      <x:c r="K1083" s="48" t="str">
        <x:v>No</x:v>
      </x:c>
      <x:c r="L1083" s="48" t="str">
        <x:v>PDF text</x:v>
      </x:c>
    </x:row>
    <x:row r="1084">
      <x:c r="A1084" s="48" t="str">
        <x:v>YELLOW-1083</x:v>
      </x:c>
      <x:c r="B1084" s="48" t="str">
        <x:v>YELLOW</x:v>
      </x:c>
      <x:c r="C1084" s="48" t="str">
        <x:v>English</x:v>
      </x:c>
      <x:c r="D1084" s="48" t="n">
        <x:v>68</x:v>
      </x:c>
      <x:c r="E1084" s="48" t="str"/>
      <x:c r="F1084" s="48" t="str">
        <x:v>Personnel, and their respective agents, against and from all claims, damages, losses and expenses (including legal fees and expenses) in respect of: (a) bodily injury, sickness, disease or death, of any person whatsoever arising out of or in the course of or by reason of the design, execution and completion of the Works and the remedying of any defects, unless attributable to any negligence, wilful act or breach of the Contract by the Employer, the Employer's</x:v>
      </x:c>
      <x:c r="G1084" s="48" t="str">
        <x:v>Obligation</x:v>
      </x:c>
      <x:c r="H1084" s="48" t="str">
        <x:v>Employer</x:v>
      </x:c>
      <x:c r="I1084" s="48" t="n">
        <x:v>0.45</x:v>
      </x:c>
      <x:c r="J1084" s="48" t="n">
        <x:v>0.68</x:v>
      </x:c>
      <x:c r="K1084" s="48" t="str">
        <x:v>Yes</x:v>
      </x:c>
      <x:c r="L1084" s="48" t="str">
        <x:v>PDF text</x:v>
      </x:c>
    </x:row>
    <x:row r="1085">
      <x:c r="A1085" s="48" t="str">
        <x:v>YELLOW-1084</x:v>
      </x:c>
      <x:c r="B1085" s="48" t="str">
        <x:v>YELLOW</x:v>
      </x:c>
      <x:c r="C1085" s="48" t="str">
        <x:v>English</x:v>
      </x:c>
      <x:c r="D1085" s="48" t="n">
        <x:v>68</x:v>
      </x:c>
      <x:c r="E1085" s="48" t="str"/>
      <x:c r="F1085" s="48" t="str">
        <x:v>Personnel, or any of their respective agents, and</x:v>
      </x:c>
      <x:c r="G1085" s="48" t="str">
        <x:v>Obligation</x:v>
      </x:c>
      <x:c r="H1085" s="48" t="str">
        <x:v>Shared</x:v>
      </x:c>
      <x:c r="I1085" s="48" t="n">
        <x:v>0.45</x:v>
      </x:c>
      <x:c r="J1085" s="48" t="n">
        <x:v>0.4</x:v>
      </x:c>
      <x:c r="K1085" s="48" t="str">
        <x:v>Yes</x:v>
      </x:c>
      <x:c r="L1085" s="48" t="str">
        <x:v>PDF text</x:v>
      </x:c>
    </x:row>
    <x:row r="1086">
      <x:c r="A1086" s="48" t="str">
        <x:v>YELLOW-1085</x:v>
      </x:c>
      <x:c r="B1086" s="48" t="str">
        <x:v>YELLOW</x:v>
      </x:c>
      <x:c r="C1086" s="48" t="str">
        <x:v>English</x:v>
      </x:c>
      <x:c r="D1086" s="48" t="n">
        <x:v>68</x:v>
      </x:c>
      <x:c r="E1086" s="48" t="str"/>
      <x:c r="F1086" s="48" t="str">
        <x:v>(b) damage to or loss of any property, real or personal (other than the Works), to the extent that such damage or loss: (i) arises out of or in the course of or by reason of the design, execution and completion of the Works and the remedying of any defects, and (ii) is attributable to any negligence, wilful act or breach of the Contract by the Contractor, the Contractor's Personnel, their respective agents, or anyone directly or indirectly employed by any of them.</x:v>
      </x:c>
      <x:c r="G1086" s="48" t="str">
        <x:v>Obligation</x:v>
      </x:c>
      <x:c r="H1086" s="48" t="str">
        <x:v>Contractor</x:v>
      </x:c>
      <x:c r="I1086" s="48" t="n">
        <x:v>0.45</x:v>
      </x:c>
      <x:c r="J1086" s="48" t="n">
        <x:v>0.68</x:v>
      </x:c>
      <x:c r="K1086" s="48" t="str">
        <x:v>Yes</x:v>
      </x:c>
      <x:c r="L1086" s="48" t="str">
        <x:v>PDF text</x:v>
      </x:c>
    </x:row>
    <x:row r="1087">
      <x:c r="A1087" s="48" t="str">
        <x:v>YELLOW-1086</x:v>
      </x:c>
      <x:c r="B1087" s="48" t="str">
        <x:v>YELLOW</x:v>
      </x:c>
      <x:c r="C1087" s="48" t="str">
        <x:v>English</x:v>
      </x:c>
      <x:c r="D1087" s="48" t="n">
        <x:v>68</x:v>
      </x:c>
      <x:c r="E1087" s="48" t="str"/>
      <x:c r="F1087" s="48" t="str">
        <x:v>The Employer shall indemnify and hold harmless the Contractor, the Contractor's</x:v>
      </x:c>
      <x:c r="G1087" s="48" t="str">
        <x:v>Obligation</x:v>
      </x:c>
      <x:c r="H1087" s="48" t="str">
        <x:v>Employer</x:v>
      </x:c>
      <x:c r="I1087" s="48" t="n">
        <x:v>0.88</x:v>
      </x:c>
      <x:c r="J1087" s="48" t="n">
        <x:v>0.92</x:v>
      </x:c>
      <x:c r="K1087" s="48" t="str">
        <x:v>No</x:v>
      </x:c>
      <x:c r="L1087" s="48" t="str">
        <x:v>PDF text</x:v>
      </x:c>
    </x:row>
    <x:row r="1088">
      <x:c r="A1088" s="48" t="str">
        <x:v>YELLOW-1087</x:v>
      </x:c>
      <x:c r="B1088" s="48" t="str">
        <x:v>YELLOW</x:v>
      </x:c>
      <x:c r="C1088" s="48" t="str">
        <x:v>English</x:v>
      </x:c>
      <x:c r="D1088" s="48" t="n">
        <x:v>68</x:v>
      </x:c>
      <x:c r="E1088" s="48" t="str"/>
      <x:c r="F1088" s="48" t="str">
        <x:v>Personnel, and their respective agents, against and from all claims, damages, losses and expenses (including legal fees and expenses) in respect of (1) bodily injury, sickness, disease or death, which is attributable to any negligence, wilful act or breach of the Contract by the Employer, the Employer's Personnel, or any of their respective agents, and (2) the matters for which liability may be excluded from insurance cover, as described in sub-paragraphs (d)(i), (ii) and (iii) of Sub-Clause 18.3 [Insurance Against Injury to Persons and Damage to Property].</x:v>
      </x:c>
      <x:c r="G1088" s="48" t="str">
        <x:v>Risk</x:v>
      </x:c>
      <x:c r="H1088" s="48" t="str">
        <x:v>Employer</x:v>
      </x:c>
      <x:c r="I1088" s="48" t="n">
        <x:v>0.78</x:v>
      </x:c>
      <x:c r="J1088" s="48" t="n">
        <x:v>0.68</x:v>
      </x:c>
      <x:c r="K1088" s="48" t="str">
        <x:v>Yes</x:v>
      </x:c>
      <x:c r="L1088" s="48" t="str">
        <x:v>PDF text</x:v>
      </x:c>
    </x:row>
    <x:row r="1089">
      <x:c r="A1089" s="48" t="str">
        <x:v>YELLOW-1088</x:v>
      </x:c>
      <x:c r="B1089" s="48" t="str">
        <x:v>YELLOW</x:v>
      </x:c>
      <x:c r="C1089" s="48" t="str">
        <x:v>English</x:v>
      </x:c>
      <x:c r="D1089" s="48" t="n">
        <x:v>68</x:v>
      </x:c>
      <x:c r="E1089" s="48" t="str"/>
      <x:c r="F1089" s="48" t="str">
        <x:v>The Contractor shall take full responsibility for the care of the Works and Goods from the Commencement Date until the Taking-Over Certificate is issued (or is deemed to be issued under Sub-Clause 10.1 [Taking Over of the Works and Sections]) for the Works, when responsibility for the care of the Works shall pass to the Employer.</x:v>
      </x:c>
      <x:c r="G1089" s="48" t="str">
        <x:v>Obligation</x:v>
      </x:c>
      <x:c r="H1089" s="48" t="str">
        <x:v>Contractor</x:v>
      </x:c>
      <x:c r="I1089" s="48" t="n">
        <x:v>0.88</x:v>
      </x:c>
      <x:c r="J1089" s="48" t="n">
        <x:v>0.92</x:v>
      </x:c>
      <x:c r="K1089" s="48" t="str">
        <x:v>No</x:v>
      </x:c>
      <x:c r="L1089" s="48" t="str">
        <x:v>PDF text</x:v>
      </x:c>
    </x:row>
    <x:row r="1090">
      <x:c r="A1090" s="48" t="str">
        <x:v>YELLOW-1089</x:v>
      </x:c>
      <x:c r="B1090" s="48" t="str">
        <x:v>YELLOW</x:v>
      </x:c>
      <x:c r="C1090" s="48" t="str">
        <x:v>English</x:v>
      </x:c>
      <x:c r="D1090" s="48" t="n">
        <x:v>68</x:v>
      </x:c>
      <x:c r="E1090" s="48" t="str"/>
      <x:c r="F1090" s="48" t="str">
        <x:v>If a Taking-Over Certificate is issued (or is so deemed to be issued) for any Section or part of the Works, responsibility for the care of the Section or part shall then pass to the Employer.</x:v>
      </x:c>
      <x:c r="G1090" s="48" t="str">
        <x:v>Obligation</x:v>
      </x:c>
      <x:c r="H1090" s="48" t="str">
        <x:v>Employer</x:v>
      </x:c>
      <x:c r="I1090" s="48" t="n">
        <x:v>0.88</x:v>
      </x:c>
      <x:c r="J1090" s="48" t="n">
        <x:v>0.68</x:v>
      </x:c>
      <x:c r="K1090" s="48" t="str">
        <x:v>Yes</x:v>
      </x:c>
      <x:c r="L1090" s="48" t="str">
        <x:v>PDF text</x:v>
      </x:c>
    </x:row>
    <x:row r="1091">
      <x:c r="A1091" s="48" t="str">
        <x:v>YELLOW-1090</x:v>
      </x:c>
      <x:c r="B1091" s="48" t="str">
        <x:v>YELLOW</x:v>
      </x:c>
      <x:c r="C1091" s="48" t="str">
        <x:v>English</x:v>
      </x:c>
      <x:c r="D1091" s="48" t="n">
        <x:v>68</x:v>
      </x:c>
      <x:c r="E1091" s="48" t="str"/>
      <x:c r="F1091" s="48" t="str">
        <x:v>After responsibility has accordingly passed to the Employer, the Contractor shall take responsibility for the care of any work which is outstanding on the date stated in a Taking-Over Certificate, until this outstanding work has been completed.</x:v>
      </x:c>
      <x:c r="G1091" s="48" t="str">
        <x:v>Obligation</x:v>
      </x:c>
      <x:c r="H1091" s="48" t="str">
        <x:v>Contractor</x:v>
      </x:c>
      <x:c r="I1091" s="48" t="n">
        <x:v>0.88</x:v>
      </x:c>
      <x:c r="J1091" s="48" t="n">
        <x:v>0.92</x:v>
      </x:c>
      <x:c r="K1091" s="48" t="str">
        <x:v>No</x:v>
      </x:c>
      <x:c r="L1091" s="48" t="str">
        <x:v>PDF text</x:v>
      </x:c>
    </x:row>
    <x:row r="1092">
      <x:c r="A1092" s="48" t="str">
        <x:v>YELLOW-1091</x:v>
      </x:c>
      <x:c r="B1092" s="48" t="str">
        <x:v>YELLOW</x:v>
      </x:c>
      <x:c r="C1092" s="48" t="str">
        <x:v>English</x:v>
      </x:c>
      <x:c r="D1092" s="48" t="n">
        <x:v>68</x:v>
      </x:c>
      <x:c r="E1092" s="48" t="str"/>
      <x:c r="F1092" s="48" t="str">
        <x:v>If any loss or damage happens to the Works, Goods or Contractor's Documents</x:v>
      </x:c>
      <x:c r="G1092" s="48" t="str">
        <x:v>Risk</x:v>
      </x:c>
      <x:c r="H1092" s="48" t="str">
        <x:v>Contractor</x:v>
      </x:c>
      <x:c r="I1092" s="48" t="n">
        <x:v>0.78</x:v>
      </x:c>
      <x:c r="J1092" s="48" t="n">
        <x:v>0.68</x:v>
      </x:c>
      <x:c r="K1092" s="48" t="str">
        <x:v>Yes</x:v>
      </x:c>
      <x:c r="L1092" s="48" t="str">
        <x:v>PDF text</x:v>
      </x:c>
    </x:row>
    <x:row r="1093">
      <x:c r="A1093" s="48" t="str">
        <x:v>YELLOW-1092</x:v>
      </x:c>
      <x:c r="B1093" s="48" t="str">
        <x:v>YELLOW</x:v>
      </x:c>
      <x:c r="C1093" s="48" t="str">
        <x:v>English</x:v>
      </x:c>
      <x:c r="D1093" s="48" t="n">
        <x:v>68</x:v>
      </x:c>
      <x:c r="E1093" s="48" t="str"/>
      <x:c r="F1093" s="48" t="str">
        <x:v>during the period when the Contractor is responsible for their care, from any cause not listed in Sub-Clause 17.3 [Employer's Risks], the Contractor shall rectify the loss or damage at the Contractor's risk and cost, so that the Works, Goods and Contractor's Documents conform with the Contract.</x:v>
      </x:c>
      <x:c r="G1093" s="48" t="str">
        <x:v>Risk</x:v>
      </x:c>
      <x:c r="H1093" s="48" t="str">
        <x:v>Employer</x:v>
      </x:c>
      <x:c r="I1093" s="48" t="n">
        <x:v>0.78</x:v>
      </x:c>
      <x:c r="J1093" s="48" t="n">
        <x:v>0.9</x:v>
      </x:c>
      <x:c r="K1093" s="48" t="str">
        <x:v>No</x:v>
      </x:c>
      <x:c r="L1093" s="48" t="str">
        <x:v>PDF text</x:v>
      </x:c>
    </x:row>
    <x:row r="1094">
      <x:c r="A1094" s="48" t="str">
        <x:v>YELLOW-1093</x:v>
      </x:c>
      <x:c r="B1094" s="48" t="str">
        <x:v>YELLOW</x:v>
      </x:c>
      <x:c r="C1094" s="48" t="str">
        <x:v>English</x:v>
      </x:c>
      <x:c r="D1094" s="48" t="n">
        <x:v>68</x:v>
      </x:c>
      <x:c r="E1094" s="48" t="str"/>
      <x:c r="F1094" s="48" t="str">
        <x:v>The Contractor shall be liable for any loss or damage caused by any actions</x:v>
      </x:c>
      <x:c r="G1094" s="48" t="str">
        <x:v>Risk</x:v>
      </x:c>
      <x:c r="H1094" s="48" t="str">
        <x:v>Contractor</x:v>
      </x:c>
      <x:c r="I1094" s="48" t="n">
        <x:v>0.78</x:v>
      </x:c>
      <x:c r="J1094" s="48" t="n">
        <x:v>0.92</x:v>
      </x:c>
      <x:c r="K1094" s="48" t="str">
        <x:v>No</x:v>
      </x:c>
      <x:c r="L1094" s="48" t="str">
        <x:v>PDF text</x:v>
      </x:c>
    </x:row>
    <x:row r="1095">
      <x:c r="A1095" s="48" t="str">
        <x:v>YELLOW-1094</x:v>
      </x:c>
      <x:c r="B1095" s="48" t="str">
        <x:v>YELLOW</x:v>
      </x:c>
      <x:c r="C1095" s="48" t="str">
        <x:v>English</x:v>
      </x:c>
      <x:c r="D1095" s="48" t="n">
        <x:v>68</x:v>
      </x:c>
      <x:c r="E1095" s="48" t="str"/>
      <x:c r="F1095" s="48" t="str">
        <x:v>performed by the Contractor after a Taking-Over Certificate has been issued.</x:v>
      </x:c>
      <x:c r="G1095" s="48" t="str">
        <x:v>Obligation</x:v>
      </x:c>
      <x:c r="H1095" s="48" t="str">
        <x:v>Contractor</x:v>
      </x:c>
      <x:c r="I1095" s="48" t="n">
        <x:v>0.55</x:v>
      </x:c>
      <x:c r="J1095" s="48" t="n">
        <x:v>0.68</x:v>
      </x:c>
      <x:c r="K1095" s="48" t="str">
        <x:v>Yes</x:v>
      </x:c>
      <x:c r="L1095" s="48" t="str">
        <x:v>PDF text</x:v>
      </x:c>
    </x:row>
    <x:row r="1096">
      <x:c r="A1096" s="48" t="str">
        <x:v>YELLOW-1095</x:v>
      </x:c>
      <x:c r="B1096" s="48" t="str">
        <x:v>YELLOW</x:v>
      </x:c>
      <x:c r="C1096" s="48" t="str">
        <x:v>English</x:v>
      </x:c>
      <x:c r="D1096" s="48" t="n">
        <x:v>68</x:v>
      </x:c>
      <x:c r="E1096" s="48" t="str"/>
      <x:c r="F1096" s="48" t="str">
        <x:v>The Contractor shall also be liable for any loss or damage which occurs after a TakingOver Certificate has been issued and which arose from a previous event for which the Contractor was liable.</x:v>
      </x:c>
      <x:c r="G1096" s="48" t="str">
        <x:v>Risk</x:v>
      </x:c>
      <x:c r="H1096" s="48" t="str">
        <x:v>Contractor</x:v>
      </x:c>
      <x:c r="I1096" s="48" t="n">
        <x:v>0.78</x:v>
      </x:c>
      <x:c r="J1096" s="48" t="n">
        <x:v>0.92</x:v>
      </x:c>
      <x:c r="K1096" s="48" t="str">
        <x:v>No</x:v>
      </x:c>
      <x:c r="L1096" s="48" t="str">
        <x:v>PDF text</x:v>
      </x:c>
    </x:row>
    <x:row r="1097">
      <x:c r="A1097" s="48" t="str">
        <x:v>YELLOW-1096</x:v>
      </x:c>
      <x:c r="B1097" s="48" t="str">
        <x:v>YELLOW</x:v>
      </x:c>
      <x:c r="C1097" s="48" t="str">
        <x:v>English</x:v>
      </x:c>
      <x:c r="D1097" s="48" t="n">
        <x:v>68</x:v>
      </x:c>
      <x:c r="E1097" s="48" t="str"/>
      <x:c r="F1097" s="48" t="str">
        <x:v>Risk and Responsibility</x:v>
      </x:c>
      <x:c r="G1097" s="48" t="str">
        <x:v>Obligation</x:v>
      </x:c>
      <x:c r="H1097" s="48" t="str">
        <x:v>Shared</x:v>
      </x:c>
      <x:c r="I1097" s="48" t="n">
        <x:v>0.45</x:v>
      </x:c>
      <x:c r="J1097" s="48" t="n">
        <x:v>0.4</x:v>
      </x:c>
      <x:c r="K1097" s="48" t="str">
        <x:v>Yes</x:v>
      </x:c>
      <x:c r="L1097" s="48" t="str">
        <x:v>PDF text</x:v>
      </x:c>
    </x:row>
    <x:row r="1098">
      <x:c r="A1098" s="48" t="str">
        <x:v>YELLOW-1097</x:v>
      </x:c>
      <x:c r="B1098" s="48" t="str">
        <x:v>YELLOW</x:v>
      </x:c>
      <x:c r="C1098" s="48" t="str">
        <x:v>English</x:v>
      </x:c>
      <x:c r="D1098" s="48" t="n">
        <x:v>69</x:v>
      </x:c>
      <x:c r="E1098" s="48" t="str"/>
      <x:c r="F1098" s="48" t="str">
        <x:v>Employer’s Risks</x:v>
      </x:c>
      <x:c r="G1098" s="48" t="str">
        <x:v>Obligation</x:v>
      </x:c>
      <x:c r="H1098" s="48" t="str">
        <x:v>Employer</x:v>
      </x:c>
      <x:c r="I1098" s="48" t="n">
        <x:v>0.45</x:v>
      </x:c>
      <x:c r="J1098" s="48" t="n">
        <x:v>0.68</x:v>
      </x:c>
      <x:c r="K1098" s="48" t="str">
        <x:v>Yes</x:v>
      </x:c>
      <x:c r="L1098" s="48" t="str">
        <x:v>PDF text</x:v>
      </x:c>
    </x:row>
    <x:row r="1099">
      <x:c r="A1099" s="48" t="str">
        <x:v>YELLOW-1098</x:v>
      </x:c>
      <x:c r="B1099" s="48" t="str">
        <x:v>YELLOW</x:v>
      </x:c>
      <x:c r="C1099" s="48" t="str">
        <x:v>English</x:v>
      </x:c>
      <x:c r="D1099" s="48" t="n">
        <x:v>69</x:v>
      </x:c>
      <x:c r="E1099" s="48" t="str"/>
      <x:c r="F1099" s="48" t="str">
        <x:v>Intellectual and Industrial</x:v>
      </x:c>
      <x:c r="G1099" s="48" t="str">
        <x:v>Obligation</x:v>
      </x:c>
      <x:c r="H1099" s="48" t="str">
        <x:v>Shared</x:v>
      </x:c>
      <x:c r="I1099" s="48" t="n">
        <x:v>0.45</x:v>
      </x:c>
      <x:c r="J1099" s="48" t="n">
        <x:v>0.4</x:v>
      </x:c>
      <x:c r="K1099" s="48" t="str">
        <x:v>Yes</x:v>
      </x:c>
      <x:c r="L1099" s="48" t="str">
        <x:v>PDF text</x:v>
      </x:c>
    </x:row>
    <x:row r="1100">
      <x:c r="A1100" s="48" t="str">
        <x:v>YELLOW-1099</x:v>
      </x:c>
      <x:c r="B1100" s="48" t="str">
        <x:v>YELLOW</x:v>
      </x:c>
      <x:c r="C1100" s="48" t="str">
        <x:v>English</x:v>
      </x:c>
      <x:c r="D1100" s="48" t="n">
        <x:v>69</x:v>
      </x:c>
      <x:c r="E1100" s="48" t="str"/>
      <x:c r="F1100" s="48" t="str">
        <x:v>Property Rights</x:v>
      </x:c>
      <x:c r="G1100" s="48" t="str">
        <x:v>Obligation</x:v>
      </x:c>
      <x:c r="H1100" s="48" t="str">
        <x:v>Shared</x:v>
      </x:c>
      <x:c r="I1100" s="48" t="n">
        <x:v>0.45</x:v>
      </x:c>
      <x:c r="J1100" s="48" t="n">
        <x:v>0.4</x:v>
      </x:c>
      <x:c r="K1100" s="48" t="str">
        <x:v>Yes</x:v>
      </x:c>
      <x:c r="L1100" s="48" t="str">
        <x:v>PDF text</x:v>
      </x:c>
    </x:row>
    <x:row r="1101">
      <x:c r="A1101" s="48" t="str">
        <x:v>YELLOW-1100</x:v>
      </x:c>
      <x:c r="B1101" s="48" t="str">
        <x:v>YELLOW</x:v>
      </x:c>
      <x:c r="C1101" s="48" t="str">
        <x:v>English</x:v>
      </x:c>
      <x:c r="D1101" s="48" t="n">
        <x:v>69</x:v>
      </x:c>
      <x:c r="E1101" s="48" t="str"/>
      <x:c r="F1101" s="48" t="str">
        <x:v>The risks referred to in Sub-Clause 17.4 below are: (a) war, hostilities (whether war be declared or not), invasion, act of foreign enemies, (b) rebellion, terrorism, revolution, insurrection, military or usurped power, or civil war, within the Country, (c) riot, commotion or disorder within the Country by persons other than the</x:v>
      </x:c>
      <x:c r="G1101" s="48" t="str">
        <x:v>Obligation</x:v>
      </x:c>
      <x:c r="H1101" s="48" t="str">
        <x:v>Shared</x:v>
      </x:c>
      <x:c r="I1101" s="48" t="n">
        <x:v>0.45</x:v>
      </x:c>
      <x:c r="J1101" s="48" t="n">
        <x:v>0.4</x:v>
      </x:c>
      <x:c r="K1101" s="48" t="str">
        <x:v>Yes</x:v>
      </x:c>
      <x:c r="L1101" s="48" t="str">
        <x:v>PDF text</x:v>
      </x:c>
    </x:row>
    <x:row r="1102">
      <x:c r="A1102" s="48" t="str">
        <x:v>YELLOW-1101</x:v>
      </x:c>
      <x:c r="B1102" s="48" t="str">
        <x:v>YELLOW</x:v>
      </x:c>
      <x:c r="C1102" s="48" t="str">
        <x:v>English</x:v>
      </x:c>
      <x:c r="D1102" s="48" t="n">
        <x:v>69</x:v>
      </x:c>
      <x:c r="E1102" s="48" t="str"/>
      <x:c r="F1102" s="48" t="str">
        <x:v>Contractor's Personnel and other employees of the Contractor and</x:v>
      </x:c>
      <x:c r="G1102" s="48" t="str">
        <x:v>Obligation</x:v>
      </x:c>
      <x:c r="H1102" s="48" t="str">
        <x:v>Contractor</x:v>
      </x:c>
      <x:c r="I1102" s="48" t="n">
        <x:v>0.45</x:v>
      </x:c>
      <x:c r="J1102" s="48" t="n">
        <x:v>0.68</x:v>
      </x:c>
      <x:c r="K1102" s="48" t="str">
        <x:v>Yes</x:v>
      </x:c>
      <x:c r="L1102" s="48" t="str">
        <x:v>PDF text</x:v>
      </x:c>
    </x:row>
    <x:row r="1103">
      <x:c r="A1103" s="48" t="str">
        <x:v>YELLOW-1102</x:v>
      </x:c>
      <x:c r="B1103" s="48" t="str">
        <x:v>YELLOW</x:v>
      </x:c>
      <x:c r="C1103" s="48" t="str">
        <x:v>English</x:v>
      </x:c>
      <x:c r="D1103" s="48" t="n">
        <x:v>69</x:v>
      </x:c>
      <x:c r="E1103" s="48" t="str"/>
      <x:c r="F1103" s="48" t="str">
        <x:v>(d) munitions of war, explosive materials, ionising radiation or contamination by radio-activity, within the Country, except as may be attributable to the</x:v>
      </x:c>
      <x:c r="G1103" s="48" t="str">
        <x:v>Right</x:v>
      </x:c>
      <x:c r="H1103" s="48" t="str">
        <x:v>Shared</x:v>
      </x:c>
      <x:c r="I1103" s="48" t="n">
        <x:v>0.78</x:v>
      </x:c>
      <x:c r="J1103" s="48" t="n">
        <x:v>0.4</x:v>
      </x:c>
      <x:c r="K1103" s="48" t="str">
        <x:v>Yes</x:v>
      </x:c>
      <x:c r="L1103" s="48" t="str">
        <x:v>PDF text</x:v>
      </x:c>
    </x:row>
    <x:row r="1104">
      <x:c r="A1104" s="48" t="str">
        <x:v>YELLOW-1103</x:v>
      </x:c>
      <x:c r="B1104" s="48" t="str">
        <x:v>YELLOW</x:v>
      </x:c>
      <x:c r="C1104" s="48" t="str">
        <x:v>English</x:v>
      </x:c>
      <x:c r="D1104" s="48" t="n">
        <x:v>69</x:v>
      </x:c>
      <x:c r="E1104" s="48" t="str"/>
      <x:c r="F1104" s="48" t="str">
        <x:v>Contractor's use of such munitions, explosives, radiation or radio-activity,</x:v>
      </x:c>
      <x:c r="G1104" s="48" t="str">
        <x:v>Obligation</x:v>
      </x:c>
      <x:c r="H1104" s="48" t="str">
        <x:v>Contractor</x:v>
      </x:c>
      <x:c r="I1104" s="48" t="n">
        <x:v>0.45</x:v>
      </x:c>
      <x:c r="J1104" s="48" t="n">
        <x:v>0.68</x:v>
      </x:c>
      <x:c r="K1104" s="48" t="str">
        <x:v>Yes</x:v>
      </x:c>
      <x:c r="L1104" s="48" t="str">
        <x:v>PDF text</x:v>
      </x:c>
    </x:row>
    <x:row r="1105">
      <x:c r="A1105" s="48" t="str">
        <x:v>YELLOW-1104</x:v>
      </x:c>
      <x:c r="B1105" s="48" t="str">
        <x:v>YELLOW</x:v>
      </x:c>
      <x:c r="C1105" s="48" t="str">
        <x:v>English</x:v>
      </x:c>
      <x:c r="D1105" s="48" t="n">
        <x:v>69</x:v>
      </x:c>
      <x:c r="E1105" s="48" t="str"/>
      <x:c r="F1105" s="48" t="str">
        <x:v>(e) pressure waves caused by aircraft or other aerial devices travelling at sonic or supersonic speeds, (f) use or occupation by the Employer of any part of the Permanent Works, except as may be specified in the Contract, (g) design of any part of the Works by the Employer's Personnel or by others for whom the Employer is responsible, if any, and (h) any operation of the forces of nature which is Unforeseeable or against which an experienced contractor could not reasonably have been expected to have taken adequate preventative precautions.</x:v>
      </x:c>
      <x:c r="G1105" s="48" t="str">
        <x:v>Risk</x:v>
      </x:c>
      <x:c r="H1105" s="48" t="str">
        <x:v>Shared</x:v>
      </x:c>
      <x:c r="I1105" s="48" t="n">
        <x:v>0.78</x:v>
      </x:c>
      <x:c r="J1105" s="48" t="n">
        <x:v>0.6</x:v>
      </x:c>
      <x:c r="K1105" s="48" t="str">
        <x:v>Yes</x:v>
      </x:c>
      <x:c r="L1105" s="48" t="str">
        <x:v>PDF text</x:v>
      </x:c>
    </x:row>
    <x:row r="1106">
      <x:c r="A1106" s="48" t="str">
        <x:v>YELLOW-1105</x:v>
      </x:c>
      <x:c r="B1106" s="48" t="str">
        <x:v>YELLOW</x:v>
      </x:c>
      <x:c r="C1106" s="48" t="str">
        <x:v>English</x:v>
      </x:c>
      <x:c r="D1106" s="48" t="n">
        <x:v>69</x:v>
      </x:c>
      <x:c r="E1106" s="48" t="str"/>
      <x:c r="F1106" s="48" t="str">
        <x:v>If and to the extent that any of the risks listed in Sub-Clause 17.3 above results in loss or damage to the Works, Goods or Contractor's Documents, the Contractor shall promptly give notice to the Engineer and shall rectify this loss or damage to the extent required by the Engineer.</x:v>
      </x:c>
      <x:c r="G1106" s="48" t="str">
        <x:v>Risk</x:v>
      </x:c>
      <x:c r="H1106" s="48" t="str">
        <x:v>Contractor</x:v>
      </x:c>
      <x:c r="I1106" s="48" t="n">
        <x:v>0.78</x:v>
      </x:c>
      <x:c r="J1106" s="48" t="n">
        <x:v>0.92</x:v>
      </x:c>
      <x:c r="K1106" s="48" t="str">
        <x:v>No</x:v>
      </x:c>
      <x:c r="L1106" s="48" t="str">
        <x:v>PDF text</x:v>
      </x:c>
    </x:row>
    <x:row r="1107">
      <x:c r="A1107" s="48" t="str">
        <x:v>YELLOW-1106</x:v>
      </x:c>
      <x:c r="B1107" s="48" t="str">
        <x:v>YELLOW</x:v>
      </x:c>
      <x:c r="C1107" s="48" t="str">
        <x:v>English</x:v>
      </x:c>
      <x:c r="D1107" s="48" t="n">
        <x:v>69</x:v>
      </x:c>
      <x:c r="E1107" s="48" t="str"/>
      <x:c r="F1107" s="48" t="str">
        <x:v>If the Contractor suffers delay and/or incurs Cost from rectifying this loss or damage, the Contractor shall give a further notice to the Engineer and shall be entitled subject to Sub-Clause 20.1 [Contractor's Claims] to: (a) an extension of time for any such delay, if completion is or will be delayed, under Sub-Clause 8.4 [Extension of Time for Completion], and (b) payment of any such Cost, which shall be included in the Contract Price.</x:v>
      </x:c>
      <x:c r="G1107" s="48" t="str">
        <x:v>Risk</x:v>
      </x:c>
      <x:c r="H1107" s="48" t="str">
        <x:v>Contractor</x:v>
      </x:c>
      <x:c r="I1107" s="48" t="n">
        <x:v>0.78</x:v>
      </x:c>
      <x:c r="J1107" s="48" t="n">
        <x:v>0.92</x:v>
      </x:c>
      <x:c r="K1107" s="48" t="str">
        <x:v>No</x:v>
      </x:c>
      <x:c r="L1107" s="48" t="str">
        <x:v>PDF text</x:v>
      </x:c>
    </x:row>
    <x:row r="1108">
      <x:c r="A1108" s="48" t="str">
        <x:v>YELLOW-1107</x:v>
      </x:c>
      <x:c r="B1108" s="48" t="str">
        <x:v>YELLOW</x:v>
      </x:c>
      <x:c r="C1108" s="48" t="str">
        <x:v>English</x:v>
      </x:c>
      <x:c r="D1108" s="48" t="n">
        <x:v>69</x:v>
      </x:c>
      <x:c r="E1108" s="48" t="str"/>
      <x:c r="F1108" s="48" t="str">
        <x:v>In the case of sub-paragraphs (f) and (g) of Sub-Clause 17.3 [Employer's Risks], reasonable profit on the Cost shall also be included.</x:v>
      </x:c>
      <x:c r="G1108" s="48" t="str">
        <x:v>Obligation</x:v>
      </x:c>
      <x:c r="H1108" s="48" t="str">
        <x:v>Employer</x:v>
      </x:c>
      <x:c r="I1108" s="48" t="n">
        <x:v>0.88</x:v>
      </x:c>
      <x:c r="J1108" s="48" t="n">
        <x:v>0.68</x:v>
      </x:c>
      <x:c r="K1108" s="48" t="str">
        <x:v>Yes</x:v>
      </x:c>
      <x:c r="L1108" s="48" t="str">
        <x:v>PDF text</x:v>
      </x:c>
    </x:row>
    <x:row r="1109">
      <x:c r="A1109" s="48" t="str">
        <x:v>YELLOW-1108</x:v>
      </x:c>
      <x:c r="B1109" s="48" t="str">
        <x:v>YELLOW</x:v>
      </x:c>
      <x:c r="C1109" s="48" t="str">
        <x:v>English</x:v>
      </x:c>
      <x:c r="D1109" s="48" t="n">
        <x:v>69</x:v>
      </x:c>
      <x:c r="E1109" s="48" t="str"/>
      <x:c r="F1109" s="48" t="str">
        <x:v>Whenever a Party does not give notice to the other Party of any claim within 28 days of receiving the claim, the first Party shall be deemed to have waived any right to indemnity under this Sub-Clause.</x:v>
      </x:c>
      <x:c r="G1109" s="48" t="str">
        <x:v>Obligation</x:v>
      </x:c>
      <x:c r="H1109" s="48" t="str">
        <x:v>Shared</x:v>
      </x:c>
      <x:c r="I1109" s="48" t="n">
        <x:v>0.88</x:v>
      </x:c>
      <x:c r="J1109" s="48" t="n">
        <x:v>0.4</x:v>
      </x:c>
      <x:c r="K1109" s="48" t="str">
        <x:v>Yes</x:v>
      </x:c>
      <x:c r="L1109" s="48" t="str">
        <x:v>PDF text</x:v>
      </x:c>
    </x:row>
    <x:row r="1110">
      <x:c r="A1110" s="48" t="str">
        <x:v>YELLOW-1109</x:v>
      </x:c>
      <x:c r="B1110" s="48" t="str">
        <x:v>YELLOW</x:v>
      </x:c>
      <x:c r="C1110" s="48" t="str">
        <x:v>English</x:v>
      </x:c>
      <x:c r="D1110" s="48" t="n">
        <x:v>69</x:v>
      </x:c>
      <x:c r="E1110" s="48" t="str"/>
      <x:c r="F1110" s="48" t="str">
        <x:v>The Employer shall indemnify and hold the Contractor harmless against and from any claim alleging an infringement which is or was: (a) an unavoidable result of the Contractor's compliance with the Employer's</x:v>
      </x:c>
      <x:c r="G1110" s="48" t="str">
        <x:v>Obligation</x:v>
      </x:c>
      <x:c r="H1110" s="48" t="str">
        <x:v>Employer</x:v>
      </x:c>
      <x:c r="I1110" s="48" t="n">
        <x:v>0.88</x:v>
      </x:c>
      <x:c r="J1110" s="48" t="n">
        <x:v>0.92</x:v>
      </x:c>
      <x:c r="K1110" s="48" t="str">
        <x:v>No</x:v>
      </x:c>
      <x:c r="L1110" s="48" t="str">
        <x:v>PDF text</x:v>
      </x:c>
    </x:row>
    <x:row r="1111">
      <x:c r="A1111" s="48" t="str">
        <x:v>YELLOW-1110</x:v>
      </x:c>
      <x:c r="B1111" s="48" t="str">
        <x:v>YELLOW</x:v>
      </x:c>
      <x:c r="C1111" s="48" t="str">
        <x:v>English</x:v>
      </x:c>
      <x:c r="D1111" s="48" t="n">
        <x:v>69</x:v>
      </x:c>
      <x:c r="E1111" s="48" t="str"/>
      <x:c r="F1111" s="48" t="str">
        <x:v>Requirements, or</x:v>
      </x:c>
      <x:c r="G1111" s="48" t="str">
        <x:v>Obligation</x:v>
      </x:c>
      <x:c r="H1111" s="48" t="str">
        <x:v>Shared</x:v>
      </x:c>
      <x:c r="I1111" s="48" t="n">
        <x:v>0.45</x:v>
      </x:c>
      <x:c r="J1111" s="48" t="n">
        <x:v>0.4</x:v>
      </x:c>
      <x:c r="K1111" s="48" t="str">
        <x:v>Yes</x:v>
      </x:c>
      <x:c r="L1111" s="48" t="str">
        <x:v>PDF text</x:v>
      </x:c>
    </x:row>
    <x:row r="1112">
      <x:c r="A1112" s="48" t="str">
        <x:v>YELLOW-1111</x:v>
      </x:c>
      <x:c r="B1112" s="48" t="str">
        <x:v>YELLOW</x:v>
      </x:c>
      <x:c r="C1112" s="48" t="str">
        <x:v>English</x:v>
      </x:c>
      <x:c r="D1112" s="48" t="n">
        <x:v>70</x:v>
      </x:c>
      <x:c r="E1112" s="48" t="str"/>
      <x:c r="F1112" s="48" t="str">
        <x:v>Limitation of Liability</x:v>
      </x:c>
      <x:c r="G1112" s="48" t="str">
        <x:v>Risk</x:v>
      </x:c>
      <x:c r="H1112" s="48" t="str">
        <x:v>Shared</x:v>
      </x:c>
      <x:c r="I1112" s="48" t="n">
        <x:v>0.78</x:v>
      </x:c>
      <x:c r="J1112" s="48" t="n">
        <x:v>0.4</x:v>
      </x:c>
      <x:c r="K1112" s="48" t="str">
        <x:v>Yes</x:v>
      </x:c>
      <x:c r="L1112" s="48" t="str">
        <x:v>PDF text</x:v>
      </x:c>
    </x:row>
    <x:row r="1113">
      <x:c r="A1113" s="48" t="str">
        <x:v>YELLOW-1112</x:v>
      </x:c>
      <x:c r="B1113" s="48" t="str">
        <x:v>YELLOW</x:v>
      </x:c>
      <x:c r="C1113" s="48" t="str">
        <x:v>English</x:v>
      </x:c>
      <x:c r="D1113" s="48" t="n">
        <x:v>70</x:v>
      </x:c>
      <x:c r="E1113" s="48" t="str"/>
      <x:c r="F1113" s="48" t="str">
        <x:v>General Requirements</x:v>
      </x:c>
      <x:c r="G1113" s="48" t="str">
        <x:v>Obligation</x:v>
      </x:c>
      <x:c r="H1113" s="48" t="str">
        <x:v>Shared</x:v>
      </x:c>
      <x:c r="I1113" s="48" t="n">
        <x:v>0.45</x:v>
      </x:c>
      <x:c r="J1113" s="48" t="n">
        <x:v>0.4</x:v>
      </x:c>
      <x:c r="K1113" s="48" t="str">
        <x:v>Yes</x:v>
      </x:c>
      <x:c r="L1113" s="48" t="str">
        <x:v>PDF text</x:v>
      </x:c>
    </x:row>
    <x:row r="1114">
      <x:c r="A1114" s="48" t="str">
        <x:v>YELLOW-1113</x:v>
      </x:c>
      <x:c r="B1114" s="48" t="str">
        <x:v>YELLOW</x:v>
      </x:c>
      <x:c r="C1114" s="48" t="str">
        <x:v>English</x:v>
      </x:c>
      <x:c r="D1114" s="48" t="n">
        <x:v>70</x:v>
      </x:c>
      <x:c r="E1114" s="48" t="str"/>
      <x:c r="F1114" s="48" t="str">
        <x:v>for Insurances (b) a result of any Works being used by the Employer: (i) for a purpose other than that indicated by, or reasonably to be inferred from, the Contract, or (ii) in conjunction with any thing not supplied by the Contractor, unless such use was disclosed to the Contractor prior to the Base Date or is stated in the Contract.</x:v>
      </x:c>
      <x:c r="G1114" s="48" t="str">
        <x:v>Obligation</x:v>
      </x:c>
      <x:c r="H1114" s="48" t="str">
        <x:v>Shared</x:v>
      </x:c>
      <x:c r="I1114" s="48" t="n">
        <x:v>0.45</x:v>
      </x:c>
      <x:c r="J1114" s="48" t="n">
        <x:v>0.6</x:v>
      </x:c>
      <x:c r="K1114" s="48" t="str">
        <x:v>Yes</x:v>
      </x:c>
      <x:c r="L1114" s="48" t="str">
        <x:v>PDF text</x:v>
      </x:c>
    </x:row>
    <x:row r="1115">
      <x:c r="A1115" s="48" t="str">
        <x:v>YELLOW-1114</x:v>
      </x:c>
      <x:c r="B1115" s="48" t="str">
        <x:v>YELLOW</x:v>
      </x:c>
      <x:c r="C1115" s="48" t="str">
        <x:v>English</x:v>
      </x:c>
      <x:c r="D1115" s="48" t="n">
        <x:v>70</x:v>
      </x:c>
      <x:c r="E1115" s="48" t="str"/>
      <x:c r="F1115" s="48" t="str">
        <x:v>The Contractor shall indemnify and hold the Employer harmless against and from any other claim which arises out of or in relation to (i) the Contractor's design, manufacture, construction or execution of the Works, (ii) the use of Contractor's Equipment, or (iii) the proper use of the Works.</x:v>
      </x:c>
      <x:c r="G1115" s="48" t="str">
        <x:v>Obligation</x:v>
      </x:c>
      <x:c r="H1115" s="48" t="str">
        <x:v>Contractor</x:v>
      </x:c>
      <x:c r="I1115" s="48" t="n">
        <x:v>0.88</x:v>
      </x:c>
      <x:c r="J1115" s="48" t="n">
        <x:v>0.92</x:v>
      </x:c>
      <x:c r="K1115" s="48" t="str">
        <x:v>No</x:v>
      </x:c>
      <x:c r="L1115" s="48" t="str">
        <x:v>PDF text</x:v>
      </x:c>
    </x:row>
    <x:row r="1116">
      <x:c r="A1116" s="48" t="str">
        <x:v>YELLOW-1115</x:v>
      </x:c>
      <x:c r="B1116" s="48" t="str">
        <x:v>YELLOW</x:v>
      </x:c>
      <x:c r="C1116" s="48" t="str">
        <x:v>English</x:v>
      </x:c>
      <x:c r="D1116" s="48" t="n">
        <x:v>70</x:v>
      </x:c>
      <x:c r="E1116" s="48" t="str"/>
      <x:c r="F1116" s="48" t="str">
        <x:v>If a Party is entitled to be indemnified under this Sub-Clause, the indemnifying Party may (at its cost) conduct negotiations for the settlement of the claim, and any litigation or arbitration which may arise from it.</x:v>
      </x:c>
      <x:c r="G1116" s="48" t="str">
        <x:v>Right</x:v>
      </x:c>
      <x:c r="H1116" s="48" t="str">
        <x:v>Shared</x:v>
      </x:c>
      <x:c r="I1116" s="48" t="n">
        <x:v>0.78</x:v>
      </x:c>
      <x:c r="J1116" s="48" t="n">
        <x:v>0.4</x:v>
      </x:c>
      <x:c r="K1116" s="48" t="str">
        <x:v>Yes</x:v>
      </x:c>
      <x:c r="L1116" s="48" t="str">
        <x:v>PDF text</x:v>
      </x:c>
    </x:row>
    <x:row r="1117">
      <x:c r="A1117" s="48" t="str">
        <x:v>YELLOW-1116</x:v>
      </x:c>
      <x:c r="B1117" s="48" t="str">
        <x:v>YELLOW</x:v>
      </x:c>
      <x:c r="C1117" s="48" t="str">
        <x:v>English</x:v>
      </x:c>
      <x:c r="D1117" s="48" t="n">
        <x:v>70</x:v>
      </x:c>
      <x:c r="E1117" s="48" t="str"/>
      <x:c r="F1117" s="48" t="str">
        <x:v>The other Party shall, at the request and cost of the indemnifying Party, assist in contesting the claim.</x:v>
      </x:c>
      <x:c r="G1117" s="48" t="str">
        <x:v>Obligation</x:v>
      </x:c>
      <x:c r="H1117" s="48" t="str">
        <x:v>Shared</x:v>
      </x:c>
      <x:c r="I1117" s="48" t="n">
        <x:v>0.88</x:v>
      </x:c>
      <x:c r="J1117" s="48" t="n">
        <x:v>0.4</x:v>
      </x:c>
      <x:c r="K1117" s="48" t="str">
        <x:v>Yes</x:v>
      </x:c>
      <x:c r="L1117" s="48" t="str">
        <x:v>PDF text</x:v>
      </x:c>
    </x:row>
    <x:row r="1118">
      <x:c r="A1118" s="48" t="str">
        <x:v>YELLOW-1117</x:v>
      </x:c>
      <x:c r="B1118" s="48" t="str">
        <x:v>YELLOW</x:v>
      </x:c>
      <x:c r="C1118" s="48" t="str">
        <x:v>English</x:v>
      </x:c>
      <x:c r="D1118" s="48" t="n">
        <x:v>70</x:v>
      </x:c>
      <x:c r="E1118" s="48" t="str"/>
      <x:c r="F1118" s="48" t="str">
        <x:v>This other Party (and its</x:v>
      </x:c>
      <x:c r="G1118" s="48" t="str">
        <x:v>Obligation</x:v>
      </x:c>
      <x:c r="H1118" s="48" t="str">
        <x:v>Shared</x:v>
      </x:c>
      <x:c r="I1118" s="48" t="n">
        <x:v>0.45</x:v>
      </x:c>
      <x:c r="J1118" s="48" t="n">
        <x:v>0.4</x:v>
      </x:c>
      <x:c r="K1118" s="48" t="str">
        <x:v>Yes</x:v>
      </x:c>
      <x:c r="L1118" s="48" t="str">
        <x:v>PDF text</x:v>
      </x:c>
    </x:row>
    <x:row r="1119">
      <x:c r="A1119" s="48" t="str">
        <x:v>YELLOW-1118</x:v>
      </x:c>
      <x:c r="B1119" s="48" t="str">
        <x:v>YELLOW</x:v>
      </x:c>
      <x:c r="C1119" s="48" t="str">
        <x:v>English</x:v>
      </x:c>
      <x:c r="D1119" s="48" t="n">
        <x:v>70</x:v>
      </x:c>
      <x:c r="E1119" s="48" t="str"/>
      <x:c r="F1119" s="48" t="str">
        <x:v>Personnel) shall not make any admission which might be prejudicial to the</x:v>
      </x:c>
      <x:c r="G1119" s="48" t="str">
        <x:v>Obligation</x:v>
      </x:c>
      <x:c r="H1119" s="48" t="str">
        <x:v>Shared</x:v>
      </x:c>
      <x:c r="I1119" s="48" t="n">
        <x:v>0.88</x:v>
      </x:c>
      <x:c r="J1119" s="48" t="n">
        <x:v>0.4</x:v>
      </x:c>
      <x:c r="K1119" s="48" t="str">
        <x:v>Yes</x:v>
      </x:c>
      <x:c r="L1119" s="48" t="str">
        <x:v>PDF text</x:v>
      </x:c>
    </x:row>
    <x:row r="1120">
      <x:c r="A1120" s="48" t="str">
        <x:v>YELLOW-1119</x:v>
      </x:c>
      <x:c r="B1120" s="48" t="str">
        <x:v>YELLOW</x:v>
      </x:c>
      <x:c r="C1120" s="48" t="str">
        <x:v>English</x:v>
      </x:c>
      <x:c r="D1120" s="48" t="n">
        <x:v>70</x:v>
      </x:c>
      <x:c r="E1120" s="48" t="str"/>
      <x:c r="F1120" s="48" t="str">
        <x:v>indemnifying Party, unless the indemnifying Party failed to take over the conduct of any negotiations, litigation or arbitration upon being requested to do so by such other Party.</x:v>
      </x:c>
      <x:c r="G1120" s="48" t="str">
        <x:v>Obligation</x:v>
      </x:c>
      <x:c r="H1120" s="48" t="str">
        <x:v>Shared</x:v>
      </x:c>
      <x:c r="I1120" s="48" t="n">
        <x:v>0.45</x:v>
      </x:c>
      <x:c r="J1120" s="48" t="n">
        <x:v>0.4</x:v>
      </x:c>
      <x:c r="K1120" s="48" t="str">
        <x:v>Yes</x:v>
      </x:c>
      <x:c r="L1120" s="48" t="str">
        <x:v>PDF text</x:v>
      </x:c>
    </x:row>
    <x:row r="1121">
      <x:c r="A1121" s="48" t="str">
        <x:v>YELLOW-1120</x:v>
      </x:c>
      <x:c r="B1121" s="48" t="str">
        <x:v>YELLOW</x:v>
      </x:c>
      <x:c r="C1121" s="48" t="str">
        <x:v>English</x:v>
      </x:c>
      <x:c r="D1121" s="48" t="n">
        <x:v>70</x:v>
      </x:c>
      <x:c r="E1121" s="48" t="str"/>
      <x:c r="F1121" s="48" t="str">
        <x:v>Neither Party shall be liable to the other Party for loss of use of any Works, loss of profit, loss of any contract or for any indirect or consequential loss or damage which may be suffered by the other Party in connection with the Contract, other than under Sub-Clause 16.4 [Payment on Termination] and Sub-Clause 17.1 [Indemnities].</x:v>
      </x:c>
      <x:c r="G1121" s="48" t="str">
        <x:v>Risk</x:v>
      </x:c>
      <x:c r="H1121" s="48" t="str">
        <x:v>Shared</x:v>
      </x:c>
      <x:c r="I1121" s="48" t="n">
        <x:v>0.78</x:v>
      </x:c>
      <x:c r="J1121" s="48" t="n">
        <x:v>0.4</x:v>
      </x:c>
      <x:c r="K1121" s="48" t="str">
        <x:v>Yes</x:v>
      </x:c>
      <x:c r="L1121" s="48" t="str">
        <x:v>PDF text</x:v>
      </x:c>
    </x:row>
    <x:row r="1122">
      <x:c r="A1122" s="48" t="str">
        <x:v>YELLOW-1121</x:v>
      </x:c>
      <x:c r="B1122" s="48" t="str">
        <x:v>YELLOW</x:v>
      </x:c>
      <x:c r="C1122" s="48" t="str">
        <x:v>English</x:v>
      </x:c>
      <x:c r="D1122" s="48" t="n">
        <x:v>70</x:v>
      </x:c>
      <x:c r="E1122" s="48" t="str"/>
      <x:c r="F1122" s="48" t="str">
        <x:v>The total liability of the Contractor to the Employer, under or in connection with the Contract other than under Sub-Clause 4.19 [Electricity, Water and Gas], Sub-Clause</x:v>
      </x:c>
      <x:c r="G1122" s="48" t="str">
        <x:v>Risk</x:v>
      </x:c>
      <x:c r="H1122" s="48" t="str">
        <x:v>Shared</x:v>
      </x:c>
      <x:c r="I1122" s="48" t="n">
        <x:v>0.78</x:v>
      </x:c>
      <x:c r="J1122" s="48" t="n">
        <x:v>0.6</x:v>
      </x:c>
      <x:c r="K1122" s="48" t="str">
        <x:v>Yes</x:v>
      </x:c>
      <x:c r="L1122" s="48" t="str">
        <x:v>PDF text</x:v>
      </x:c>
    </x:row>
    <x:row r="1123">
      <x:c r="A1123" s="48" t="str">
        <x:v>YELLOW-1122</x:v>
      </x:c>
      <x:c r="B1123" s="48" t="str">
        <x:v>YELLOW</x:v>
      </x:c>
      <x:c r="C1123" s="48" t="str">
        <x:v>English</x:v>
      </x:c>
      <x:c r="D1123" s="48" t="n">
        <x:v>70</x:v>
      </x:c>
      <x:c r="E1123" s="48" t="str">
        <x:v>4.20</x:v>
      </x:c>
      <x:c r="F1123" s="48" t="str">
        <x:v>4.20 [Employer's Equipment and Free-Issue Material], Sub-Clause 17.1 [Indemnities]</x:v>
      </x:c>
      <x:c r="G1123" s="48" t="str">
        <x:v>Obligation</x:v>
      </x:c>
      <x:c r="H1123" s="48" t="str">
        <x:v>Employer</x:v>
      </x:c>
      <x:c r="I1123" s="48" t="n">
        <x:v>0.45</x:v>
      </x:c>
      <x:c r="J1123" s="48" t="n">
        <x:v>0.68</x:v>
      </x:c>
      <x:c r="K1123" s="48" t="str">
        <x:v>Yes</x:v>
      </x:c>
      <x:c r="L1123" s="48" t="str">
        <x:v>PDF text</x:v>
      </x:c>
    </x:row>
    <x:row r="1124">
      <x:c r="A1124" s="48" t="str">
        <x:v>YELLOW-1123</x:v>
      </x:c>
      <x:c r="B1124" s="48" t="str">
        <x:v>YELLOW</x:v>
      </x:c>
      <x:c r="C1124" s="48" t="str">
        <x:v>English</x:v>
      </x:c>
      <x:c r="D1124" s="48" t="n">
        <x:v>70</x:v>
      </x:c>
      <x:c r="E1124" s="48" t="str"/>
      <x:c r="F1124" s="48" t="str">
        <x:v>and Sub-Clause 17.5 [Intellectual and Industrial Property Rights], shall not exceed the sum stated in the Particular Conditions or (if a sum is not so stated) the Accepted Contract Amount.</x:v>
      </x:c>
      <x:c r="G1124" s="48" t="str">
        <x:v>Obligation</x:v>
      </x:c>
      <x:c r="H1124" s="48" t="str">
        <x:v>Shared</x:v>
      </x:c>
      <x:c r="I1124" s="48" t="n">
        <x:v>0.88</x:v>
      </x:c>
      <x:c r="J1124" s="48" t="n">
        <x:v>0.4</x:v>
      </x:c>
      <x:c r="K1124" s="48" t="str">
        <x:v>Yes</x:v>
      </x:c>
      <x:c r="L1124" s="48" t="str">
        <x:v>PDF text</x:v>
      </x:c>
    </x:row>
    <x:row r="1125">
      <x:c r="A1125" s="48" t="str">
        <x:v>YELLOW-1124</x:v>
      </x:c>
      <x:c r="B1125" s="48" t="str">
        <x:v>YELLOW</x:v>
      </x:c>
      <x:c r="C1125" s="48" t="str">
        <x:v>English</x:v>
      </x:c>
      <x:c r="D1125" s="48" t="n">
        <x:v>70</x:v>
      </x:c>
      <x:c r="E1125" s="48" t="str"/>
      <x:c r="F1125" s="48" t="str">
        <x:v>This Sub-Clause shall not limit liability in any case of fraud, deliberate default or reckless misconduct by the defaulting Party.</x:v>
      </x:c>
      <x:c r="G1125" s="48" t="str">
        <x:v>Risk</x:v>
      </x:c>
      <x:c r="H1125" s="48" t="str">
        <x:v>Shared</x:v>
      </x:c>
      <x:c r="I1125" s="48" t="n">
        <x:v>0.78</x:v>
      </x:c>
      <x:c r="J1125" s="48" t="n">
        <x:v>0.4</x:v>
      </x:c>
      <x:c r="K1125" s="48" t="str">
        <x:v>Yes</x:v>
      </x:c>
      <x:c r="L1125" s="48" t="str">
        <x:v>PDF text</x:v>
      </x:c>
    </x:row>
    <x:row r="1126">
      <x:c r="A1126" s="48" t="str">
        <x:v>YELLOW-1125</x:v>
      </x:c>
      <x:c r="B1126" s="48" t="str">
        <x:v>YELLOW</x:v>
      </x:c>
      <x:c r="C1126" s="48" t="str">
        <x:v>English</x:v>
      </x:c>
      <x:c r="D1126" s="48" t="n">
        <x:v>70</x:v>
      </x:c>
      <x:c r="E1126" s="48" t="str"/>
      <x:c r="F1126" s="48" t="str">
        <x:v>In this Clause, "insuring Party" means, for each type of insurance, the Party responsible for effecting and maintaining the insurance specified in the relevant Sub-Clause.</x:v>
      </x:c>
      <x:c r="G1126" s="48" t="str">
        <x:v>Definition</x:v>
      </x:c>
      <x:c r="H1126" s="48" t="str"/>
      <x:c r="I1126" s="48" t="n">
        <x:v>0.97</x:v>
      </x:c>
      <x:c r="J1126" s="48" t="n">
        <x:v>0.99</x:v>
      </x:c>
      <x:c r="K1126" s="48" t="str">
        <x:v>No</x:v>
      </x:c>
      <x:c r="L1126" s="48" t="str">
        <x:v>PDF text</x:v>
      </x:c>
    </x:row>
    <x:row r="1127">
      <x:c r="A1127" s="48" t="str">
        <x:v>YELLOW-1126</x:v>
      </x:c>
      <x:c r="B1127" s="48" t="str">
        <x:v>YELLOW</x:v>
      </x:c>
      <x:c r="C1127" s="48" t="str">
        <x:v>English</x:v>
      </x:c>
      <x:c r="D1127" s="48" t="n">
        <x:v>70</x:v>
      </x:c>
      <x:c r="E1127" s="48" t="str"/>
      <x:c r="F1127" s="48" t="str">
        <x:v>Wherever the Contractor is the insuring Party, each insurance shall be effected with insurers and in terms approved by the Employer.</x:v>
      </x:c>
      <x:c r="G1127" s="48" t="str">
        <x:v>Obligation</x:v>
      </x:c>
      <x:c r="H1127" s="48" t="str">
        <x:v>Shared</x:v>
      </x:c>
      <x:c r="I1127" s="48" t="n">
        <x:v>0.88</x:v>
      </x:c>
      <x:c r="J1127" s="48" t="n">
        <x:v>0.6</x:v>
      </x:c>
      <x:c r="K1127" s="48" t="str">
        <x:v>Yes</x:v>
      </x:c>
      <x:c r="L1127" s="48" t="str">
        <x:v>PDF text</x:v>
      </x:c>
    </x:row>
    <x:row r="1128">
      <x:c r="A1128" s="48" t="str">
        <x:v>YELLOW-1127</x:v>
      </x:c>
      <x:c r="B1128" s="48" t="str">
        <x:v>YELLOW</x:v>
      </x:c>
      <x:c r="C1128" s="48" t="str">
        <x:v>English</x:v>
      </x:c>
      <x:c r="D1128" s="48" t="n">
        <x:v>70</x:v>
      </x:c>
      <x:c r="E1128" s="48" t="str"/>
      <x:c r="F1128" s="48" t="str">
        <x:v>These terms shall be consistent with any terms agreed by both Parties before the date of the Letter of Acceptance.</x:v>
      </x:c>
      <x:c r="G1128" s="48" t="str">
        <x:v>Obligation</x:v>
      </x:c>
      <x:c r="H1128" s="48" t="str">
        <x:v>Shared</x:v>
      </x:c>
      <x:c r="I1128" s="48" t="n">
        <x:v>0.88</x:v>
      </x:c>
      <x:c r="J1128" s="48" t="n">
        <x:v>0.93</x:v>
      </x:c>
      <x:c r="K1128" s="48" t="str">
        <x:v>No</x:v>
      </x:c>
      <x:c r="L1128" s="48" t="str">
        <x:v>PDF text</x:v>
      </x:c>
    </x:row>
    <x:row r="1129">
      <x:c r="A1129" s="48" t="str">
        <x:v>YELLOW-1128</x:v>
      </x:c>
      <x:c r="B1129" s="48" t="str">
        <x:v>YELLOW</x:v>
      </x:c>
      <x:c r="C1129" s="48" t="str">
        <x:v>English</x:v>
      </x:c>
      <x:c r="D1129" s="48" t="n">
        <x:v>70</x:v>
      </x:c>
      <x:c r="E1129" s="48" t="str"/>
      <x:c r="F1129" s="48" t="str">
        <x:v>This agreement of terms shall take precedence over the provisions of this Clause.</x:v>
      </x:c>
      <x:c r="G1129" s="48" t="str">
        <x:v>Obligation</x:v>
      </x:c>
      <x:c r="H1129" s="48" t="str">
        <x:v>Shared</x:v>
      </x:c>
      <x:c r="I1129" s="48" t="n">
        <x:v>0.88</x:v>
      </x:c>
      <x:c r="J1129" s="48" t="n">
        <x:v>0.4</x:v>
      </x:c>
      <x:c r="K1129" s="48" t="str">
        <x:v>Yes</x:v>
      </x:c>
      <x:c r="L1129" s="48" t="str">
        <x:v>PDF text</x:v>
      </x:c>
    </x:row>
    <x:row r="1130">
      <x:c r="A1130" s="48" t="str">
        <x:v>YELLOW-1129</x:v>
      </x:c>
      <x:c r="B1130" s="48" t="str">
        <x:v>YELLOW</x:v>
      </x:c>
      <x:c r="C1130" s="48" t="str">
        <x:v>English</x:v>
      </x:c>
      <x:c r="D1130" s="48" t="n">
        <x:v>70</x:v>
      </x:c>
      <x:c r="E1130" s="48" t="str"/>
      <x:c r="F1130" s="48" t="str">
        <x:v>Wherever the Employer is the insuring Party, each insurance shall be effected with insurers and in terms consistent with the details annexed to the Particular Conditions.</x:v>
      </x:c>
      <x:c r="G1130" s="48" t="str">
        <x:v>Obligation</x:v>
      </x:c>
      <x:c r="H1130" s="48" t="str">
        <x:v>Employer</x:v>
      </x:c>
      <x:c r="I1130" s="48" t="n">
        <x:v>0.88</x:v>
      </x:c>
      <x:c r="J1130" s="48" t="n">
        <x:v>0.68</x:v>
      </x:c>
      <x:c r="K1130" s="48" t="str">
        <x:v>Yes</x:v>
      </x:c>
      <x:c r="L1130" s="48" t="str">
        <x:v>PDF text</x:v>
      </x:c>
    </x:row>
    <x:row r="1131">
      <x:c r="A1131" s="48" t="str">
        <x:v>YELLOW-1130</x:v>
      </x:c>
      <x:c r="B1131" s="48" t="str">
        <x:v>YELLOW</x:v>
      </x:c>
      <x:c r="C1131" s="48" t="str">
        <x:v>English</x:v>
      </x:c>
      <x:c r="D1131" s="48" t="n">
        <x:v>70</x:v>
      </x:c>
      <x:c r="E1131" s="48" t="str"/>
      <x:c r="F1131" s="48" t="str">
        <x:v>If a policy is required to indemnify joint insured, the cover shall apply separately to each insured as though a separate policy had been issued for each of the joint</x:v>
      </x:c>
      <x:c r="G1131" s="48" t="str">
        <x:v>Obligation</x:v>
      </x:c>
      <x:c r="H1131" s="48" t="str">
        <x:v>Shared</x:v>
      </x:c>
      <x:c r="I1131" s="48" t="n">
        <x:v>0.88</x:v>
      </x:c>
      <x:c r="J1131" s="48" t="n">
        <x:v>0.4</x:v>
      </x:c>
      <x:c r="K1131" s="48" t="str">
        <x:v>Yes</x:v>
      </x:c>
      <x:c r="L1131" s="48" t="str">
        <x:v>PDF text</x:v>
      </x:c>
    </x:row>
    <x:row r="1132">
      <x:c r="A1132" s="48" t="str">
        <x:v>YELLOW-1131</x:v>
      </x:c>
      <x:c r="B1132" s="48" t="str">
        <x:v>YELLOW</x:v>
      </x:c>
      <x:c r="C1132" s="48" t="str">
        <x:v>English</x:v>
      </x:c>
      <x:c r="D1132" s="48" t="n">
        <x:v>70</x:v>
      </x:c>
      <x:c r="E1132" s="48" t="str"/>
      <x:c r="F1132" s="48" t="str">
        <x:v>Insurance</x:v>
      </x:c>
      <x:c r="G1132" s="48" t="str">
        <x:v>Obligation</x:v>
      </x:c>
      <x:c r="H1132" s="48" t="str">
        <x:v>Shared</x:v>
      </x:c>
      <x:c r="I1132" s="48" t="n">
        <x:v>0.45</x:v>
      </x:c>
      <x:c r="J1132" s="48" t="n">
        <x:v>0.4</x:v>
      </x:c>
      <x:c r="K1132" s="48" t="str">
        <x:v>Yes</x:v>
      </x:c>
      <x:c r="L1132" s="48" t="str">
        <x:v>PDF text</x:v>
      </x:c>
    </x:row>
    <x:row r="1133">
      <x:c r="A1133" s="48" t="str">
        <x:v>YELLOW-1132</x:v>
      </x:c>
      <x:c r="B1133" s="48" t="str">
        <x:v>YELLOW</x:v>
      </x:c>
      <x:c r="C1133" s="48" t="str">
        <x:v>English</x:v>
      </x:c>
      <x:c r="D1133" s="48" t="n">
        <x:v>71</x:v>
      </x:c>
      <x:c r="E1133" s="48" t="str"/>
      <x:c r="F1133" s="48" t="str">
        <x:v>Insurance for Works and</x:v>
      </x:c>
      <x:c r="G1133" s="48" t="str">
        <x:v>Obligation</x:v>
      </x:c>
      <x:c r="H1133" s="48" t="str">
        <x:v>Shared</x:v>
      </x:c>
      <x:c r="I1133" s="48" t="n">
        <x:v>0.45</x:v>
      </x:c>
      <x:c r="J1133" s="48" t="n">
        <x:v>0.4</x:v>
      </x:c>
      <x:c r="K1133" s="48" t="str">
        <x:v>Yes</x:v>
      </x:c>
      <x:c r="L1133" s="48" t="str">
        <x:v>PDF text</x:v>
      </x:c>
    </x:row>
    <x:row r="1134">
      <x:c r="A1134" s="48" t="str">
        <x:v>YELLOW-1133</x:v>
      </x:c>
      <x:c r="B1134" s="48" t="str">
        <x:v>YELLOW</x:v>
      </x:c>
      <x:c r="C1134" s="48" t="str">
        <x:v>English</x:v>
      </x:c>
      <x:c r="D1134" s="48" t="n">
        <x:v>71</x:v>
      </x:c>
      <x:c r="E1134" s="48" t="str"/>
      <x:c r="F1134" s="48" t="str">
        <x:v>Contractor’s Equipment</x:v>
      </x:c>
      <x:c r="G1134" s="48" t="str">
        <x:v>Obligation</x:v>
      </x:c>
      <x:c r="H1134" s="48" t="str">
        <x:v>Contractor</x:v>
      </x:c>
      <x:c r="I1134" s="48" t="n">
        <x:v>0.45</x:v>
      </x:c>
      <x:c r="J1134" s="48" t="n">
        <x:v>0.68</x:v>
      </x:c>
      <x:c r="K1134" s="48" t="str">
        <x:v>Yes</x:v>
      </x:c>
      <x:c r="L1134" s="48" t="str">
        <x:v>PDF text</x:v>
      </x:c>
    </x:row>
    <x:row r="1135">
      <x:c r="A1135" s="48" t="str">
        <x:v>YELLOW-1134</x:v>
      </x:c>
      <x:c r="B1135" s="48" t="str">
        <x:v>YELLOW</x:v>
      </x:c>
      <x:c r="C1135" s="48" t="str">
        <x:v>English</x:v>
      </x:c>
      <x:c r="D1135" s="48" t="n">
        <x:v>71</x:v>
      </x:c>
      <x:c r="E1135" s="48" t="str"/>
      <x:c r="F1135" s="48" t="str">
        <x:v>insured.</x:v>
      </x:c>
      <x:c r="G1135" s="48" t="str">
        <x:v>Obligation</x:v>
      </x:c>
      <x:c r="H1135" s="48" t="str">
        <x:v>Shared</x:v>
      </x:c>
      <x:c r="I1135" s="48" t="n">
        <x:v>0.45</x:v>
      </x:c>
      <x:c r="J1135" s="48" t="n">
        <x:v>0.4</x:v>
      </x:c>
      <x:c r="K1135" s="48" t="str">
        <x:v>Yes</x:v>
      </x:c>
      <x:c r="L1135" s="48" t="str">
        <x:v>PDF text</x:v>
      </x:c>
    </x:row>
    <x:row r="1136">
      <x:c r="A1136" s="48" t="str">
        <x:v>YELLOW-1135</x:v>
      </x:c>
      <x:c r="B1136" s="48" t="str">
        <x:v>YELLOW</x:v>
      </x:c>
      <x:c r="C1136" s="48" t="str">
        <x:v>English</x:v>
      </x:c>
      <x:c r="D1136" s="48" t="n">
        <x:v>71</x:v>
      </x:c>
      <x:c r="E1136" s="48" t="str"/>
      <x:c r="F1136" s="48" t="str">
        <x:v>If a policy indemnifies additional joint insured, namely in addition to the insured specified in this Clause, (i) the Contractor shall act under the policy on behalf of these additional joint insured except that the Employer shall act for Employer's Personnel, (ii) additional joint insured shall not be entitled to receive payments directly from the insurer or to have any other direct dealings with the insurer, and (iii) the insuring Party shall require all additional joint insured to comply with the conditions stipulated in the policy.</x:v>
      </x:c>
      <x:c r="G1136" s="48" t="str">
        <x:v>Obligation</x:v>
      </x:c>
      <x:c r="H1136" s="48" t="str">
        <x:v>Contractor</x:v>
      </x:c>
      <x:c r="I1136" s="48" t="n">
        <x:v>0.88</x:v>
      </x:c>
      <x:c r="J1136" s="48" t="n">
        <x:v>0.92</x:v>
      </x:c>
      <x:c r="K1136" s="48" t="str">
        <x:v>No</x:v>
      </x:c>
      <x:c r="L1136" s="48" t="str">
        <x:v>PDF text</x:v>
      </x:c>
    </x:row>
    <x:row r="1137">
      <x:c r="A1137" s="48" t="str">
        <x:v>YELLOW-1136</x:v>
      </x:c>
      <x:c r="B1137" s="48" t="str">
        <x:v>YELLOW</x:v>
      </x:c>
      <x:c r="C1137" s="48" t="str">
        <x:v>English</x:v>
      </x:c>
      <x:c r="D1137" s="48" t="n">
        <x:v>71</x:v>
      </x:c>
      <x:c r="E1137" s="48" t="str"/>
      <x:c r="F1137" s="48" t="str">
        <x:v>Each policy insuring against loss or damage shall provide for payments to be made in the currencies required to rectify the loss or damage.</x:v>
      </x:c>
      <x:c r="G1137" s="48" t="str">
        <x:v>Obligation</x:v>
      </x:c>
      <x:c r="H1137" s="48" t="str">
        <x:v>Shared</x:v>
      </x:c>
      <x:c r="I1137" s="48" t="n">
        <x:v>0.88</x:v>
      </x:c>
      <x:c r="J1137" s="48" t="n">
        <x:v>0.4</x:v>
      </x:c>
      <x:c r="K1137" s="48" t="str">
        <x:v>Yes</x:v>
      </x:c>
      <x:c r="L1137" s="48" t="str">
        <x:v>PDF text</x:v>
      </x:c>
    </x:row>
    <x:row r="1138">
      <x:c r="A1138" s="48" t="str">
        <x:v>YELLOW-1137</x:v>
      </x:c>
      <x:c r="B1138" s="48" t="str">
        <x:v>YELLOW</x:v>
      </x:c>
      <x:c r="C1138" s="48" t="str">
        <x:v>English</x:v>
      </x:c>
      <x:c r="D1138" s="48" t="n">
        <x:v>71</x:v>
      </x:c>
      <x:c r="E1138" s="48" t="str"/>
      <x:c r="F1138" s="48" t="str">
        <x:v>Payments received from insurers shall be used for the rectification of the loss or damage.</x:v>
      </x:c>
      <x:c r="G1138" s="48" t="str">
        <x:v>Obligation</x:v>
      </x:c>
      <x:c r="H1138" s="48" t="str">
        <x:v>Shared</x:v>
      </x:c>
      <x:c r="I1138" s="48" t="n">
        <x:v>0.88</x:v>
      </x:c>
      <x:c r="J1138" s="48" t="n">
        <x:v>0.4</x:v>
      </x:c>
      <x:c r="K1138" s="48" t="str">
        <x:v>Yes</x:v>
      </x:c>
      <x:c r="L1138" s="48" t="str">
        <x:v>PDF text</x:v>
      </x:c>
    </x:row>
    <x:row r="1139">
      <x:c r="A1139" s="48" t="str">
        <x:v>YELLOW-1138</x:v>
      </x:c>
      <x:c r="B1139" s="48" t="str">
        <x:v>YELLOW</x:v>
      </x:c>
      <x:c r="C1139" s="48" t="str">
        <x:v>English</x:v>
      </x:c>
      <x:c r="D1139" s="48" t="n">
        <x:v>71</x:v>
      </x:c>
      <x:c r="E1139" s="48" t="str"/>
      <x:c r="F1139" s="48" t="str">
        <x:v>The relevant insuring Party shall, within the respective periods stated in the Appendix to Tender (calculated from the Commencement Date), submit to the other Party: (a) evidence that the insurances described in this Clause have been effected, and (b) copies of the policies for the insurances described in Sub-Clause 18.2 [Insurance for Works and Contractor's Equipment] and Sub-Clause 18.3 [Insurance against Injury to Persons and Damage to Property].</x:v>
      </x:c>
      <x:c r="G1139" s="48" t="str">
        <x:v>Obligation</x:v>
      </x:c>
      <x:c r="H1139" s="48" t="str">
        <x:v>Contractor</x:v>
      </x:c>
      <x:c r="I1139" s="48" t="n">
        <x:v>0.88</x:v>
      </x:c>
      <x:c r="J1139" s="48" t="n">
        <x:v>0.68</x:v>
      </x:c>
      <x:c r="K1139" s="48" t="str">
        <x:v>Yes</x:v>
      </x:c>
      <x:c r="L1139" s="48" t="str">
        <x:v>PDF text</x:v>
      </x:c>
    </x:row>
    <x:row r="1140">
      <x:c r="A1140" s="48" t="str">
        <x:v>YELLOW-1139</x:v>
      </x:c>
      <x:c r="B1140" s="48" t="str">
        <x:v>YELLOW</x:v>
      </x:c>
      <x:c r="C1140" s="48" t="str">
        <x:v>English</x:v>
      </x:c>
      <x:c r="D1140" s="48" t="n">
        <x:v>71</x:v>
      </x:c>
      <x:c r="E1140" s="48" t="str"/>
      <x:c r="F1140" s="48" t="str">
        <x:v>When each premium is paid, the insuring Party shall submit evidence of payment to</x:v>
      </x:c>
      <x:c r="G1140" s="48" t="str">
        <x:v>Obligation</x:v>
      </x:c>
      <x:c r="H1140" s="48" t="str">
        <x:v>Shared</x:v>
      </x:c>
      <x:c r="I1140" s="48" t="n">
        <x:v>0.88</x:v>
      </x:c>
      <x:c r="J1140" s="48" t="n">
        <x:v>0.4</x:v>
      </x:c>
      <x:c r="K1140" s="48" t="str">
        <x:v>Yes</x:v>
      </x:c>
      <x:c r="L1140" s="48" t="str">
        <x:v>PDF text</x:v>
      </x:c>
    </x:row>
    <x:row r="1141">
      <x:c r="A1141" s="48" t="str">
        <x:v>YELLOW-1140</x:v>
      </x:c>
      <x:c r="B1141" s="48" t="str">
        <x:v>YELLOW</x:v>
      </x:c>
      <x:c r="C1141" s="48" t="str">
        <x:v>English</x:v>
      </x:c>
      <x:c r="D1141" s="48" t="n">
        <x:v>71</x:v>
      </x:c>
      <x:c r="E1141" s="48" t="str"/>
      <x:c r="F1141" s="48" t="str">
        <x:v>the other Party.</x:v>
      </x:c>
      <x:c r="G1141" s="48" t="str">
        <x:v>Obligation</x:v>
      </x:c>
      <x:c r="H1141" s="48" t="str">
        <x:v>Shared</x:v>
      </x:c>
      <x:c r="I1141" s="48" t="n">
        <x:v>0.45</x:v>
      </x:c>
      <x:c r="J1141" s="48" t="n">
        <x:v>0.4</x:v>
      </x:c>
      <x:c r="K1141" s="48" t="str">
        <x:v>Yes</x:v>
      </x:c>
      <x:c r="L1141" s="48" t="str">
        <x:v>PDF text</x:v>
      </x:c>
    </x:row>
    <x:row r="1142">
      <x:c r="A1142" s="48" t="str">
        <x:v>YELLOW-1141</x:v>
      </x:c>
      <x:c r="B1142" s="48" t="str">
        <x:v>YELLOW</x:v>
      </x:c>
      <x:c r="C1142" s="48" t="str">
        <x:v>English</x:v>
      </x:c>
      <x:c r="D1142" s="48" t="n">
        <x:v>71</x:v>
      </x:c>
      <x:c r="E1142" s="48" t="str"/>
      <x:c r="F1142" s="48" t="str">
        <x:v>Whenever evidence or policies are submitted, the insuring Party shall also give notice to the Engineer.</x:v>
      </x:c>
      <x:c r="G1142" s="48" t="str">
        <x:v>Obligation</x:v>
      </x:c>
      <x:c r="H1142" s="48" t="str">
        <x:v>Shared</x:v>
      </x:c>
      <x:c r="I1142" s="48" t="n">
        <x:v>0.88</x:v>
      </x:c>
      <x:c r="J1142" s="48" t="n">
        <x:v>0.4</x:v>
      </x:c>
      <x:c r="K1142" s="48" t="str">
        <x:v>Yes</x:v>
      </x:c>
      <x:c r="L1142" s="48" t="str">
        <x:v>PDF text</x:v>
      </x:c>
    </x:row>
    <x:row r="1143">
      <x:c r="A1143" s="48" t="str">
        <x:v>YELLOW-1142</x:v>
      </x:c>
      <x:c r="B1143" s="48" t="str">
        <x:v>YELLOW</x:v>
      </x:c>
      <x:c r="C1143" s="48" t="str">
        <x:v>English</x:v>
      </x:c>
      <x:c r="D1143" s="48" t="n">
        <x:v>71</x:v>
      </x:c>
      <x:c r="E1143" s="48" t="str"/>
      <x:c r="F1143" s="48" t="str">
        <x:v>Each Party shall comply with the conditions stipulated in each of the insurance</x:v>
      </x:c>
      <x:c r="G1143" s="48" t="str">
        <x:v>Obligation</x:v>
      </x:c>
      <x:c r="H1143" s="48" t="str">
        <x:v>Shared</x:v>
      </x:c>
      <x:c r="I1143" s="48" t="n">
        <x:v>0.88</x:v>
      </x:c>
      <x:c r="J1143" s="48" t="n">
        <x:v>0.93</x:v>
      </x:c>
      <x:c r="K1143" s="48" t="str">
        <x:v>No</x:v>
      </x:c>
      <x:c r="L1143" s="48" t="str">
        <x:v>PDF text</x:v>
      </x:c>
    </x:row>
    <x:row r="1144">
      <x:c r="A1144" s="48" t="str">
        <x:v>YELLOW-1143</x:v>
      </x:c>
      <x:c r="B1144" s="48" t="str">
        <x:v>YELLOW</x:v>
      </x:c>
      <x:c r="C1144" s="48" t="str">
        <x:v>English</x:v>
      </x:c>
      <x:c r="D1144" s="48" t="n">
        <x:v>71</x:v>
      </x:c>
      <x:c r="E1144" s="48" t="str"/>
      <x:c r="F1144" s="48" t="str">
        <x:v>policies.</x:v>
      </x:c>
      <x:c r="G1144" s="48" t="str">
        <x:v>Obligation</x:v>
      </x:c>
      <x:c r="H1144" s="48" t="str">
        <x:v>Shared</x:v>
      </x:c>
      <x:c r="I1144" s="48" t="n">
        <x:v>0.45</x:v>
      </x:c>
      <x:c r="J1144" s="48" t="n">
        <x:v>0.4</x:v>
      </x:c>
      <x:c r="K1144" s="48" t="str">
        <x:v>Yes</x:v>
      </x:c>
      <x:c r="L1144" s="48" t="str">
        <x:v>PDF text</x:v>
      </x:c>
    </x:row>
    <x:row r="1145">
      <x:c r="A1145" s="48" t="str">
        <x:v>YELLOW-1144</x:v>
      </x:c>
      <x:c r="B1145" s="48" t="str">
        <x:v>YELLOW</x:v>
      </x:c>
      <x:c r="C1145" s="48" t="str">
        <x:v>English</x:v>
      </x:c>
      <x:c r="D1145" s="48" t="n">
        <x:v>71</x:v>
      </x:c>
      <x:c r="E1145" s="48" t="str"/>
      <x:c r="F1145" s="48" t="str">
        <x:v>The insuring Party shall keep the insurers informed of any relevant changes to the execution of the Works and ensure that insurance is maintained in accordance with this Clause.</x:v>
      </x:c>
      <x:c r="G1145" s="48" t="str">
        <x:v>Obligation</x:v>
      </x:c>
      <x:c r="H1145" s="48" t="str">
        <x:v>Shared</x:v>
      </x:c>
      <x:c r="I1145" s="48" t="n">
        <x:v>0.88</x:v>
      </x:c>
      <x:c r="J1145" s="48" t="n">
        <x:v>0.4</x:v>
      </x:c>
      <x:c r="K1145" s="48" t="str">
        <x:v>Yes</x:v>
      </x:c>
      <x:c r="L1145" s="48" t="str">
        <x:v>PDF text</x:v>
      </x:c>
    </x:row>
    <x:row r="1146">
      <x:c r="A1146" s="48" t="str">
        <x:v>YELLOW-1145</x:v>
      </x:c>
      <x:c r="B1146" s="48" t="str">
        <x:v>YELLOW</x:v>
      </x:c>
      <x:c r="C1146" s="48" t="str">
        <x:v>English</x:v>
      </x:c>
      <x:c r="D1146" s="48" t="n">
        <x:v>71</x:v>
      </x:c>
      <x:c r="E1146" s="48" t="str"/>
      <x:c r="F1146" s="48" t="str">
        <x:v>Neither Party shall make any material alteration to the terms of any insurance without the prior approval of the other Party.</x:v>
      </x:c>
      <x:c r="G1146" s="48" t="str">
        <x:v>Obligation</x:v>
      </x:c>
      <x:c r="H1146" s="48" t="str">
        <x:v>Shared</x:v>
      </x:c>
      <x:c r="I1146" s="48" t="n">
        <x:v>0.88</x:v>
      </x:c>
      <x:c r="J1146" s="48" t="n">
        <x:v>0.4</x:v>
      </x:c>
      <x:c r="K1146" s="48" t="str">
        <x:v>Yes</x:v>
      </x:c>
      <x:c r="L1146" s="48" t="str">
        <x:v>PDF text</x:v>
      </x:c>
    </x:row>
    <x:row r="1147">
      <x:c r="A1147" s="48" t="str">
        <x:v>YELLOW-1146</x:v>
      </x:c>
      <x:c r="B1147" s="48" t="str">
        <x:v>YELLOW</x:v>
      </x:c>
      <x:c r="C1147" s="48" t="str">
        <x:v>English</x:v>
      </x:c>
      <x:c r="D1147" s="48" t="n">
        <x:v>71</x:v>
      </x:c>
      <x:c r="E1147" s="48" t="str"/>
      <x:c r="F1147" s="48" t="str">
        <x:v>If an insurer makes (or attempts to make) any alteration, the Party first notified by the insurer shall promptly give notice to the other Party.</x:v>
      </x:c>
      <x:c r="G1147" s="48" t="str">
        <x:v>Obligation</x:v>
      </x:c>
      <x:c r="H1147" s="48" t="str">
        <x:v>Shared</x:v>
      </x:c>
      <x:c r="I1147" s="48" t="n">
        <x:v>0.88</x:v>
      </x:c>
      <x:c r="J1147" s="48" t="n">
        <x:v>0.4</x:v>
      </x:c>
      <x:c r="K1147" s="48" t="str">
        <x:v>Yes</x:v>
      </x:c>
      <x:c r="L1147" s="48" t="str">
        <x:v>PDF text</x:v>
      </x:c>
    </x:row>
    <x:row r="1148">
      <x:c r="A1148" s="48" t="str">
        <x:v>YELLOW-1147</x:v>
      </x:c>
      <x:c r="B1148" s="48" t="str">
        <x:v>YELLOW</x:v>
      </x:c>
      <x:c r="C1148" s="48" t="str">
        <x:v>English</x:v>
      </x:c>
      <x:c r="D1148" s="48" t="n">
        <x:v>71</x:v>
      </x:c>
      <x:c r="E1148" s="48" t="str"/>
      <x:c r="F1148" s="48" t="str">
        <x:v>If the insuring Party fails to effect and keep in force any of the insurances it is required to effect and maintain under the Contract, or fails to provide satisfactory evidence and copies of policies in accordance with this Sub-Clause, the other Party may (at its option and without prejudice to any other right or remedy) effect insurance for the relevant coverage and pay the premiums due.</x:v>
      </x:c>
      <x:c r="G1148" s="48" t="str">
        <x:v>Risk</x:v>
      </x:c>
      <x:c r="H1148" s="48" t="str">
        <x:v>Shared</x:v>
      </x:c>
      <x:c r="I1148" s="48" t="n">
        <x:v>0.78</x:v>
      </x:c>
      <x:c r="J1148" s="48" t="n">
        <x:v>0.4</x:v>
      </x:c>
      <x:c r="K1148" s="48" t="str">
        <x:v>Yes</x:v>
      </x:c>
      <x:c r="L1148" s="48" t="str">
        <x:v>PDF text</x:v>
      </x:c>
    </x:row>
    <x:row r="1149">
      <x:c r="A1149" s="48" t="str">
        <x:v>YELLOW-1148</x:v>
      </x:c>
      <x:c r="B1149" s="48" t="str">
        <x:v>YELLOW</x:v>
      </x:c>
      <x:c r="C1149" s="48" t="str">
        <x:v>English</x:v>
      </x:c>
      <x:c r="D1149" s="48" t="n">
        <x:v>71</x:v>
      </x:c>
      <x:c r="E1149" s="48" t="str"/>
      <x:c r="F1149" s="48" t="str">
        <x:v>The insuring Party shall pay the amount of these premiums to the other Party, and the Contract Price shall be adjusted accordingly.</x:v>
      </x:c>
      <x:c r="G1149" s="48" t="str">
        <x:v>Obligation</x:v>
      </x:c>
      <x:c r="H1149" s="48" t="str">
        <x:v>Shared</x:v>
      </x:c>
      <x:c r="I1149" s="48" t="n">
        <x:v>0.88</x:v>
      </x:c>
      <x:c r="J1149" s="48" t="n">
        <x:v>0.4</x:v>
      </x:c>
      <x:c r="K1149" s="48" t="str">
        <x:v>Yes</x:v>
      </x:c>
      <x:c r="L1149" s="48" t="str">
        <x:v>PDF text</x:v>
      </x:c>
    </x:row>
    <x:row r="1150">
      <x:c r="A1150" s="48" t="str">
        <x:v>YELLOW-1149</x:v>
      </x:c>
      <x:c r="B1150" s="48" t="str">
        <x:v>YELLOW</x:v>
      </x:c>
      <x:c r="C1150" s="48" t="str">
        <x:v>English</x:v>
      </x:c>
      <x:c r="D1150" s="48" t="n">
        <x:v>71</x:v>
      </x:c>
      <x:c r="E1150" s="48" t="str"/>
      <x:c r="F1150" s="48" t="str">
        <x:v>Nothing in this Clause limits the obligations, liabilities or responsibilities of the Contractor or the Employer, under the other terms of the Contract or otherwise.</x:v>
      </x:c>
      <x:c r="G1150" s="48" t="str">
        <x:v>Obligation</x:v>
      </x:c>
      <x:c r="H1150" s="48" t="str">
        <x:v>Shared</x:v>
      </x:c>
      <x:c r="I1150" s="48" t="n">
        <x:v>0.45</x:v>
      </x:c>
      <x:c r="J1150" s="48" t="n">
        <x:v>0.6</x:v>
      </x:c>
      <x:c r="K1150" s="48" t="str">
        <x:v>Yes</x:v>
      </x:c>
      <x:c r="L1150" s="48" t="str">
        <x:v>PDF text</x:v>
      </x:c>
    </x:row>
    <x:row r="1151">
      <x:c r="A1151" s="48" t="str">
        <x:v>YELLOW-1150</x:v>
      </x:c>
      <x:c r="B1151" s="48" t="str">
        <x:v>YELLOW</x:v>
      </x:c>
      <x:c r="C1151" s="48" t="str">
        <x:v>English</x:v>
      </x:c>
      <x:c r="D1151" s="48" t="n">
        <x:v>71</x:v>
      </x:c>
      <x:c r="E1151" s="48" t="str"/>
      <x:c r="F1151" s="48" t="str">
        <x:v>Any amounts not insured or not recovered from the insurers shall be borne by the Contractor and/or the Employer in accordance with these obligations, liabilities or responsibilities.</x:v>
      </x:c>
      <x:c r="G1151" s="48" t="str">
        <x:v>Obligation</x:v>
      </x:c>
      <x:c r="H1151" s="48" t="str">
        <x:v>Shared</x:v>
      </x:c>
      <x:c r="I1151" s="48" t="n">
        <x:v>0.88</x:v>
      </x:c>
      <x:c r="J1151" s="48" t="n">
        <x:v>0.6</x:v>
      </x:c>
      <x:c r="K1151" s="48" t="str">
        <x:v>Yes</x:v>
      </x:c>
      <x:c r="L1151" s="48" t="str">
        <x:v>PDF text</x:v>
      </x:c>
    </x:row>
    <x:row r="1152">
      <x:c r="A1152" s="48" t="str">
        <x:v>YELLOW-1151</x:v>
      </x:c>
      <x:c r="B1152" s="48" t="str">
        <x:v>YELLOW</x:v>
      </x:c>
      <x:c r="C1152" s="48" t="str">
        <x:v>English</x:v>
      </x:c>
      <x:c r="D1152" s="48" t="n">
        <x:v>71</x:v>
      </x:c>
      <x:c r="E1152" s="48" t="str"/>
      <x:c r="F1152" s="48" t="str">
        <x:v>However, if the insuring Party fails to effect and keep in force an insurance which is available and which it is required to effect and maintain under the Contract, and the other Party neither approves the omission nor effects insurance for the coverage relevant to this default, any moneys which should have been recoverable under this insurance shall be paid by the insuring Party.</x:v>
      </x:c>
      <x:c r="G1152" s="48" t="str">
        <x:v>Risk</x:v>
      </x:c>
      <x:c r="H1152" s="48" t="str">
        <x:v>Shared</x:v>
      </x:c>
      <x:c r="I1152" s="48" t="n">
        <x:v>0.78</x:v>
      </x:c>
      <x:c r="J1152" s="48" t="n">
        <x:v>0.4</x:v>
      </x:c>
      <x:c r="K1152" s="48" t="str">
        <x:v>Yes</x:v>
      </x:c>
      <x:c r="L1152" s="48" t="str">
        <x:v>PDF text</x:v>
      </x:c>
    </x:row>
    <x:row r="1153">
      <x:c r="A1153" s="48" t="str">
        <x:v>YELLOW-1152</x:v>
      </x:c>
      <x:c r="B1153" s="48" t="str">
        <x:v>YELLOW</x:v>
      </x:c>
      <x:c r="C1153" s="48" t="str">
        <x:v>English</x:v>
      </x:c>
      <x:c r="D1153" s="48" t="n">
        <x:v>71</x:v>
      </x:c>
      <x:c r="E1153" s="48" t="str"/>
      <x:c r="F1153" s="48" t="str">
        <x:v>Payments by one Party to the other Party shall be subject to Sub-Clause 2.5 [Employer's Claims] or Sub-Clause 20.1 [Contractor's Claims], as applicable</x:v>
      </x:c>
      <x:c r="G1153" s="48" t="str">
        <x:v>Obligation</x:v>
      </x:c>
      <x:c r="H1153" s="48" t="str">
        <x:v>Shared</x:v>
      </x:c>
      <x:c r="I1153" s="48" t="n">
        <x:v>0.88</x:v>
      </x:c>
      <x:c r="J1153" s="48" t="n">
        <x:v>0.6</x:v>
      </x:c>
      <x:c r="K1153" s="48" t="str">
        <x:v>Yes</x:v>
      </x:c>
      <x:c r="L1153" s="48" t="str">
        <x:v>PDF text</x:v>
      </x:c>
    </x:row>
    <x:row r="1154">
      <x:c r="A1154" s="48" t="str">
        <x:v>YELLOW-1153</x:v>
      </x:c>
      <x:c r="B1154" s="48" t="str">
        <x:v>YELLOW</x:v>
      </x:c>
      <x:c r="C1154" s="48" t="str">
        <x:v>English</x:v>
      </x:c>
      <x:c r="D1154" s="48" t="n">
        <x:v>71</x:v>
      </x:c>
      <x:c r="E1154" s="48" t="str"/>
      <x:c r="F1154" s="48" t="str">
        <x:v>The insuring Party shall insure the Works, Plant, Materials and Contractor's</x:v>
      </x:c>
      <x:c r="G1154" s="48" t="str">
        <x:v>Obligation</x:v>
      </x:c>
      <x:c r="H1154" s="48" t="str">
        <x:v>Contractor</x:v>
      </x:c>
      <x:c r="I1154" s="48" t="n">
        <x:v>0.88</x:v>
      </x:c>
      <x:c r="J1154" s="48" t="n">
        <x:v>0.68</x:v>
      </x:c>
      <x:c r="K1154" s="48" t="str">
        <x:v>Yes</x:v>
      </x:c>
      <x:c r="L1154" s="48" t="str">
        <x:v>PDF text</x:v>
      </x:c>
    </x:row>
    <x:row r="1155">
      <x:c r="A1155" s="48" t="str">
        <x:v>YELLOW-1154</x:v>
      </x:c>
      <x:c r="B1155" s="48" t="str">
        <x:v>YELLOW</x:v>
      </x:c>
      <x:c r="C1155" s="48" t="str">
        <x:v>English</x:v>
      </x:c>
      <x:c r="D1155" s="48" t="n">
        <x:v>71</x:v>
      </x:c>
      <x:c r="E1155" s="48" t="str"/>
      <x:c r="F1155" s="48" t="str">
        <x:v>Documents for not less than the full reinstatement cost including the costs of</x:v>
      </x:c>
      <x:c r="G1155" s="48" t="str">
        <x:v>Obligation</x:v>
      </x:c>
      <x:c r="H1155" s="48" t="str">
        <x:v>Shared</x:v>
      </x:c>
      <x:c r="I1155" s="48" t="n">
        <x:v>0.45</x:v>
      </x:c>
      <x:c r="J1155" s="48" t="n">
        <x:v>0.4</x:v>
      </x:c>
      <x:c r="K1155" s="48" t="str">
        <x:v>Yes</x:v>
      </x:c>
      <x:c r="L1155" s="48" t="str">
        <x:v>PDF text</x:v>
      </x:c>
    </x:row>
    <x:row r="1156">
      <x:c r="A1156" s="48" t="str">
        <x:v>YELLOW-1155</x:v>
      </x:c>
      <x:c r="B1156" s="48" t="str">
        <x:v>YELLOW</x:v>
      </x:c>
      <x:c r="C1156" s="48" t="str">
        <x:v>English</x:v>
      </x:c>
      <x:c r="D1156" s="48" t="n">
        <x:v>72</x:v>
      </x:c>
      <x:c r="E1156" s="48" t="str"/>
      <x:c r="F1156" s="48" t="str">
        <x:v>demolition, removal of debris and professional fees and profit.</x:v>
      </x:c>
      <x:c r="G1156" s="48" t="str">
        <x:v>Obligation</x:v>
      </x:c>
      <x:c r="H1156" s="48" t="str">
        <x:v>Shared</x:v>
      </x:c>
      <x:c r="I1156" s="48" t="n">
        <x:v>0.45</x:v>
      </x:c>
      <x:c r="J1156" s="48" t="n">
        <x:v>0.4</x:v>
      </x:c>
      <x:c r="K1156" s="48" t="str">
        <x:v>Yes</x:v>
      </x:c>
      <x:c r="L1156" s="48" t="str">
        <x:v>PDF text</x:v>
      </x:c>
    </x:row>
    <x:row r="1157">
      <x:c r="A1157" s="48" t="str">
        <x:v>YELLOW-1156</x:v>
      </x:c>
      <x:c r="B1157" s="48" t="str">
        <x:v>YELLOW</x:v>
      </x:c>
      <x:c r="C1157" s="48" t="str">
        <x:v>English</x:v>
      </x:c>
      <x:c r="D1157" s="48" t="n">
        <x:v>72</x:v>
      </x:c>
      <x:c r="E1157" s="48" t="str"/>
      <x:c r="F1157" s="48" t="str">
        <x:v>This insurance shall be effective from the date by which the evidence is to be submitted under sub-paragraph (a) of Sub-Clause 18.1 [General Requirements for Insurances], until the date of issue of the Taking-Over Certificate for the Works.</x:v>
      </x:c>
      <x:c r="G1157" s="48" t="str">
        <x:v>Obligation</x:v>
      </x:c>
      <x:c r="H1157" s="48" t="str">
        <x:v>Shared</x:v>
      </x:c>
      <x:c r="I1157" s="48" t="n">
        <x:v>0.88</x:v>
      </x:c>
      <x:c r="J1157" s="48" t="n">
        <x:v>0.4</x:v>
      </x:c>
      <x:c r="K1157" s="48" t="str">
        <x:v>Yes</x:v>
      </x:c>
      <x:c r="L1157" s="48" t="str">
        <x:v>PDF text</x:v>
      </x:c>
    </x:row>
    <x:row r="1158">
      <x:c r="A1158" s="48" t="str">
        <x:v>YELLOW-1157</x:v>
      </x:c>
      <x:c r="B1158" s="48" t="str">
        <x:v>YELLOW</x:v>
      </x:c>
      <x:c r="C1158" s="48" t="str">
        <x:v>English</x:v>
      </x:c>
      <x:c r="D1158" s="48" t="n">
        <x:v>72</x:v>
      </x:c>
      <x:c r="E1158" s="48" t="str"/>
      <x:c r="F1158" s="48" t="str">
        <x:v>The insuring Party shall maintain this insurance to provide cover until the date of issue of the Performance Certificate, for loss or damage for which the Contractor is liable arising from a cause occurring prior to the issue of the Taking-Over Certificate, and for loss or damage caused by the Contractor in the course of any other operations (including those under Clause 11 [Defects Liability] and Clause 12 [Tests after Completion]).</x:v>
      </x:c>
      <x:c r="G1158" s="48" t="str">
        <x:v>Risk</x:v>
      </x:c>
      <x:c r="H1158" s="48" t="str">
        <x:v>Contractor</x:v>
      </x:c>
      <x:c r="I1158" s="48" t="n">
        <x:v>0.78</x:v>
      </x:c>
      <x:c r="J1158" s="48" t="n">
        <x:v>0.68</x:v>
      </x:c>
      <x:c r="K1158" s="48" t="str">
        <x:v>Yes</x:v>
      </x:c>
      <x:c r="L1158" s="48" t="str">
        <x:v>PDF text</x:v>
      </x:c>
    </x:row>
    <x:row r="1159">
      <x:c r="A1159" s="48" t="str">
        <x:v>YELLOW-1158</x:v>
      </x:c>
      <x:c r="B1159" s="48" t="str">
        <x:v>YELLOW</x:v>
      </x:c>
      <x:c r="C1159" s="48" t="str">
        <x:v>English</x:v>
      </x:c>
      <x:c r="D1159" s="48" t="n">
        <x:v>72</x:v>
      </x:c>
      <x:c r="E1159" s="48" t="str"/>
      <x:c r="F1159" s="48" t="str">
        <x:v>The insuring Party shall insure the Contractor's Equipment for not less than the full replacement value, including delivery to Site.</x:v>
      </x:c>
      <x:c r="G1159" s="48" t="str">
        <x:v>Obligation</x:v>
      </x:c>
      <x:c r="H1159" s="48" t="str">
        <x:v>Contractor</x:v>
      </x:c>
      <x:c r="I1159" s="48" t="n">
        <x:v>0.88</x:v>
      </x:c>
      <x:c r="J1159" s="48" t="n">
        <x:v>0.68</x:v>
      </x:c>
      <x:c r="K1159" s="48" t="str">
        <x:v>Yes</x:v>
      </x:c>
      <x:c r="L1159" s="48" t="str">
        <x:v>PDF text</x:v>
      </x:c>
    </x:row>
    <x:row r="1160">
      <x:c r="A1160" s="48" t="str">
        <x:v>YELLOW-1159</x:v>
      </x:c>
      <x:c r="B1160" s="48" t="str">
        <x:v>YELLOW</x:v>
      </x:c>
      <x:c r="C1160" s="48" t="str">
        <x:v>English</x:v>
      </x:c>
      <x:c r="D1160" s="48" t="n">
        <x:v>72</x:v>
      </x:c>
      <x:c r="E1160" s="48" t="str"/>
      <x:c r="F1160" s="48" t="str">
        <x:v>For each item of Contractor's Equipment, the insurance shall be effective while it is being transported to the Site and until it is no longer required as Contractor's Equipment.</x:v>
      </x:c>
      <x:c r="G1160" s="48" t="str">
        <x:v>Obligation</x:v>
      </x:c>
      <x:c r="H1160" s="48" t="str">
        <x:v>Contractor</x:v>
      </x:c>
      <x:c r="I1160" s="48" t="n">
        <x:v>0.88</x:v>
      </x:c>
      <x:c r="J1160" s="48" t="n">
        <x:v>0.68</x:v>
      </x:c>
      <x:c r="K1160" s="48" t="str">
        <x:v>Yes</x:v>
      </x:c>
      <x:c r="L1160" s="48" t="str">
        <x:v>PDF text</x:v>
      </x:c>
    </x:row>
    <x:row r="1161">
      <x:c r="A1161" s="48" t="str">
        <x:v>YELLOW-1160</x:v>
      </x:c>
      <x:c r="B1161" s="48" t="str">
        <x:v>YELLOW</x:v>
      </x:c>
      <x:c r="C1161" s="48" t="str">
        <x:v>English</x:v>
      </x:c>
      <x:c r="D1161" s="48" t="n">
        <x:v>72</x:v>
      </x:c>
      <x:c r="E1161" s="48" t="str"/>
      <x:c r="F1161" s="48" t="str">
        <x:v>Unless otherwise stated in the Particular Conditions, insurances under this SubClause: (a) shall be effected and maintained by the Contractor as insuring Party, (b) shall be in the joint names of the Parties, who shall be jointly entitled to receive payments from the insurers, payments being held or allocated between the</x:v>
      </x:c>
      <x:c r="G1161" s="48" t="str">
        <x:v>Obligation</x:v>
      </x:c>
      <x:c r="H1161" s="48" t="str">
        <x:v>Shared</x:v>
      </x:c>
      <x:c r="I1161" s="48" t="n">
        <x:v>0.88</x:v>
      </x:c>
      <x:c r="J1161" s="48" t="n">
        <x:v>0.93</x:v>
      </x:c>
      <x:c r="K1161" s="48" t="str">
        <x:v>No</x:v>
      </x:c>
      <x:c r="L1161" s="48" t="str">
        <x:v>PDF text</x:v>
      </x:c>
    </x:row>
    <x:row r="1162">
      <x:c r="A1162" s="48" t="str">
        <x:v>YELLOW-1161</x:v>
      </x:c>
      <x:c r="B1162" s="48" t="str">
        <x:v>YELLOW</x:v>
      </x:c>
      <x:c r="C1162" s="48" t="str">
        <x:v>English</x:v>
      </x:c>
      <x:c r="D1162" s="48" t="n">
        <x:v>72</x:v>
      </x:c>
      <x:c r="E1162" s="48" t="str"/>
      <x:c r="F1162" s="48" t="str">
        <x:v>Parties for the sole purpose of rectifying the loss or damage,</x:v>
      </x:c>
      <x:c r="G1162" s="48" t="str">
        <x:v>Obligation</x:v>
      </x:c>
      <x:c r="H1162" s="48" t="str">
        <x:v>Shared</x:v>
      </x:c>
      <x:c r="I1162" s="48" t="n">
        <x:v>0.45</x:v>
      </x:c>
      <x:c r="J1162" s="48" t="n">
        <x:v>0.4</x:v>
      </x:c>
      <x:c r="K1162" s="48" t="str">
        <x:v>Yes</x:v>
      </x:c>
      <x:c r="L1162" s="48" t="str">
        <x:v>PDF text</x:v>
      </x:c>
    </x:row>
    <x:row r="1163">
      <x:c r="A1163" s="48" t="str">
        <x:v>YELLOW-1162</x:v>
      </x:c>
      <x:c r="B1163" s="48" t="str">
        <x:v>YELLOW</x:v>
      </x:c>
      <x:c r="C1163" s="48" t="str">
        <x:v>English</x:v>
      </x:c>
      <x:c r="D1163" s="48" t="n">
        <x:v>72</x:v>
      </x:c>
      <x:c r="E1163" s="48" t="str"/>
      <x:c r="F1163" s="48" t="str">
        <x:v>(c) shall cover all loss and damage from any cause not listed in Sub-Clause 17.3 [Employer's Risks], (d) shall also cover loss or damage to a part of the Works which is attributable to the use or occupation by the Employer of another part of the Works, and loss or damage from the risks listed in sub-paragraphs (c), (g) and (h) of Sub-Clause</x:v>
      </x:c>
      <x:c r="G1163" s="48" t="str">
        <x:v>Obligation</x:v>
      </x:c>
      <x:c r="H1163" s="48" t="str">
        <x:v>Employer</x:v>
      </x:c>
      <x:c r="I1163" s="48" t="n">
        <x:v>0.88</x:v>
      </x:c>
      <x:c r="J1163" s="48" t="n">
        <x:v>0.68</x:v>
      </x:c>
      <x:c r="K1163" s="48" t="str">
        <x:v>Yes</x:v>
      </x:c>
      <x:c r="L1163" s="48" t="str">
        <x:v>PDF text</x:v>
      </x:c>
    </x:row>
    <x:row r="1164">
      <x:c r="A1164" s="48" t="str">
        <x:v>YELLOW-1163</x:v>
      </x:c>
      <x:c r="B1164" s="48" t="str">
        <x:v>YELLOW</x:v>
      </x:c>
      <x:c r="C1164" s="48" t="str">
        <x:v>English</x:v>
      </x:c>
      <x:c r="D1164" s="48" t="n">
        <x:v>72</x:v>
      </x:c>
      <x:c r="E1164" s="48" t="str">
        <x:v>17.3</x:v>
      </x:c>
      <x:c r="F1164" s="48" t="str">
        <x:v>17.3 [Employer's Risks], excluding (in each case) risks which are not insurable</x:v>
      </x:c>
      <x:c r="G1164" s="48" t="str">
        <x:v>Obligation</x:v>
      </x:c>
      <x:c r="H1164" s="48" t="str">
        <x:v>Employer</x:v>
      </x:c>
      <x:c r="I1164" s="48" t="n">
        <x:v>0.45</x:v>
      </x:c>
      <x:c r="J1164" s="48" t="n">
        <x:v>0.68</x:v>
      </x:c>
      <x:c r="K1164" s="48" t="str">
        <x:v>Yes</x:v>
      </x:c>
      <x:c r="L1164" s="48" t="str">
        <x:v>PDF text</x:v>
      </x:c>
    </x:row>
    <x:row r="1165">
      <x:c r="A1165" s="48" t="str">
        <x:v>YELLOW-1164</x:v>
      </x:c>
      <x:c r="B1165" s="48" t="str">
        <x:v>YELLOW</x:v>
      </x:c>
      <x:c r="C1165" s="48" t="str">
        <x:v>English</x:v>
      </x:c>
      <x:c r="D1165" s="48" t="n">
        <x:v>72</x:v>
      </x:c>
      <x:c r="E1165" s="48" t="str"/>
      <x:c r="F1165" s="48" t="str">
        <x:v>at commercially reasonable terms, with deductibles per occurrence of not more than the amount stated in the Appendix to Tender (if an amount is not so stated, this sub-paragraph (d) shall not apply), and (e) may however exclude loss of, damage to, and reinstatement of: (i) a part of the Works which is in a defective condition due to a defect in its design, materials or workmanship (but cover shall include any other parts which are lost or damaged as a direct result of this defective condition and not as described in sub-paragraph (ii) below), (ii) a part of the Works which is lost or damaged in order to reinstate any other part of the Works if this other part is in a defective condition due to a defect in its design, materials or workmanship, (iii) a part of the Works which has been taken over by the Employer, except to the extent that the Contractor is liable for the loss or damage, and (iv) Goods while they are not in the Country, subject to Sub-Clause 14.5 [Plant and Materials intended for the Works].</x:v>
      </x:c>
      <x:c r="G1165" s="48" t="str">
        <x:v>Risk</x:v>
      </x:c>
      <x:c r="H1165" s="48" t="str">
        <x:v>Shared</x:v>
      </x:c>
      <x:c r="I1165" s="48" t="n">
        <x:v>0.78</x:v>
      </x:c>
      <x:c r="J1165" s="48" t="n">
        <x:v>0.6</x:v>
      </x:c>
      <x:c r="K1165" s="48" t="str">
        <x:v>Yes</x:v>
      </x:c>
      <x:c r="L1165" s="48" t="str">
        <x:v>PDF text</x:v>
      </x:c>
    </x:row>
    <x:row r="1166">
      <x:c r="A1166" s="48" t="str">
        <x:v>YELLOW-1165</x:v>
      </x:c>
      <x:c r="B1166" s="48" t="str">
        <x:v>YELLOW</x:v>
      </x:c>
      <x:c r="C1166" s="48" t="str">
        <x:v>English</x:v>
      </x:c>
      <x:c r="D1166" s="48" t="n">
        <x:v>72</x:v>
      </x:c>
      <x:c r="E1166" s="48" t="str"/>
      <x:c r="F1166" s="48" t="str">
        <x:v>If, more than one year after the Base Date, the cover described in sub-paragraph</x:v>
      </x:c>
      <x:c r="G1166" s="48" t="str">
        <x:v>Obligation</x:v>
      </x:c>
      <x:c r="H1166" s="48" t="str">
        <x:v>Shared</x:v>
      </x:c>
      <x:c r="I1166" s="48" t="n">
        <x:v>0.45</x:v>
      </x:c>
      <x:c r="J1166" s="48" t="n">
        <x:v>0.4</x:v>
      </x:c>
      <x:c r="K1166" s="48" t="str">
        <x:v>Yes</x:v>
      </x:c>
      <x:c r="L1166" s="48" t="str">
        <x:v>PDF text</x:v>
      </x:c>
    </x:row>
    <x:row r="1167">
      <x:c r="A1167" s="48" t="str">
        <x:v>YELLOW-1166</x:v>
      </x:c>
      <x:c r="B1167" s="48" t="str">
        <x:v>YELLOW</x:v>
      </x:c>
      <x:c r="C1167" s="48" t="str">
        <x:v>English</x:v>
      </x:c>
      <x:c r="D1167" s="48" t="n">
        <x:v>72</x:v>
      </x:c>
      <x:c r="E1167" s="48" t="str"/>
      <x:c r="F1167" s="48" t="str">
        <x:v>(d) above ceases to be available at commercially reasonable terms, the Contractor shall (as insuring Party) give notice to the Employer, with supporting particulars.</x:v>
      </x:c>
      <x:c r="G1167" s="48" t="str">
        <x:v>Obligation</x:v>
      </x:c>
      <x:c r="H1167" s="48" t="str">
        <x:v>Contractor</x:v>
      </x:c>
      <x:c r="I1167" s="48" t="n">
        <x:v>0.88</x:v>
      </x:c>
      <x:c r="J1167" s="48" t="n">
        <x:v>0.92</x:v>
      </x:c>
      <x:c r="K1167" s="48" t="str">
        <x:v>No</x:v>
      </x:c>
      <x:c r="L1167" s="48" t="str">
        <x:v>PDF text</x:v>
      </x:c>
    </x:row>
    <x:row r="1168">
      <x:c r="A1168" s="48" t="str">
        <x:v>YELLOW-1167</x:v>
      </x:c>
      <x:c r="B1168" s="48" t="str">
        <x:v>YELLOW</x:v>
      </x:c>
      <x:c r="C1168" s="48" t="str">
        <x:v>English</x:v>
      </x:c>
      <x:c r="D1168" s="48" t="n">
        <x:v>72</x:v>
      </x:c>
      <x:c r="E1168" s="48" t="str"/>
      <x:c r="F1168" s="48" t="str">
        <x:v>The Employer shall then (i) be entitled subject to Sub-Clause 2.5 [Employer's Claims] to payment of an amount equivalent to such commercially reasonable terms as the Contractor should have expected to have paid for such cover, and (ii) be deemed, unless he obtains the cover at commercially reasonable terms, to have approved the omission under Sub-Clause 18.1 [General Requirements for Insurances].</x:v>
      </x:c>
      <x:c r="G1168" s="48" t="str">
        <x:v>Obligation</x:v>
      </x:c>
      <x:c r="H1168" s="48" t="str">
        <x:v>Employer</x:v>
      </x:c>
      <x:c r="I1168" s="48" t="n">
        <x:v>0.88</x:v>
      </x:c>
      <x:c r="J1168" s="48" t="n">
        <x:v>0.92</x:v>
      </x:c>
      <x:c r="K1168" s="48" t="str">
        <x:v>No</x:v>
      </x:c>
      <x:c r="L1168" s="48" t="str">
        <x:v>PDF text</x:v>
      </x:c>
    </x:row>
    <x:row r="1169">
      <x:c r="A1169" s="48" t="str">
        <x:v>YELLOW-1168</x:v>
      </x:c>
      <x:c r="B1169" s="48" t="str">
        <x:v>YELLOW</x:v>
      </x:c>
      <x:c r="C1169" s="48" t="str">
        <x:v>English</x:v>
      </x:c>
      <x:c r="D1169" s="48" t="n">
        <x:v>73</x:v>
      </x:c>
      <x:c r="E1169" s="48" t="str"/>
      <x:c r="F1169" s="48" t="str">
        <x:v>Insurance against Injury</x:v>
      </x:c>
      <x:c r="G1169" s="48" t="str">
        <x:v>Obligation</x:v>
      </x:c>
      <x:c r="H1169" s="48" t="str">
        <x:v>Shared</x:v>
      </x:c>
      <x:c r="I1169" s="48" t="n">
        <x:v>0.45</x:v>
      </x:c>
      <x:c r="J1169" s="48" t="n">
        <x:v>0.4</x:v>
      </x:c>
      <x:c r="K1169" s="48" t="str">
        <x:v>Yes</x:v>
      </x:c>
      <x:c r="L1169" s="48" t="str">
        <x:v>PDF text</x:v>
      </x:c>
    </x:row>
    <x:row r="1170">
      <x:c r="A1170" s="48" t="str">
        <x:v>YELLOW-1169</x:v>
      </x:c>
      <x:c r="B1170" s="48" t="str">
        <x:v>YELLOW</x:v>
      </x:c>
      <x:c r="C1170" s="48" t="str">
        <x:v>English</x:v>
      </x:c>
      <x:c r="D1170" s="48" t="n">
        <x:v>73</x:v>
      </x:c>
      <x:c r="E1170" s="48" t="str"/>
      <x:c r="F1170" s="48" t="str">
        <x:v>to Persons and Damage to Property 18.4</x:v>
      </x:c>
      <x:c r="G1170" s="48" t="str">
        <x:v>Obligation</x:v>
      </x:c>
      <x:c r="H1170" s="48" t="str">
        <x:v>Shared</x:v>
      </x:c>
      <x:c r="I1170" s="48" t="n">
        <x:v>0.45</x:v>
      </x:c>
      <x:c r="J1170" s="48" t="n">
        <x:v>0.4</x:v>
      </x:c>
      <x:c r="K1170" s="48" t="str">
        <x:v>Yes</x:v>
      </x:c>
      <x:c r="L1170" s="48" t="str">
        <x:v>PDF text</x:v>
      </x:c>
    </x:row>
    <x:row r="1171">
      <x:c r="A1171" s="48" t="str">
        <x:v>YELLOW-1170</x:v>
      </x:c>
      <x:c r="B1171" s="48" t="str">
        <x:v>YELLOW</x:v>
      </x:c>
      <x:c r="C1171" s="48" t="str">
        <x:v>English</x:v>
      </x:c>
      <x:c r="D1171" s="48" t="n">
        <x:v>73</x:v>
      </x:c>
      <x:c r="E1171" s="48" t="str"/>
      <x:c r="F1171" s="48" t="str">
        <x:v>Insurance for</x:v>
      </x:c>
      <x:c r="G1171" s="48" t="str">
        <x:v>Obligation</x:v>
      </x:c>
      <x:c r="H1171" s="48" t="str">
        <x:v>Shared</x:v>
      </x:c>
      <x:c r="I1171" s="48" t="n">
        <x:v>0.45</x:v>
      </x:c>
      <x:c r="J1171" s="48" t="n">
        <x:v>0.4</x:v>
      </x:c>
      <x:c r="K1171" s="48" t="str">
        <x:v>Yes</x:v>
      </x:c>
      <x:c r="L1171" s="48" t="str">
        <x:v>PDF text</x:v>
      </x:c>
    </x:row>
    <x:row r="1172">
      <x:c r="A1172" s="48" t="str">
        <x:v>YELLOW-1171</x:v>
      </x:c>
      <x:c r="B1172" s="48" t="str">
        <x:v>YELLOW</x:v>
      </x:c>
      <x:c r="C1172" s="48" t="str">
        <x:v>English</x:v>
      </x:c>
      <x:c r="D1172" s="48" t="n">
        <x:v>73</x:v>
      </x:c>
      <x:c r="E1172" s="48" t="str"/>
      <x:c r="F1172" s="48" t="str">
        <x:v>Contractor’s Personnel</x:v>
      </x:c>
      <x:c r="G1172" s="48" t="str">
        <x:v>Obligation</x:v>
      </x:c>
      <x:c r="H1172" s="48" t="str">
        <x:v>Contractor</x:v>
      </x:c>
      <x:c r="I1172" s="48" t="n">
        <x:v>0.45</x:v>
      </x:c>
      <x:c r="J1172" s="48" t="n">
        <x:v>0.68</x:v>
      </x:c>
      <x:c r="K1172" s="48" t="str">
        <x:v>Yes</x:v>
      </x:c>
      <x:c r="L1172" s="48" t="str">
        <x:v>PDF text</x:v>
      </x:c>
    </x:row>
    <x:row r="1173">
      <x:c r="A1173" s="48" t="str">
        <x:v>YELLOW-1172</x:v>
      </x:c>
      <x:c r="B1173" s="48" t="str">
        <x:v>YELLOW</x:v>
      </x:c>
      <x:c r="C1173" s="48" t="str">
        <x:v>English</x:v>
      </x:c>
      <x:c r="D1173" s="48" t="n">
        <x:v>73</x:v>
      </x:c>
      <x:c r="E1173" s="48" t="str"/>
      <x:c r="F1173" s="48" t="str">
        <x:v>Definition of Force</x:v>
      </x:c>
      <x:c r="G1173" s="48" t="str">
        <x:v>Obligation</x:v>
      </x:c>
      <x:c r="H1173" s="48" t="str">
        <x:v>Shared</x:v>
      </x:c>
      <x:c r="I1173" s="48" t="n">
        <x:v>0.45</x:v>
      </x:c>
      <x:c r="J1173" s="48" t="n">
        <x:v>0.4</x:v>
      </x:c>
      <x:c r="K1173" s="48" t="str">
        <x:v>Yes</x:v>
      </x:c>
      <x:c r="L1173" s="48" t="str">
        <x:v>PDF text</x:v>
      </x:c>
    </x:row>
    <x:row r="1174">
      <x:c r="A1174" s="48" t="str">
        <x:v>YELLOW-1173</x:v>
      </x:c>
      <x:c r="B1174" s="48" t="str">
        <x:v>YELLOW</x:v>
      </x:c>
      <x:c r="C1174" s="48" t="str">
        <x:v>English</x:v>
      </x:c>
      <x:c r="D1174" s="48" t="n">
        <x:v>73</x:v>
      </x:c>
      <x:c r="E1174" s="48" t="str"/>
      <x:c r="F1174" s="48" t="str">
        <x:v>The insuring Party shall insure against each Party's liability for any loss, damage, death or bodily injury which may occur to any physical property (except things insured under Sub-Clause 18.2 [Insurance for Works and Contractor's Equipment]) or to any person (except persons insured under Sub-Clause 18.4 [Insurance for Contractor's Personnel]), which may arise out of the Contractor's performance of the Contract and occurring before the issue of the Performance Certificate.</x:v>
      </x:c>
      <x:c r="G1174" s="48" t="str">
        <x:v>Risk</x:v>
      </x:c>
      <x:c r="H1174" s="48" t="str">
        <x:v>Shared</x:v>
      </x:c>
      <x:c r="I1174" s="48" t="n">
        <x:v>0.78</x:v>
      </x:c>
      <x:c r="J1174" s="48" t="n">
        <x:v>0.93</x:v>
      </x:c>
      <x:c r="K1174" s="48" t="str">
        <x:v>No</x:v>
      </x:c>
      <x:c r="L1174" s="48" t="str">
        <x:v>PDF text</x:v>
      </x:c>
    </x:row>
    <x:row r="1175">
      <x:c r="A1175" s="48" t="str">
        <x:v>YELLOW-1174</x:v>
      </x:c>
      <x:c r="B1175" s="48" t="str">
        <x:v>YELLOW</x:v>
      </x:c>
      <x:c r="C1175" s="48" t="str">
        <x:v>English</x:v>
      </x:c>
      <x:c r="D1175" s="48" t="n">
        <x:v>73</x:v>
      </x:c>
      <x:c r="E1175" s="48" t="str"/>
      <x:c r="F1175" s="48" t="str">
        <x:v>This insurance shall be for a limit per occurrence of not less than the amount stated in the Appendix to Tender, with no limit on the number of occurrences.</x:v>
      </x:c>
      <x:c r="G1175" s="48" t="str">
        <x:v>Obligation</x:v>
      </x:c>
      <x:c r="H1175" s="48" t="str">
        <x:v>Shared</x:v>
      </x:c>
      <x:c r="I1175" s="48" t="n">
        <x:v>0.88</x:v>
      </x:c>
      <x:c r="J1175" s="48" t="n">
        <x:v>0.4</x:v>
      </x:c>
      <x:c r="K1175" s="48" t="str">
        <x:v>Yes</x:v>
      </x:c>
      <x:c r="L1175" s="48" t="str">
        <x:v>PDF text</x:v>
      </x:c>
    </x:row>
    <x:row r="1176">
      <x:c r="A1176" s="48" t="str">
        <x:v>YELLOW-1175</x:v>
      </x:c>
      <x:c r="B1176" s="48" t="str">
        <x:v>YELLOW</x:v>
      </x:c>
      <x:c r="C1176" s="48" t="str">
        <x:v>English</x:v>
      </x:c>
      <x:c r="D1176" s="48" t="n">
        <x:v>73</x:v>
      </x:c>
      <x:c r="E1176" s="48" t="str"/>
      <x:c r="F1176" s="48" t="str">
        <x:v>Unless otherwise stated in the Particular Conditions, the insurances specified in this Sub-Clause: (a) shall be effected and maintained by the Contractor as insuring Party, (b) shall be in the joint names of the Parties, (c) shall be extended to cover liability for all loss and damage to the Employer's property (except things insured under Sub-Clause 18.2) arising out of the</x:v>
      </x:c>
      <x:c r="G1176" s="48" t="str">
        <x:v>Risk</x:v>
      </x:c>
      <x:c r="H1176" s="48" t="str">
        <x:v>Shared</x:v>
      </x:c>
      <x:c r="I1176" s="48" t="n">
        <x:v>0.78</x:v>
      </x:c>
      <x:c r="J1176" s="48" t="n">
        <x:v>0.93</x:v>
      </x:c>
      <x:c r="K1176" s="48" t="str">
        <x:v>No</x:v>
      </x:c>
      <x:c r="L1176" s="48" t="str">
        <x:v>PDF text</x:v>
      </x:c>
    </x:row>
    <x:row r="1177">
      <x:c r="A1177" s="48" t="str">
        <x:v>YELLOW-1176</x:v>
      </x:c>
      <x:c r="B1177" s="48" t="str">
        <x:v>YELLOW</x:v>
      </x:c>
      <x:c r="C1177" s="48" t="str">
        <x:v>English</x:v>
      </x:c>
      <x:c r="D1177" s="48" t="n">
        <x:v>73</x:v>
      </x:c>
      <x:c r="E1177" s="48" t="str"/>
      <x:c r="F1177" s="48" t="str">
        <x:v>Contractor's performance of the Contract, and</x:v>
      </x:c>
      <x:c r="G1177" s="48" t="str">
        <x:v>Obligation</x:v>
      </x:c>
      <x:c r="H1177" s="48" t="str">
        <x:v>Contractor</x:v>
      </x:c>
      <x:c r="I1177" s="48" t="n">
        <x:v>0.45</x:v>
      </x:c>
      <x:c r="J1177" s="48" t="n">
        <x:v>0.68</x:v>
      </x:c>
      <x:c r="K1177" s="48" t="str">
        <x:v>Yes</x:v>
      </x:c>
      <x:c r="L1177" s="48" t="str">
        <x:v>PDF text</x:v>
      </x:c>
    </x:row>
    <x:row r="1178">
      <x:c r="A1178" s="48" t="str">
        <x:v>YELLOW-1177</x:v>
      </x:c>
      <x:c r="B1178" s="48" t="str">
        <x:v>YELLOW</x:v>
      </x:c>
      <x:c r="C1178" s="48" t="str">
        <x:v>English</x:v>
      </x:c>
      <x:c r="D1178" s="48" t="n">
        <x:v>73</x:v>
      </x:c>
      <x:c r="E1178" s="48" t="str"/>
      <x:c r="F1178" s="48" t="str">
        <x:v>(d) may however exclude liability to the extent that it arises from: (i) the Employer's right to have the Permanent Works executed on, over, under, in or through any land, and to occupy this land for the Permanent Works, (ii) damage which is an unavoidable result of the Contractor's obligations to execute the Works and remedy any defects, and (iii) a cause listed in Sub-Clause 17.3 [Employer's Risks], except to the extent that cover is available at commercially reasonable terms.</x:v>
      </x:c>
      <x:c r="G1178" s="48" t="str">
        <x:v>Risk</x:v>
      </x:c>
      <x:c r="H1178" s="48" t="str">
        <x:v>Employer</x:v>
      </x:c>
      <x:c r="I1178" s="48" t="n">
        <x:v>0.78</x:v>
      </x:c>
      <x:c r="J1178" s="48" t="n">
        <x:v>0.9</x:v>
      </x:c>
      <x:c r="K1178" s="48" t="str">
        <x:v>No</x:v>
      </x:c>
      <x:c r="L1178" s="48" t="str">
        <x:v>PDF text</x:v>
      </x:c>
    </x:row>
    <x:row r="1179">
      <x:c r="A1179" s="48" t="str">
        <x:v>YELLOW-1178</x:v>
      </x:c>
      <x:c r="B1179" s="48" t="str">
        <x:v>YELLOW</x:v>
      </x:c>
      <x:c r="C1179" s="48" t="str">
        <x:v>English</x:v>
      </x:c>
      <x:c r="D1179" s="48" t="n">
        <x:v>73</x:v>
      </x:c>
      <x:c r="E1179" s="48" t="str"/>
      <x:c r="F1179" s="48" t="str">
        <x:v>The Contractor shall effect and maintain insurance against liability for claims,</x:v>
      </x:c>
      <x:c r="G1179" s="48" t="str">
        <x:v>Risk</x:v>
      </x:c>
      <x:c r="H1179" s="48" t="str">
        <x:v>Contractor</x:v>
      </x:c>
      <x:c r="I1179" s="48" t="n">
        <x:v>0.78</x:v>
      </x:c>
      <x:c r="J1179" s="48" t="n">
        <x:v>0.92</x:v>
      </x:c>
      <x:c r="K1179" s="48" t="str">
        <x:v>No</x:v>
      </x:c>
      <x:c r="L1179" s="48" t="str">
        <x:v>PDF text</x:v>
      </x:c>
    </x:row>
    <x:row r="1180">
      <x:c r="A1180" s="48" t="str">
        <x:v>YELLOW-1179</x:v>
      </x:c>
      <x:c r="B1180" s="48" t="str">
        <x:v>YELLOW</x:v>
      </x:c>
      <x:c r="C1180" s="48" t="str">
        <x:v>English</x:v>
      </x:c>
      <x:c r="D1180" s="48" t="n">
        <x:v>73</x:v>
      </x:c>
      <x:c r="E1180" s="48" t="str"/>
      <x:c r="F1180" s="48" t="str">
        <x:v>damages, losses and expenses (including legal fees and expenses) arising from injury, sickness, disease or death of any person employed by the Contractor or any other of the Contractor's Personnel.</x:v>
      </x:c>
      <x:c r="G1180" s="48" t="str">
        <x:v>Obligation</x:v>
      </x:c>
      <x:c r="H1180" s="48" t="str">
        <x:v>Contractor</x:v>
      </x:c>
      <x:c r="I1180" s="48" t="n">
        <x:v>0.45</x:v>
      </x:c>
      <x:c r="J1180" s="48" t="n">
        <x:v>0.68</x:v>
      </x:c>
      <x:c r="K1180" s="48" t="str">
        <x:v>Yes</x:v>
      </x:c>
      <x:c r="L1180" s="48" t="str">
        <x:v>PDF text</x:v>
      </x:c>
    </x:row>
    <x:row r="1181">
      <x:c r="A1181" s="48" t="str">
        <x:v>YELLOW-1180</x:v>
      </x:c>
      <x:c r="B1181" s="48" t="str">
        <x:v>YELLOW</x:v>
      </x:c>
      <x:c r="C1181" s="48" t="str">
        <x:v>English</x:v>
      </x:c>
      <x:c r="D1181" s="48" t="n">
        <x:v>73</x:v>
      </x:c>
      <x:c r="E1181" s="48" t="str"/>
      <x:c r="F1181" s="48" t="str">
        <x:v>The Employer and the Engineer shall also be indemnified under the policy of</x:v>
      </x:c>
      <x:c r="G1181" s="48" t="str">
        <x:v>Obligation</x:v>
      </x:c>
      <x:c r="H1181" s="48" t="str">
        <x:v>Employer</x:v>
      </x:c>
      <x:c r="I1181" s="48" t="n">
        <x:v>0.88</x:v>
      </x:c>
      <x:c r="J1181" s="48" t="n">
        <x:v>0.68</x:v>
      </x:c>
      <x:c r="K1181" s="48" t="str">
        <x:v>Yes</x:v>
      </x:c>
      <x:c r="L1181" s="48" t="str">
        <x:v>PDF text</x:v>
      </x:c>
    </x:row>
    <x:row r="1182">
      <x:c r="A1182" s="48" t="str">
        <x:v>YELLOW-1181</x:v>
      </x:c>
      <x:c r="B1182" s="48" t="str">
        <x:v>YELLOW</x:v>
      </x:c>
      <x:c r="C1182" s="48" t="str">
        <x:v>English</x:v>
      </x:c>
      <x:c r="D1182" s="48" t="n">
        <x:v>73</x:v>
      </x:c>
      <x:c r="E1182" s="48" t="str"/>
      <x:c r="F1182" s="48" t="str">
        <x:v>insurance, except that this insurance may exclude losses and claims to the extent that they arise from any act or neglect of the Employer or of the Employer's Personnel.</x:v>
      </x:c>
      <x:c r="G1182" s="48" t="str">
        <x:v>Right</x:v>
      </x:c>
      <x:c r="H1182" s="48" t="str">
        <x:v>Employer</x:v>
      </x:c>
      <x:c r="I1182" s="48" t="n">
        <x:v>0.78</x:v>
      </x:c>
      <x:c r="J1182" s="48" t="n">
        <x:v>0.68</x:v>
      </x:c>
      <x:c r="K1182" s="48" t="str">
        <x:v>Yes</x:v>
      </x:c>
      <x:c r="L1182" s="48" t="str">
        <x:v>PDF text</x:v>
      </x:c>
    </x:row>
    <x:row r="1183">
      <x:c r="A1183" s="48" t="str">
        <x:v>YELLOW-1182</x:v>
      </x:c>
      <x:c r="B1183" s="48" t="str">
        <x:v>YELLOW</x:v>
      </x:c>
      <x:c r="C1183" s="48" t="str">
        <x:v>English</x:v>
      </x:c>
      <x:c r="D1183" s="48" t="n">
        <x:v>73</x:v>
      </x:c>
      <x:c r="E1183" s="48" t="str"/>
      <x:c r="F1183" s="48" t="str">
        <x:v>The insurance shall be maintained in full force and effect during the whole time that these personnel are assisting in the execution of the Works.</x:v>
      </x:c>
      <x:c r="G1183" s="48" t="str">
        <x:v>Obligation</x:v>
      </x:c>
      <x:c r="H1183" s="48" t="str">
        <x:v>Shared</x:v>
      </x:c>
      <x:c r="I1183" s="48" t="n">
        <x:v>0.88</x:v>
      </x:c>
      <x:c r="J1183" s="48" t="n">
        <x:v>0.4</x:v>
      </x:c>
      <x:c r="K1183" s="48" t="str">
        <x:v>Yes</x:v>
      </x:c>
      <x:c r="L1183" s="48" t="str">
        <x:v>PDF text</x:v>
      </x:c>
    </x:row>
    <x:row r="1184">
      <x:c r="A1184" s="48" t="str">
        <x:v>YELLOW-1183</x:v>
      </x:c>
      <x:c r="B1184" s="48" t="str">
        <x:v>YELLOW</x:v>
      </x:c>
      <x:c r="C1184" s="48" t="str">
        <x:v>English</x:v>
      </x:c>
      <x:c r="D1184" s="48" t="n">
        <x:v>73</x:v>
      </x:c>
      <x:c r="E1184" s="48" t="str"/>
      <x:c r="F1184" s="48" t="str">
        <x:v>For a Subcontractor's employees, the insurance may be effected by the Subcontractor, but the Contractor shall be responsible for compliance with this Clause.</x:v>
      </x:c>
      <x:c r="G1184" s="48" t="str">
        <x:v>Obligation</x:v>
      </x:c>
      <x:c r="H1184" s="48" t="str">
        <x:v>Contractor</x:v>
      </x:c>
      <x:c r="I1184" s="48" t="n">
        <x:v>0.88</x:v>
      </x:c>
      <x:c r="J1184" s="48" t="n">
        <x:v>0.92</x:v>
      </x:c>
      <x:c r="K1184" s="48" t="str">
        <x:v>No</x:v>
      </x:c>
      <x:c r="L1184" s="48" t="str">
        <x:v>PDF text</x:v>
      </x:c>
    </x:row>
    <x:row r="1185">
      <x:c r="A1185" s="48" t="str">
        <x:v>YELLOW-1184</x:v>
      </x:c>
      <x:c r="B1185" s="48" t="str">
        <x:v>YELLOW</x:v>
      </x:c>
      <x:c r="C1185" s="48" t="str">
        <x:v>English</x:v>
      </x:c>
      <x:c r="D1185" s="48" t="n">
        <x:v>73</x:v>
      </x:c>
      <x:c r="E1185" s="48" t="str"/>
      <x:c r="F1185" s="48" t="str">
        <x:v>In this Clause, "Force Majeure" means an exceptional event or circumstance: (a) which is beyond a Party's control, (b) which such Party could not reasonably have provided against before entering into the Contract, (c) which, having arisen, such Party could not reasonably have avoided or overcome, and (d) which is not substantially attributable to the other Party.</x:v>
      </x:c>
      <x:c r="G1185" s="48" t="str">
        <x:v>Definition</x:v>
      </x:c>
      <x:c r="H1185" s="48" t="str"/>
      <x:c r="I1185" s="48" t="n">
        <x:v>0.97</x:v>
      </x:c>
      <x:c r="J1185" s="48" t="n">
        <x:v>0.99</x:v>
      </x:c>
      <x:c r="K1185" s="48" t="str">
        <x:v>No</x:v>
      </x:c>
      <x:c r="L1185" s="48" t="str">
        <x:v>PDF text</x:v>
      </x:c>
    </x:row>
    <x:row r="1186">
      <x:c r="A1186" s="48" t="str">
        <x:v>YELLOW-1185</x:v>
      </x:c>
      <x:c r="B1186" s="48" t="str">
        <x:v>YELLOW</x:v>
      </x:c>
      <x:c r="C1186" s="48" t="str">
        <x:v>English</x:v>
      </x:c>
      <x:c r="D1186" s="48" t="n">
        <x:v>73</x:v>
      </x:c>
      <x:c r="E1186" s="48" t="str"/>
      <x:c r="F1186" s="48" t="str">
        <x:v>Force Majeure</x:v>
      </x:c>
      <x:c r="G1186" s="48" t="str">
        <x:v>Obligation</x:v>
      </x:c>
      <x:c r="H1186" s="48" t="str">
        <x:v>Shared</x:v>
      </x:c>
      <x:c r="I1186" s="48" t="n">
        <x:v>0.45</x:v>
      </x:c>
      <x:c r="J1186" s="48" t="n">
        <x:v>0.4</x:v>
      </x:c>
      <x:c r="K1186" s="48" t="str">
        <x:v>Yes</x:v>
      </x:c>
      <x:c r="L1186" s="48" t="str">
        <x:v>PDF text</x:v>
      </x:c>
    </x:row>
    <x:row r="1187">
      <x:c r="A1187" s="48" t="str">
        <x:v>YELLOW-1186</x:v>
      </x:c>
      <x:c r="B1187" s="48" t="str">
        <x:v>YELLOW</x:v>
      </x:c>
      <x:c r="C1187" s="48" t="str">
        <x:v>English</x:v>
      </x:c>
      <x:c r="D1187" s="48" t="n">
        <x:v>74</x:v>
      </x:c>
      <x:c r="E1187" s="48" t="str"/>
      <x:c r="F1187" s="48" t="str">
        <x:v>Notice of Force Majeure</x:v>
      </x:c>
      <x:c r="G1187" s="48" t="str">
        <x:v>Obligation</x:v>
      </x:c>
      <x:c r="H1187" s="48" t="str">
        <x:v>Shared</x:v>
      </x:c>
      <x:c r="I1187" s="48" t="n">
        <x:v>0.55</x:v>
      </x:c>
      <x:c r="J1187" s="48" t="n">
        <x:v>0.4</x:v>
      </x:c>
      <x:c r="K1187" s="48" t="str">
        <x:v>Yes</x:v>
      </x:c>
      <x:c r="L1187" s="48" t="str">
        <x:v>PDF text</x:v>
      </x:c>
    </x:row>
    <x:row r="1188">
      <x:c r="A1188" s="48" t="str">
        <x:v>YELLOW-1187</x:v>
      </x:c>
      <x:c r="B1188" s="48" t="str">
        <x:v>YELLOW</x:v>
      </x:c>
      <x:c r="C1188" s="48" t="str">
        <x:v>English</x:v>
      </x:c>
      <x:c r="D1188" s="48" t="n">
        <x:v>74</x:v>
      </x:c>
      <x:c r="E1188" s="48" t="str"/>
      <x:c r="F1188" s="48" t="str">
        <x:v>Duty to Minimise Delay</x:v>
      </x:c>
      <x:c r="G1188" s="48" t="str">
        <x:v>Obligation</x:v>
      </x:c>
      <x:c r="H1188" s="48" t="str">
        <x:v>Shared</x:v>
      </x:c>
      <x:c r="I1188" s="48" t="n">
        <x:v>0.88</x:v>
      </x:c>
      <x:c r="J1188" s="48" t="n">
        <x:v>0.4</x:v>
      </x:c>
      <x:c r="K1188" s="48" t="str">
        <x:v>Yes</x:v>
      </x:c>
      <x:c r="L1188" s="48" t="str">
        <x:v>PDF text</x:v>
      </x:c>
    </x:row>
    <x:row r="1189">
      <x:c r="A1189" s="48" t="str">
        <x:v>YELLOW-1188</x:v>
      </x:c>
      <x:c r="B1189" s="48" t="str">
        <x:v>YELLOW</x:v>
      </x:c>
      <x:c r="C1189" s="48" t="str">
        <x:v>English</x:v>
      </x:c>
      <x:c r="D1189" s="48" t="n">
        <x:v>74</x:v>
      </x:c>
      <x:c r="E1189" s="48" t="str"/>
      <x:c r="F1189" s="48" t="str">
        <x:v>Consequences of Force</x:v>
      </x:c>
      <x:c r="G1189" s="48" t="str">
        <x:v>Obligation</x:v>
      </x:c>
      <x:c r="H1189" s="48" t="str">
        <x:v>Shared</x:v>
      </x:c>
      <x:c r="I1189" s="48" t="n">
        <x:v>0.45</x:v>
      </x:c>
      <x:c r="J1189" s="48" t="n">
        <x:v>0.4</x:v>
      </x:c>
      <x:c r="K1189" s="48" t="str">
        <x:v>Yes</x:v>
      </x:c>
      <x:c r="L1189" s="48" t="str">
        <x:v>PDF text</x:v>
      </x:c>
    </x:row>
    <x:row r="1190">
      <x:c r="A1190" s="48" t="str">
        <x:v>YELLOW-1189</x:v>
      </x:c>
      <x:c r="B1190" s="48" t="str">
        <x:v>YELLOW</x:v>
      </x:c>
      <x:c r="C1190" s="48" t="str">
        <x:v>English</x:v>
      </x:c>
      <x:c r="D1190" s="48" t="n">
        <x:v>74</x:v>
      </x:c>
      <x:c r="E1190" s="48" t="str"/>
      <x:c r="F1190" s="48" t="str">
        <x:v>Force Majeure Affecting</x:v>
      </x:c>
      <x:c r="G1190" s="48" t="str">
        <x:v>Obligation</x:v>
      </x:c>
      <x:c r="H1190" s="48" t="str">
        <x:v>Shared</x:v>
      </x:c>
      <x:c r="I1190" s="48" t="n">
        <x:v>0.45</x:v>
      </x:c>
      <x:c r="J1190" s="48" t="n">
        <x:v>0.4</x:v>
      </x:c>
      <x:c r="K1190" s="48" t="str">
        <x:v>Yes</x:v>
      </x:c>
      <x:c r="L1190" s="48" t="str">
        <x:v>PDF text</x:v>
      </x:c>
    </x:row>
    <x:row r="1191">
      <x:c r="A1191" s="48" t="str">
        <x:v>YELLOW-1190</x:v>
      </x:c>
      <x:c r="B1191" s="48" t="str">
        <x:v>YELLOW</x:v>
      </x:c>
      <x:c r="C1191" s="48" t="str">
        <x:v>English</x:v>
      </x:c>
      <x:c r="D1191" s="48" t="n">
        <x:v>74</x:v>
      </x:c>
      <x:c r="E1191" s="48" t="str"/>
      <x:c r="F1191" s="48" t="str">
        <x:v>Sub-contractor</x:v>
      </x:c>
      <x:c r="G1191" s="48" t="str">
        <x:v>Obligation</x:v>
      </x:c>
      <x:c r="H1191" s="48" t="str">
        <x:v>Contractor</x:v>
      </x:c>
      <x:c r="I1191" s="48" t="n">
        <x:v>0.45</x:v>
      </x:c>
      <x:c r="J1191" s="48" t="n">
        <x:v>0.68</x:v>
      </x:c>
      <x:c r="K1191" s="48" t="str">
        <x:v>Yes</x:v>
      </x:c>
      <x:c r="L1191" s="48" t="str">
        <x:v>PDF text</x:v>
      </x:c>
    </x:row>
    <x:row r="1192">
      <x:c r="A1192" s="48" t="str">
        <x:v>YELLOW-1191</x:v>
      </x:c>
      <x:c r="B1192" s="48" t="str">
        <x:v>YELLOW</x:v>
      </x:c>
      <x:c r="C1192" s="48" t="str">
        <x:v>English</x:v>
      </x:c>
      <x:c r="D1192" s="48" t="n">
        <x:v>74</x:v>
      </x:c>
      <x:c r="E1192" s="48" t="str"/>
      <x:c r="F1192" s="48" t="str">
        <x:v>Force Majeure may include, but is not limited to, exceptional events or circumstances of the kind listed below, so long as conditions (a) to (d) above are satisfied: (i) war, hostilities (whether war be declared or not), invasion, act of foreign enemies, (ii) rebellion, terrorism, revolution, insurrection, military or usurped power, or civil war, (iii) riot, commotion, disorder, strike or lockout by persons other than the</x:v>
      </x:c>
      <x:c r="G1192" s="48" t="str">
        <x:v>Right</x:v>
      </x:c>
      <x:c r="H1192" s="48" t="str">
        <x:v>Shared</x:v>
      </x:c>
      <x:c r="I1192" s="48" t="n">
        <x:v>0.78</x:v>
      </x:c>
      <x:c r="J1192" s="48" t="n">
        <x:v>0.4</x:v>
      </x:c>
      <x:c r="K1192" s="48" t="str">
        <x:v>Yes</x:v>
      </x:c>
      <x:c r="L1192" s="48" t="str">
        <x:v>PDF text</x:v>
      </x:c>
    </x:row>
    <x:row r="1193">
      <x:c r="A1193" s="48" t="str">
        <x:v>YELLOW-1192</x:v>
      </x:c>
      <x:c r="B1193" s="48" t="str">
        <x:v>YELLOW</x:v>
      </x:c>
      <x:c r="C1193" s="48" t="str">
        <x:v>English</x:v>
      </x:c>
      <x:c r="D1193" s="48" t="n">
        <x:v>74</x:v>
      </x:c>
      <x:c r="E1193" s="48" t="str"/>
      <x:c r="F1193" s="48" t="str">
        <x:v>(iv) munitions of war, explosive materials, ionising radiation or contamination by radio-activity, except as may be attributable to the Contractor's use of such munitions, explosives, radiation or radio-activity, and (v) natural catastrophes such as earthquake, hurricane, typhoon or volcanic activity.</x:v>
      </x:c>
      <x:c r="G1193" s="48" t="str">
        <x:v>Right</x:v>
      </x:c>
      <x:c r="H1193" s="48" t="str">
        <x:v>Contractor</x:v>
      </x:c>
      <x:c r="I1193" s="48" t="n">
        <x:v>0.78</x:v>
      </x:c>
      <x:c r="J1193" s="48" t="n">
        <x:v>0.68</x:v>
      </x:c>
      <x:c r="K1193" s="48" t="str">
        <x:v>Yes</x:v>
      </x:c>
      <x:c r="L1193" s="48" t="str">
        <x:v>PDF text</x:v>
      </x:c>
    </x:row>
    <x:row r="1194">
      <x:c r="A1194" s="48" t="str">
        <x:v>YELLOW-1193</x:v>
      </x:c>
      <x:c r="B1194" s="48" t="str">
        <x:v>YELLOW</x:v>
      </x:c>
      <x:c r="C1194" s="48" t="str">
        <x:v>English</x:v>
      </x:c>
      <x:c r="D1194" s="48" t="n">
        <x:v>74</x:v>
      </x:c>
      <x:c r="E1194" s="48" t="str"/>
      <x:c r="F1194" s="48" t="str">
        <x:v>If a Party is or will be prevented from performing any of its obligations under the Contract by Force Majeure, then it shall give notice to the other Party of the event or circumstances constituting the Force Majeure and shall specify the obligations, the performance of which is or will be prevented.</x:v>
      </x:c>
      <x:c r="G1194" s="48" t="str">
        <x:v>Risk</x:v>
      </x:c>
      <x:c r="H1194" s="48" t="str">
        <x:v>Shared</x:v>
      </x:c>
      <x:c r="I1194" s="48" t="n">
        <x:v>0.78</x:v>
      </x:c>
      <x:c r="J1194" s="48" t="n">
        <x:v>0.4</x:v>
      </x:c>
      <x:c r="K1194" s="48" t="str">
        <x:v>Yes</x:v>
      </x:c>
      <x:c r="L1194" s="48" t="str">
        <x:v>PDF text</x:v>
      </x:c>
    </x:row>
    <x:row r="1195">
      <x:c r="A1195" s="48" t="str">
        <x:v>YELLOW-1194</x:v>
      </x:c>
      <x:c r="B1195" s="48" t="str">
        <x:v>YELLOW</x:v>
      </x:c>
      <x:c r="C1195" s="48" t="str">
        <x:v>English</x:v>
      </x:c>
      <x:c r="D1195" s="48" t="n">
        <x:v>74</x:v>
      </x:c>
      <x:c r="E1195" s="48" t="str"/>
      <x:c r="F1195" s="48" t="str">
        <x:v>The notice shall be given within 14 days after the Party became aware, or should have become aware, of the relevant event or circumstance constituting Force Majeure.</x:v>
      </x:c>
      <x:c r="G1195" s="48" t="str">
        <x:v>Obligation</x:v>
      </x:c>
      <x:c r="H1195" s="48" t="str">
        <x:v>Shared</x:v>
      </x:c>
      <x:c r="I1195" s="48" t="n">
        <x:v>0.88</x:v>
      </x:c>
      <x:c r="J1195" s="48" t="n">
        <x:v>0.4</x:v>
      </x:c>
      <x:c r="K1195" s="48" t="str">
        <x:v>Yes</x:v>
      </x:c>
      <x:c r="L1195" s="48" t="str">
        <x:v>PDF text</x:v>
      </x:c>
    </x:row>
    <x:row r="1196">
      <x:c r="A1196" s="48" t="str">
        <x:v>YELLOW-1195</x:v>
      </x:c>
      <x:c r="B1196" s="48" t="str">
        <x:v>YELLOW</x:v>
      </x:c>
      <x:c r="C1196" s="48" t="str">
        <x:v>English</x:v>
      </x:c>
      <x:c r="D1196" s="48" t="n">
        <x:v>74</x:v>
      </x:c>
      <x:c r="E1196" s="48" t="str"/>
      <x:c r="F1196" s="48" t="str">
        <x:v>The Party shall, having given notice, be excused performance of such obligations for so long as such Force Majeure prevents it from performing them.</x:v>
      </x:c>
      <x:c r="G1196" s="48" t="str">
        <x:v>Obligation</x:v>
      </x:c>
      <x:c r="H1196" s="48" t="str">
        <x:v>Shared</x:v>
      </x:c>
      <x:c r="I1196" s="48" t="n">
        <x:v>0.88</x:v>
      </x:c>
      <x:c r="J1196" s="48" t="n">
        <x:v>0.4</x:v>
      </x:c>
      <x:c r="K1196" s="48" t="str">
        <x:v>Yes</x:v>
      </x:c>
      <x:c r="L1196" s="48" t="str">
        <x:v>PDF text</x:v>
      </x:c>
    </x:row>
    <x:row r="1197">
      <x:c r="A1197" s="48" t="str">
        <x:v>YELLOW-1196</x:v>
      </x:c>
      <x:c r="B1197" s="48" t="str">
        <x:v>YELLOW</x:v>
      </x:c>
      <x:c r="C1197" s="48" t="str">
        <x:v>English</x:v>
      </x:c>
      <x:c r="D1197" s="48" t="n">
        <x:v>74</x:v>
      </x:c>
      <x:c r="E1197" s="48" t="str"/>
      <x:c r="F1197" s="48" t="str">
        <x:v>Notwithstanding any other provision of this Clause, Force Majeure shall not apply to obligations of either Party to make payments to the other Party under the Contract.</x:v>
      </x:c>
      <x:c r="G1197" s="48" t="str">
        <x:v>Obligation</x:v>
      </x:c>
      <x:c r="H1197" s="48" t="str">
        <x:v>Shared</x:v>
      </x:c>
      <x:c r="I1197" s="48" t="n">
        <x:v>0.88</x:v>
      </x:c>
      <x:c r="J1197" s="48" t="n">
        <x:v>0.93</x:v>
      </x:c>
      <x:c r="K1197" s="48" t="str">
        <x:v>No</x:v>
      </x:c>
      <x:c r="L1197" s="48" t="str">
        <x:v>PDF text</x:v>
      </x:c>
    </x:row>
    <x:row r="1198">
      <x:c r="A1198" s="48" t="str">
        <x:v>YELLOW-1197</x:v>
      </x:c>
      <x:c r="B1198" s="48" t="str">
        <x:v>YELLOW</x:v>
      </x:c>
      <x:c r="C1198" s="48" t="str">
        <x:v>English</x:v>
      </x:c>
      <x:c r="D1198" s="48" t="n">
        <x:v>74</x:v>
      </x:c>
      <x:c r="E1198" s="48" t="str"/>
      <x:c r="F1198" s="48" t="str">
        <x:v>Each Party shall at all times use all reasonable endeavours to minimise any delay in the performance of the Contract as a result of Force Majeure.</x:v>
      </x:c>
      <x:c r="G1198" s="48" t="str">
        <x:v>Risk</x:v>
      </x:c>
      <x:c r="H1198" s="48" t="str">
        <x:v>Shared</x:v>
      </x:c>
      <x:c r="I1198" s="48" t="n">
        <x:v>0.78</x:v>
      </x:c>
      <x:c r="J1198" s="48" t="n">
        <x:v>0.93</x:v>
      </x:c>
      <x:c r="K1198" s="48" t="str">
        <x:v>No</x:v>
      </x:c>
      <x:c r="L1198" s="48" t="str">
        <x:v>PDF text</x:v>
      </x:c>
    </x:row>
    <x:row r="1199">
      <x:c r="A1199" s="48" t="str">
        <x:v>YELLOW-1198</x:v>
      </x:c>
      <x:c r="B1199" s="48" t="str">
        <x:v>YELLOW</x:v>
      </x:c>
      <x:c r="C1199" s="48" t="str">
        <x:v>English</x:v>
      </x:c>
      <x:c r="D1199" s="48" t="n">
        <x:v>74</x:v>
      </x:c>
      <x:c r="E1199" s="48" t="str"/>
      <x:c r="F1199" s="48" t="str">
        <x:v>A Party shall give notice to the other Party when it ceases to be affected by the Force Majeure.</x:v>
      </x:c>
      <x:c r="G1199" s="48" t="str">
        <x:v>Risk</x:v>
      </x:c>
      <x:c r="H1199" s="48" t="str">
        <x:v>Shared</x:v>
      </x:c>
      <x:c r="I1199" s="48" t="n">
        <x:v>0.78</x:v>
      </x:c>
      <x:c r="J1199" s="48" t="n">
        <x:v>0.4</x:v>
      </x:c>
      <x:c r="K1199" s="48" t="str">
        <x:v>Yes</x:v>
      </x:c>
      <x:c r="L1199" s="48" t="str">
        <x:v>PDF text</x:v>
      </x:c>
    </x:row>
    <x:row r="1200">
      <x:c r="A1200" s="48" t="str">
        <x:v>YELLOW-1199</x:v>
      </x:c>
      <x:c r="B1200" s="48" t="str">
        <x:v>YELLOW</x:v>
      </x:c>
      <x:c r="C1200" s="48" t="str">
        <x:v>English</x:v>
      </x:c>
      <x:c r="D1200" s="48" t="n">
        <x:v>74</x:v>
      </x:c>
      <x:c r="E1200" s="48" t="str"/>
      <x:c r="F1200" s="48" t="str">
        <x:v>If the Contractor is prevented from performing any of his obligations under the</x:v>
      </x:c>
      <x:c r="G1200" s="48" t="str">
        <x:v>Obligation</x:v>
      </x:c>
      <x:c r="H1200" s="48" t="str">
        <x:v>Contractor</x:v>
      </x:c>
      <x:c r="I1200" s="48" t="n">
        <x:v>0.45</x:v>
      </x:c>
      <x:c r="J1200" s="48" t="n">
        <x:v>0.68</x:v>
      </x:c>
      <x:c r="K1200" s="48" t="str">
        <x:v>Yes</x:v>
      </x:c>
      <x:c r="L1200" s="48" t="str">
        <x:v>PDF text</x:v>
      </x:c>
    </x:row>
    <x:row r="1201">
      <x:c r="A1201" s="48" t="str">
        <x:v>YELLOW-1200</x:v>
      </x:c>
      <x:c r="B1201" s="48" t="str">
        <x:v>YELLOW</x:v>
      </x:c>
      <x:c r="C1201" s="48" t="str">
        <x:v>English</x:v>
      </x:c>
      <x:c r="D1201" s="48" t="n">
        <x:v>74</x:v>
      </x:c>
      <x:c r="E1201" s="48" t="str"/>
      <x:c r="F1201" s="48" t="str">
        <x:v>Contract by Force Majeure of which notice has been given under Sub-Clause 19.2 [Notice of Force Majeure], and suffers delay and/or incurs Cost by reason of such Force Majeure, the Contractor shall be entitled subject to Sub-Clause 20.1 [Contractor's Claims] to: (a) an extension of time for any such delay, if completion is or will be delayed, under Sub-Clause 8.4 [Extension of Time for Completion], and (b) if the event or circumstance is of the kind described in sub-paragraphs (i) to (iv) of Sub-Clause 19.1 [Definition of Force Majeure] and, in the case of subparagraphs (ii) to (iv), occurs in the Country, payment of any such Cost.</x:v>
      </x:c>
      <x:c r="G1201" s="48" t="str">
        <x:v>Risk</x:v>
      </x:c>
      <x:c r="H1201" s="48" t="str">
        <x:v>Contractor</x:v>
      </x:c>
      <x:c r="I1201" s="48" t="n">
        <x:v>0.78</x:v>
      </x:c>
      <x:c r="J1201" s="48" t="n">
        <x:v>0.92</x:v>
      </x:c>
      <x:c r="K1201" s="48" t="str">
        <x:v>No</x:v>
      </x:c>
      <x:c r="L1201" s="48" t="str">
        <x:v>PDF text</x:v>
      </x:c>
    </x:row>
    <x:row r="1202">
      <x:c r="A1202" s="48" t="str">
        <x:v>YELLOW-1201</x:v>
      </x:c>
      <x:c r="B1202" s="48" t="str">
        <x:v>YELLOW</x:v>
      </x:c>
      <x:c r="C1202" s="48" t="str">
        <x:v>English</x:v>
      </x:c>
      <x:c r="D1202" s="48" t="n">
        <x:v>74</x:v>
      </x:c>
      <x:c r="E1202" s="48" t="str"/>
      <x:c r="F1202" s="48" t="str">
        <x:v>If any Subcontractor is entitled under any contract or agreement relating to the Works to relief from force majeure on terms additional to or broader than those specified in</x:v>
      </x:c>
      <x:c r="G1202" s="48" t="str">
        <x:v>Risk</x:v>
      </x:c>
      <x:c r="H1202" s="48" t="str">
        <x:v>Shared</x:v>
      </x:c>
      <x:c r="I1202" s="48" t="n">
        <x:v>0.78</x:v>
      </x:c>
      <x:c r="J1202" s="48" t="n">
        <x:v>0.4</x:v>
      </x:c>
      <x:c r="K1202" s="48" t="str">
        <x:v>Yes</x:v>
      </x:c>
      <x:c r="L1202" s="48" t="str">
        <x:v>PDF text</x:v>
      </x:c>
    </x:row>
    <x:row r="1203">
      <x:c r="A1203" s="48" t="str">
        <x:v>YELLOW-1202</x:v>
      </x:c>
      <x:c r="B1203" s="48" t="str">
        <x:v>YELLOW</x:v>
      </x:c>
      <x:c r="C1203" s="48" t="str">
        <x:v>English</x:v>
      </x:c>
      <x:c r="D1203" s="48" t="n">
        <x:v>75</x:v>
      </x:c>
      <x:c r="E1203" s="48" t="str"/>
      <x:c r="F1203" s="48" t="str">
        <x:v>Optional Termination,</x:v>
      </x:c>
      <x:c r="G1203" s="48" t="str">
        <x:v>Obligation</x:v>
      </x:c>
      <x:c r="H1203" s="48" t="str">
        <x:v>Shared</x:v>
      </x:c>
      <x:c r="I1203" s="48" t="n">
        <x:v>0.55</x:v>
      </x:c>
      <x:c r="J1203" s="48" t="n">
        <x:v>0.4</x:v>
      </x:c>
      <x:c r="K1203" s="48" t="str">
        <x:v>Yes</x:v>
      </x:c>
      <x:c r="L1203" s="48" t="str">
        <x:v>PDF text</x:v>
      </x:c>
    </x:row>
    <x:row r="1204">
      <x:c r="A1204" s="48" t="str">
        <x:v>YELLOW-1203</x:v>
      </x:c>
      <x:c r="B1204" s="48" t="str">
        <x:v>YELLOW</x:v>
      </x:c>
      <x:c r="C1204" s="48" t="str">
        <x:v>English</x:v>
      </x:c>
      <x:c r="D1204" s="48" t="n">
        <x:v>75</x:v>
      </x:c>
      <x:c r="E1204" s="48" t="str"/>
      <x:c r="F1204" s="48" t="str">
        <x:v>Payment and Release</x:v>
      </x:c>
      <x:c r="G1204" s="48" t="str">
        <x:v>Obligation</x:v>
      </x:c>
      <x:c r="H1204" s="48" t="str">
        <x:v>Shared</x:v>
      </x:c>
      <x:c r="I1204" s="48" t="n">
        <x:v>0.55</x:v>
      </x:c>
      <x:c r="J1204" s="48" t="n">
        <x:v>0.4</x:v>
      </x:c>
      <x:c r="K1204" s="48" t="str">
        <x:v>Yes</x:v>
      </x:c>
      <x:c r="L1204" s="48" t="str">
        <x:v>PDF text</x:v>
      </x:c>
    </x:row>
    <x:row r="1205">
      <x:c r="A1205" s="48" t="str">
        <x:v>YELLOW-1204</x:v>
      </x:c>
      <x:c r="B1205" s="48" t="str">
        <x:v>YELLOW</x:v>
      </x:c>
      <x:c r="C1205" s="48" t="str">
        <x:v>English</x:v>
      </x:c>
      <x:c r="D1205" s="48" t="n">
        <x:v>75</x:v>
      </x:c>
      <x:c r="E1205" s="48" t="str"/>
      <x:c r="F1205" s="48" t="str">
        <x:v>Release from</x:v>
      </x:c>
      <x:c r="G1205" s="48" t="str">
        <x:v>Obligation</x:v>
      </x:c>
      <x:c r="H1205" s="48" t="str">
        <x:v>Shared</x:v>
      </x:c>
      <x:c r="I1205" s="48" t="n">
        <x:v>0.45</x:v>
      </x:c>
      <x:c r="J1205" s="48" t="n">
        <x:v>0.4</x:v>
      </x:c>
      <x:c r="K1205" s="48" t="str">
        <x:v>Yes</x:v>
      </x:c>
      <x:c r="L1205" s="48" t="str">
        <x:v>PDF text</x:v>
      </x:c>
    </x:row>
    <x:row r="1206">
      <x:c r="A1206" s="48" t="str">
        <x:v>YELLOW-1205</x:v>
      </x:c>
      <x:c r="B1206" s="48" t="str">
        <x:v>YELLOW</x:v>
      </x:c>
      <x:c r="C1206" s="48" t="str">
        <x:v>English</x:v>
      </x:c>
      <x:c r="D1206" s="48" t="n">
        <x:v>75</x:v>
      </x:c>
      <x:c r="E1206" s="48" t="str"/>
      <x:c r="F1206" s="48" t="str">
        <x:v>Performance</x:v>
      </x:c>
      <x:c r="G1206" s="48" t="str">
        <x:v>Obligation</x:v>
      </x:c>
      <x:c r="H1206" s="48" t="str">
        <x:v>Shared</x:v>
      </x:c>
      <x:c r="I1206" s="48" t="n">
        <x:v>0.45</x:v>
      </x:c>
      <x:c r="J1206" s="48" t="n">
        <x:v>0.4</x:v>
      </x:c>
      <x:c r="K1206" s="48" t="str">
        <x:v>Yes</x:v>
      </x:c>
      <x:c r="L1206" s="48" t="str">
        <x:v>PDF text</x:v>
      </x:c>
    </x:row>
    <x:row r="1207">
      <x:c r="A1207" s="48" t="str">
        <x:v>YELLOW-1206</x:v>
      </x:c>
      <x:c r="B1207" s="48" t="str">
        <x:v>YELLOW</x:v>
      </x:c>
      <x:c r="C1207" s="48" t="str">
        <x:v>English</x:v>
      </x:c>
      <x:c r="D1207" s="48" t="n">
        <x:v>75</x:v>
      </x:c>
      <x:c r="E1207" s="48" t="str"/>
      <x:c r="F1207" s="48" t="str">
        <x:v>under the Law 20.1</x:v>
      </x:c>
      <x:c r="G1207" s="48" t="str">
        <x:v>Obligation</x:v>
      </x:c>
      <x:c r="H1207" s="48" t="str">
        <x:v>Shared</x:v>
      </x:c>
      <x:c r="I1207" s="48" t="n">
        <x:v>0.45</x:v>
      </x:c>
      <x:c r="J1207" s="48" t="n">
        <x:v>0.4</x:v>
      </x:c>
      <x:c r="K1207" s="48" t="str">
        <x:v>Yes</x:v>
      </x:c>
      <x:c r="L1207" s="48" t="str">
        <x:v>PDF text</x:v>
      </x:c>
    </x:row>
    <x:row r="1208">
      <x:c r="A1208" s="48" t="str">
        <x:v>YELLOW-1207</x:v>
      </x:c>
      <x:c r="B1208" s="48" t="str">
        <x:v>YELLOW</x:v>
      </x:c>
      <x:c r="C1208" s="48" t="str">
        <x:v>English</x:v>
      </x:c>
      <x:c r="D1208" s="48" t="n">
        <x:v>75</x:v>
      </x:c>
      <x:c r="E1208" s="48" t="str"/>
      <x:c r="F1208" s="48" t="str">
        <x:v>Contractor’s Claims</x:v>
      </x:c>
      <x:c r="G1208" s="48" t="str">
        <x:v>Obligation</x:v>
      </x:c>
      <x:c r="H1208" s="48" t="str">
        <x:v>Contractor</x:v>
      </x:c>
      <x:c r="I1208" s="48" t="n">
        <x:v>0.45</x:v>
      </x:c>
      <x:c r="J1208" s="48" t="n">
        <x:v>0.68</x:v>
      </x:c>
      <x:c r="K1208" s="48" t="str">
        <x:v>Yes</x:v>
      </x:c>
      <x:c r="L1208" s="48" t="str">
        <x:v>PDF text</x:v>
      </x:c>
    </x:row>
    <x:row r="1209">
      <x:c r="A1209" s="48" t="str">
        <x:v>YELLOW-1208</x:v>
      </x:c>
      <x:c r="B1209" s="48" t="str">
        <x:v>YELLOW</x:v>
      </x:c>
      <x:c r="C1209" s="48" t="str">
        <x:v>English</x:v>
      </x:c>
      <x:c r="D1209" s="48" t="n">
        <x:v>75</x:v>
      </x:c>
      <x:c r="E1209" s="48" t="str"/>
      <x:c r="F1209" s="48" t="str">
        <x:v>this Clause, such additional or broader force majeure events or circumstances shall not excuse the Contractor's non-performance or entitle him to relief under this Clause.</x:v>
      </x:c>
      <x:c r="G1209" s="48" t="str">
        <x:v>Obligation</x:v>
      </x:c>
      <x:c r="H1209" s="48" t="str">
        <x:v>Contractor</x:v>
      </x:c>
      <x:c r="I1209" s="48" t="n">
        <x:v>0.88</x:v>
      </x:c>
      <x:c r="J1209" s="48" t="n">
        <x:v>0.68</x:v>
      </x:c>
      <x:c r="K1209" s="48" t="str">
        <x:v>Yes</x:v>
      </x:c>
      <x:c r="L1209" s="48" t="str">
        <x:v>PDF text</x:v>
      </x:c>
    </x:row>
    <x:row r="1210">
      <x:c r="A1210" s="48" t="str">
        <x:v>YELLOW-1209</x:v>
      </x:c>
      <x:c r="B1210" s="48" t="str">
        <x:v>YELLOW</x:v>
      </x:c>
      <x:c r="C1210" s="48" t="str">
        <x:v>English</x:v>
      </x:c>
      <x:c r="D1210" s="48" t="n">
        <x:v>75</x:v>
      </x:c>
      <x:c r="E1210" s="48" t="str"/>
      <x:c r="F1210" s="48" t="str">
        <x:v>If the execution of substantially all the Works in progress is prevented for a continuous period of 84 days by reason of Force Majeure of which notice has been given under Sub-Clause 19.2 [Notice of Force Majeure], or for multiple periods which total more than 140 days due to the same notified Force Majeure, then either Party may give to the other Party a notice of termination of the Contract.</x:v>
      </x:c>
      <x:c r="G1210" s="48" t="str">
        <x:v>Risk</x:v>
      </x:c>
      <x:c r="H1210" s="48" t="str">
        <x:v>Shared</x:v>
      </x:c>
      <x:c r="I1210" s="48" t="n">
        <x:v>0.78</x:v>
      </x:c>
      <x:c r="J1210" s="48" t="n">
        <x:v>0.93</x:v>
      </x:c>
      <x:c r="K1210" s="48" t="str">
        <x:v>No</x:v>
      </x:c>
      <x:c r="L1210" s="48" t="str">
        <x:v>PDF text</x:v>
      </x:c>
    </x:row>
    <x:row r="1211">
      <x:c r="A1211" s="48" t="str">
        <x:v>YELLOW-1210</x:v>
      </x:c>
      <x:c r="B1211" s="48" t="str">
        <x:v>YELLOW</x:v>
      </x:c>
      <x:c r="C1211" s="48" t="str">
        <x:v>English</x:v>
      </x:c>
      <x:c r="D1211" s="48" t="n">
        <x:v>75</x:v>
      </x:c>
      <x:c r="E1211" s="48" t="str"/>
      <x:c r="F1211" s="48" t="str">
        <x:v>In this event, the termination shall take effect 7 days after the notice is given, and the Contractor shall proceed in accordance with Sub-Clause 16.3 [Cessation of Work and Removal of Contractor's Equipment].</x:v>
      </x:c>
      <x:c r="G1211" s="48" t="str">
        <x:v>Obligation</x:v>
      </x:c>
      <x:c r="H1211" s="48" t="str">
        <x:v>Contractor</x:v>
      </x:c>
      <x:c r="I1211" s="48" t="n">
        <x:v>0.88</x:v>
      </x:c>
      <x:c r="J1211" s="48" t="n">
        <x:v>0.92</x:v>
      </x:c>
      <x:c r="K1211" s="48" t="str">
        <x:v>No</x:v>
      </x:c>
      <x:c r="L1211" s="48" t="str">
        <x:v>PDF text</x:v>
      </x:c>
    </x:row>
    <x:row r="1212">
      <x:c r="A1212" s="48" t="str">
        <x:v>YELLOW-1211</x:v>
      </x:c>
      <x:c r="B1212" s="48" t="str">
        <x:v>YELLOW</x:v>
      </x:c>
      <x:c r="C1212" s="48" t="str">
        <x:v>English</x:v>
      </x:c>
      <x:c r="D1212" s="48" t="n">
        <x:v>75</x:v>
      </x:c>
      <x:c r="E1212" s="48" t="str"/>
      <x:c r="F1212" s="48" t="str">
        <x:v>Upon such termination, the Engineer shall determine the value of the work done and issue a Payment Certificate which shall include: (a) the amounts payable for any work carried out for which a price is stated in the Contract; (b) the Cost of Plant and Materials ordered for the Works which have been delivered to the Contractor, or of which the Contractor is liable to accept delivery: this Plant and Materials shall become the property of (and be at the risk of) the Employer when paid for by the Employer, and the Contractor shall place the same at the Employer's disposal; (c) any other Cost or liability which in the circumstances was reasonably incurred by the Contractor in the expectation of completing the Works; (d) the Cost of removal of Temporary Works and Contractor's Equipment from the</x:v>
      </x:c>
      <x:c r="G1212" s="48" t="str">
        <x:v>Risk</x:v>
      </x:c>
      <x:c r="H1212" s="48" t="str">
        <x:v>Contractor</x:v>
      </x:c>
      <x:c r="I1212" s="48" t="n">
        <x:v>0.78</x:v>
      </x:c>
      <x:c r="J1212" s="48" t="n">
        <x:v>0.92</x:v>
      </x:c>
      <x:c r="K1212" s="48" t="str">
        <x:v>No</x:v>
      </x:c>
      <x:c r="L1212" s="48" t="str">
        <x:v>PDF text</x:v>
      </x:c>
    </x:row>
    <x:row r="1213">
      <x:c r="A1213" s="48" t="str">
        <x:v>YELLOW-1212</x:v>
      </x:c>
      <x:c r="B1213" s="48" t="str">
        <x:v>YELLOW</x:v>
      </x:c>
      <x:c r="C1213" s="48" t="str">
        <x:v>English</x:v>
      </x:c>
      <x:c r="D1213" s="48" t="n">
        <x:v>75</x:v>
      </x:c>
      <x:c r="E1213" s="48" t="str"/>
      <x:c r="F1213" s="48" t="str">
        <x:v>Site and the return of these items to the Contractor's works in his country (or</x:v>
      </x:c>
      <x:c r="G1213" s="48" t="str">
        <x:v>Obligation</x:v>
      </x:c>
      <x:c r="H1213" s="48" t="str">
        <x:v>Contractor</x:v>
      </x:c>
      <x:c r="I1213" s="48" t="n">
        <x:v>0.45</x:v>
      </x:c>
      <x:c r="J1213" s="48" t="n">
        <x:v>0.68</x:v>
      </x:c>
      <x:c r="K1213" s="48" t="str">
        <x:v>Yes</x:v>
      </x:c>
      <x:c r="L1213" s="48" t="str">
        <x:v>PDF text</x:v>
      </x:c>
    </x:row>
    <x:row r="1214">
      <x:c r="A1214" s="48" t="str">
        <x:v>YELLOW-1213</x:v>
      </x:c>
      <x:c r="B1214" s="48" t="str">
        <x:v>YELLOW</x:v>
      </x:c>
      <x:c r="C1214" s="48" t="str">
        <x:v>English</x:v>
      </x:c>
      <x:c r="D1214" s="48" t="n">
        <x:v>75</x:v>
      </x:c>
      <x:c r="E1214" s="48" t="str"/>
      <x:c r="F1214" s="48" t="str">
        <x:v>to any other destination at no greater cost); and (e) the Cost of repatriation of the Contractor's staff and labour employed wholly in connection with the Works at the date of termination.</x:v>
      </x:c>
      <x:c r="G1214" s="48" t="str">
        <x:v>Obligation</x:v>
      </x:c>
      <x:c r="H1214" s="48" t="str">
        <x:v>Contractor</x:v>
      </x:c>
      <x:c r="I1214" s="48" t="n">
        <x:v>0.55</x:v>
      </x:c>
      <x:c r="J1214" s="48" t="n">
        <x:v>0.68</x:v>
      </x:c>
      <x:c r="K1214" s="48" t="str">
        <x:v>Yes</x:v>
      </x:c>
      <x:c r="L1214" s="48" t="str">
        <x:v>PDF text</x:v>
      </x:c>
    </x:row>
    <x:row r="1215">
      <x:c r="A1215" s="48" t="str">
        <x:v>YELLOW-1214</x:v>
      </x:c>
      <x:c r="B1215" s="48" t="str">
        <x:v>YELLOW</x:v>
      </x:c>
      <x:c r="C1215" s="48" t="str">
        <x:v>English</x:v>
      </x:c>
      <x:c r="D1215" s="48" t="n">
        <x:v>75</x:v>
      </x:c>
      <x:c r="E1215" s="48" t="str"/>
      <x:c r="F1215" s="48" t="str">
        <x:v>Notwithstanding any other provision of this Clause, if any event or circumstance</x:v>
      </x:c>
      <x:c r="G1215" s="48" t="str">
        <x:v>Obligation</x:v>
      </x:c>
      <x:c r="H1215" s="48" t="str">
        <x:v>Shared</x:v>
      </x:c>
      <x:c r="I1215" s="48" t="n">
        <x:v>0.45</x:v>
      </x:c>
      <x:c r="J1215" s="48" t="n">
        <x:v>0.4</x:v>
      </x:c>
      <x:c r="K1215" s="48" t="str">
        <x:v>Yes</x:v>
      </x:c>
      <x:c r="L1215" s="48" t="str">
        <x:v>PDF text</x:v>
      </x:c>
    </x:row>
    <x:row r="1216">
      <x:c r="A1216" s="48" t="str">
        <x:v>YELLOW-1215</x:v>
      </x:c>
      <x:c r="B1216" s="48" t="str">
        <x:v>YELLOW</x:v>
      </x:c>
      <x:c r="C1216" s="48" t="str">
        <x:v>English</x:v>
      </x:c>
      <x:c r="D1216" s="48" t="n">
        <x:v>75</x:v>
      </x:c>
      <x:c r="E1216" s="48" t="str"/>
      <x:c r="F1216" s="48" t="str">
        <x:v>outside the control of the Parties (including, but not limited to, Force Majeure) arises which makes it impossible or unlawful for either or both Parties to fulfil its or their contractual obligations or which, under the law governing the Contract, entitles the Parties to be released from further performance of the Contract, then upon notice by either Party to the other Party of such event or circumstance: (a) the Parties shall be discharged from further performance, without prejudice to the rights of either Party in respect of any previous breach of the Contract, and (b) the sum payable by the Employer to the Contractor shall be the same as would have been payable under Sub-Clause 19.6 [Optional Termination, Payment and Release] if the Contract had been terminated under Sub-Clause 19.6.</x:v>
      </x:c>
      <x:c r="G1216" s="48" t="str">
        <x:v>Risk</x:v>
      </x:c>
      <x:c r="H1216" s="48" t="str">
        <x:v>Shared</x:v>
      </x:c>
      <x:c r="I1216" s="48" t="n">
        <x:v>0.78</x:v>
      </x:c>
      <x:c r="J1216" s="48" t="n">
        <x:v>0.93</x:v>
      </x:c>
      <x:c r="K1216" s="48" t="str">
        <x:v>No</x:v>
      </x:c>
      <x:c r="L1216" s="48" t="str">
        <x:v>PDF text</x:v>
      </x:c>
    </x:row>
    <x:row r="1217">
      <x:c r="A1217" s="48" t="str">
        <x:v>YELLOW-1216</x:v>
      </x:c>
      <x:c r="B1217" s="48" t="str">
        <x:v>YELLOW</x:v>
      </x:c>
      <x:c r="C1217" s="48" t="str">
        <x:v>English</x:v>
      </x:c>
      <x:c r="D1217" s="48" t="n">
        <x:v>75</x:v>
      </x:c>
      <x:c r="E1217" s="48" t="str"/>
      <x:c r="F1217" s="48" t="str">
        <x:v>If the Contractor considers himself to be entitled to any extension of the Time for</x:v>
      </x:c>
      <x:c r="G1217" s="48" t="str">
        <x:v>Right</x:v>
      </x:c>
      <x:c r="H1217" s="48" t="str">
        <x:v>Contractor</x:v>
      </x:c>
      <x:c r="I1217" s="48" t="n">
        <x:v>0.78</x:v>
      </x:c>
      <x:c r="J1217" s="48" t="n">
        <x:v>0.68</x:v>
      </x:c>
      <x:c r="K1217" s="48" t="str">
        <x:v>Yes</x:v>
      </x:c>
      <x:c r="L1217" s="48" t="str">
        <x:v>PDF text</x:v>
      </x:c>
    </x:row>
    <x:row r="1218">
      <x:c r="A1218" s="48" t="str">
        <x:v>YELLOW-1217</x:v>
      </x:c>
      <x:c r="B1218" s="48" t="str">
        <x:v>YELLOW</x:v>
      </x:c>
      <x:c r="C1218" s="48" t="str">
        <x:v>English</x:v>
      </x:c>
      <x:c r="D1218" s="48" t="n">
        <x:v>75</x:v>
      </x:c>
      <x:c r="E1218" s="48" t="str"/>
      <x:c r="F1218" s="48" t="str">
        <x:v>Completion and/or any additional payment, under any Clause of these Conditions or</x:v>
      </x:c>
      <x:c r="G1218" s="48" t="str">
        <x:v>Obligation</x:v>
      </x:c>
      <x:c r="H1218" s="48" t="str">
        <x:v>Shared</x:v>
      </x:c>
      <x:c r="I1218" s="48" t="n">
        <x:v>0.55</x:v>
      </x:c>
      <x:c r="J1218" s="48" t="n">
        <x:v>0.4</x:v>
      </x:c>
      <x:c r="K1218" s="48" t="str">
        <x:v>Yes</x:v>
      </x:c>
      <x:c r="L1218" s="48" t="str">
        <x:v>PDF text</x:v>
      </x:c>
    </x:row>
    <x:row r="1219">
      <x:c r="A1219" s="48" t="str">
        <x:v>YELLOW-1218</x:v>
      </x:c>
      <x:c r="B1219" s="48" t="str">
        <x:v>YELLOW</x:v>
      </x:c>
      <x:c r="C1219" s="48" t="str">
        <x:v>English</x:v>
      </x:c>
      <x:c r="D1219" s="48" t="n">
        <x:v>75</x:v>
      </x:c>
      <x:c r="E1219" s="48" t="str"/>
      <x:c r="F1219" s="48" t="str">
        <x:v>otherwise in connection with the Contract, the Contractor shall give notice to the Engineer, describing the event or circumstance giving rise to the claim.</x:v>
      </x:c>
      <x:c r="G1219" s="48" t="str">
        <x:v>Obligation</x:v>
      </x:c>
      <x:c r="H1219" s="48" t="str">
        <x:v>Contractor</x:v>
      </x:c>
      <x:c r="I1219" s="48" t="n">
        <x:v>0.88</x:v>
      </x:c>
      <x:c r="J1219" s="48" t="n">
        <x:v>0.92</x:v>
      </x:c>
      <x:c r="K1219" s="48" t="str">
        <x:v>No</x:v>
      </x:c>
      <x:c r="L1219" s="48" t="str">
        <x:v>PDF text</x:v>
      </x:c>
    </x:row>
    <x:row r="1220">
      <x:c r="A1220" s="48" t="str">
        <x:v>YELLOW-1219</x:v>
      </x:c>
      <x:c r="B1220" s="48" t="str">
        <x:v>YELLOW</x:v>
      </x:c>
      <x:c r="C1220" s="48" t="str">
        <x:v>English</x:v>
      </x:c>
      <x:c r="D1220" s="48" t="n">
        <x:v>75</x:v>
      </x:c>
      <x:c r="E1220" s="48" t="str"/>
      <x:c r="F1220" s="48" t="str">
        <x:v>The notice shall be given as soon as practicable, and not later than 28 days after the Contractor became aware, or should have become aware, of the event or circumstance.</x:v>
      </x:c>
      <x:c r="G1220" s="48" t="str">
        <x:v>Obligation</x:v>
      </x:c>
      <x:c r="H1220" s="48" t="str">
        <x:v>Contractor</x:v>
      </x:c>
      <x:c r="I1220" s="48" t="n">
        <x:v>0.88</x:v>
      </x:c>
      <x:c r="J1220" s="48" t="n">
        <x:v>0.68</x:v>
      </x:c>
      <x:c r="K1220" s="48" t="str">
        <x:v>Yes</x:v>
      </x:c>
      <x:c r="L1220" s="48" t="str">
        <x:v>PDF text</x:v>
      </x:c>
    </x:row>
    <x:row r="1221">
      <x:c r="A1221" s="48" t="str">
        <x:v>YELLOW-1220</x:v>
      </x:c>
      <x:c r="B1221" s="48" t="str">
        <x:v>YELLOW</x:v>
      </x:c>
      <x:c r="C1221" s="48" t="str">
        <x:v>English</x:v>
      </x:c>
      <x:c r="D1221" s="48" t="n">
        <x:v>75</x:v>
      </x:c>
      <x:c r="E1221" s="48" t="str"/>
      <x:c r="F1221" s="48" t="str">
        <x:v>Claims, Disputes and Arbitration</x:v>
      </x:c>
      <x:c r="G1221" s="48" t="str">
        <x:v>Obligation</x:v>
      </x:c>
      <x:c r="H1221" s="48" t="str">
        <x:v>Shared</x:v>
      </x:c>
      <x:c r="I1221" s="48" t="n">
        <x:v>0.45</x:v>
      </x:c>
      <x:c r="J1221" s="48" t="n">
        <x:v>0.4</x:v>
      </x:c>
      <x:c r="K1221" s="48" t="str">
        <x:v>Yes</x:v>
      </x:c>
      <x:c r="L1221" s="48" t="str">
        <x:v>PDF text</x:v>
      </x:c>
    </x:row>
    <x:row r="1222">
      <x:c r="A1222" s="48" t="str">
        <x:v>YELLOW-1221</x:v>
      </x:c>
      <x:c r="B1222" s="48" t="str">
        <x:v>YELLOW</x:v>
      </x:c>
      <x:c r="C1222" s="48" t="str">
        <x:v>English</x:v>
      </x:c>
      <x:c r="D1222" s="48" t="n">
        <x:v>76</x:v>
      </x:c>
      <x:c r="E1222" s="48" t="str"/>
      <x:c r="F1222" s="48" t="str">
        <x:v>If the Contractor fails to give notice of a claim within such period of 28 days, the Time for Completion shall not be extended, the Contractor shall not be entitled to additional payment, and the Employer shall be discharged from all liability in connection with the claim.</x:v>
      </x:c>
      <x:c r="G1222" s="48" t="str">
        <x:v>Risk</x:v>
      </x:c>
      <x:c r="H1222" s="48" t="str">
        <x:v>Contractor</x:v>
      </x:c>
      <x:c r="I1222" s="48" t="n">
        <x:v>0.78</x:v>
      </x:c>
      <x:c r="J1222" s="48" t="n">
        <x:v>0.92</x:v>
      </x:c>
      <x:c r="K1222" s="48" t="str">
        <x:v>No</x:v>
      </x:c>
      <x:c r="L1222" s="48" t="str">
        <x:v>PDF text</x:v>
      </x:c>
    </x:row>
    <x:row r="1223">
      <x:c r="A1223" s="48" t="str">
        <x:v>YELLOW-1222</x:v>
      </x:c>
      <x:c r="B1223" s="48" t="str">
        <x:v>YELLOW</x:v>
      </x:c>
      <x:c r="C1223" s="48" t="str">
        <x:v>English</x:v>
      </x:c>
      <x:c r="D1223" s="48" t="n">
        <x:v>76</x:v>
      </x:c>
      <x:c r="E1223" s="48" t="str"/>
      <x:c r="F1223" s="48" t="str">
        <x:v>Otherwise, the following provisions of this Sub-Clause shall apply.</x:v>
      </x:c>
      <x:c r="G1223" s="48" t="str">
        <x:v>Obligation</x:v>
      </x:c>
      <x:c r="H1223" s="48" t="str">
        <x:v>Shared</x:v>
      </x:c>
      <x:c r="I1223" s="48" t="n">
        <x:v>0.88</x:v>
      </x:c>
      <x:c r="J1223" s="48" t="n">
        <x:v>0.4</x:v>
      </x:c>
      <x:c r="K1223" s="48" t="str">
        <x:v>Yes</x:v>
      </x:c>
      <x:c r="L1223" s="48" t="str">
        <x:v>PDF text</x:v>
      </x:c>
    </x:row>
    <x:row r="1224">
      <x:c r="A1224" s="48" t="str">
        <x:v>YELLOW-1223</x:v>
      </x:c>
      <x:c r="B1224" s="48" t="str">
        <x:v>YELLOW</x:v>
      </x:c>
      <x:c r="C1224" s="48" t="str">
        <x:v>English</x:v>
      </x:c>
      <x:c r="D1224" s="48" t="n">
        <x:v>76</x:v>
      </x:c>
      <x:c r="E1224" s="48" t="str"/>
      <x:c r="F1224" s="48" t="str">
        <x:v>The Contractor shall also submit any other notices which are required by the Contract, and supporting particulars for the claim, all as relevant to such event or circumstance.</x:v>
      </x:c>
      <x:c r="G1224" s="48" t="str">
        <x:v>Obligation</x:v>
      </x:c>
      <x:c r="H1224" s="48" t="str">
        <x:v>Contractor</x:v>
      </x:c>
      <x:c r="I1224" s="48" t="n">
        <x:v>0.88</x:v>
      </x:c>
      <x:c r="J1224" s="48" t="n">
        <x:v>0.92</x:v>
      </x:c>
      <x:c r="K1224" s="48" t="str">
        <x:v>No</x:v>
      </x:c>
      <x:c r="L1224" s="48" t="str">
        <x:v>PDF text</x:v>
      </x:c>
    </x:row>
    <x:row r="1225">
      <x:c r="A1225" s="48" t="str">
        <x:v>YELLOW-1224</x:v>
      </x:c>
      <x:c r="B1225" s="48" t="str">
        <x:v>YELLOW</x:v>
      </x:c>
      <x:c r="C1225" s="48" t="str">
        <x:v>English</x:v>
      </x:c>
      <x:c r="D1225" s="48" t="n">
        <x:v>76</x:v>
      </x:c>
      <x:c r="E1225" s="48" t="str"/>
      <x:c r="F1225" s="48" t="str">
        <x:v>The Contractor shall keep such contemporary records as may be necessary to</x:v>
      </x:c>
      <x:c r="G1225" s="48" t="str">
        <x:v>Obligation</x:v>
      </x:c>
      <x:c r="H1225" s="48" t="str">
        <x:v>Contractor</x:v>
      </x:c>
      <x:c r="I1225" s="48" t="n">
        <x:v>0.88</x:v>
      </x:c>
      <x:c r="J1225" s="48" t="n">
        <x:v>0.92</x:v>
      </x:c>
      <x:c r="K1225" s="48" t="str">
        <x:v>No</x:v>
      </x:c>
      <x:c r="L1225" s="48" t="str">
        <x:v>PDF text</x:v>
      </x:c>
    </x:row>
    <x:row r="1226">
      <x:c r="A1226" s="48" t="str">
        <x:v>YELLOW-1225</x:v>
      </x:c>
      <x:c r="B1226" s="48" t="str">
        <x:v>YELLOW</x:v>
      </x:c>
      <x:c r="C1226" s="48" t="str">
        <x:v>English</x:v>
      </x:c>
      <x:c r="D1226" s="48" t="n">
        <x:v>76</x:v>
      </x:c>
      <x:c r="E1226" s="48" t="str"/>
      <x:c r="F1226" s="48" t="str">
        <x:v>substantiate any claim, either on the Site or at another location acceptable to the Engineer.</x:v>
      </x:c>
      <x:c r="G1226" s="48" t="str">
        <x:v>Obligation</x:v>
      </x:c>
      <x:c r="H1226" s="48" t="str">
        <x:v>Shared</x:v>
      </x:c>
      <x:c r="I1226" s="48" t="n">
        <x:v>0.55</x:v>
      </x:c>
      <x:c r="J1226" s="48" t="n">
        <x:v>0.4</x:v>
      </x:c>
      <x:c r="K1226" s="48" t="str">
        <x:v>Yes</x:v>
      </x:c>
      <x:c r="L1226" s="48" t="str">
        <x:v>PDF text</x:v>
      </x:c>
    </x:row>
    <x:row r="1227">
      <x:c r="A1227" s="48" t="str">
        <x:v>YELLOW-1226</x:v>
      </x:c>
      <x:c r="B1227" s="48" t="str">
        <x:v>YELLOW</x:v>
      </x:c>
      <x:c r="C1227" s="48" t="str">
        <x:v>English</x:v>
      </x:c>
      <x:c r="D1227" s="48" t="n">
        <x:v>76</x:v>
      </x:c>
      <x:c r="E1227" s="48" t="str"/>
      <x:c r="F1227" s="48" t="str">
        <x:v>Without admitting the Employer's liability, the Engineer may, after receiving any notice under this Sub-Clause, monitor the record-keeping and/or instruct the Contractor to keep further contemporary records.</x:v>
      </x:c>
      <x:c r="G1227" s="48" t="str">
        <x:v>Risk</x:v>
      </x:c>
      <x:c r="H1227" s="48" t="str">
        <x:v>Shared</x:v>
      </x:c>
      <x:c r="I1227" s="48" t="n">
        <x:v>0.78</x:v>
      </x:c>
      <x:c r="J1227" s="48" t="n">
        <x:v>0.6</x:v>
      </x:c>
      <x:c r="K1227" s="48" t="str">
        <x:v>Yes</x:v>
      </x:c>
      <x:c r="L1227" s="48" t="str">
        <x:v>PDF text</x:v>
      </x:c>
    </x:row>
    <x:row r="1228">
      <x:c r="A1228" s="48" t="str">
        <x:v>YELLOW-1227</x:v>
      </x:c>
      <x:c r="B1228" s="48" t="str">
        <x:v>YELLOW</x:v>
      </x:c>
      <x:c r="C1228" s="48" t="str">
        <x:v>English</x:v>
      </x:c>
      <x:c r="D1228" s="48" t="n">
        <x:v>76</x:v>
      </x:c>
      <x:c r="E1228" s="48" t="str"/>
      <x:c r="F1228" s="48" t="str">
        <x:v>The Contractor shall permit the Engineer to inspect all these records, and shall (if instructed) submit copies to the Engineer.</x:v>
      </x:c>
      <x:c r="G1228" s="48" t="str">
        <x:v>Obligation</x:v>
      </x:c>
      <x:c r="H1228" s="48" t="str">
        <x:v>Contractor</x:v>
      </x:c>
      <x:c r="I1228" s="48" t="n">
        <x:v>0.88</x:v>
      </x:c>
      <x:c r="J1228" s="48" t="n">
        <x:v>0.92</x:v>
      </x:c>
      <x:c r="K1228" s="48" t="str">
        <x:v>No</x:v>
      </x:c>
      <x:c r="L1228" s="48" t="str">
        <x:v>PDF text</x:v>
      </x:c>
    </x:row>
    <x:row r="1229">
      <x:c r="A1229" s="48" t="str">
        <x:v>YELLOW-1228</x:v>
      </x:c>
      <x:c r="B1229" s="48" t="str">
        <x:v>YELLOW</x:v>
      </x:c>
      <x:c r="C1229" s="48" t="str">
        <x:v>English</x:v>
      </x:c>
      <x:c r="D1229" s="48" t="n">
        <x:v>76</x:v>
      </x:c>
      <x:c r="E1229" s="48" t="str"/>
      <x:c r="F1229" s="48" t="str">
        <x:v>Within 42 days after the Contractor became aware (or should have become aware) of the event or circumstance giving rise to the claim, or within such other period as may be proposed by the Contractor and approved by the Engineer, the Contractor shall send to the Engineer a fully detailed claim which includes full supporting particulars of the basis of the claim and of the extension of time and/or additional payment claimed.</x:v>
      </x:c>
      <x:c r="G1229" s="48" t="str">
        <x:v>Obligation</x:v>
      </x:c>
      <x:c r="H1229" s="48" t="str">
        <x:v>Contractor</x:v>
      </x:c>
      <x:c r="I1229" s="48" t="n">
        <x:v>0.88</x:v>
      </x:c>
      <x:c r="J1229" s="48" t="n">
        <x:v>0.92</x:v>
      </x:c>
      <x:c r="K1229" s="48" t="str">
        <x:v>No</x:v>
      </x:c>
      <x:c r="L1229" s="48" t="str">
        <x:v>PDF text</x:v>
      </x:c>
    </x:row>
    <x:row r="1230">
      <x:c r="A1230" s="48" t="str">
        <x:v>YELLOW-1229</x:v>
      </x:c>
      <x:c r="B1230" s="48" t="str">
        <x:v>YELLOW</x:v>
      </x:c>
      <x:c r="C1230" s="48" t="str">
        <x:v>English</x:v>
      </x:c>
      <x:c r="D1230" s="48" t="n">
        <x:v>76</x:v>
      </x:c>
      <x:c r="E1230" s="48" t="str"/>
      <x:c r="F1230" s="48" t="str">
        <x:v>If the event or circumstance giving rise to the claim has a continuing effect: (a) this fully detailed claim shall be considered as interim; (b) the Contractor shall send further interim claims at monthly intervals, giving the accumulated delay and/or amount claimed, and such further particulars as the Engineer may reasonably require; and (c) the Contractor shall send a final claim within 28 days after the end of the effects resulting from the event or circumstance, or within such other period as may be proposed by the Contractor and approved by the Engineer.</x:v>
      </x:c>
      <x:c r="G1230" s="48" t="str">
        <x:v>Risk</x:v>
      </x:c>
      <x:c r="H1230" s="48" t="str">
        <x:v>Contractor</x:v>
      </x:c>
      <x:c r="I1230" s="48" t="n">
        <x:v>0.78</x:v>
      </x:c>
      <x:c r="J1230" s="48" t="n">
        <x:v>0.92</x:v>
      </x:c>
      <x:c r="K1230" s="48" t="str">
        <x:v>No</x:v>
      </x:c>
      <x:c r="L1230" s="48" t="str">
        <x:v>PDF text</x:v>
      </x:c>
    </x:row>
    <x:row r="1231">
      <x:c r="A1231" s="48" t="str">
        <x:v>YELLOW-1230</x:v>
      </x:c>
      <x:c r="B1231" s="48" t="str">
        <x:v>YELLOW</x:v>
      </x:c>
      <x:c r="C1231" s="48" t="str">
        <x:v>English</x:v>
      </x:c>
      <x:c r="D1231" s="48" t="n">
        <x:v>76</x:v>
      </x:c>
      <x:c r="E1231" s="48" t="str"/>
      <x:c r="F1231" s="48" t="str">
        <x:v>Within 42 days after receiving a claim or any further particulars supporting a previous claim, or within such other period as may be proposed by the Engineer and approved by the Contractor, the Engineer shall respond with approval, or with disapproval and detailed comments.</x:v>
      </x:c>
      <x:c r="G1231" s="48" t="str">
        <x:v>Obligation</x:v>
      </x:c>
      <x:c r="H1231" s="48" t="str">
        <x:v>Contractor</x:v>
      </x:c>
      <x:c r="I1231" s="48" t="n">
        <x:v>0.88</x:v>
      </x:c>
      <x:c r="J1231" s="48" t="n">
        <x:v>0.68</x:v>
      </x:c>
      <x:c r="K1231" s="48" t="str">
        <x:v>Yes</x:v>
      </x:c>
      <x:c r="L1231" s="48" t="str">
        <x:v>PDF text</x:v>
      </x:c>
    </x:row>
    <x:row r="1232">
      <x:c r="A1232" s="48" t="str">
        <x:v>YELLOW-1231</x:v>
      </x:c>
      <x:c r="B1232" s="48" t="str">
        <x:v>YELLOW</x:v>
      </x:c>
      <x:c r="C1232" s="48" t="str">
        <x:v>English</x:v>
      </x:c>
      <x:c r="D1232" s="48" t="n">
        <x:v>76</x:v>
      </x:c>
      <x:c r="E1232" s="48" t="str"/>
      <x:c r="F1232" s="48" t="str">
        <x:v>He may also request any necessary further particulars, but shall nevertheless give his response on the principles of the claim within such time.</x:v>
      </x:c>
      <x:c r="G1232" s="48" t="str">
        <x:v>Obligation</x:v>
      </x:c>
      <x:c r="H1232" s="48" t="str">
        <x:v>Shared</x:v>
      </x:c>
      <x:c r="I1232" s="48" t="n">
        <x:v>0.88</x:v>
      </x:c>
      <x:c r="J1232" s="48" t="n">
        <x:v>0.4</x:v>
      </x:c>
      <x:c r="K1232" s="48" t="str">
        <x:v>Yes</x:v>
      </x:c>
      <x:c r="L1232" s="48" t="str">
        <x:v>PDF text</x:v>
      </x:c>
    </x:row>
    <x:row r="1233">
      <x:c r="A1233" s="48" t="str">
        <x:v>YELLOW-1232</x:v>
      </x:c>
      <x:c r="B1233" s="48" t="str">
        <x:v>YELLOW</x:v>
      </x:c>
      <x:c r="C1233" s="48" t="str">
        <x:v>English</x:v>
      </x:c>
      <x:c r="D1233" s="48" t="n">
        <x:v>76</x:v>
      </x:c>
      <x:c r="E1233" s="48" t="str"/>
      <x:c r="F1233" s="48" t="str">
        <x:v>Each Payment Certificate shall include such amounts for any claim as have been</x:v>
      </x:c>
      <x:c r="G1233" s="48" t="str">
        <x:v>Obligation</x:v>
      </x:c>
      <x:c r="H1233" s="48" t="str">
        <x:v>Shared</x:v>
      </x:c>
      <x:c r="I1233" s="48" t="n">
        <x:v>0.88</x:v>
      </x:c>
      <x:c r="J1233" s="48" t="n">
        <x:v>0.4</x:v>
      </x:c>
      <x:c r="K1233" s="48" t="str">
        <x:v>Yes</x:v>
      </x:c>
      <x:c r="L1233" s="48" t="str">
        <x:v>PDF text</x:v>
      </x:c>
    </x:row>
    <x:row r="1234">
      <x:c r="A1234" s="48" t="str">
        <x:v>YELLOW-1233</x:v>
      </x:c>
      <x:c r="B1234" s="48" t="str">
        <x:v>YELLOW</x:v>
      </x:c>
      <x:c r="C1234" s="48" t="str">
        <x:v>English</x:v>
      </x:c>
      <x:c r="D1234" s="48" t="n">
        <x:v>76</x:v>
      </x:c>
      <x:c r="E1234" s="48" t="str"/>
      <x:c r="F1234" s="48" t="str">
        <x:v>reasonably substantiated as due under the relevant provision of the Contract.</x:v>
      </x:c>
      <x:c r="G1234" s="48" t="str">
        <x:v>Obligation</x:v>
      </x:c>
      <x:c r="H1234" s="48" t="str">
        <x:v>Shared</x:v>
      </x:c>
      <x:c r="I1234" s="48" t="n">
        <x:v>0.45</x:v>
      </x:c>
      <x:c r="J1234" s="48" t="n">
        <x:v>0.4</x:v>
      </x:c>
      <x:c r="K1234" s="48" t="str">
        <x:v>Yes</x:v>
      </x:c>
      <x:c r="L1234" s="48" t="str">
        <x:v>PDF text</x:v>
      </x:c>
    </x:row>
    <x:row r="1235">
      <x:c r="A1235" s="48" t="str">
        <x:v>YELLOW-1234</x:v>
      </x:c>
      <x:c r="B1235" s="48" t="str">
        <x:v>YELLOW</x:v>
      </x:c>
      <x:c r="C1235" s="48" t="str">
        <x:v>English</x:v>
      </x:c>
      <x:c r="D1235" s="48" t="n">
        <x:v>76</x:v>
      </x:c>
      <x:c r="E1235" s="48" t="str"/>
      <x:c r="F1235" s="48" t="str">
        <x:v>Unless and until the particulars supplied are sufficient to substantiate the whole of the claim, the Contractor shall only be entitled to payment for such part of the claim as he has been able to substantiate.</x:v>
      </x:c>
      <x:c r="G1235" s="48" t="str">
        <x:v>Obligation</x:v>
      </x:c>
      <x:c r="H1235" s="48" t="str">
        <x:v>Contractor</x:v>
      </x:c>
      <x:c r="I1235" s="48" t="n">
        <x:v>0.88</x:v>
      </x:c>
      <x:c r="J1235" s="48" t="n">
        <x:v>0.92</x:v>
      </x:c>
      <x:c r="K1235" s="48" t="str">
        <x:v>No</x:v>
      </x:c>
      <x:c r="L1235" s="48" t="str">
        <x:v>PDF text</x:v>
      </x:c>
    </x:row>
    <x:row r="1236">
      <x:c r="A1236" s="48" t="str">
        <x:v>YELLOW-1235</x:v>
      </x:c>
      <x:c r="B1236" s="48" t="str">
        <x:v>YELLOW</x:v>
      </x:c>
      <x:c r="C1236" s="48" t="str">
        <x:v>English</x:v>
      </x:c>
      <x:c r="D1236" s="48" t="n">
        <x:v>76</x:v>
      </x:c>
      <x:c r="E1236" s="48" t="str"/>
      <x:c r="F1236" s="48" t="str">
        <x:v>The Engineer shall proceed in accordance with Sub-Clause 3.5 [Determinations] to agree or determine (i) the extension (if any) of the Time for Completion (before or after its expiry) in accordance with Sub-Clause 8.4 [Extension of Time for Completion], and/or (ii) the additional payment (if any) to which the Contractor is entitled under the Contract.</x:v>
      </x:c>
      <x:c r="G1236" s="48" t="str">
        <x:v>Obligation</x:v>
      </x:c>
      <x:c r="H1236" s="48" t="str">
        <x:v>Contractor</x:v>
      </x:c>
      <x:c r="I1236" s="48" t="n">
        <x:v>0.88</x:v>
      </x:c>
      <x:c r="J1236" s="48" t="n">
        <x:v>0.68</x:v>
      </x:c>
      <x:c r="K1236" s="48" t="str">
        <x:v>Yes</x:v>
      </x:c>
      <x:c r="L1236" s="48" t="str">
        <x:v>PDF text</x:v>
      </x:c>
    </x:row>
    <x:row r="1237">
      <x:c r="A1237" s="48" t="str">
        <x:v>YELLOW-1236</x:v>
      </x:c>
      <x:c r="B1237" s="48" t="str">
        <x:v>YELLOW</x:v>
      </x:c>
      <x:c r="C1237" s="48" t="str">
        <x:v>English</x:v>
      </x:c>
      <x:c r="D1237" s="48" t="n">
        <x:v>76</x:v>
      </x:c>
      <x:c r="E1237" s="48" t="str"/>
      <x:c r="F1237" s="48" t="str">
        <x:v>The requirements of this Sub-Clause are in addition to those of any other Sub-Clause which may apply to a claim.</x:v>
      </x:c>
      <x:c r="G1237" s="48" t="str">
        <x:v>Right</x:v>
      </x:c>
      <x:c r="H1237" s="48" t="str">
        <x:v>Shared</x:v>
      </x:c>
      <x:c r="I1237" s="48" t="n">
        <x:v>0.78</x:v>
      </x:c>
      <x:c r="J1237" s="48" t="n">
        <x:v>0.4</x:v>
      </x:c>
      <x:c r="K1237" s="48" t="str">
        <x:v>Yes</x:v>
      </x:c>
      <x:c r="L1237" s="48" t="str">
        <x:v>PDF text</x:v>
      </x:c>
    </x:row>
    <x:row r="1238">
      <x:c r="A1238" s="48" t="str">
        <x:v>YELLOW-1237</x:v>
      </x:c>
      <x:c r="B1238" s="48" t="str">
        <x:v>YELLOW</x:v>
      </x:c>
      <x:c r="C1238" s="48" t="str">
        <x:v>English</x:v>
      </x:c>
      <x:c r="D1238" s="48" t="n">
        <x:v>76</x:v>
      </x:c>
      <x:c r="E1238" s="48" t="str"/>
      <x:c r="F1238" s="48" t="str">
        <x:v>If the Contractor fails to comply with this or another SubClause in relation to any claim, any extension of time and/or additional payment shall take account of the extent (if any) to which the failure has prevented or prejudiced proper investigation of the claim, unless the claim is excluded under the second paragraph of this Sub-Clause.</x:v>
      </x:c>
      <x:c r="G1238" s="48" t="str">
        <x:v>Risk</x:v>
      </x:c>
      <x:c r="H1238" s="48" t="str">
        <x:v>Contractor</x:v>
      </x:c>
      <x:c r="I1238" s="48" t="n">
        <x:v>0.78</x:v>
      </x:c>
      <x:c r="J1238" s="48" t="n">
        <x:v>0.68</x:v>
      </x:c>
      <x:c r="K1238" s="48" t="str">
        <x:v>Yes</x:v>
      </x:c>
      <x:c r="L1238" s="48" t="str">
        <x:v>PDF text</x:v>
      </x:c>
    </x:row>
    <x:row r="1239">
      <x:c r="A1239" s="48" t="str">
        <x:v>YELLOW-1238</x:v>
      </x:c>
      <x:c r="B1239" s="48" t="str">
        <x:v>YELLOW</x:v>
      </x:c>
      <x:c r="C1239" s="48" t="str">
        <x:v>English</x:v>
      </x:c>
      <x:c r="D1239" s="48" t="n">
        <x:v>77</x:v>
      </x:c>
      <x:c r="E1239" s="48" t="str"/>
      <x:c r="F1239" s="48" t="str">
        <x:v>Appointment of the</x:v>
      </x:c>
      <x:c r="G1239" s="48" t="str">
        <x:v>Obligation</x:v>
      </x:c>
      <x:c r="H1239" s="48" t="str">
        <x:v>Shared</x:v>
      </x:c>
      <x:c r="I1239" s="48" t="n">
        <x:v>0.45</x:v>
      </x:c>
      <x:c r="J1239" s="48" t="n">
        <x:v>0.4</x:v>
      </x:c>
      <x:c r="K1239" s="48" t="str">
        <x:v>Yes</x:v>
      </x:c>
      <x:c r="L1239" s="48" t="str">
        <x:v>PDF text</x:v>
      </x:c>
    </x:row>
    <x:row r="1240">
      <x:c r="A1240" s="48" t="str">
        <x:v>YELLOW-1239</x:v>
      </x:c>
      <x:c r="B1240" s="48" t="str">
        <x:v>YELLOW</x:v>
      </x:c>
      <x:c r="C1240" s="48" t="str">
        <x:v>English</x:v>
      </x:c>
      <x:c r="D1240" s="48" t="n">
        <x:v>77</x:v>
      </x:c>
      <x:c r="E1240" s="48" t="str"/>
      <x:c r="F1240" s="48" t="str">
        <x:v>Dispute Adjudication</x:v>
      </x:c>
      <x:c r="G1240" s="48" t="str">
        <x:v>Obligation</x:v>
      </x:c>
      <x:c r="H1240" s="48" t="str">
        <x:v>Shared</x:v>
      </x:c>
      <x:c r="I1240" s="48" t="n">
        <x:v>0.55</x:v>
      </x:c>
      <x:c r="J1240" s="48" t="n">
        <x:v>0.4</x:v>
      </x:c>
      <x:c r="K1240" s="48" t="str">
        <x:v>Yes</x:v>
      </x:c>
      <x:c r="L1240" s="48" t="str">
        <x:v>PDF text</x:v>
      </x:c>
    </x:row>
    <x:row r="1241">
      <x:c r="A1241" s="48" t="str">
        <x:v>YELLOW-1240</x:v>
      </x:c>
      <x:c r="B1241" s="48" t="str">
        <x:v>YELLOW</x:v>
      </x:c>
      <x:c r="C1241" s="48" t="str">
        <x:v>English</x:v>
      </x:c>
      <x:c r="D1241" s="48" t="n">
        <x:v>77</x:v>
      </x:c>
      <x:c r="E1241" s="48" t="str"/>
      <x:c r="F1241" s="48" t="str">
        <x:v>Failure to Agree Dispute</x:v>
      </x:c>
      <x:c r="G1241" s="48" t="str">
        <x:v>Obligation</x:v>
      </x:c>
      <x:c r="H1241" s="48" t="str">
        <x:v>Shared</x:v>
      </x:c>
      <x:c r="I1241" s="48" t="n">
        <x:v>0.55</x:v>
      </x:c>
      <x:c r="J1241" s="48" t="n">
        <x:v>0.4</x:v>
      </x:c>
      <x:c r="K1241" s="48" t="str">
        <x:v>Yes</x:v>
      </x:c>
      <x:c r="L1241" s="48" t="str">
        <x:v>PDF text</x:v>
      </x:c>
    </x:row>
    <x:row r="1242">
      <x:c r="A1242" s="48" t="str">
        <x:v>YELLOW-1241</x:v>
      </x:c>
      <x:c r="B1242" s="48" t="str">
        <x:v>YELLOW</x:v>
      </x:c>
      <x:c r="C1242" s="48" t="str">
        <x:v>English</x:v>
      </x:c>
      <x:c r="D1242" s="48" t="n">
        <x:v>77</x:v>
      </x:c>
      <x:c r="E1242" s="48" t="str"/>
      <x:c r="F1242" s="48" t="str">
        <x:v>Adjudication Board</x:v>
      </x:c>
      <x:c r="G1242" s="48" t="str">
        <x:v>Obligation</x:v>
      </x:c>
      <x:c r="H1242" s="48" t="str">
        <x:v>Shared</x:v>
      </x:c>
      <x:c r="I1242" s="48" t="n">
        <x:v>0.45</x:v>
      </x:c>
      <x:c r="J1242" s="48" t="n">
        <x:v>0.4</x:v>
      </x:c>
      <x:c r="K1242" s="48" t="str">
        <x:v>Yes</x:v>
      </x:c>
      <x:c r="L1242" s="48" t="str">
        <x:v>PDF text</x:v>
      </x:c>
    </x:row>
    <x:row r="1243">
      <x:c r="A1243" s="48" t="str">
        <x:v>YELLOW-1242</x:v>
      </x:c>
      <x:c r="B1243" s="48" t="str">
        <x:v>YELLOW</x:v>
      </x:c>
      <x:c r="C1243" s="48" t="str">
        <x:v>English</x:v>
      </x:c>
      <x:c r="D1243" s="48" t="n">
        <x:v>77</x:v>
      </x:c>
      <x:c r="E1243" s="48" t="str"/>
      <x:c r="F1243" s="48" t="str">
        <x:v>Disputes shall be adjudicated by a DAB in accordance with Sub-Clause 20.4 [Obtaining Dispute Adjudication Board's Decision].</x:v>
      </x:c>
      <x:c r="G1243" s="48" t="str">
        <x:v>Obligation</x:v>
      </x:c>
      <x:c r="H1243" s="48" t="str">
        <x:v>Shared</x:v>
      </x:c>
      <x:c r="I1243" s="48" t="n">
        <x:v>0.88</x:v>
      </x:c>
      <x:c r="J1243" s="48" t="n">
        <x:v>0.4</x:v>
      </x:c>
      <x:c r="K1243" s="48" t="str">
        <x:v>Yes</x:v>
      </x:c>
      <x:c r="L1243" s="48" t="str">
        <x:v>PDF text</x:v>
      </x:c>
    </x:row>
    <x:row r="1244">
      <x:c r="A1244" s="48" t="str">
        <x:v>YELLOW-1243</x:v>
      </x:c>
      <x:c r="B1244" s="48" t="str">
        <x:v>YELLOW</x:v>
      </x:c>
      <x:c r="C1244" s="48" t="str">
        <x:v>English</x:v>
      </x:c>
      <x:c r="D1244" s="48" t="n">
        <x:v>77</x:v>
      </x:c>
      <x:c r="E1244" s="48" t="str"/>
      <x:c r="F1244" s="48" t="str">
        <x:v>The Parties shall jointly appoint a DAB by the date 28 days after a Party gives notice to the other Party of its intention to refer a dispute to a DAB in accordance with Sub-Clause 20.4.</x:v>
      </x:c>
      <x:c r="G1244" s="48" t="str">
        <x:v>Obligation</x:v>
      </x:c>
      <x:c r="H1244" s="48" t="str">
        <x:v>Shared</x:v>
      </x:c>
      <x:c r="I1244" s="48" t="n">
        <x:v>0.88</x:v>
      </x:c>
      <x:c r="J1244" s="48" t="n">
        <x:v>0.93</x:v>
      </x:c>
      <x:c r="K1244" s="48" t="str">
        <x:v>No</x:v>
      </x:c>
      <x:c r="L1244" s="48" t="str">
        <x:v>PDF text</x:v>
      </x:c>
    </x:row>
    <x:row r="1245">
      <x:c r="A1245" s="48" t="str">
        <x:v>YELLOW-1244</x:v>
      </x:c>
      <x:c r="B1245" s="48" t="str">
        <x:v>YELLOW</x:v>
      </x:c>
      <x:c r="C1245" s="48" t="str">
        <x:v>English</x:v>
      </x:c>
      <x:c r="D1245" s="48" t="n">
        <x:v>77</x:v>
      </x:c>
      <x:c r="E1245" s="48" t="str"/>
      <x:c r="F1245" s="48" t="str">
        <x:v>The DAB shall comprise, as stated in the Appendix to Tender, either one or three</x:v>
      </x:c>
      <x:c r="G1245" s="48" t="str">
        <x:v>Obligation</x:v>
      </x:c>
      <x:c r="H1245" s="48" t="str">
        <x:v>Shared</x:v>
      </x:c>
      <x:c r="I1245" s="48" t="n">
        <x:v>0.88</x:v>
      </x:c>
      <x:c r="J1245" s="48" t="n">
        <x:v>0.4</x:v>
      </x:c>
      <x:c r="K1245" s="48" t="str">
        <x:v>Yes</x:v>
      </x:c>
      <x:c r="L1245" s="48" t="str">
        <x:v>PDF text</x:v>
      </x:c>
    </x:row>
    <x:row r="1246">
      <x:c r="A1246" s="48" t="str">
        <x:v>YELLOW-1245</x:v>
      </x:c>
      <x:c r="B1246" s="48" t="str">
        <x:v>YELLOW</x:v>
      </x:c>
      <x:c r="C1246" s="48" t="str">
        <x:v>English</x:v>
      </x:c>
      <x:c r="D1246" s="48" t="n">
        <x:v>77</x:v>
      </x:c>
      <x:c r="E1246" s="48" t="str"/>
      <x:c r="F1246" s="48" t="str">
        <x:v>suitably qualified persons ("the members").</x:v>
      </x:c>
      <x:c r="G1246" s="48" t="str">
        <x:v>Obligation</x:v>
      </x:c>
      <x:c r="H1246" s="48" t="str">
        <x:v>Shared</x:v>
      </x:c>
      <x:c r="I1246" s="48" t="n">
        <x:v>0.45</x:v>
      </x:c>
      <x:c r="J1246" s="48" t="n">
        <x:v>0.4</x:v>
      </x:c>
      <x:c r="K1246" s="48" t="str">
        <x:v>Yes</x:v>
      </x:c>
      <x:c r="L1246" s="48" t="str">
        <x:v>PDF text</x:v>
      </x:c>
    </x:row>
    <x:row r="1247">
      <x:c r="A1247" s="48" t="str">
        <x:v>YELLOW-1246</x:v>
      </x:c>
      <x:c r="B1247" s="48" t="str">
        <x:v>YELLOW</x:v>
      </x:c>
      <x:c r="C1247" s="48" t="str">
        <x:v>English</x:v>
      </x:c>
      <x:c r="D1247" s="48" t="n">
        <x:v>77</x:v>
      </x:c>
      <x:c r="E1247" s="48" t="str"/>
      <x:c r="F1247" s="48" t="str">
        <x:v>If the number is not so stated and the Parties do not agree otherwise, the DAB shall comprise three persons.</x:v>
      </x:c>
      <x:c r="G1247" s="48" t="str">
        <x:v>Obligation</x:v>
      </x:c>
      <x:c r="H1247" s="48" t="str">
        <x:v>Shared</x:v>
      </x:c>
      <x:c r="I1247" s="48" t="n">
        <x:v>0.88</x:v>
      </x:c>
      <x:c r="J1247" s="48" t="n">
        <x:v>0.93</x:v>
      </x:c>
      <x:c r="K1247" s="48" t="str">
        <x:v>No</x:v>
      </x:c>
      <x:c r="L1247" s="48" t="str">
        <x:v>PDF text</x:v>
      </x:c>
    </x:row>
    <x:row r="1248">
      <x:c r="A1248" s="48" t="str">
        <x:v>YELLOW-1247</x:v>
      </x:c>
      <x:c r="B1248" s="48" t="str">
        <x:v>YELLOW</x:v>
      </x:c>
      <x:c r="C1248" s="48" t="str">
        <x:v>English</x:v>
      </x:c>
      <x:c r="D1248" s="48" t="n">
        <x:v>77</x:v>
      </x:c>
      <x:c r="E1248" s="48" t="str"/>
      <x:c r="F1248" s="48" t="str">
        <x:v>If the DAB is to comprise three persons, each Party shall nominate one member for</x:v>
      </x:c>
      <x:c r="G1248" s="48" t="str">
        <x:v>Obligation</x:v>
      </x:c>
      <x:c r="H1248" s="48" t="str">
        <x:v>Shared</x:v>
      </x:c>
      <x:c r="I1248" s="48" t="n">
        <x:v>0.88</x:v>
      </x:c>
      <x:c r="J1248" s="48" t="n">
        <x:v>0.93</x:v>
      </x:c>
      <x:c r="K1248" s="48" t="str">
        <x:v>No</x:v>
      </x:c>
      <x:c r="L1248" s="48" t="str">
        <x:v>PDF text</x:v>
      </x:c>
    </x:row>
    <x:row r="1249">
      <x:c r="A1249" s="48" t="str">
        <x:v>YELLOW-1248</x:v>
      </x:c>
      <x:c r="B1249" s="48" t="str">
        <x:v>YELLOW</x:v>
      </x:c>
      <x:c r="C1249" s="48" t="str">
        <x:v>English</x:v>
      </x:c>
      <x:c r="D1249" s="48" t="n">
        <x:v>77</x:v>
      </x:c>
      <x:c r="E1249" s="48" t="str"/>
      <x:c r="F1249" s="48" t="str">
        <x:v>the approval of the other Party.</x:v>
      </x:c>
      <x:c r="G1249" s="48" t="str">
        <x:v>Obligation</x:v>
      </x:c>
      <x:c r="H1249" s="48" t="str">
        <x:v>Shared</x:v>
      </x:c>
      <x:c r="I1249" s="48" t="n">
        <x:v>0.45</x:v>
      </x:c>
      <x:c r="J1249" s="48" t="n">
        <x:v>0.4</x:v>
      </x:c>
      <x:c r="K1249" s="48" t="str">
        <x:v>Yes</x:v>
      </x:c>
      <x:c r="L1249" s="48" t="str">
        <x:v>PDF text</x:v>
      </x:c>
    </x:row>
    <x:row r="1250">
      <x:c r="A1250" s="48" t="str">
        <x:v>YELLOW-1249</x:v>
      </x:c>
      <x:c r="B1250" s="48" t="str">
        <x:v>YELLOW</x:v>
      </x:c>
      <x:c r="C1250" s="48" t="str">
        <x:v>English</x:v>
      </x:c>
      <x:c r="D1250" s="48" t="n">
        <x:v>77</x:v>
      </x:c>
      <x:c r="E1250" s="48" t="str"/>
      <x:c r="F1250" s="48" t="str">
        <x:v>The Parties shall consult both these members and shall agree upon the third member, who shall be appointed to act as chairman.</x:v>
      </x:c>
      <x:c r="G1250" s="48" t="str">
        <x:v>Obligation</x:v>
      </x:c>
      <x:c r="H1250" s="48" t="str">
        <x:v>Shared</x:v>
      </x:c>
      <x:c r="I1250" s="48" t="n">
        <x:v>0.88</x:v>
      </x:c>
      <x:c r="J1250" s="48" t="n">
        <x:v>0.93</x:v>
      </x:c>
      <x:c r="K1250" s="48" t="str">
        <x:v>No</x:v>
      </x:c>
      <x:c r="L1250" s="48" t="str">
        <x:v>PDF text</x:v>
      </x:c>
    </x:row>
    <x:row r="1251">
      <x:c r="A1251" s="48" t="str">
        <x:v>YELLOW-1250</x:v>
      </x:c>
      <x:c r="B1251" s="48" t="str">
        <x:v>YELLOW</x:v>
      </x:c>
      <x:c r="C1251" s="48" t="str">
        <x:v>English</x:v>
      </x:c>
      <x:c r="D1251" s="48" t="n">
        <x:v>77</x:v>
      </x:c>
      <x:c r="E1251" s="48" t="str"/>
      <x:c r="F1251" s="48" t="str">
        <x:v>However, if a list of potential members is included in the Contract, the members shall be selected from those on the list, other than anyone who is unable or unwilling to accept appointment to the DAB.</x:v>
      </x:c>
      <x:c r="G1251" s="48" t="str">
        <x:v>Obligation</x:v>
      </x:c>
      <x:c r="H1251" s="48" t="str">
        <x:v>Shared</x:v>
      </x:c>
      <x:c r="I1251" s="48" t="n">
        <x:v>0.88</x:v>
      </x:c>
      <x:c r="J1251" s="48" t="n">
        <x:v>0.4</x:v>
      </x:c>
      <x:c r="K1251" s="48" t="str">
        <x:v>Yes</x:v>
      </x:c>
      <x:c r="L1251" s="48" t="str">
        <x:v>PDF text</x:v>
      </x:c>
    </x:row>
    <x:row r="1252">
      <x:c r="A1252" s="48" t="str">
        <x:v>YELLOW-1251</x:v>
      </x:c>
      <x:c r="B1252" s="48" t="str">
        <x:v>YELLOW</x:v>
      </x:c>
      <x:c r="C1252" s="48" t="str">
        <x:v>English</x:v>
      </x:c>
      <x:c r="D1252" s="48" t="n">
        <x:v>77</x:v>
      </x:c>
      <x:c r="E1252" s="48" t="str"/>
      <x:c r="F1252" s="48" t="str">
        <x:v>The agreement between the Parties and either the sole member ("adjudicator") or each of the three members shall incorporate by reference the General Conditions of</x:v>
      </x:c>
      <x:c r="G1252" s="48" t="str">
        <x:v>Obligation</x:v>
      </x:c>
      <x:c r="H1252" s="48" t="str">
        <x:v>Shared</x:v>
      </x:c>
      <x:c r="I1252" s="48" t="n">
        <x:v>0.88</x:v>
      </x:c>
      <x:c r="J1252" s="48" t="n">
        <x:v>0.93</x:v>
      </x:c>
      <x:c r="K1252" s="48" t="str">
        <x:v>No</x:v>
      </x:c>
      <x:c r="L1252" s="48" t="str">
        <x:v>PDF text</x:v>
      </x:c>
    </x:row>
    <x:row r="1253">
      <x:c r="A1253" s="48" t="str">
        <x:v>YELLOW-1252</x:v>
      </x:c>
      <x:c r="B1253" s="48" t="str">
        <x:v>YELLOW</x:v>
      </x:c>
      <x:c r="C1253" s="48" t="str">
        <x:v>English</x:v>
      </x:c>
      <x:c r="D1253" s="48" t="n">
        <x:v>77</x:v>
      </x:c>
      <x:c r="E1253" s="48" t="str"/>
      <x:c r="F1253" s="48" t="str">
        <x:v>Dispute Adjudication Agreement contained in the Appendix to these General</x:v>
      </x:c>
      <x:c r="G1253" s="48" t="str">
        <x:v>Obligation</x:v>
      </x:c>
      <x:c r="H1253" s="48" t="str">
        <x:v>Shared</x:v>
      </x:c>
      <x:c r="I1253" s="48" t="n">
        <x:v>0.55</x:v>
      </x:c>
      <x:c r="J1253" s="48" t="n">
        <x:v>0.4</x:v>
      </x:c>
      <x:c r="K1253" s="48" t="str">
        <x:v>Yes</x:v>
      </x:c>
      <x:c r="L1253" s="48" t="str">
        <x:v>PDF text</x:v>
      </x:c>
    </x:row>
    <x:row r="1254">
      <x:c r="A1254" s="48" t="str">
        <x:v>YELLOW-1253</x:v>
      </x:c>
      <x:c r="B1254" s="48" t="str">
        <x:v>YELLOW</x:v>
      </x:c>
      <x:c r="C1254" s="48" t="str">
        <x:v>English</x:v>
      </x:c>
      <x:c r="D1254" s="48" t="n">
        <x:v>77</x:v>
      </x:c>
      <x:c r="E1254" s="48" t="str"/>
      <x:c r="F1254" s="48" t="str">
        <x:v>Conditions, with such amendments as are agreed between them.</x:v>
      </x:c>
      <x:c r="G1254" s="48" t="str">
        <x:v>Obligation</x:v>
      </x:c>
      <x:c r="H1254" s="48" t="str">
        <x:v>Shared</x:v>
      </x:c>
      <x:c r="I1254" s="48" t="n">
        <x:v>0.45</x:v>
      </x:c>
      <x:c r="J1254" s="48" t="n">
        <x:v>0.4</x:v>
      </x:c>
      <x:c r="K1254" s="48" t="str">
        <x:v>Yes</x:v>
      </x:c>
      <x:c r="L1254" s="48" t="str">
        <x:v>PDF text</x:v>
      </x:c>
    </x:row>
    <x:row r="1255">
      <x:c r="A1255" s="48" t="str">
        <x:v>YELLOW-1254</x:v>
      </x:c>
      <x:c r="B1255" s="48" t="str">
        <x:v>YELLOW</x:v>
      </x:c>
      <x:c r="C1255" s="48" t="str">
        <x:v>English</x:v>
      </x:c>
      <x:c r="D1255" s="48" t="n">
        <x:v>77</x:v>
      </x:c>
      <x:c r="E1255" s="48" t="str"/>
      <x:c r="F1255" s="48" t="str">
        <x:v>The terms of the remuneration of either the sole member or each of the three</x:v>
      </x:c>
      <x:c r="G1255" s="48" t="str">
        <x:v>Obligation</x:v>
      </x:c>
      <x:c r="H1255" s="48" t="str">
        <x:v>Shared</x:v>
      </x:c>
      <x:c r="I1255" s="48" t="n">
        <x:v>0.45</x:v>
      </x:c>
      <x:c r="J1255" s="48" t="n">
        <x:v>0.4</x:v>
      </x:c>
      <x:c r="K1255" s="48" t="str">
        <x:v>Yes</x:v>
      </x:c>
      <x:c r="L1255" s="48" t="str">
        <x:v>PDF text</x:v>
      </x:c>
    </x:row>
    <x:row r="1256">
      <x:c r="A1256" s="48" t="str">
        <x:v>YELLOW-1255</x:v>
      </x:c>
      <x:c r="B1256" s="48" t="str">
        <x:v>YELLOW</x:v>
      </x:c>
      <x:c r="C1256" s="48" t="str">
        <x:v>English</x:v>
      </x:c>
      <x:c r="D1256" s="48" t="n">
        <x:v>77</x:v>
      </x:c>
      <x:c r="E1256" s="48" t="str"/>
      <x:c r="F1256" s="48" t="str">
        <x:v>members shall be mutually agreed upon by the Parties when agreeing the terms of appointment.</x:v>
      </x:c>
      <x:c r="G1256" s="48" t="str">
        <x:v>Obligation</x:v>
      </x:c>
      <x:c r="H1256" s="48" t="str">
        <x:v>Shared</x:v>
      </x:c>
      <x:c r="I1256" s="48" t="n">
        <x:v>0.88</x:v>
      </x:c>
      <x:c r="J1256" s="48" t="n">
        <x:v>0.93</x:v>
      </x:c>
      <x:c r="K1256" s="48" t="str">
        <x:v>No</x:v>
      </x:c>
      <x:c r="L1256" s="48" t="str">
        <x:v>PDF text</x:v>
      </x:c>
    </x:row>
    <x:row r="1257">
      <x:c r="A1257" s="48" t="str">
        <x:v>YELLOW-1256</x:v>
      </x:c>
      <x:c r="B1257" s="48" t="str">
        <x:v>YELLOW</x:v>
      </x:c>
      <x:c r="C1257" s="48" t="str">
        <x:v>English</x:v>
      </x:c>
      <x:c r="D1257" s="48" t="n">
        <x:v>77</x:v>
      </x:c>
      <x:c r="E1257" s="48" t="str"/>
      <x:c r="F1257" s="48" t="str">
        <x:v>Each Party shall be responsible for paying one-half of this remuneration.</x:v>
      </x:c>
      <x:c r="G1257" s="48" t="str">
        <x:v>Obligation</x:v>
      </x:c>
      <x:c r="H1257" s="48" t="str">
        <x:v>Shared</x:v>
      </x:c>
      <x:c r="I1257" s="48" t="n">
        <x:v>0.88</x:v>
      </x:c>
      <x:c r="J1257" s="48" t="n">
        <x:v>0.93</x:v>
      </x:c>
      <x:c r="K1257" s="48" t="str">
        <x:v>No</x:v>
      </x:c>
      <x:c r="L1257" s="48" t="str">
        <x:v>PDF text</x:v>
      </x:c>
    </x:row>
    <x:row r="1258">
      <x:c r="A1258" s="48" t="str">
        <x:v>YELLOW-1257</x:v>
      </x:c>
      <x:c r="B1258" s="48" t="str">
        <x:v>YELLOW</x:v>
      </x:c>
      <x:c r="C1258" s="48" t="str">
        <x:v>English</x:v>
      </x:c>
      <x:c r="D1258" s="48" t="n">
        <x:v>77</x:v>
      </x:c>
      <x:c r="E1258" s="48" t="str"/>
      <x:c r="F1258" s="48" t="str">
        <x:v>If at any time the Parties so agree, they may appoint a suitably qualified person or persons to replace any one or more members of the DAB.</x:v>
      </x:c>
      <x:c r="G1258" s="48" t="str">
        <x:v>Right</x:v>
      </x:c>
      <x:c r="H1258" s="48" t="str">
        <x:v>Shared</x:v>
      </x:c>
      <x:c r="I1258" s="48" t="n">
        <x:v>0.78</x:v>
      </x:c>
      <x:c r="J1258" s="48" t="n">
        <x:v>0.93</x:v>
      </x:c>
      <x:c r="K1258" s="48" t="str">
        <x:v>No</x:v>
      </x:c>
      <x:c r="L1258" s="48" t="str">
        <x:v>PDF text</x:v>
      </x:c>
    </x:row>
    <x:row r="1259">
      <x:c r="A1259" s="48" t="str">
        <x:v>YELLOW-1258</x:v>
      </x:c>
      <x:c r="B1259" s="48" t="str">
        <x:v>YELLOW</x:v>
      </x:c>
      <x:c r="C1259" s="48" t="str">
        <x:v>English</x:v>
      </x:c>
      <x:c r="D1259" s="48" t="n">
        <x:v>77</x:v>
      </x:c>
      <x:c r="E1259" s="48" t="str"/>
      <x:c r="F1259" s="48" t="str">
        <x:v>Unless the Parties agree otherwise, the appointment will come into effect if a member declines to act or is unable to act as a result of death, disability, resignation or termination of appointment.</x:v>
      </x:c>
      <x:c r="G1259" s="48" t="str">
        <x:v>Obligation</x:v>
      </x:c>
      <x:c r="H1259" s="48" t="str">
        <x:v>Shared</x:v>
      </x:c>
      <x:c r="I1259" s="48" t="n">
        <x:v>0.55</x:v>
      </x:c>
      <x:c r="J1259" s="48" t="n">
        <x:v>0.93</x:v>
      </x:c>
      <x:c r="K1259" s="48" t="str">
        <x:v>Yes</x:v>
      </x:c>
      <x:c r="L1259" s="48" t="str">
        <x:v>PDF text</x:v>
      </x:c>
    </x:row>
    <x:row r="1260">
      <x:c r="A1260" s="48" t="str">
        <x:v>YELLOW-1259</x:v>
      </x:c>
      <x:c r="B1260" s="48" t="str">
        <x:v>YELLOW</x:v>
      </x:c>
      <x:c r="C1260" s="48" t="str">
        <x:v>English</x:v>
      </x:c>
      <x:c r="D1260" s="48" t="n">
        <x:v>77</x:v>
      </x:c>
      <x:c r="E1260" s="48" t="str"/>
      <x:c r="F1260" s="48" t="str">
        <x:v>The replacement shall be appointed in the same manner as the replaced person was</x:v>
      </x:c>
      <x:c r="G1260" s="48" t="str">
        <x:v>Obligation</x:v>
      </x:c>
      <x:c r="H1260" s="48" t="str">
        <x:v>Shared</x:v>
      </x:c>
      <x:c r="I1260" s="48" t="n">
        <x:v>0.88</x:v>
      </x:c>
      <x:c r="J1260" s="48" t="n">
        <x:v>0.4</x:v>
      </x:c>
      <x:c r="K1260" s="48" t="str">
        <x:v>Yes</x:v>
      </x:c>
      <x:c r="L1260" s="48" t="str">
        <x:v>PDF text</x:v>
      </x:c>
    </x:row>
    <x:row r="1261">
      <x:c r="A1261" s="48" t="str">
        <x:v>YELLOW-1260</x:v>
      </x:c>
      <x:c r="B1261" s="48" t="str">
        <x:v>YELLOW</x:v>
      </x:c>
      <x:c r="C1261" s="48" t="str">
        <x:v>English</x:v>
      </x:c>
      <x:c r="D1261" s="48" t="n">
        <x:v>77</x:v>
      </x:c>
      <x:c r="E1261" s="48" t="str"/>
      <x:c r="F1261" s="48" t="str">
        <x:v>required to have been nominated or agreed upon, as described in this Sub-Clause.</x:v>
      </x:c>
      <x:c r="G1261" s="48" t="str">
        <x:v>Obligation</x:v>
      </x:c>
      <x:c r="H1261" s="48" t="str">
        <x:v>Shared</x:v>
      </x:c>
      <x:c r="I1261" s="48" t="n">
        <x:v>0.45</x:v>
      </x:c>
      <x:c r="J1261" s="48" t="n">
        <x:v>0.4</x:v>
      </x:c>
      <x:c r="K1261" s="48" t="str">
        <x:v>Yes</x:v>
      </x:c>
      <x:c r="L1261" s="48" t="str">
        <x:v>PDF text</x:v>
      </x:c>
    </x:row>
    <x:row r="1262">
      <x:c r="A1262" s="48" t="str">
        <x:v>YELLOW-1261</x:v>
      </x:c>
      <x:c r="B1262" s="48" t="str">
        <x:v>YELLOW</x:v>
      </x:c>
      <x:c r="C1262" s="48" t="str">
        <x:v>English</x:v>
      </x:c>
      <x:c r="D1262" s="48" t="n">
        <x:v>77</x:v>
      </x:c>
      <x:c r="E1262" s="48" t="str"/>
      <x:c r="F1262" s="48" t="str">
        <x:v>The appointment of any member may be terminated by mutual agreement of both</x:v>
      </x:c>
      <x:c r="G1262" s="48" t="str">
        <x:v>Right</x:v>
      </x:c>
      <x:c r="H1262" s="48" t="str">
        <x:v>Shared</x:v>
      </x:c>
      <x:c r="I1262" s="48" t="n">
        <x:v>0.78</x:v>
      </x:c>
      <x:c r="J1262" s="48" t="n">
        <x:v>0.4</x:v>
      </x:c>
      <x:c r="K1262" s="48" t="str">
        <x:v>Yes</x:v>
      </x:c>
      <x:c r="L1262" s="48" t="str">
        <x:v>PDF text</x:v>
      </x:c>
    </x:row>
    <x:row r="1263">
      <x:c r="A1263" s="48" t="str">
        <x:v>YELLOW-1262</x:v>
      </x:c>
      <x:c r="B1263" s="48" t="str">
        <x:v>YELLOW</x:v>
      </x:c>
      <x:c r="C1263" s="48" t="str">
        <x:v>English</x:v>
      </x:c>
      <x:c r="D1263" s="48" t="n">
        <x:v>77</x:v>
      </x:c>
      <x:c r="E1263" s="48" t="str"/>
      <x:c r="F1263" s="48" t="str">
        <x:v>Parties, but not by the Employer or the Contractor acting alone.</x:v>
      </x:c>
      <x:c r="G1263" s="48" t="str">
        <x:v>Obligation</x:v>
      </x:c>
      <x:c r="H1263" s="48" t="str">
        <x:v>Shared</x:v>
      </x:c>
      <x:c r="I1263" s="48" t="n">
        <x:v>0.45</x:v>
      </x:c>
      <x:c r="J1263" s="48" t="n">
        <x:v>0.6</x:v>
      </x:c>
      <x:c r="K1263" s="48" t="str">
        <x:v>Yes</x:v>
      </x:c>
      <x:c r="L1263" s="48" t="str">
        <x:v>PDF text</x:v>
      </x:c>
    </x:row>
    <x:row r="1264">
      <x:c r="A1264" s="48" t="str">
        <x:v>YELLOW-1263</x:v>
      </x:c>
      <x:c r="B1264" s="48" t="str">
        <x:v>YELLOW</x:v>
      </x:c>
      <x:c r="C1264" s="48" t="str">
        <x:v>English</x:v>
      </x:c>
      <x:c r="D1264" s="48" t="n">
        <x:v>77</x:v>
      </x:c>
      <x:c r="E1264" s="48" t="str"/>
      <x:c r="F1264" s="48" t="str">
        <x:v>Unless otherwise agreed by both Parties, the appointment of the DAB (including each member) shall expire when the DAB has given its decision on the dispute referred to it under SubClause 20.4 [Obtaining Dispute Adjudication Board’s Decision], unless other disputes have been referred to the DAB by that time under Sub-Clause 20.4, in which event the relevant date shall be when the DAB has also given decisions on those disputes.</x:v>
      </x:c>
      <x:c r="G1264" s="48" t="str">
        <x:v>Obligation</x:v>
      </x:c>
      <x:c r="H1264" s="48" t="str">
        <x:v>Shared</x:v>
      </x:c>
      <x:c r="I1264" s="48" t="n">
        <x:v>0.88</x:v>
      </x:c>
      <x:c r="J1264" s="48" t="n">
        <x:v>0.93</x:v>
      </x:c>
      <x:c r="K1264" s="48" t="str">
        <x:v>No</x:v>
      </x:c>
      <x:c r="L1264" s="48" t="str">
        <x:v>PDF text</x:v>
      </x:c>
    </x:row>
    <x:row r="1265">
      <x:c r="A1265" s="48" t="str">
        <x:v>YELLOW-1264</x:v>
      </x:c>
      <x:c r="B1265" s="48" t="str">
        <x:v>YELLOW</x:v>
      </x:c>
      <x:c r="C1265" s="48" t="str">
        <x:v>English</x:v>
      </x:c>
      <x:c r="D1265" s="48" t="n">
        <x:v>77</x:v>
      </x:c>
      <x:c r="E1265" s="48" t="str"/>
      <x:c r="F1265" s="48" t="str">
        <x:v>If any of the following conditions apply, namely: (a) the Parties fail to agree upon the appointment of the sole member of the DAB by the date stated in the first paragraph of Sub-Clause 20.2 [Appointment of the Dispute Adjudication Board], (b) either Party fails to nominate a member (for approval by the other Party) of a</x:v>
      </x:c>
      <x:c r="G1265" s="48" t="str">
        <x:v>Obligation</x:v>
      </x:c>
      <x:c r="H1265" s="48" t="str">
        <x:v>Shared</x:v>
      </x:c>
      <x:c r="I1265" s="48" t="n">
        <x:v>0.55</x:v>
      </x:c>
      <x:c r="J1265" s="48" t="n">
        <x:v>0.93</x:v>
      </x:c>
      <x:c r="K1265" s="48" t="str">
        <x:v>Yes</x:v>
      </x:c>
      <x:c r="L1265" s="48" t="str">
        <x:v>PDF text</x:v>
      </x:c>
    </x:row>
    <x:row r="1266">
      <x:c r="A1266" s="48" t="str">
        <x:v>YELLOW-1265</x:v>
      </x:c>
      <x:c r="B1266" s="48" t="str">
        <x:v>YELLOW</x:v>
      </x:c>
      <x:c r="C1266" s="48" t="str">
        <x:v>English</x:v>
      </x:c>
      <x:c r="D1266" s="48" t="n">
        <x:v>77</x:v>
      </x:c>
      <x:c r="E1266" s="48" t="str"/>
      <x:c r="F1266" s="48" t="str">
        <x:v>DAB of three persons by such date,</x:v>
      </x:c>
      <x:c r="G1266" s="48" t="str">
        <x:v>Obligation</x:v>
      </x:c>
      <x:c r="H1266" s="48" t="str">
        <x:v>Shared</x:v>
      </x:c>
      <x:c r="I1266" s="48" t="n">
        <x:v>0.45</x:v>
      </x:c>
      <x:c r="J1266" s="48" t="n">
        <x:v>0.4</x:v>
      </x:c>
      <x:c r="K1266" s="48" t="str">
        <x:v>Yes</x:v>
      </x:c>
      <x:c r="L1266" s="48" t="str">
        <x:v>PDF text</x:v>
      </x:c>
    </x:row>
    <x:row r="1267">
      <x:c r="A1267" s="48" t="str">
        <x:v>YELLOW-1266</x:v>
      </x:c>
      <x:c r="B1267" s="48" t="str">
        <x:v>YELLOW</x:v>
      </x:c>
      <x:c r="C1267" s="48" t="str">
        <x:v>English</x:v>
      </x:c>
      <x:c r="D1267" s="48" t="n">
        <x:v>77</x:v>
      </x:c>
      <x:c r="E1267" s="48" t="str"/>
      <x:c r="F1267" s="48" t="str">
        <x:v>(c) the Parties fail to agree upon the appointment of the third member (to act as chairman) of the DAB by such date, or (d) the Parties fail to agree upon the appointment of a replacement person within 42 days after the date on which the sole member or one of the three members declines to act or is unable to act as a result of death, disability, resignation or termination of appointment,</x:v>
      </x:c>
      <x:c r="G1267" s="48" t="str">
        <x:v>Obligation</x:v>
      </x:c>
      <x:c r="H1267" s="48" t="str">
        <x:v>Shared</x:v>
      </x:c>
      <x:c r="I1267" s="48" t="n">
        <x:v>0.55</x:v>
      </x:c>
      <x:c r="J1267" s="48" t="n">
        <x:v>0.93</x:v>
      </x:c>
      <x:c r="K1267" s="48" t="str">
        <x:v>Yes</x:v>
      </x:c>
      <x:c r="L1267" s="48" t="str">
        <x:v>PDF text</x:v>
      </x:c>
    </x:row>
    <x:row r="1268">
      <x:c r="A1268" s="48" t="str">
        <x:v>YELLOW-1267</x:v>
      </x:c>
      <x:c r="B1268" s="48" t="str">
        <x:v>YELLOW</x:v>
      </x:c>
      <x:c r="C1268" s="48" t="str">
        <x:v>English</x:v>
      </x:c>
      <x:c r="D1268" s="48" t="n">
        <x:v>78</x:v>
      </x:c>
      <x:c r="E1268" s="48" t="str"/>
      <x:c r="F1268" s="48" t="str">
        <x:v>then the appointing entity or official named in the Appendix to Tender shall, upon the request of either or both of the Parties and after due consultation with both Parties, appoint this member of the DAB.</x:v>
      </x:c>
      <x:c r="G1268" s="48" t="str">
        <x:v>Obligation</x:v>
      </x:c>
      <x:c r="H1268" s="48" t="str">
        <x:v>Shared</x:v>
      </x:c>
      <x:c r="I1268" s="48" t="n">
        <x:v>0.88</x:v>
      </x:c>
      <x:c r="J1268" s="48" t="n">
        <x:v>0.93</x:v>
      </x:c>
      <x:c r="K1268" s="48" t="str">
        <x:v>No</x:v>
      </x:c>
      <x:c r="L1268" s="48" t="str">
        <x:v>PDF text</x:v>
      </x:c>
    </x:row>
    <x:row r="1269">
      <x:c r="A1269" s="48" t="str">
        <x:v>YELLOW-1268</x:v>
      </x:c>
      <x:c r="B1269" s="48" t="str">
        <x:v>YELLOW</x:v>
      </x:c>
      <x:c r="C1269" s="48" t="str">
        <x:v>English</x:v>
      </x:c>
      <x:c r="D1269" s="48" t="n">
        <x:v>78</x:v>
      </x:c>
      <x:c r="E1269" s="48" t="str"/>
      <x:c r="F1269" s="48" t="str">
        <x:v>This appointment shall be final and conclusive.</x:v>
      </x:c>
      <x:c r="G1269" s="48" t="str">
        <x:v>Obligation</x:v>
      </x:c>
      <x:c r="H1269" s="48" t="str">
        <x:v>Shared</x:v>
      </x:c>
      <x:c r="I1269" s="48" t="n">
        <x:v>0.88</x:v>
      </x:c>
      <x:c r="J1269" s="48" t="n">
        <x:v>0.4</x:v>
      </x:c>
      <x:c r="K1269" s="48" t="str">
        <x:v>Yes</x:v>
      </x:c>
      <x:c r="L1269" s="48" t="str">
        <x:v>PDF text</x:v>
      </x:c>
    </x:row>
    <x:row r="1270">
      <x:c r="A1270" s="48" t="str">
        <x:v>YELLOW-1269</x:v>
      </x:c>
      <x:c r="B1270" s="48" t="str">
        <x:v>YELLOW</x:v>
      </x:c>
      <x:c r="C1270" s="48" t="str">
        <x:v>English</x:v>
      </x:c>
      <x:c r="D1270" s="48" t="n">
        <x:v>78</x:v>
      </x:c>
      <x:c r="E1270" s="48" t="str"/>
      <x:c r="F1270" s="48" t="str">
        <x:v>Each Party shall be responsible for paying one-half of the remuneration of the appointing entity or official.</x:v>
      </x:c>
      <x:c r="G1270" s="48" t="str">
        <x:v>Obligation</x:v>
      </x:c>
      <x:c r="H1270" s="48" t="str">
        <x:v>Shared</x:v>
      </x:c>
      <x:c r="I1270" s="48" t="n">
        <x:v>0.88</x:v>
      </x:c>
      <x:c r="J1270" s="48" t="n">
        <x:v>0.93</x:v>
      </x:c>
      <x:c r="K1270" s="48" t="str">
        <x:v>No</x:v>
      </x:c>
      <x:c r="L1270" s="48" t="str">
        <x:v>PDF text</x:v>
      </x:c>
    </x:row>
    <x:row r="1271">
      <x:c r="A1271" s="48" t="str">
        <x:v>YELLOW-1270</x:v>
      </x:c>
      <x:c r="B1271" s="48" t="str">
        <x:v>YELLOW</x:v>
      </x:c>
      <x:c r="C1271" s="48" t="str">
        <x:v>English</x:v>
      </x:c>
      <x:c r="D1271" s="48" t="n">
        <x:v>78</x:v>
      </x:c>
      <x:c r="E1271" s="48" t="str"/>
      <x:c r="F1271" s="48" t="str">
        <x:v>If a dispute (of any kind whatsoever) arises between the Parties in connection with, or arising out of, the Contract or the execution of the Works, including any dispute as to any certificate, determination, instruction, opinion or valuation of the Engineer, then after a DAB has been appointed pursuant to Sub-Clauses 20.2 [Appointment of the DAB] and 20.3 [Failure to Agree DAB] either Party may refer the dispute in writing to the DAB for its decision, with copies to the other Party and the Engineer.</x:v>
      </x:c>
      <x:c r="G1271" s="48" t="str">
        <x:v>Risk</x:v>
      </x:c>
      <x:c r="H1271" s="48" t="str">
        <x:v>Shared</x:v>
      </x:c>
      <x:c r="I1271" s="48" t="n">
        <x:v>0.78</x:v>
      </x:c>
      <x:c r="J1271" s="48" t="n">
        <x:v>0.93</x:v>
      </x:c>
      <x:c r="K1271" s="48" t="str">
        <x:v>No</x:v>
      </x:c>
      <x:c r="L1271" s="48" t="str">
        <x:v>PDF text</x:v>
      </x:c>
    </x:row>
    <x:row r="1272">
      <x:c r="A1272" s="48" t="str">
        <x:v>YELLOW-1271</x:v>
      </x:c>
      <x:c r="B1272" s="48" t="str">
        <x:v>YELLOW</x:v>
      </x:c>
      <x:c r="C1272" s="48" t="str">
        <x:v>English</x:v>
      </x:c>
      <x:c r="D1272" s="48" t="n">
        <x:v>78</x:v>
      </x:c>
      <x:c r="E1272" s="48" t="str"/>
      <x:c r="F1272" s="48" t="str">
        <x:v>Such reference shall state that it is given under this Sub-Clause.</x:v>
      </x:c>
      <x:c r="G1272" s="48" t="str">
        <x:v>Obligation</x:v>
      </x:c>
      <x:c r="H1272" s="48" t="str">
        <x:v>Shared</x:v>
      </x:c>
      <x:c r="I1272" s="48" t="n">
        <x:v>0.88</x:v>
      </x:c>
      <x:c r="J1272" s="48" t="n">
        <x:v>0.4</x:v>
      </x:c>
      <x:c r="K1272" s="48" t="str">
        <x:v>Yes</x:v>
      </x:c>
      <x:c r="L1272" s="48" t="str">
        <x:v>PDF text</x:v>
      </x:c>
    </x:row>
    <x:row r="1273">
      <x:c r="A1273" s="48" t="str">
        <x:v>YELLOW-1272</x:v>
      </x:c>
      <x:c r="B1273" s="48" t="str">
        <x:v>YELLOW</x:v>
      </x:c>
      <x:c r="C1273" s="48" t="str">
        <x:v>English</x:v>
      </x:c>
      <x:c r="D1273" s="48" t="n">
        <x:v>78</x:v>
      </x:c>
      <x:c r="E1273" s="48" t="str"/>
      <x:c r="F1273" s="48" t="str">
        <x:v>For a DAB of three persons, the DAB shall be deemed to have received such</x:v>
      </x:c>
      <x:c r="G1273" s="48" t="str">
        <x:v>Obligation</x:v>
      </x:c>
      <x:c r="H1273" s="48" t="str">
        <x:v>Shared</x:v>
      </x:c>
      <x:c r="I1273" s="48" t="n">
        <x:v>0.88</x:v>
      </x:c>
      <x:c r="J1273" s="48" t="n">
        <x:v>0.4</x:v>
      </x:c>
      <x:c r="K1273" s="48" t="str">
        <x:v>Yes</x:v>
      </x:c>
      <x:c r="L1273" s="48" t="str">
        <x:v>PDF text</x:v>
      </x:c>
    </x:row>
    <x:row r="1274">
      <x:c r="A1274" s="48" t="str">
        <x:v>YELLOW-1273</x:v>
      </x:c>
      <x:c r="B1274" s="48" t="str">
        <x:v>YELLOW</x:v>
      </x:c>
      <x:c r="C1274" s="48" t="str">
        <x:v>English</x:v>
      </x:c>
      <x:c r="D1274" s="48" t="n">
        <x:v>78</x:v>
      </x:c>
      <x:c r="E1274" s="48" t="str"/>
      <x:c r="F1274" s="48" t="str">
        <x:v>reference on the date when it is received by the chairman of the DAB.</x:v>
      </x:c>
      <x:c r="G1274" s="48" t="str">
        <x:v>Obligation</x:v>
      </x:c>
      <x:c r="H1274" s="48" t="str">
        <x:v>Shared</x:v>
      </x:c>
      <x:c r="I1274" s="48" t="n">
        <x:v>0.45</x:v>
      </x:c>
      <x:c r="J1274" s="48" t="n">
        <x:v>0.4</x:v>
      </x:c>
      <x:c r="K1274" s="48" t="str">
        <x:v>Yes</x:v>
      </x:c>
      <x:c r="L1274" s="48" t="str">
        <x:v>PDF text</x:v>
      </x:c>
    </x:row>
    <x:row r="1275">
      <x:c r="A1275" s="48" t="str">
        <x:v>YELLOW-1274</x:v>
      </x:c>
      <x:c r="B1275" s="48" t="str">
        <x:v>YELLOW</x:v>
      </x:c>
      <x:c r="C1275" s="48" t="str">
        <x:v>English</x:v>
      </x:c>
      <x:c r="D1275" s="48" t="n">
        <x:v>78</x:v>
      </x:c>
      <x:c r="E1275" s="48" t="str"/>
      <x:c r="F1275" s="48" t="str">
        <x:v>Both Parties shall promptly make available to the DAB all information, access to the Site, and appropriate facilities, as the DAB may require for the purposes of making a decision on such dispute.</x:v>
      </x:c>
      <x:c r="G1275" s="48" t="str">
        <x:v>Obligation</x:v>
      </x:c>
      <x:c r="H1275" s="48" t="str">
        <x:v>Shared</x:v>
      </x:c>
      <x:c r="I1275" s="48" t="n">
        <x:v>0.88</x:v>
      </x:c>
      <x:c r="J1275" s="48" t="n">
        <x:v>0.93</x:v>
      </x:c>
      <x:c r="K1275" s="48" t="str">
        <x:v>No</x:v>
      </x:c>
      <x:c r="L1275" s="48" t="str">
        <x:v>PDF text</x:v>
      </x:c>
    </x:row>
    <x:row r="1276">
      <x:c r="A1276" s="48" t="str">
        <x:v>YELLOW-1275</x:v>
      </x:c>
      <x:c r="B1276" s="48" t="str">
        <x:v>YELLOW</x:v>
      </x:c>
      <x:c r="C1276" s="48" t="str">
        <x:v>English</x:v>
      </x:c>
      <x:c r="D1276" s="48" t="n">
        <x:v>78</x:v>
      </x:c>
      <x:c r="E1276" s="48" t="str"/>
      <x:c r="F1276" s="48" t="str">
        <x:v>The DAB shall be deemed to be not acting as arbitrator(s).</x:v>
      </x:c>
      <x:c r="G1276" s="48" t="str">
        <x:v>Obligation</x:v>
      </x:c>
      <x:c r="H1276" s="48" t="str">
        <x:v>Shared</x:v>
      </x:c>
      <x:c r="I1276" s="48" t="n">
        <x:v>0.88</x:v>
      </x:c>
      <x:c r="J1276" s="48" t="n">
        <x:v>0.4</x:v>
      </x:c>
      <x:c r="K1276" s="48" t="str">
        <x:v>Yes</x:v>
      </x:c>
      <x:c r="L1276" s="48" t="str">
        <x:v>PDF text</x:v>
      </x:c>
    </x:row>
    <x:row r="1277">
      <x:c r="A1277" s="48" t="str">
        <x:v>YELLOW-1276</x:v>
      </x:c>
      <x:c r="B1277" s="48" t="str">
        <x:v>YELLOW</x:v>
      </x:c>
      <x:c r="C1277" s="48" t="str">
        <x:v>English</x:v>
      </x:c>
      <x:c r="D1277" s="48" t="n">
        <x:v>78</x:v>
      </x:c>
      <x:c r="E1277" s="48" t="str"/>
      <x:c r="F1277" s="48" t="str">
        <x:v>Within 84 days after receiving such reference, or the advance payment referred to in Clause 6 of the Appendix - General Conditions of Dispute Adjudication Agreement, whichever date is later, or within such other period as may be proposed by the DAB and approved by both Parties, the DAB shall give its decision, which shall be reasoned and shall state that it is given under this Sub-Clause.</x:v>
      </x:c>
      <x:c r="G1277" s="48" t="str">
        <x:v>Obligation</x:v>
      </x:c>
      <x:c r="H1277" s="48" t="str">
        <x:v>Shared</x:v>
      </x:c>
      <x:c r="I1277" s="48" t="n">
        <x:v>0.88</x:v>
      </x:c>
      <x:c r="J1277" s="48" t="n">
        <x:v>0.93</x:v>
      </x:c>
      <x:c r="K1277" s="48" t="str">
        <x:v>No</x:v>
      </x:c>
      <x:c r="L1277" s="48" t="str">
        <x:v>PDF text</x:v>
      </x:c>
    </x:row>
    <x:row r="1278">
      <x:c r="A1278" s="48" t="str">
        <x:v>YELLOW-1277</x:v>
      </x:c>
      <x:c r="B1278" s="48" t="str">
        <x:v>YELLOW</x:v>
      </x:c>
      <x:c r="C1278" s="48" t="str">
        <x:v>English</x:v>
      </x:c>
      <x:c r="D1278" s="48" t="n">
        <x:v>78</x:v>
      </x:c>
      <x:c r="E1278" s="48" t="str"/>
      <x:c r="F1278" s="48" t="str">
        <x:v>However, if neither of the Parties has paid in full the invoices submitted by each member pursuant to Clause 6 of the Appendix, the DAB shall not be obliged to give its decision until such invoices have been paid in full.</x:v>
      </x:c>
      <x:c r="G1278" s="48" t="str">
        <x:v>Obligation</x:v>
      </x:c>
      <x:c r="H1278" s="48" t="str">
        <x:v>Shared</x:v>
      </x:c>
      <x:c r="I1278" s="48" t="n">
        <x:v>0.88</x:v>
      </x:c>
      <x:c r="J1278" s="48" t="n">
        <x:v>0.93</x:v>
      </x:c>
      <x:c r="K1278" s="48" t="str">
        <x:v>No</x:v>
      </x:c>
      <x:c r="L1278" s="48" t="str">
        <x:v>PDF text</x:v>
      </x:c>
    </x:row>
    <x:row r="1279">
      <x:c r="A1279" s="48" t="str">
        <x:v>YELLOW-1278</x:v>
      </x:c>
      <x:c r="B1279" s="48" t="str">
        <x:v>YELLOW</x:v>
      </x:c>
      <x:c r="C1279" s="48" t="str">
        <x:v>English</x:v>
      </x:c>
      <x:c r="D1279" s="48" t="n">
        <x:v>78</x:v>
      </x:c>
      <x:c r="E1279" s="48" t="str"/>
      <x:c r="F1279" s="48" t="str">
        <x:v>The decision shall be binding on both Parties, who shall promptly give effect to it unless and until it shall be revised in an amicable settlement or an arbitral award as described below.</x:v>
      </x:c>
      <x:c r="G1279" s="48" t="str">
        <x:v>Obligation</x:v>
      </x:c>
      <x:c r="H1279" s="48" t="str">
        <x:v>Shared</x:v>
      </x:c>
      <x:c r="I1279" s="48" t="n">
        <x:v>0.88</x:v>
      </x:c>
      <x:c r="J1279" s="48" t="n">
        <x:v>0.93</x:v>
      </x:c>
      <x:c r="K1279" s="48" t="str">
        <x:v>No</x:v>
      </x:c>
      <x:c r="L1279" s="48" t="str">
        <x:v>PDF text</x:v>
      </x:c>
    </x:row>
    <x:row r="1280">
      <x:c r="A1280" s="48" t="str">
        <x:v>YELLOW-1279</x:v>
      </x:c>
      <x:c r="B1280" s="48" t="str">
        <x:v>YELLOW</x:v>
      </x:c>
      <x:c r="C1280" s="48" t="str">
        <x:v>English</x:v>
      </x:c>
      <x:c r="D1280" s="48" t="n">
        <x:v>78</x:v>
      </x:c>
      <x:c r="E1280" s="48" t="str"/>
      <x:c r="F1280" s="48" t="str">
        <x:v>Unless the Contract has already been abandoned, repudiated or terminated, the Contractor shall continue to proceed with the Works in accordance with the Contract.</x:v>
      </x:c>
      <x:c r="G1280" s="48" t="str">
        <x:v>Obligation</x:v>
      </x:c>
      <x:c r="H1280" s="48" t="str">
        <x:v>Contractor</x:v>
      </x:c>
      <x:c r="I1280" s="48" t="n">
        <x:v>0.88</x:v>
      </x:c>
      <x:c r="J1280" s="48" t="n">
        <x:v>0.92</x:v>
      </x:c>
      <x:c r="K1280" s="48" t="str">
        <x:v>No</x:v>
      </x:c>
      <x:c r="L1280" s="48" t="str">
        <x:v>PDF text</x:v>
      </x:c>
    </x:row>
    <x:row r="1281">
      <x:c r="A1281" s="48" t="str">
        <x:v>YELLOW-1280</x:v>
      </x:c>
      <x:c r="B1281" s="48" t="str">
        <x:v>YELLOW</x:v>
      </x:c>
      <x:c r="C1281" s="48" t="str">
        <x:v>English</x:v>
      </x:c>
      <x:c r="D1281" s="48" t="n">
        <x:v>78</x:v>
      </x:c>
      <x:c r="E1281" s="48" t="str"/>
      <x:c r="F1281" s="48" t="str">
        <x:v>If either Party is dissatisfied with the DAB's decision, then either Party may, within 28 days after receiving the decision, give notice to the other Party of its dissatisfaction.</x:v>
      </x:c>
      <x:c r="G1281" s="48" t="str">
        <x:v>Obligation</x:v>
      </x:c>
      <x:c r="H1281" s="48" t="str">
        <x:v>Shared</x:v>
      </x:c>
      <x:c r="I1281" s="48" t="n">
        <x:v>0.55</x:v>
      </x:c>
      <x:c r="J1281" s="48" t="n">
        <x:v>0.93</x:v>
      </x:c>
      <x:c r="K1281" s="48" t="str">
        <x:v>Yes</x:v>
      </x:c>
      <x:c r="L1281" s="48" t="str">
        <x:v>PDF text</x:v>
      </x:c>
    </x:row>
    <x:row r="1282">
      <x:c r="A1282" s="48" t="str">
        <x:v>YELLOW-1281</x:v>
      </x:c>
      <x:c r="B1282" s="48" t="str">
        <x:v>YELLOW</x:v>
      </x:c>
      <x:c r="C1282" s="48" t="str">
        <x:v>English</x:v>
      </x:c>
      <x:c r="D1282" s="48" t="n">
        <x:v>78</x:v>
      </x:c>
      <x:c r="E1282" s="48" t="str"/>
      <x:c r="F1282" s="48" t="str">
        <x:v>If the DAB fails to give its decision within the period of 84 days (or as otherwise approved) after receiving such reference or such payment, then either Party may, within 28 days after this period has expired, give notice to the other Party of its dissatisfaction.</x:v>
      </x:c>
      <x:c r="G1282" s="48" t="str">
        <x:v>Obligation</x:v>
      </x:c>
      <x:c r="H1282" s="48" t="str">
        <x:v>Shared</x:v>
      </x:c>
      <x:c r="I1282" s="48" t="n">
        <x:v>0.55</x:v>
      </x:c>
      <x:c r="J1282" s="48" t="n">
        <x:v>0.93</x:v>
      </x:c>
      <x:c r="K1282" s="48" t="str">
        <x:v>Yes</x:v>
      </x:c>
      <x:c r="L1282" s="48" t="str">
        <x:v>PDF text</x:v>
      </x:c>
    </x:row>
    <x:row r="1283">
      <x:c r="A1283" s="48" t="str">
        <x:v>YELLOW-1282</x:v>
      </x:c>
      <x:c r="B1283" s="48" t="str">
        <x:v>YELLOW</x:v>
      </x:c>
      <x:c r="C1283" s="48" t="str">
        <x:v>English</x:v>
      </x:c>
      <x:c r="D1283" s="48" t="n">
        <x:v>78</x:v>
      </x:c>
      <x:c r="E1283" s="48" t="str"/>
      <x:c r="F1283" s="48" t="str">
        <x:v>In either event, this notice of dissatisfaction shall state that it is given under this SubClause, and shall set out the matter in dispute and the reason(s) for dissatisfaction.</x:v>
      </x:c>
      <x:c r="G1283" s="48" t="str">
        <x:v>Obligation</x:v>
      </x:c>
      <x:c r="H1283" s="48" t="str">
        <x:v>Shared</x:v>
      </x:c>
      <x:c r="I1283" s="48" t="n">
        <x:v>0.88</x:v>
      </x:c>
      <x:c r="J1283" s="48" t="n">
        <x:v>0.4</x:v>
      </x:c>
      <x:c r="K1283" s="48" t="str">
        <x:v>Yes</x:v>
      </x:c>
      <x:c r="L1283" s="48" t="str">
        <x:v>PDF text</x:v>
      </x:c>
    </x:row>
    <x:row r="1284">
      <x:c r="A1284" s="48" t="str">
        <x:v>YELLOW-1283</x:v>
      </x:c>
      <x:c r="B1284" s="48" t="str">
        <x:v>YELLOW</x:v>
      </x:c>
      <x:c r="C1284" s="48" t="str">
        <x:v>English</x:v>
      </x:c>
      <x:c r="D1284" s="48" t="n">
        <x:v>78</x:v>
      </x:c>
      <x:c r="E1284" s="48" t="str"/>
      <x:c r="F1284" s="48" t="str">
        <x:v>Except as stated in Sub-Clause 20.7 [Failure to Comply with Dispute Adjudication Board's Decision] and Sub-Clause 20.8 [Expiry of Dispute Adjudication Board's Appointment], neither Party shall be entitled to commence arbitration of a dispute unless a notice of dissatisfaction has been given in accordance with this Sub-Clause.</x:v>
      </x:c>
      <x:c r="G1284" s="48" t="str">
        <x:v>Obligation</x:v>
      </x:c>
      <x:c r="H1284" s="48" t="str">
        <x:v>Shared</x:v>
      </x:c>
      <x:c r="I1284" s="48" t="n">
        <x:v>0.88</x:v>
      </x:c>
      <x:c r="J1284" s="48" t="n">
        <x:v>0.4</x:v>
      </x:c>
      <x:c r="K1284" s="48" t="str">
        <x:v>Yes</x:v>
      </x:c>
      <x:c r="L1284" s="48" t="str">
        <x:v>PDF text</x:v>
      </x:c>
    </x:row>
    <x:row r="1285">
      <x:c r="A1285" s="48" t="str">
        <x:v>YELLOW-1284</x:v>
      </x:c>
      <x:c r="B1285" s="48" t="str">
        <x:v>YELLOW</x:v>
      </x:c>
      <x:c r="C1285" s="48" t="str">
        <x:v>English</x:v>
      </x:c>
      <x:c r="D1285" s="48" t="n">
        <x:v>78</x:v>
      </x:c>
      <x:c r="E1285" s="48" t="str"/>
      <x:c r="F1285" s="48" t="str">
        <x:v>If the DAB has given its decision as to a matter in dispute to both Parties, and no notice of dissatisfaction has been given by either Party within 28 days after it received the DAB's decision, then the decision shall become final and binding upon both Parties.</x:v>
      </x:c>
      <x:c r="G1285" s="48" t="str">
        <x:v>Obligation</x:v>
      </x:c>
      <x:c r="H1285" s="48" t="str">
        <x:v>Shared</x:v>
      </x:c>
      <x:c r="I1285" s="48" t="n">
        <x:v>0.88</x:v>
      </x:c>
      <x:c r="J1285" s="48" t="n">
        <x:v>0.93</x:v>
      </x:c>
      <x:c r="K1285" s="48" t="str">
        <x:v>No</x:v>
      </x:c>
      <x:c r="L1285" s="48" t="str">
        <x:v>PDF text</x:v>
      </x:c>
    </x:row>
    <x:row r="1286">
      <x:c r="A1286" s="48" t="str">
        <x:v>YELLOW-1285</x:v>
      </x:c>
      <x:c r="B1286" s="48" t="str">
        <x:v>YELLOW</x:v>
      </x:c>
      <x:c r="C1286" s="48" t="str">
        <x:v>English</x:v>
      </x:c>
      <x:c r="D1286" s="48" t="n">
        <x:v>78</x:v>
      </x:c>
      <x:c r="E1286" s="48" t="str"/>
      <x:c r="F1286" s="48" t="str">
        <x:v>Where notice of dissatisfaction has been given under Sub-Clause 20.4 above, both</x:v>
      </x:c>
      <x:c r="G1286" s="48" t="str">
        <x:v>Obligation</x:v>
      </x:c>
      <x:c r="H1286" s="48" t="str">
        <x:v>Shared</x:v>
      </x:c>
      <x:c r="I1286" s="48" t="n">
        <x:v>0.55</x:v>
      </x:c>
      <x:c r="J1286" s="48" t="n">
        <x:v>0.4</x:v>
      </x:c>
      <x:c r="K1286" s="48" t="str">
        <x:v>Yes</x:v>
      </x:c>
      <x:c r="L1286" s="48" t="str">
        <x:v>PDF text</x:v>
      </x:c>
    </x:row>
    <x:row r="1287">
      <x:c r="A1287" s="48" t="str">
        <x:v>YELLOW-1286</x:v>
      </x:c>
      <x:c r="B1287" s="48" t="str">
        <x:v>YELLOW</x:v>
      </x:c>
      <x:c r="C1287" s="48" t="str">
        <x:v>English</x:v>
      </x:c>
      <x:c r="D1287" s="48" t="n">
        <x:v>78</x:v>
      </x:c>
      <x:c r="E1287" s="48" t="str"/>
      <x:c r="F1287" s="48" t="str">
        <x:v>Parties shall attempt to settle the dispute amicably before the commencement of</x:v>
      </x:c>
      <x:c r="G1287" s="48" t="str">
        <x:v>Obligation</x:v>
      </x:c>
      <x:c r="H1287" s="48" t="str">
        <x:v>Shared</x:v>
      </x:c>
      <x:c r="I1287" s="48" t="n">
        <x:v>0.88</x:v>
      </x:c>
      <x:c r="J1287" s="48" t="n">
        <x:v>0.4</x:v>
      </x:c>
      <x:c r="K1287" s="48" t="str">
        <x:v>Yes</x:v>
      </x:c>
      <x:c r="L1287" s="48" t="str">
        <x:v>PDF text</x:v>
      </x:c>
    </x:row>
    <x:row r="1288">
      <x:c r="A1288" s="48" t="str">
        <x:v>YELLOW-1287</x:v>
      </x:c>
      <x:c r="B1288" s="48" t="str">
        <x:v>YELLOW</x:v>
      </x:c>
      <x:c r="C1288" s="48" t="str">
        <x:v>English</x:v>
      </x:c>
      <x:c r="D1288" s="48" t="n">
        <x:v>78</x:v>
      </x:c>
      <x:c r="E1288" s="48" t="str"/>
      <x:c r="F1288" s="48" t="str">
        <x:v>arbitration.</x:v>
      </x:c>
      <x:c r="G1288" s="48" t="str">
        <x:v>Obligation</x:v>
      </x:c>
      <x:c r="H1288" s="48" t="str">
        <x:v>Shared</x:v>
      </x:c>
      <x:c r="I1288" s="48" t="n">
        <x:v>0.45</x:v>
      </x:c>
      <x:c r="J1288" s="48" t="n">
        <x:v>0.4</x:v>
      </x:c>
      <x:c r="K1288" s="48" t="str">
        <x:v>Yes</x:v>
      </x:c>
      <x:c r="L1288" s="48" t="str">
        <x:v>PDF text</x:v>
      </x:c>
    </x:row>
    <x:row r="1289">
      <x:c r="A1289" s="48" t="str">
        <x:v>YELLOW-1288</x:v>
      </x:c>
      <x:c r="B1289" s="48" t="str">
        <x:v>YELLOW</x:v>
      </x:c>
      <x:c r="C1289" s="48" t="str">
        <x:v>English</x:v>
      </x:c>
      <x:c r="D1289" s="48" t="n">
        <x:v>78</x:v>
      </x:c>
      <x:c r="E1289" s="48" t="str"/>
      <x:c r="F1289" s="48" t="str">
        <x:v>However, unless both Parties agree otherwise, arbitration may be 20.4</x:v>
      </x:c>
      <x:c r="G1289" s="48" t="str">
        <x:v>Right</x:v>
      </x:c>
      <x:c r="H1289" s="48" t="str">
        <x:v>Shared</x:v>
      </x:c>
      <x:c r="I1289" s="48" t="n">
        <x:v>0.78</x:v>
      </x:c>
      <x:c r="J1289" s="48" t="n">
        <x:v>0.93</x:v>
      </x:c>
      <x:c r="K1289" s="48" t="str">
        <x:v>No</x:v>
      </x:c>
      <x:c r="L1289" s="48" t="str">
        <x:v>PDF text</x:v>
      </x:c>
    </x:row>
    <x:row r="1290">
      <x:c r="A1290" s="48" t="str">
        <x:v>YELLOW-1289</x:v>
      </x:c>
      <x:c r="B1290" s="48" t="str">
        <x:v>YELLOW</x:v>
      </x:c>
      <x:c r="C1290" s="48" t="str">
        <x:v>English</x:v>
      </x:c>
      <x:c r="D1290" s="48" t="n">
        <x:v>78</x:v>
      </x:c>
      <x:c r="E1290" s="48" t="str"/>
      <x:c r="F1290" s="48" t="str">
        <x:v>Obtaining Dispute</x:v>
      </x:c>
      <x:c r="G1290" s="48" t="str">
        <x:v>Obligation</x:v>
      </x:c>
      <x:c r="H1290" s="48" t="str">
        <x:v>Shared</x:v>
      </x:c>
      <x:c r="I1290" s="48" t="n">
        <x:v>0.55</x:v>
      </x:c>
      <x:c r="J1290" s="48" t="n">
        <x:v>0.4</x:v>
      </x:c>
      <x:c r="K1290" s="48" t="str">
        <x:v>Yes</x:v>
      </x:c>
      <x:c r="L1290" s="48" t="str">
        <x:v>PDF text</x:v>
      </x:c>
    </x:row>
    <x:row r="1291">
      <x:c r="A1291" s="48" t="str">
        <x:v>YELLOW-1290</x:v>
      </x:c>
      <x:c r="B1291" s="48" t="str">
        <x:v>YELLOW</x:v>
      </x:c>
      <x:c r="C1291" s="48" t="str">
        <x:v>English</x:v>
      </x:c>
      <x:c r="D1291" s="48" t="n">
        <x:v>78</x:v>
      </x:c>
      <x:c r="E1291" s="48" t="str"/>
      <x:c r="F1291" s="48" t="str">
        <x:v>Adjudication Board’s</x:v>
      </x:c>
      <x:c r="G1291" s="48" t="str">
        <x:v>Obligation</x:v>
      </x:c>
      <x:c r="H1291" s="48" t="str">
        <x:v>Shared</x:v>
      </x:c>
      <x:c r="I1291" s="48" t="n">
        <x:v>0.45</x:v>
      </x:c>
      <x:c r="J1291" s="48" t="n">
        <x:v>0.4</x:v>
      </x:c>
      <x:c r="K1291" s="48" t="str">
        <x:v>Yes</x:v>
      </x:c>
      <x:c r="L1291" s="48" t="str">
        <x:v>PDF text</x:v>
      </x:c>
    </x:row>
    <x:row r="1292">
      <x:c r="A1292" s="48" t="str">
        <x:v>YELLOW-1291</x:v>
      </x:c>
      <x:c r="B1292" s="48" t="str">
        <x:v>YELLOW</x:v>
      </x:c>
      <x:c r="C1292" s="48" t="str">
        <x:v>English</x:v>
      </x:c>
      <x:c r="D1292" s="48" t="n">
        <x:v>78</x:v>
      </x:c>
      <x:c r="E1292" s="48" t="str"/>
      <x:c r="F1292" s="48" t="str">
        <x:v>Decision</x:v>
      </x:c>
      <x:c r="G1292" s="48" t="str">
        <x:v>Obligation</x:v>
      </x:c>
      <x:c r="H1292" s="48" t="str">
        <x:v>Shared</x:v>
      </x:c>
      <x:c r="I1292" s="48" t="n">
        <x:v>0.45</x:v>
      </x:c>
      <x:c r="J1292" s="48" t="n">
        <x:v>0.4</x:v>
      </x:c>
      <x:c r="K1292" s="48" t="str">
        <x:v>Yes</x:v>
      </x:c>
      <x:c r="L1292" s="48" t="str">
        <x:v>PDF text</x:v>
      </x:c>
    </x:row>
    <x:row r="1293">
      <x:c r="A1293" s="48" t="str">
        <x:v>YELLOW-1292</x:v>
      </x:c>
      <x:c r="B1293" s="48" t="str">
        <x:v>YELLOW</x:v>
      </x:c>
      <x:c r="C1293" s="48" t="str">
        <x:v>English</x:v>
      </x:c>
      <x:c r="D1293" s="48" t="n">
        <x:v>78</x:v>
      </x:c>
      <x:c r="E1293" s="48" t="str"/>
      <x:c r="F1293" s="48" t="str">
        <x:v>Amicable Settlement</x:v>
      </x:c>
      <x:c r="G1293" s="48" t="str">
        <x:v>Obligation</x:v>
      </x:c>
      <x:c r="H1293" s="48" t="str">
        <x:v>Shared</x:v>
      </x:c>
      <x:c r="I1293" s="48" t="n">
        <x:v>0.45</x:v>
      </x:c>
      <x:c r="J1293" s="48" t="n">
        <x:v>0.4</x:v>
      </x:c>
      <x:c r="K1293" s="48" t="str">
        <x:v>Yes</x:v>
      </x:c>
      <x:c r="L1293" s="48" t="str">
        <x:v>PDF text</x:v>
      </x:c>
    </x:row>
    <x:row r="1294">
      <x:c r="A1294" s="48" t="str">
        <x:v>YELLOW-1293</x:v>
      </x:c>
      <x:c r="B1294" s="48" t="str">
        <x:v>YELLOW</x:v>
      </x:c>
      <x:c r="C1294" s="48" t="str">
        <x:v>English</x:v>
      </x:c>
      <x:c r="D1294" s="48" t="n">
        <x:v>79</x:v>
      </x:c>
      <x:c r="E1294" s="48" t="str"/>
      <x:c r="F1294" s="48" t="str">
        <x:v>commenced on or after the fifty-sixth day after the day on which notice of dissatisfaction was given, even if no attempt at amicable settlement has been made Unless settled amicably, any dispute in respect of which the DAB's decision (if any) has not become final and binding shall be finally settled by international arbitration.</x:v>
      </x:c>
      <x:c r="G1294" s="48" t="str">
        <x:v>Obligation</x:v>
      </x:c>
      <x:c r="H1294" s="48" t="str">
        <x:v>Shared</x:v>
      </x:c>
      <x:c r="I1294" s="48" t="n">
        <x:v>0.88</x:v>
      </x:c>
      <x:c r="J1294" s="48" t="n">
        <x:v>0.4</x:v>
      </x:c>
      <x:c r="K1294" s="48" t="str">
        <x:v>Yes</x:v>
      </x:c>
      <x:c r="L1294" s="48" t="str">
        <x:v>PDF text</x:v>
      </x:c>
    </x:row>
    <x:row r="1295">
      <x:c r="A1295" s="48" t="str">
        <x:v>YELLOW-1294</x:v>
      </x:c>
      <x:c r="B1295" s="48" t="str">
        <x:v>YELLOW</x:v>
      </x:c>
      <x:c r="C1295" s="48" t="str">
        <x:v>English</x:v>
      </x:c>
      <x:c r="D1295" s="48" t="n">
        <x:v>79</x:v>
      </x:c>
      <x:c r="E1295" s="48" t="str"/>
      <x:c r="F1295" s="48" t="str">
        <x:v>Unless otherwise agreed by both Parties: (a) the dispute shall be finally settled under the Rules of Arbitration of the</x:v>
      </x:c>
      <x:c r="G1295" s="48" t="str">
        <x:v>Obligation</x:v>
      </x:c>
      <x:c r="H1295" s="48" t="str">
        <x:v>Shared</x:v>
      </x:c>
      <x:c r="I1295" s="48" t="n">
        <x:v>0.88</x:v>
      </x:c>
      <x:c r="J1295" s="48" t="n">
        <x:v>0.93</x:v>
      </x:c>
      <x:c r="K1295" s="48" t="str">
        <x:v>No</x:v>
      </x:c>
      <x:c r="L1295" s="48" t="str">
        <x:v>PDF text</x:v>
      </x:c>
    </x:row>
    <x:row r="1296">
      <x:c r="A1296" s="48" t="str">
        <x:v>YELLOW-1295</x:v>
      </x:c>
      <x:c r="B1296" s="48" t="str">
        <x:v>YELLOW</x:v>
      </x:c>
      <x:c r="C1296" s="48" t="str">
        <x:v>English</x:v>
      </x:c>
      <x:c r="D1296" s="48" t="n">
        <x:v>79</x:v>
      </x:c>
      <x:c r="E1296" s="48" t="str"/>
      <x:c r="F1296" s="48" t="str">
        <x:v>International Chamber of Commerce,</x:v>
      </x:c>
      <x:c r="G1296" s="48" t="str">
        <x:v>Obligation</x:v>
      </x:c>
      <x:c r="H1296" s="48" t="str">
        <x:v>Shared</x:v>
      </x:c>
      <x:c r="I1296" s="48" t="n">
        <x:v>0.45</x:v>
      </x:c>
      <x:c r="J1296" s="48" t="n">
        <x:v>0.4</x:v>
      </x:c>
      <x:c r="K1296" s="48" t="str">
        <x:v>Yes</x:v>
      </x:c>
      <x:c r="L1296" s="48" t="str">
        <x:v>PDF text</x:v>
      </x:c>
    </x:row>
    <x:row r="1297">
      <x:c r="A1297" s="48" t="str">
        <x:v>YELLOW-1296</x:v>
      </x:c>
      <x:c r="B1297" s="48" t="str">
        <x:v>YELLOW</x:v>
      </x:c>
      <x:c r="C1297" s="48" t="str">
        <x:v>English</x:v>
      </x:c>
      <x:c r="D1297" s="48" t="n">
        <x:v>79</x:v>
      </x:c>
      <x:c r="E1297" s="48" t="str"/>
      <x:c r="F1297" s="48" t="str">
        <x:v>(b) the dispute shall be settled by three arbitrators appointed in accordance with these Rules, and (c) the arbitration shall be conducted in the language for communications defined in Sub-Clause 1.4 [Law and Language].</x:v>
      </x:c>
      <x:c r="G1297" s="48" t="str">
        <x:v>Obligation</x:v>
      </x:c>
      <x:c r="H1297" s="48" t="str">
        <x:v>Shared</x:v>
      </x:c>
      <x:c r="I1297" s="48" t="n">
        <x:v>0.88</x:v>
      </x:c>
      <x:c r="J1297" s="48" t="n">
        <x:v>0.4</x:v>
      </x:c>
      <x:c r="K1297" s="48" t="str">
        <x:v>Yes</x:v>
      </x:c>
      <x:c r="L1297" s="48" t="str">
        <x:v>PDF text</x:v>
      </x:c>
    </x:row>
    <x:row r="1298">
      <x:c r="A1298" s="48" t="str">
        <x:v>YELLOW-1297</x:v>
      </x:c>
      <x:c r="B1298" s="48" t="str">
        <x:v>YELLOW</x:v>
      </x:c>
      <x:c r="C1298" s="48" t="str">
        <x:v>English</x:v>
      </x:c>
      <x:c r="D1298" s="48" t="n">
        <x:v>79</x:v>
      </x:c>
      <x:c r="E1298" s="48" t="str"/>
      <x:c r="F1298" s="48" t="str">
        <x:v>The arbitrator(s) shall have full power to open up, review and revise any certificate, determination, instruction, opinion or valuation of the Engineer, and any decision of the DAB, relevant to the dispute.</x:v>
      </x:c>
      <x:c r="G1298" s="48" t="str">
        <x:v>Obligation</x:v>
      </x:c>
      <x:c r="H1298" s="48" t="str">
        <x:v>Shared</x:v>
      </x:c>
      <x:c r="I1298" s="48" t="n">
        <x:v>0.88</x:v>
      </x:c>
      <x:c r="J1298" s="48" t="n">
        <x:v>0.4</x:v>
      </x:c>
      <x:c r="K1298" s="48" t="str">
        <x:v>Yes</x:v>
      </x:c>
      <x:c r="L1298" s="48" t="str">
        <x:v>PDF text</x:v>
      </x:c>
    </x:row>
    <x:row r="1299">
      <x:c r="A1299" s="48" t="str">
        <x:v>YELLOW-1298</x:v>
      </x:c>
      <x:c r="B1299" s="48" t="str">
        <x:v>YELLOW</x:v>
      </x:c>
      <x:c r="C1299" s="48" t="str">
        <x:v>English</x:v>
      </x:c>
      <x:c r="D1299" s="48" t="n">
        <x:v>79</x:v>
      </x:c>
      <x:c r="E1299" s="48" t="str"/>
      <x:c r="F1299" s="48" t="str">
        <x:v>Nothing shall disqualify the Engineer from being called as a witness and giving evidence before the arbitrator(s) on any matter whatsoever relevant to the dispute.</x:v>
      </x:c>
      <x:c r="G1299" s="48" t="str">
        <x:v>Obligation</x:v>
      </x:c>
      <x:c r="H1299" s="48" t="str">
        <x:v>Shared</x:v>
      </x:c>
      <x:c r="I1299" s="48" t="n">
        <x:v>0.88</x:v>
      </x:c>
      <x:c r="J1299" s="48" t="n">
        <x:v>0.4</x:v>
      </x:c>
      <x:c r="K1299" s="48" t="str">
        <x:v>Yes</x:v>
      </x:c>
      <x:c r="L1299" s="48" t="str">
        <x:v>PDF text</x:v>
      </x:c>
    </x:row>
    <x:row r="1300">
      <x:c r="A1300" s="48" t="str">
        <x:v>YELLOW-1299</x:v>
      </x:c>
      <x:c r="B1300" s="48" t="str">
        <x:v>YELLOW</x:v>
      </x:c>
      <x:c r="C1300" s="48" t="str">
        <x:v>English</x:v>
      </x:c>
      <x:c r="D1300" s="48" t="n">
        <x:v>79</x:v>
      </x:c>
      <x:c r="E1300" s="48" t="str"/>
      <x:c r="F1300" s="48" t="str">
        <x:v>Neither Party shall be limited in the proceedings before the arbitrator(s) to the evidence or arguments previously put before the DAB to obtain its decision, or to the reasons for dissatisfaction given in its notice of dissatisfaction.</x:v>
      </x:c>
      <x:c r="G1300" s="48" t="str">
        <x:v>Obligation</x:v>
      </x:c>
      <x:c r="H1300" s="48" t="str">
        <x:v>Shared</x:v>
      </x:c>
      <x:c r="I1300" s="48" t="n">
        <x:v>0.88</x:v>
      </x:c>
      <x:c r="J1300" s="48" t="n">
        <x:v>0.4</x:v>
      </x:c>
      <x:c r="K1300" s="48" t="str">
        <x:v>Yes</x:v>
      </x:c>
      <x:c r="L1300" s="48" t="str">
        <x:v>PDF text</x:v>
      </x:c>
    </x:row>
    <x:row r="1301">
      <x:c r="A1301" s="48" t="str">
        <x:v>YELLOW-1300</x:v>
      </x:c>
      <x:c r="B1301" s="48" t="str">
        <x:v>YELLOW</x:v>
      </x:c>
      <x:c r="C1301" s="48" t="str">
        <x:v>English</x:v>
      </x:c>
      <x:c r="D1301" s="48" t="n">
        <x:v>79</x:v>
      </x:c>
      <x:c r="E1301" s="48" t="str"/>
      <x:c r="F1301" s="48" t="str">
        <x:v>Any decision of the DAB shall be admissible in evidence in the arbitration.</x:v>
      </x:c>
      <x:c r="G1301" s="48" t="str">
        <x:v>Obligation</x:v>
      </x:c>
      <x:c r="H1301" s="48" t="str">
        <x:v>Shared</x:v>
      </x:c>
      <x:c r="I1301" s="48" t="n">
        <x:v>0.88</x:v>
      </x:c>
      <x:c r="J1301" s="48" t="n">
        <x:v>0.4</x:v>
      </x:c>
      <x:c r="K1301" s="48" t="str">
        <x:v>Yes</x:v>
      </x:c>
      <x:c r="L1301" s="48" t="str">
        <x:v>PDF text</x:v>
      </x:c>
    </x:row>
    <x:row r="1302">
      <x:c r="A1302" s="48" t="str">
        <x:v>YELLOW-1301</x:v>
      </x:c>
      <x:c r="B1302" s="48" t="str">
        <x:v>YELLOW</x:v>
      </x:c>
      <x:c r="C1302" s="48" t="str">
        <x:v>English</x:v>
      </x:c>
      <x:c r="D1302" s="48" t="n">
        <x:v>79</x:v>
      </x:c>
      <x:c r="E1302" s="48" t="str"/>
      <x:c r="F1302" s="48" t="str">
        <x:v>Arbitration may be commenced prior to or after completion of the Works.</x:v>
      </x:c>
      <x:c r="G1302" s="48" t="str">
        <x:v>Right</x:v>
      </x:c>
      <x:c r="H1302" s="48" t="str">
        <x:v>Shared</x:v>
      </x:c>
      <x:c r="I1302" s="48" t="n">
        <x:v>0.78</x:v>
      </x:c>
      <x:c r="J1302" s="48" t="n">
        <x:v>0.4</x:v>
      </x:c>
      <x:c r="K1302" s="48" t="str">
        <x:v>Yes</x:v>
      </x:c>
      <x:c r="L1302" s="48" t="str">
        <x:v>PDF text</x:v>
      </x:c>
    </x:row>
    <x:row r="1303">
      <x:c r="A1303" s="48" t="str">
        <x:v>YELLOW-1302</x:v>
      </x:c>
      <x:c r="B1303" s="48" t="str">
        <x:v>YELLOW</x:v>
      </x:c>
      <x:c r="C1303" s="48" t="str">
        <x:v>English</x:v>
      </x:c>
      <x:c r="D1303" s="48" t="n">
        <x:v>79</x:v>
      </x:c>
      <x:c r="E1303" s="48" t="str"/>
      <x:c r="F1303" s="48" t="str">
        <x:v>The obligations of the Parties, the Engineer and the DAB shall not be altered by reason of any arbitration being conducted during the progress of the Works.</x:v>
      </x:c>
      <x:c r="G1303" s="48" t="str">
        <x:v>Obligation</x:v>
      </x:c>
      <x:c r="H1303" s="48" t="str">
        <x:v>Shared</x:v>
      </x:c>
      <x:c r="I1303" s="48" t="n">
        <x:v>0.88</x:v>
      </x:c>
      <x:c r="J1303" s="48" t="n">
        <x:v>0.93</x:v>
      </x:c>
      <x:c r="K1303" s="48" t="str">
        <x:v>No</x:v>
      </x:c>
      <x:c r="L1303" s="48" t="str">
        <x:v>PDF text</x:v>
      </x:c>
    </x:row>
    <x:row r="1304">
      <x:c r="A1304" s="48" t="str">
        <x:v>YELLOW-1303</x:v>
      </x:c>
      <x:c r="B1304" s="48" t="str">
        <x:v>YELLOW</x:v>
      </x:c>
      <x:c r="C1304" s="48" t="str">
        <x:v>English</x:v>
      </x:c>
      <x:c r="D1304" s="48" t="n">
        <x:v>79</x:v>
      </x:c>
      <x:c r="E1304" s="48" t="str"/>
      <x:c r="F1304" s="48" t="str">
        <x:v>In the event that: (a) neither Party has given notice of dissatisfaction within the period stated in SubClause 20.4 [Obtaining Dispute Adjudication Board's Decision], (b) the DAB's related decision (if any) has become final and binding, and (c) a Party fails to comply with this decision, then the other Party may, without prejudice to any other rights it may have, refer the failure itself to arbitration under Sub-Clause 20.6 [Arbitration].</x:v>
      </x:c>
      <x:c r="G1304" s="48" t="str">
        <x:v>Risk</x:v>
      </x:c>
      <x:c r="H1304" s="48" t="str">
        <x:v>Shared</x:v>
      </x:c>
      <x:c r="I1304" s="48" t="n">
        <x:v>0.78</x:v>
      </x:c>
      <x:c r="J1304" s="48" t="n">
        <x:v>0.4</x:v>
      </x:c>
      <x:c r="K1304" s="48" t="str">
        <x:v>Yes</x:v>
      </x:c>
      <x:c r="L1304" s="48" t="str">
        <x:v>PDF text</x:v>
      </x:c>
    </x:row>
    <x:row r="1305">
      <x:c r="A1305" s="48" t="str">
        <x:v>YELLOW-1304</x:v>
      </x:c>
      <x:c r="B1305" s="48" t="str">
        <x:v>YELLOW</x:v>
      </x:c>
      <x:c r="C1305" s="48" t="str">
        <x:v>English</x:v>
      </x:c>
      <x:c r="D1305" s="48" t="n">
        <x:v>79</x:v>
      </x:c>
      <x:c r="E1305" s="48" t="str"/>
      <x:c r="F1305" s="48" t="str">
        <x:v>Sub-Clause 20.4 [Obtaining Dispute Adjudication Board's Decision] and Sub-Clause 20.5 [Amicable Settlement] shall not apply to this reference.</x:v>
      </x:c>
      <x:c r="G1305" s="48" t="str">
        <x:v>Obligation</x:v>
      </x:c>
      <x:c r="H1305" s="48" t="str">
        <x:v>Shared</x:v>
      </x:c>
      <x:c r="I1305" s="48" t="n">
        <x:v>0.88</x:v>
      </x:c>
      <x:c r="J1305" s="48" t="n">
        <x:v>0.4</x:v>
      </x:c>
      <x:c r="K1305" s="48" t="str">
        <x:v>Yes</x:v>
      </x:c>
      <x:c r="L1305" s="48" t="str">
        <x:v>PDF text</x:v>
      </x:c>
    </x:row>
    <x:row r="1306">
      <x:c r="A1306" s="48" t="str">
        <x:v>YELLOW-1305</x:v>
      </x:c>
      <x:c r="B1306" s="48" t="str">
        <x:v>YELLOW</x:v>
      </x:c>
      <x:c r="C1306" s="48" t="str">
        <x:v>English</x:v>
      </x:c>
      <x:c r="D1306" s="48" t="n">
        <x:v>79</x:v>
      </x:c>
      <x:c r="E1306" s="48" t="str"/>
      <x:c r="F1306" s="48" t="str">
        <x:v>If a dispute arises between the Parties in connection with, or arising out of, the</x:v>
      </x:c>
      <x:c r="G1306" s="48" t="str">
        <x:v>Obligation</x:v>
      </x:c>
      <x:c r="H1306" s="48" t="str">
        <x:v>Shared</x:v>
      </x:c>
      <x:c r="I1306" s="48" t="n">
        <x:v>0.55</x:v>
      </x:c>
      <x:c r="J1306" s="48" t="n">
        <x:v>0.93</x:v>
      </x:c>
      <x:c r="K1306" s="48" t="str">
        <x:v>Yes</x:v>
      </x:c>
      <x:c r="L1306" s="48" t="str">
        <x:v>PDF text</x:v>
      </x:c>
    </x:row>
    <x:row r="1307">
      <x:c r="A1307" s="48" t="str">
        <x:v>YELLOW-1306</x:v>
      </x:c>
      <x:c r="B1307" s="48" t="str">
        <x:v>YELLOW</x:v>
      </x:c>
      <x:c r="C1307" s="48" t="str">
        <x:v>English</x:v>
      </x:c>
      <x:c r="D1307" s="48" t="n">
        <x:v>79</x:v>
      </x:c>
      <x:c r="E1307" s="48" t="str"/>
      <x:c r="F1307" s="48" t="str">
        <x:v>Contract or the execution of the Works and there is no DAB in place, whether by</x:v>
      </x:c>
      <x:c r="G1307" s="48" t="str">
        <x:v>Obligation</x:v>
      </x:c>
      <x:c r="H1307" s="48" t="str">
        <x:v>Shared</x:v>
      </x:c>
      <x:c r="I1307" s="48" t="n">
        <x:v>0.45</x:v>
      </x:c>
      <x:c r="J1307" s="48" t="n">
        <x:v>0.4</x:v>
      </x:c>
      <x:c r="K1307" s="48" t="str">
        <x:v>Yes</x:v>
      </x:c>
      <x:c r="L1307" s="48" t="str">
        <x:v>PDF text</x:v>
      </x:c>
    </x:row>
    <x:row r="1308">
      <x:c r="A1308" s="48" t="str">
        <x:v>YELLOW-1307</x:v>
      </x:c>
      <x:c r="B1308" s="48" t="str">
        <x:v>YELLOW</x:v>
      </x:c>
      <x:c r="C1308" s="48" t="str">
        <x:v>English</x:v>
      </x:c>
      <x:c r="D1308" s="48" t="n">
        <x:v>79</x:v>
      </x:c>
      <x:c r="E1308" s="48" t="str"/>
      <x:c r="F1308" s="48" t="str">
        <x:v>reason of the expiry of the DAB's appointment or otherwise: (a) Sub-Clause 20.4 [Obtaining Dispute Adjudication Board's Decision] and SubClause 20.5 [Amicable Settlement] shall not apply, and (b) the dispute may be referred directly to arbitration under Sub-Clause 20.6 [Arbitration].</x:v>
      </x:c>
      <x:c r="G1308" s="48" t="str">
        <x:v>Obligation</x:v>
      </x:c>
      <x:c r="H1308" s="48" t="str">
        <x:v>Shared</x:v>
      </x:c>
      <x:c r="I1308" s="48" t="n">
        <x:v>0.88</x:v>
      </x:c>
      <x:c r="J1308" s="48" t="n">
        <x:v>0.4</x:v>
      </x:c>
      <x:c r="K1308" s="48" t="str">
        <x:v>Yes</x:v>
      </x:c>
      <x:c r="L1308" s="48" t="str">
        <x:v>PDF text</x:v>
      </x:c>
    </x:row>
    <x:row r="1309">
      <x:c r="A1309" s="48" t="str">
        <x:v>YELLOW-1308</x:v>
      </x:c>
      <x:c r="B1309" s="48" t="str">
        <x:v>YELLOW</x:v>
      </x:c>
      <x:c r="C1309" s="48" t="str">
        <x:v>English</x:v>
      </x:c>
      <x:c r="D1309" s="48" t="n">
        <x:v>79</x:v>
      </x:c>
      <x:c r="E1309" s="48" t="str"/>
      <x:c r="F1309" s="48" t="str">
        <x:v>Failure to Comply with</x:v>
      </x:c>
      <x:c r="G1309" s="48" t="str">
        <x:v>Obligation</x:v>
      </x:c>
      <x:c r="H1309" s="48" t="str">
        <x:v>Shared</x:v>
      </x:c>
      <x:c r="I1309" s="48" t="n">
        <x:v>0.45</x:v>
      </x:c>
      <x:c r="J1309" s="48" t="n">
        <x:v>0.4</x:v>
      </x:c>
      <x:c r="K1309" s="48" t="str">
        <x:v>Yes</x:v>
      </x:c>
      <x:c r="L1309" s="48" t="str">
        <x:v>PDF text</x:v>
      </x:c>
    </x:row>
    <x:row r="1310">
      <x:c r="A1310" s="48" t="str">
        <x:v>YELLOW-1309</x:v>
      </x:c>
      <x:c r="B1310" s="48" t="str">
        <x:v>YELLOW</x:v>
      </x:c>
      <x:c r="C1310" s="48" t="str">
        <x:v>English</x:v>
      </x:c>
      <x:c r="D1310" s="48" t="n">
        <x:v>79</x:v>
      </x:c>
      <x:c r="E1310" s="48" t="str"/>
      <x:c r="F1310" s="48" t="str">
        <x:v>Board's Decision</x:v>
      </x:c>
      <x:c r="G1310" s="48" t="str">
        <x:v>Obligation</x:v>
      </x:c>
      <x:c r="H1310" s="48" t="str">
        <x:v>Shared</x:v>
      </x:c>
      <x:c r="I1310" s="48" t="n">
        <x:v>0.45</x:v>
      </x:c>
      <x:c r="J1310" s="48" t="n">
        <x:v>0.4</x:v>
      </x:c>
      <x:c r="K1310" s="48" t="str">
        <x:v>Yes</x:v>
      </x:c>
      <x:c r="L1310" s="48" t="str">
        <x:v>PDF text</x:v>
      </x:c>
    </x:row>
    <x:row r="1311">
      <x:c r="A1311" s="48" t="str">
        <x:v>YELLOW-1310</x:v>
      </x:c>
      <x:c r="B1311" s="48" t="str">
        <x:v>YELLOW</x:v>
      </x:c>
      <x:c r="C1311" s="48" t="str">
        <x:v>English</x:v>
      </x:c>
      <x:c r="D1311" s="48" t="n">
        <x:v>79</x:v>
      </x:c>
      <x:c r="E1311" s="48" t="str"/>
      <x:c r="F1311" s="48" t="str">
        <x:v>Expiry of Dispute</x:v>
      </x:c>
      <x:c r="G1311" s="48" t="str">
        <x:v>Obligation</x:v>
      </x:c>
      <x:c r="H1311" s="48" t="str">
        <x:v>Shared</x:v>
      </x:c>
      <x:c r="I1311" s="48" t="n">
        <x:v>0.55</x:v>
      </x:c>
      <x:c r="J1311" s="48" t="n">
        <x:v>0.4</x:v>
      </x:c>
      <x:c r="K1311" s="48" t="str">
        <x:v>Yes</x:v>
      </x:c>
      <x:c r="L1311" s="48" t="str">
        <x:v>PDF text</x:v>
      </x:c>
    </x:row>
    <x:row r="1312">
      <x:c r="A1312" s="48" t="str">
        <x:v>YELLOW-1311</x:v>
      </x:c>
      <x:c r="B1312" s="48" t="str">
        <x:v>YELLOW</x:v>
      </x:c>
      <x:c r="C1312" s="48" t="str">
        <x:v>English</x:v>
      </x:c>
      <x:c r="D1312" s="48" t="n">
        <x:v>79</x:v>
      </x:c>
      <x:c r="E1312" s="48" t="str"/>
      <x:c r="F1312" s="48" t="str">
        <x:v>Adjudication Board's</x:v>
      </x:c>
      <x:c r="G1312" s="48" t="str">
        <x:v>Obligation</x:v>
      </x:c>
      <x:c r="H1312" s="48" t="str">
        <x:v>Shared</x:v>
      </x:c>
      <x:c r="I1312" s="48" t="n">
        <x:v>0.45</x:v>
      </x:c>
      <x:c r="J1312" s="48" t="n">
        <x:v>0.4</x:v>
      </x:c>
      <x:c r="K1312" s="48" t="str">
        <x:v>Yes</x:v>
      </x:c>
      <x:c r="L1312" s="48" t="str">
        <x:v>PDF text</x:v>
      </x:c>
    </x:row>
    <x:row r="1313">
      <x:c r="A1313" s="48" t="str">
        <x:v>YELLOW-1312</x:v>
      </x:c>
      <x:c r="B1313" s="48" t="str">
        <x:v>YELLOW</x:v>
      </x:c>
      <x:c r="C1313" s="48" t="str">
        <x:v>English</x:v>
      </x:c>
      <x:c r="D1313" s="48" t="n">
        <x:v>79</x:v>
      </x:c>
      <x:c r="E1313" s="48" t="str"/>
      <x:c r="F1313" s="48" t="str">
        <x:v>Appointment</x:v>
      </x:c>
      <x:c r="G1313" s="48" t="str">
        <x:v>Obligation</x:v>
      </x:c>
      <x:c r="H1313" s="48" t="str">
        <x:v>Shared</x:v>
      </x:c>
      <x:c r="I1313" s="48" t="n">
        <x:v>0.45</x:v>
      </x:c>
      <x:c r="J1313" s="48" t="n">
        <x:v>0.4</x:v>
      </x:c>
      <x:c r="K1313" s="48" t="str">
        <x:v>Yes</x:v>
      </x:c>
      <x:c r="L1313" s="48" t="str">
        <x:v>PDF text</x:v>
      </x:c>
    </x:row>
  </x:sheetData>
  <x:conditionalFormatting sqref="K2:K1313">
    <x:cfRule type="expression" dxfId="4" priority="1">
      <x:formula>K2="Yes"</x:formula>
    </x:cfRule>
  </x:conditionalFormatting>
  <x:conditionalFormatting sqref="G2:G1313">
    <x:cfRule type="expression" dxfId="5" priority="2">
      <x:formula>G2="Risk"</x:formula>
    </x:cfRule>
  </x:conditionalFormatting>
  <x:dataValidations count="3">
    <x:dataValidation type="list" sqref="G2:G1313">
      <x:formula1>"Heading,Definition,Obligation,Risk,Right"</x:formula1>
    </x:dataValidation>
    <x:dataValidation type="list" sqref="H2:H1313">
      <x:formula1>",Contractor,Employer,Shared"</x:formula1>
    </x:dataValidation>
    <x:dataValidation type="list" sqref="K2:K1313">
      <x:formula1>"Yes,No"</x:formula1>
    </x:dataValidation>
  </x:dataValidations>
  <x:pageMargins left="0.7" right="0.7" top="0.75" bottom="0.75" header="0.3" footer="0.3"/>
  <x:tableParts count="1">
    <x:tablePart xmlns:r="http://schemas.openxmlformats.org/officeDocument/2006/relationships" r:id="Re983da95f80c428c"/>
  </x:tableParts>
</x:worksheet>
</file>

<file path=xl/worksheets/sheet7.xml><?xml version="1.0" encoding="utf-8"?>
<x:worksheet xmlns:x="http://schemas.openxmlformats.org/spreadsheetml/2006/main">
  <x:sheetFormatPr defaultRowHeight="15"/>
  <x:cols>
    <x:col min="1" max="1" width="14" hidden="0" customWidth="1"/>
    <x:col min="2" max="2" width="10" hidden="0" customWidth="1"/>
    <x:col min="3" max="3" width="12" hidden="0" customWidth="1"/>
    <x:col min="4" max="4" width="8" hidden="0" customWidth="1"/>
    <x:col min="5" max="5" width="12" hidden="0" customWidth="1"/>
    <x:col min="6" max="6" width="58" hidden="0" customWidth="1"/>
    <x:col min="7" max="7" width="16" hidden="0" customWidth="1"/>
    <x:col min="8" max="8" width="16" hidden="0" customWidth="1"/>
    <x:col min="9" max="9" width="15" hidden="0" customWidth="1"/>
    <x:col min="10" max="10" width="16" hidden="0" customWidth="1"/>
    <x:col min="11" max="11" width="14" hidden="0" customWidth="1"/>
    <x:col min="12" max="12" width="18" hidden="0" customWidth="1"/>
  </x:cols>
  <x:sheetData>
    <x:row r="1">
      <x:c r="A1" s="18" t="str">
        <x:v>Sentence_ID</x:v>
      </x:c>
      <x:c r="B1" s="35" t="str">
        <x:v>Book</x:v>
      </x:c>
      <x:c r="C1" s="35" t="str">
        <x:v>Language</x:v>
      </x:c>
      <x:c r="D1" s="50" t="str">
        <x:v>Page</x:v>
      </x:c>
      <x:c r="E1" s="35" t="str">
        <x:v>Clause</x:v>
      </x:c>
      <x:c r="F1" s="35" t="str">
        <x:v>Sentence</x:v>
      </x:c>
      <x:c r="G1" s="35" t="str">
        <x:v>Sentence_Type</x:v>
      </x:c>
      <x:c r="H1" s="35" t="str">
        <x:v>Related_Party</x:v>
      </x:c>
      <x:c r="I1" s="52" t="str">
        <x:v>Type_Confidence</x:v>
      </x:c>
      <x:c r="J1" s="52" t="str">
        <x:v>Party_Confidence</x:v>
      </x:c>
      <x:c r="K1" s="35" t="str">
        <x:v>Needs_Review</x:v>
      </x:c>
      <x:c r="L1" s="19" t="str">
        <x:v>Extraction_Method</x:v>
      </x:c>
    </x:row>
    <x:row r="2">
      <x:c r="A2" s="48" t="str">
        <x:v>ORANGE-0001</x:v>
      </x:c>
      <x:c r="B2" s="48" t="str">
        <x:v>ORANGE</x:v>
      </x:c>
      <x:c r="C2" s="48" t="str">
        <x:v>English</x:v>
      </x:c>
      <x:c r="D2" s="48" t="n">
        <x:v>7</x:v>
      </x:c>
      <x:c r="E2" s="48" t="str"/>
      <x:c r="F2" s="48" t="str">
        <x:v>PART I - GENERAL CONDITIONS</x:v>
      </x:c>
      <x:c r="G2" s="48" t="str">
        <x:v>Heading</x:v>
      </x:c>
      <x:c r="H2" s="48" t="str"/>
      <x:c r="I2" s="48" t="n">
        <x:v>0.9</x:v>
      </x:c>
      <x:c r="J2" s="48" t="n">
        <x:v>0.99</x:v>
      </x:c>
      <x:c r="K2" s="48" t="str">
        <x:v>No</x:v>
      </x:c>
      <x:c r="L2" s="48" t="str">
        <x:v>OCR</x:v>
      </x:c>
    </x:row>
    <x:row r="3">
      <x:c r="A3" s="48" t="str">
        <x:v>ORANGE-0002</x:v>
      </x:c>
      <x:c r="B3" s="48" t="str">
        <x:v>ORANGE</x:v>
      </x:c>
      <x:c r="C3" s="48" t="str">
        <x:v>English</x:v>
      </x:c>
      <x:c r="D3" s="48" t="n">
        <x:v>7</x:v>
      </x:c>
      <x:c r="E3" s="48" t="str">
        <x:v>1</x:v>
      </x:c>
      <x:c r="F3" s="48" t="str">
        <x:v>1 The Contract</x:v>
      </x:c>
      <x:c r="G3" s="48" t="str">
        <x:v>Heading</x:v>
      </x:c>
      <x:c r="H3" s="48" t="str"/>
      <x:c r="I3" s="48" t="n">
        <x:v>0.9</x:v>
      </x:c>
      <x:c r="J3" s="48" t="n">
        <x:v>0.99</x:v>
      </x:c>
      <x:c r="K3" s="48" t="str">
        <x:v>No</x:v>
      </x:c>
      <x:c r="L3" s="48" t="str">
        <x:v>OCR</x:v>
      </x:c>
    </x:row>
    <x:row r="4">
      <x:c r="A4" s="48" t="str">
        <x:v>ORANGE-0003</x:v>
      </x:c>
      <x:c r="B4" s="48" t="str">
        <x:v>ORANGE</x:v>
      </x:c>
      <x:c r="C4" s="48" t="str">
        <x:v>English</x:v>
      </x:c>
      <x:c r="D4" s="48" t="n">
        <x:v>7</x:v>
      </x:c>
      <x:c r="E4" s="48" t="str"/>
      <x:c r="F4" s="48" t="str">
        <x:v>Denim 1 tn fe Come eid to) the wok ad express deine ew ‘Ritharcine meanings suede thom tcp wre cme oes cere</x:v>
      </x:c>
      <x:c r="G4" s="48" t="str">
        <x:v>Obligation</x:v>
      </x:c>
      <x:c r="H4" s="48" t="str">
        <x:v>Shared</x:v>
      </x:c>
      <x:c r="I4" s="48" t="n">
        <x:v>0.45</x:v>
      </x:c>
      <x:c r="J4" s="48" t="n">
        <x:v>0.4</x:v>
      </x:c>
      <x:c r="K4" s="48" t="str">
        <x:v>Yes</x:v>
      </x:c>
      <x:c r="L4" s="48" t="str">
        <x:v>OCR</x:v>
      </x:c>
    </x:row>
    <x:row r="5">
      <x:c r="A5" s="48" t="str">
        <x:v>ORANGE-0004</x:v>
      </x:c>
      <x:c r="B5" s="48" t="str">
        <x:v>ORANGE</x:v>
      </x:c>
      <x:c r="C5" s="48" t="str">
        <x:v>English</x:v>
      </x:c>
      <x:c r="D5" s="48" t="n">
        <x:v>7</x:v>
      </x:c>
      <x:c r="E5" s="48" t="str"/>
      <x:c r="F5" s="48" t="str">
        <x:v>La Bement</x:v>
      </x:c>
      <x:c r="G5" s="48" t="str">
        <x:v>Obligation</x:v>
      </x:c>
      <x:c r="H5" s="48" t="str">
        <x:v>Shared</x:v>
      </x:c>
      <x:c r="I5" s="48" t="n">
        <x:v>0.45</x:v>
      </x:c>
      <x:c r="J5" s="48" t="n">
        <x:v>0.4</x:v>
      </x:c>
      <x:c r="K5" s="48" t="str">
        <x:v>Yes</x:v>
      </x:c>
      <x:c r="L5" s="48" t="str">
        <x:v>OCR</x:v>
      </x:c>
    </x:row>
    <x:row r="6">
      <x:c r="A6" s="48" t="str">
        <x:v>ORANGE-0005</x:v>
      </x:c>
      <x:c r="B6" s="48" t="str">
        <x:v>ORANGE</x:v>
      </x:c>
      <x:c r="C6" s="48" t="str">
        <x:v>English</x:v>
      </x:c>
      <x:c r="D6" s="48" t="n">
        <x:v>7</x:v>
      </x:c>
      <x:c r="E6" s="48" t="str"/>
      <x:c r="F6" s="48" t="str">
        <x:v>Shi auees sa toes</x:v>
      </x:c>
      <x:c r="G6" s="48" t="str">
        <x:v>Obligation</x:v>
      </x:c>
      <x:c r="H6" s="48" t="str">
        <x:v>Shared</x:v>
      </x:c>
      <x:c r="I6" s="48" t="n">
        <x:v>0.45</x:v>
      </x:c>
      <x:c r="J6" s="48" t="n">
        <x:v>0.4</x:v>
      </x:c>
      <x:c r="K6" s="48" t="str">
        <x:v>Yes</x:v>
      </x:c>
      <x:c r="L6" s="48" t="str">
        <x:v>OCR</x:v>
      </x:c>
    </x:row>
    <x:row r="7">
      <x:c r="A7" s="48" t="str">
        <x:v>ORANGE-0006</x:v>
      </x:c>
      <x:c r="B7" s="48" t="str">
        <x:v>ORANGE</x:v>
      </x:c>
      <x:c r="C7" s="48" t="str">
        <x:v>English</x:v>
      </x:c>
      <x:c r="D7" s="48" t="n">
        <x:v>7</x:v>
      </x:c>
      <x:c r="E7" s="48" t="str"/>
      <x:c r="F7" s="48" t="str">
        <x:v>Se teTigere ome</x:v>
      </x:c>
      <x:c r="G7" s="48" t="str">
        <x:v>Obligation</x:v>
      </x:c>
      <x:c r="H7" s="48" t="str">
        <x:v>Shared</x:v>
      </x:c>
      <x:c r="I7" s="48" t="n">
        <x:v>0.45</x:v>
      </x:c>
      <x:c r="J7" s="48" t="n">
        <x:v>0.4</x:v>
      </x:c>
      <x:c r="K7" s="48" t="str">
        <x:v>Yes</x:v>
      </x:c>
      <x:c r="L7" s="48" t="str">
        <x:v>OCR</x:v>
      </x:c>
    </x:row>
    <x:row r="8">
      <x:c r="A8" s="48" t="str">
        <x:v>ORANGE-0007</x:v>
      </x:c>
      <x:c r="B8" s="48" t="str">
        <x:v>ORANGE</x:v>
      </x:c>
      <x:c r="C8" s="48" t="str">
        <x:v>English</x:v>
      </x:c>
      <x:c r="D8" s="48" t="n">
        <x:v>7</x:v>
      </x:c>
      <x:c r="E8" s="48" t="str"/>
      <x:c r="F8" s="48" t="str">
        <x:v>sata Sr ee ee fe eevee moun. ses Sareea etre te</x:v>
      </x:c>
      <x:c r="G8" s="48" t="str">
        <x:v>Obligation</x:v>
      </x:c>
      <x:c r="H8" s="48" t="str">
        <x:v>Shared</x:v>
      </x:c>
      <x:c r="I8" s="48" t="n">
        <x:v>0.45</x:v>
      </x:c>
      <x:c r="J8" s="48" t="n">
        <x:v>0.4</x:v>
      </x:c>
      <x:c r="K8" s="48" t="str">
        <x:v>Yes</x:v>
      </x:c>
      <x:c r="L8" s="48" t="str">
        <x:v>OCR</x:v>
      </x:c>
    </x:row>
    <x:row r="9">
      <x:c r="A9" s="48" t="str">
        <x:v>ORANGE-0008</x:v>
      </x:c>
      <x:c r="B9" s="48" t="str">
        <x:v>ORANGE</x:v>
      </x:c>
      <x:c r="C9" s="48" t="str">
        <x:v>English</x:v>
      </x:c>
      <x:c r="D9" s="48" t="n">
        <x:v>7</x:v>
      </x:c>
      <x:c r="E9" s="48" t="str"/>
      <x:c r="F9" s="48" t="str">
        <x:v>See erent</x:v>
      </x:c>
      <x:c r="G9" s="48" t="str">
        <x:v>Obligation</x:v>
      </x:c>
      <x:c r="H9" s="48" t="str">
        <x:v>Shared</x:v>
      </x:c>
      <x:c r="I9" s="48" t="n">
        <x:v>0.45</x:v>
      </x:c>
      <x:c r="J9" s="48" t="n">
        <x:v>0.4</x:v>
      </x:c>
      <x:c r="K9" s="48" t="str">
        <x:v>Yes</x:v>
      </x:c>
      <x:c r="L9" s="48" t="str">
        <x:v>OCR</x:v>
      </x:c>
    </x:row>
    <x:row r="10">
      <x:c r="A10" s="48" t="str">
        <x:v>ORANGE-0009</x:v>
      </x:c>
      <x:c r="B10" s="48" t="str">
        <x:v>ORANGE</x:v>
      </x:c>
      <x:c r="C10" s="48" t="str">
        <x:v>English</x:v>
      </x:c>
      <x:c r="D10" s="48" t="n">
        <x:v>7</x:v>
      </x:c>
      <x:c r="E10" s="48" t="str">
        <x:v>1.7</x:v>
      </x:c>
      <x:c r="F10" s="48" t="str">
        <x:v>1.7 -Seedle of Payment meas he Schade signe a ach i</x:v>
      </x:c>
      <x:c r="G10" s="48" t="str">
        <x:v>Obligation</x:v>
      </x:c>
      <x:c r="H10" s="48" t="str">
        <x:v>Shared</x:v>
      </x:c>
      <x:c r="I10" s="48" t="n">
        <x:v>0.55</x:v>
      </x:c>
      <x:c r="J10" s="48" t="n">
        <x:v>0.4</x:v>
      </x:c>
      <x:c r="K10" s="48" t="str">
        <x:v>Yes</x:v>
      </x:c>
      <x:c r="L10" s="48" t="str">
        <x:v>OCR</x:v>
      </x:c>
    </x:row>
    <x:row r="11">
      <x:c r="A11" s="48" t="str">
        <x:v>ORANGE-0010</x:v>
      </x:c>
      <x:c r="B11" s="48" t="str">
        <x:v>ORANGE</x:v>
      </x:c>
      <x:c r="C11" s="48" t="str">
        <x:v>English</x:v>
      </x:c>
      <x:c r="D11" s="48" t="n">
        <x:v>7</x:v>
      </x:c>
      <x:c r="E11" s="48" t="str"/>
      <x:c r="F11" s="48" t="str">
        <x:v>‘Sy rctmed om Seb Cane 1 eet cee eo acre the phe LL19 “Cort Agen eam enact agen ay) eed 11121 “Tngloye meme he pron same chin he Arend “enero helo mesons tuch onb e ‘ithe ese ee Coma an sige ch pen 1122 “Conta meas ep wane Tend as eon cee by ‘SEnpger mathe essen stan ea (Get wa he coset oe Empey sgre f ron 15123 Bingo Reese” mans he pron apie by te uy wats Eppes Repent fr ease oe ‘Comat amined che Appenie Wo Ten thet ‘en estos ye na oe wl</x:v>
      </x:c>
      <x:c r="G11" s="48" t="str">
        <x:v>Obligation</x:v>
      </x:c>
      <x:c r="H11" s="48" t="str">
        <x:v>Shared</x:v>
      </x:c>
      <x:c r="I11" s="48" t="n">
        <x:v>0.45</x:v>
      </x:c>
      <x:c r="J11" s="48" t="n">
        <x:v>0.4</x:v>
      </x:c>
      <x:c r="K11" s="48" t="str">
        <x:v>Yes</x:v>
      </x:c>
      <x:c r="L11" s="48" t="str">
        <x:v>OCR</x:v>
      </x:c>
    </x:row>
    <x:row r="12">
      <x:c r="A12" s="48" t="str">
        <x:v>ORANGE-0011</x:v>
      </x:c>
      <x:c r="B12" s="48" t="str">
        <x:v>ORANGE</x:v>
      </x:c>
      <x:c r="C12" s="48" t="str">
        <x:v>English</x:v>
      </x:c>
      <x:c r="D12" s="48" t="n">
        <x:v>8</x:v>
      </x:c>
      <x:c r="E12" s="48" t="str"/>
      <x:c r="F12" s="48" t="str">
        <x:v>1126 “Dora mmr ede 2am Smeets</x:v>
      </x:c>
      <x:c r="G12" s="48" t="str">
        <x:v>Obligation</x:v>
      </x:c>
      <x:c r="H12" s="48" t="str">
        <x:v>Shared</x:v>
      </x:c>
      <x:c r="I12" s="48" t="n">
        <x:v>0.45</x:v>
      </x:c>
      <x:c r="J12" s="48" t="n">
        <x:v>0.4</x:v>
      </x:c>
      <x:c r="K12" s="48" t="str">
        <x:v>Yes</x:v>
      </x:c>
      <x:c r="L12" s="48" t="str">
        <x:v>OCR</x:v>
      </x:c>
    </x:row>
    <x:row r="13">
      <x:c r="A13" s="48" t="str">
        <x:v>ORANGE-0012</x:v>
      </x:c>
      <x:c r="B13" s="48" t="str">
        <x:v>ORANGE</x:v>
      </x:c>
      <x:c r="C13" s="48" t="str">
        <x:v>English</x:v>
      </x:c>
      <x:c r="D13" s="48" t="n">
        <x:v>8</x:v>
      </x:c>
      <x:c r="E13" s="48" t="str"/>
      <x:c r="F13" s="48" t="str">
        <x:v>Li Teteand Completion</x:v>
      </x:c>
      <x:c r="G13" s="48" t="str">
        <x:v>Obligation</x:v>
      </x:c>
      <x:c r="H13" s="48" t="str">
        <x:v>Shared</x:v>
      </x:c>
      <x:c r="I13" s="48" t="n">
        <x:v>0.45</x:v>
      </x:c>
      <x:c r="J13" s="48" t="n">
        <x:v>0.4</x:v>
      </x:c>
      <x:c r="K13" s="48" t="str">
        <x:v>Yes</x:v>
      </x:c>
      <x:c r="L13" s="48" t="str">
        <x:v>OCR</x:v>
      </x:c>
    </x:row>
    <x:row r="14">
      <x:c r="A14" s="48" t="str">
        <x:v>ORANGE-0013</x:v>
      </x:c>
      <x:c r="B14" s="48" t="str">
        <x:v>ORANGE</x:v>
      </x:c>
      <x:c r="C14" s="48" t="str">
        <x:v>English</x:v>
      </x:c>
      <x:c r="D14" s="48" t="n">
        <x:v>8</x:v>
      </x:c>
      <x:c r="E14" s="48" t="str"/>
      <x:c r="F14" s="48" t="str">
        <x:v>[HALL “Rt on Compton” mes th es pci in th Cant an ‘gt aan he chi med ae tahen over tye Engle.</x:v>
      </x:c>
      <x:c r="G14" s="48" t="str">
        <x:v>Obligation</x:v>
      </x:c>
      <x:c r="H14" s="48" t="str">
        <x:v>Shared</x:v>
      </x:c>
      <x:c r="I14" s="48" t="n">
        <x:v>0.45</x:v>
      </x:c>
      <x:c r="J14" s="48" t="n">
        <x:v>0.4</x:v>
      </x:c>
      <x:c r="K14" s="48" t="str">
        <x:v>Yes</x:v>
      </x:c>
      <x:c r="L14" s="48" t="str">
        <x:v>OCR</x:v>
      </x:c>
    </x:row>
    <x:row r="15">
      <x:c r="A15" s="48" t="str">
        <x:v>ORANGE-0014</x:v>
      </x:c>
      <x:c r="B15" s="48" t="str">
        <x:v>ORANGE</x:v>
      </x:c>
      <x:c r="C15" s="48" t="str">
        <x:v>English</x:v>
      </x:c>
      <x:c r="D15" s="48" t="n">
        <x:v>8</x:v>
      </x:c>
      <x:c r="E15" s="48" t="str"/>
      <x:c r="F15" s="48" t="str">
        <x:v>Sia wt cnt coaster de Wes ay</x:v>
      </x:c>
      <x:c r="G15" s="48" t="str">
        <x:v>Obligation</x:v>
      </x:c>
      <x:c r="H15" s="48" t="str">
        <x:v>Shared</x:v>
      </x:c>
      <x:c r="I15" s="48" t="n">
        <x:v>0.45</x:v>
      </x:c>
      <x:c r="J15" s="48" t="n">
        <x:v>0.4</x:v>
      </x:c>
      <x:c r="K15" s="48" t="str">
        <x:v>Yes</x:v>
      </x:c>
      <x:c r="L15" s="48" t="str">
        <x:v>OCR</x:v>
      </x:c>
    </x:row>
    <x:row r="16">
      <x:c r="A16" s="48" t="str">
        <x:v>ORANGE-0015</x:v>
      </x:c>
      <x:c r="B16" s="48" t="str">
        <x:v>ORANGE</x:v>
      </x:c>
      <x:c r="C16" s="48" t="str">
        <x:v>English</x:v>
      </x:c>
      <x:c r="D16" s="48" t="n">
        <x:v>8</x:v>
      </x:c>
      <x:c r="E16" s="48" t="str"/>
      <x:c r="F16" s="48" t="str">
        <x:v>144 -Perimance Cea” mene he cee ion by the pyar eens wa Se 115 Maney and Payments 181 Contact Pie ese he edn be Lee of cepa al os Conracor fort ge ctctn deol ‘Beha ene etn ere m ranch ovo ete Cee</x:v>
      </x:c>
      <x:c r="G16" s="48" t="str">
        <x:v>Obligation</x:v>
      </x:c>
      <x:c r="H16" s="48" t="str">
        <x:v>Shared</x:v>
      </x:c>
      <x:c r="I16" s="48" t="n">
        <x:v>0.45</x:v>
      </x:c>
      <x:c r="J16" s="48" t="n">
        <x:v>0.4</x:v>
      </x:c>
      <x:c r="K16" s="48" t="str">
        <x:v>Yes</x:v>
      </x:c>
      <x:c r="L16" s="48" t="str">
        <x:v>OCR</x:v>
      </x:c>
    </x:row>
    <x:row r="17">
      <x:c r="A17" s="48" t="str">
        <x:v>ORANGE-0016</x:v>
      </x:c>
      <x:c r="B17" s="48" t="str">
        <x:v>ORANGE</x:v>
      </x:c>
      <x:c r="C17" s="48" t="str">
        <x:v>English</x:v>
      </x:c>
      <x:c r="D17" s="48" t="n">
        <x:v>9</x:v>
      </x:c>
      <x:c r="E17" s="48" t="str"/>
      <x:c r="F17" s="48" t="str">
        <x:v>1182 “Loa Caren” mete carey fe Cy 3 “Fae Ce neat ance niet we {jaf taal Caren</x:v>
      </x:c>
      <x:c r="G17" s="48" t="str">
        <x:v>Obligation</x:v>
      </x:c>
      <x:c r="H17" s="48" t="str">
        <x:v>Shared</x:v>
      </x:c>
      <x:c r="I17" s="48" t="n">
        <x:v>0.45</x:v>
      </x:c>
      <x:c r="J17" s="48" t="n">
        <x:v>0.4</x:v>
      </x:c>
      <x:c r="K17" s="48" t="str">
        <x:v>Yes</x:v>
      </x:c>
      <x:c r="L17" s="48" t="str">
        <x:v>OCR</x:v>
      </x:c>
    </x:row>
    <x:row r="18">
      <x:c r="A18" s="48" t="str">
        <x:v>ORANGE-0017</x:v>
      </x:c>
      <x:c r="B18" s="48" t="str">
        <x:v>ORANGE</x:v>
      </x:c>
      <x:c r="C18" s="48" t="str">
        <x:v>English</x:v>
      </x:c>
      <x:c r="D18" s="48" t="n">
        <x:v>9</x:v>
      </x:c>
      <x:c r="E18" s="48" t="str">
        <x:v>1.84</x:v>
      </x:c>
      <x:c r="F18" s="48" t="str">
        <x:v>1.84 “Reeion Moneys he seamuted renon mais etine</x:v>
      </x:c>
      <x:c r="G18" s="48" t="str">
        <x:v>Obligation</x:v>
      </x:c>
      <x:c r="H18" s="48" t="str">
        <x:v>Shared</x:v>
      </x:c>
      <x:c r="I18" s="48" t="n">
        <x:v>0.45</x:v>
      </x:c>
      <x:c r="J18" s="48" t="n">
        <x:v>0.4</x:v>
      </x:c>
      <x:c r="K18" s="48" t="str">
        <x:v>Yes</x:v>
      </x:c>
      <x:c r="L18" s="48" t="str">
        <x:v>OCR</x:v>
      </x:c>
    </x:row>
    <x:row r="19">
      <x:c r="A19" s="48" t="str">
        <x:v>ORANGE-0018</x:v>
      </x:c>
      <x:c r="B19" s="48" t="str">
        <x:v>ORANGE</x:v>
      </x:c>
      <x:c r="C19" s="48" t="str">
        <x:v>English</x:v>
      </x:c>
      <x:c r="D19" s="48" t="n">
        <x:v>9</x:v>
      </x:c>
      <x:c r="E19" s="48" t="str"/>
      <x:c r="F19" s="48" t="str">
        <x:v>‘jhe Empoer n ebChse 133 18S “Rovian Sun mess any) ped athe Cae an (ipl ee Gr ccnp pro Were ot inca of Pa Sana ewes</x:v>
      </x:c>
      <x:c r="G19" s="48" t="str">
        <x:v>Obligation</x:v>
      </x:c>
      <x:c r="H19" s="48" t="str">
        <x:v>Shared</x:v>
      </x:c>
      <x:c r="I19" s="48" t="n">
        <x:v>0.45</x:v>
      </x:c>
      <x:c r="J19" s="48" t="n">
        <x:v>0.4</x:v>
      </x:c>
      <x:c r="K19" s="48" t="str">
        <x:v>Yes</x:v>
      </x:c>
      <x:c r="L19" s="48" t="str">
        <x:v>OCR</x:v>
      </x:c>
    </x:row>
    <x:row r="20">
      <x:c r="A20" s="48" t="str">
        <x:v>ORANGE-0019</x:v>
      </x:c>
      <x:c r="B20" s="48" t="str">
        <x:v>ORANGE</x:v>
      </x:c>
      <x:c r="C20" s="48" t="str">
        <x:v>English</x:v>
      </x:c>
      <x:c r="D20" s="48" t="n">
        <x:v>9</x:v>
      </x:c>
      <x:c r="E20" s="48" t="str">
        <x:v>11.6</x:v>
      </x:c>
      <x:c r="F20" s="48" t="str">
        <x:v>11.6 “Cost meas al expe propty ince re incre</x:v>
      </x:c>
      <x:c r="G20" s="48" t="str">
        <x:v>Obligation</x:v>
      </x:c>
      <x:c r="H20" s="48" t="str">
        <x:v>Shared</x:v>
      </x:c>
      <x:c r="I20" s="48" t="n">
        <x:v>0.45</x:v>
      </x:c>
      <x:c r="J20" s="48" t="n">
        <x:v>0.4</x:v>
      </x:c>
      <x:c r="K20" s="48" t="str">
        <x:v>Yes</x:v>
      </x:c>
      <x:c r="L20" s="48" t="str">
        <x:v>OCR</x:v>
      </x:c>
    </x:row>
    <x:row r="21">
      <x:c r="A21" s="48" t="str">
        <x:v>ORANGE-0020</x:v>
      </x:c>
      <x:c r="B21" s="48" t="str">
        <x:v>ORANGE</x:v>
      </x:c>
      <x:c r="C21" s="48" t="str">
        <x:v>English</x:v>
      </x:c>
      <x:c r="D21" s="48" t="n">
        <x:v>9</x:v>
      </x:c>
      <x:c r="E21" s="48" t="str"/>
      <x:c r="F21" s="48" t="str">
        <x:v>{i cooman, ner ono he Se mcg Ont na ares St ce</x:v>
      </x:c>
      <x:c r="G21" s="48" t="str">
        <x:v>Obligation</x:v>
      </x:c>
      <x:c r="H21" s="48" t="str">
        <x:v>Shared</x:v>
      </x:c>
      <x:c r="I21" s="48" t="n">
        <x:v>0.45</x:v>
      </x:c>
      <x:c r="J21" s="48" t="n">
        <x:v>0.4</x:v>
      </x:c>
      <x:c r="K21" s="48" t="str">
        <x:v>Yes</x:v>
      </x:c>
      <x:c r="L21" s="48" t="str">
        <x:v>OCR</x:v>
      </x:c>
    </x:row>
    <x:row r="22">
      <x:c r="A22" s="48" t="str">
        <x:v>ORANGE-0021</x:v>
      </x:c>
      <x:c r="B22" s="48" t="str">
        <x:v>ORANGE</x:v>
      </x:c>
      <x:c r="C22" s="48" t="str">
        <x:v>English</x:v>
      </x:c>
      <x:c r="D22" s="48" t="n">
        <x:v>9</x:v>
      </x:c>
      <x:c r="E22" s="48" t="str">
        <x:v>11.57</x:v>
      </x:c>
      <x:c r="F22" s="48" t="str">
        <x:v>11.57 “buen Payment Creat” meas ay panne cere sed</x:v>
      </x:c>
      <x:c r="G22" s="48" t="str">
        <x:v>Obligation</x:v>
      </x:c>
      <x:c r="H22" s="48" t="str">
        <x:v>Shared</x:v>
      </x:c>
      <x:c r="I22" s="48" t="n">
        <x:v>0.55</x:v>
      </x:c>
      <x:c r="J22" s="48" t="n">
        <x:v>0.4</x:v>
      </x:c>
      <x:c r="K22" s="48" t="str">
        <x:v>Yes</x:v>
      </x:c>
      <x:c r="L22" s="48" t="str">
        <x:v>OCR</x:v>
      </x:c>
    </x:row>
    <x:row r="23">
      <x:c r="A23" s="48" t="str">
        <x:v>ORANGE-0022</x:v>
      </x:c>
      <x:c r="B23" s="48" t="str">
        <x:v>ORANGE</x:v>
      </x:c>
      <x:c r="C23" s="48" t="str">
        <x:v>English</x:v>
      </x:c>
      <x:c r="D23" s="48" t="n">
        <x:v>9</x:v>
      </x:c>
      <x:c r="E23" s="48" t="str"/>
      <x:c r="F23" s="48" t="str">
        <x:v>‘phe Employers Hest wat Cae 15 te a te nal aye Cee</x:v>
      </x:c>
      <x:c r="G23" s="48" t="str">
        <x:v>Obligation</x:v>
      </x:c>
      <x:c r="H23" s="48" t="str">
        <x:v>Shared</x:v>
      </x:c>
      <x:c r="I23" s="48" t="n">
        <x:v>0.45</x:v>
      </x:c>
      <x:c r="J23" s="48" t="n">
        <x:v>0.4</x:v>
      </x:c>
      <x:c r="K23" s="48" t="str">
        <x:v>Yes</x:v>
      </x:c>
      <x:c r="L23" s="48" t="str">
        <x:v>OCR</x:v>
      </x:c>
    </x:row>
    <x:row r="24">
      <x:c r="A24" s="48" t="str">
        <x:v>ORANGE-0023</x:v>
      </x:c>
      <x:c r="B24" s="48" t="str">
        <x:v>ORANGE</x:v>
      </x:c>
      <x:c r="C24" s="48" t="str">
        <x:v>English</x:v>
      </x:c>
      <x:c r="D24" s="48" t="n">
        <x:v>9</x:v>
      </x:c>
      <x:c r="E24" s="48" t="str">
        <x:v>11.58</x:v>
      </x:c>
      <x:c r="F24" s="48" t="str">
        <x:v>11.58 “nt Payer Ceri mans he et eine sed by</x:v>
      </x:c>
      <x:c r="G24" s="48" t="str">
        <x:v>Obligation</x:v>
      </x:c>
      <x:c r="H24" s="48" t="str">
        <x:v>Shared</x:v>
      </x:c>
      <x:c r="I24" s="48" t="n">
        <x:v>0.45</x:v>
      </x:c>
      <x:c r="J24" s="48" t="n">
        <x:v>0.4</x:v>
      </x:c>
      <x:c r="K24" s="48" t="str">
        <x:v>Yes</x:v>
      </x:c>
      <x:c r="L24" s="48" t="str">
        <x:v>OCR</x:v>
      </x:c>
    </x:row>
    <x:row r="25">
      <x:c r="A25" s="48" t="str">
        <x:v>ORANGE-0024</x:v>
      </x:c>
      <x:c r="B25" s="48" t="str">
        <x:v>ORANGE</x:v>
      </x:c>
      <x:c r="C25" s="48" t="str">
        <x:v>English</x:v>
      </x:c>
      <x:c r="D25" s="48" t="n">
        <x:v>9</x:v>
      </x:c>
      <x:c r="E25" s="48" t="str"/>
      <x:c r="F25" s="48" t="str">
        <x:v>ite Enpuers Reps eer Sub Clae 118 1159 “Pn Sakon” es Se aged salen deed Su 116 Omer Dette 161 “Contin Decunet” mea sl eigen entries pop) ps, pt mode pera ‘nme ma, or mana tema ‘Strato abe ye Corte 1162 “Varies” mean any sein andor moicion 1 he</x:v>
      </x:c>
      <x:c r="G25" s="48" t="str">
        <x:v>Obligation</x:v>
      </x:c>
      <x:c r="H25" s="48" t="str">
        <x:v>Shared</x:v>
      </x:c>
      <x:c r="I25" s="48" t="n">
        <x:v>0.45</x:v>
      </x:c>
      <x:c r="J25" s="48" t="n">
        <x:v>0.4</x:v>
      </x:c>
      <x:c r="K25" s="48" t="str">
        <x:v>Yes</x:v>
      </x:c>
      <x:c r="L25" s="48" t="str">
        <x:v>OCR</x:v>
      </x:c>
    </x:row>
    <x:row r="26">
      <x:c r="A26" s="48" t="str">
        <x:v>ORANGE-0025</x:v>
      </x:c>
      <x:c r="B26" s="48" t="str">
        <x:v>ORANGE</x:v>
      </x:c>
      <x:c r="C26" s="48" t="str">
        <x:v>English</x:v>
      </x:c>
      <x:c r="D26" s="48" t="n">
        <x:v>9</x:v>
      </x:c>
      <x:c r="E26" s="48" t="str"/>
      <x:c r="F26" s="48" t="str">
        <x:v>Eppes Roem, wich errad by the Empoyers</x:v>
      </x:c>
      <x:c r="G26" s="48" t="str">
        <x:v>Obligation</x:v>
      </x:c>
      <x:c r="H26" s="48" t="str">
        <x:v>Shared</x:v>
      </x:c>
      <x:c r="I26" s="48" t="n">
        <x:v>0.45</x:v>
      </x:c>
      <x:c r="J26" s="48" t="n">
        <x:v>0.4</x:v>
      </x:c>
      <x:c r="K26" s="48" t="str">
        <x:v>Yes</x:v>
      </x:c>
      <x:c r="L26" s="48" t="str">
        <x:v>OCR</x:v>
      </x:c>
    </x:row>
    <x:row r="27">
      <x:c r="A27" s="48" t="str">
        <x:v>ORANGE-0026</x:v>
      </x:c>
      <x:c r="B27" s="48" t="str">
        <x:v>ORANGE</x:v>
      </x:c>
      <x:c r="C27" s="48" t="str">
        <x:v>English</x:v>
      </x:c>
      <x:c r="D27" s="48" t="n">
        <x:v>9</x:v>
      </x:c>
      <x:c r="E27" s="48" t="str"/>
      <x:c r="F27" s="48" t="str">
        <x:v>Kemi el steno</x:v>
      </x:c>
      <x:c r="G27" s="48" t="str">
        <x:v>Obligation</x:v>
      </x:c>
      <x:c r="H27" s="48" t="str">
        <x:v>Shared</x:v>
      </x:c>
      <x:c r="I27" s="48" t="n">
        <x:v>0.45</x:v>
      </x:c>
      <x:c r="J27" s="48" t="n">
        <x:v>0.4</x:v>
      </x:c>
      <x:c r="K27" s="48" t="str">
        <x:v>Yes</x:v>
      </x:c>
      <x:c r="L27" s="48" t="str">
        <x:v>OCR</x:v>
      </x:c>
    </x:row>
    <x:row r="28">
      <x:c r="A28" s="48" t="str">
        <x:v>ORANGE-0027</x:v>
      </x:c>
      <x:c r="B28" s="48" t="str">
        <x:v>ORANGE</x:v>
      </x:c>
      <x:c r="C28" s="48" t="str">
        <x:v>English</x:v>
      </x:c>
      <x:c r="D28" s="48" t="n">
        <x:v>9</x:v>
      </x:c>
      <x:c r="E28" s="48" t="str"/>
      <x:c r="F28" s="48" t="str">
        <x:v>11463 “Wor” mean te Perma Woks te Temporary Woks 0 ner fhe P|</x:v>
      </x:c>
      <x:c r="G28" s="48" t="str">
        <x:v>Obligation</x:v>
      </x:c>
      <x:c r="H28" s="48" t="str">
        <x:v>Shared</x:v>
      </x:c>
      <x:c r="I28" s="48" t="n">
        <x:v>0.45</x:v>
      </x:c>
      <x:c r="J28" s="48" t="n">
        <x:v>0.4</x:v>
      </x:c>
      <x:c r="K28" s="48" t="str">
        <x:v>Yes</x:v>
      </x:c>
      <x:c r="L28" s="48" t="str">
        <x:v>OCR</x:v>
      </x:c>
    </x:row>
    <x:row r="29">
      <x:c r="A29" s="48" t="str">
        <x:v>ORANGE-0028</x:v>
      </x:c>
      <x:c r="B29" s="48" t="str">
        <x:v>ORANGE</x:v>
      </x:c>
      <x:c r="C29" s="48" t="str">
        <x:v>English</x:v>
      </x:c>
      <x:c r="D29" s="48" t="n">
        <x:v>9</x:v>
      </x:c>
      <x:c r="E29" s="48" t="str">
        <x:v>1.64</x:v>
      </x:c>
      <x:c r="F29" s="48" t="str">
        <x:v>1.64 “Permanent Wa" meas he pean works ded sd</x:v>
      </x:c>
      <x:c r="G29" s="48" t="str">
        <x:v>Obligation</x:v>
      </x:c>
      <x:c r="H29" s="48" t="str">
        <x:v>Shared</x:v>
      </x:c>
      <x:c r="I29" s="48" t="n">
        <x:v>0.45</x:v>
      </x:c>
      <x:c r="J29" s="48" t="n">
        <x:v>0.4</x:v>
      </x:c>
      <x:c r="K29" s="48" t="str">
        <x:v>Yes</x:v>
      </x:c>
      <x:c r="L29" s="48" t="str">
        <x:v>OCR</x:v>
      </x:c>
    </x:row>
    <x:row r="30">
      <x:c r="A30" s="48" t="str">
        <x:v>ORANGE-0029</x:v>
      </x:c>
      <x:c r="B30" s="48" t="str">
        <x:v>ORANGE</x:v>
      </x:c>
      <x:c r="C30" s="48" t="str">
        <x:v>English</x:v>
      </x:c>
      <x:c r="D30" s="48" t="n">
        <x:v>9</x:v>
      </x:c>
      <x:c r="E30" s="48" t="str"/>
      <x:c r="F30" s="48" t="str">
        <x:v>san acre nhs Coat 16S “Tempra Werk mea a empower ind te thon Geotail “Sepa e Ms ante ening fn es 114 in amma nt pan sea fe oi et Rema es nang yy toe ‘Shae obese hs Court pet mth Coe</x:v>
      </x:c>
      <x:c r="G30" s="48" t="str">
        <x:v>Obligation</x:v>
      </x:c>
      <x:c r="H30" s="48" t="str">
        <x:v>Shared</x:v>
      </x:c>
      <x:c r="I30" s="48" t="n">
        <x:v>0.45</x:v>
      </x:c>
      <x:c r="J30" s="48" t="n">
        <x:v>0.4</x:v>
      </x:c>
      <x:c r="K30" s="48" t="str">
        <x:v>Yes</x:v>
      </x:c>
      <x:c r="L30" s="48" t="str">
        <x:v>OCR</x:v>
      </x:c>
    </x:row>
    <x:row r="31">
      <x:c r="A31" s="48" t="str">
        <x:v>ORANGE-0030</x:v>
      </x:c>
      <x:c r="B31" s="48" t="str">
        <x:v>ORANGE</x:v>
      </x:c>
      <x:c r="C31" s="48" t="str">
        <x:v>English</x:v>
      </x:c>
      <x:c r="D31" s="48" t="n">
        <x:v>9</x:v>
      </x:c>
      <x:c r="E31" s="48" t="str"/>
      <x:c r="F31" s="48" t="str">
        <x:v>Lar map goa ah ta Pm ee</x:v>
      </x:c>
      <x:c r="G31" s="48" t="str">
        <x:v>Obligation</x:v>
      </x:c>
      <x:c r="H31" s="48" t="str">
        <x:v>Shared</x:v>
      </x:c>
      <x:c r="I31" s="48" t="n">
        <x:v>0.45</x:v>
      </x:c>
      <x:c r="J31" s="48" t="n">
        <x:v>0.4</x:v>
      </x:c>
      <x:c r="K31" s="48" t="str">
        <x:v>Yes</x:v>
      </x:c>
      <x:c r="L31" s="48" t="str">
        <x:v>OCR</x:v>
      </x:c>
    </x:row>
    <x:row r="32">
      <x:c r="A32" s="48" t="str">
        <x:v>ORANGE-0031</x:v>
      </x:c>
      <x:c r="B32" s="48" t="str">
        <x:v>ORANGE</x:v>
      </x:c>
      <x:c r="C32" s="48" t="str">
        <x:v>English</x:v>
      </x:c>
      <x:c r="D32" s="48" t="n">
        <x:v>9</x:v>
      </x:c>
      <x:c r="E32" s="48" t="str"/>
      <x:c r="F32" s="48" t="str">
        <x:v>snf'Sepentlin he Romane Wns be Cra lie</x:v>
      </x:c>
      <x:c r="G32" s="48" t="str">
        <x:v>Obligation</x:v>
      </x:c>
      <x:c r="H32" s="48" t="str">
        <x:v>Shared</x:v>
      </x:c>
      <x:c r="I32" s="48" t="n">
        <x:v>0.45</x:v>
      </x:c>
      <x:c r="J32" s="48" t="n">
        <x:v>0.4</x:v>
      </x:c>
      <x:c r="K32" s="48" t="str">
        <x:v>Yes</x:v>
      </x:c>
      <x:c r="L32" s="48" t="str">
        <x:v>OCR</x:v>
      </x:c>
    </x:row>
    <x:row r="33">
      <x:c r="A33" s="48" t="str">
        <x:v>ORANGE-0032</x:v>
      </x:c>
      <x:c r="B33" s="48" t="str">
        <x:v>ORANGE</x:v>
      </x:c>
      <x:c r="C33" s="48" t="str">
        <x:v>English</x:v>
      </x:c>
      <x:c r="D33" s="48" t="n">
        <x:v>9</x:v>
      </x:c>
      <x:c r="E33" s="48" t="str"/>
      <x:c r="F33" s="48" t="str">
        <x:v>Sse fom ahem ed</x:v>
      </x:c>
      <x:c r="G33" s="48" t="str">
        <x:v>Obligation</x:v>
      </x:c>
      <x:c r="H33" s="48" t="str">
        <x:v>Shared</x:v>
      </x:c>
      <x:c r="I33" s="48" t="n">
        <x:v>0.45</x:v>
      </x:c>
      <x:c r="J33" s="48" t="n">
        <x:v>0.4</x:v>
      </x:c>
      <x:c r="K33" s="48" t="str">
        <x:v>Yes</x:v>
      </x:c>
      <x:c r="L33" s="48" t="str">
        <x:v>OCR</x:v>
      </x:c>
    </x:row>
    <x:row r="34">
      <x:c r="A34" s="48" t="str">
        <x:v>ORANGE-0033</x:v>
      </x:c>
      <x:c r="B34" s="48" t="str">
        <x:v>ORANGE</x:v>
      </x:c>
      <x:c r="C34" s="48" t="str">
        <x:v>English</x:v>
      </x:c>
      <x:c r="D34" s="48" t="n">
        <x:v>9</x:v>
      </x:c>
      <x:c r="E34" s="48" t="str">
        <x:v>1.68</x:v>
      </x:c>
      <x:c r="F34" s="48" t="str">
        <x:v>1.68 “Conroe” eae may pei nd hr</x:v>
      </x:c>
      <x:c r="G34" s="48" t="str">
        <x:v>Right</x:v>
      </x:c>
      <x:c r="H34" s="48" t="str">
        <x:v>Shared</x:v>
      </x:c>
      <x:c r="I34" s="48" t="n">
        <x:v>0.78</x:v>
      </x:c>
      <x:c r="J34" s="48" t="n">
        <x:v>0.4</x:v>
      </x:c>
      <x:c r="K34" s="48" t="str">
        <x:v>Yes</x:v>
      </x:c>
      <x:c r="L34" s="48" t="str">
        <x:v>OCR</x:v>
      </x:c>
    </x:row>
    <x:row r="35">
      <x:c r="A35" s="48" t="str">
        <x:v>ORANGE-0034</x:v>
      </x:c>
      <x:c r="B35" s="48" t="str">
        <x:v>ORANGE</x:v>
      </x:c>
      <x:c r="C35" s="48" t="str">
        <x:v>English</x:v>
      </x:c>
      <x:c r="D35" s="48" t="n">
        <x:v>9</x:v>
      </x:c>
      <x:c r="E35" s="48" t="str"/>
      <x:c r="F35" s="48" t="str">
        <x:v>‘ngs at Feapry Not) map!</x:v>
      </x:c>
      <x:c r="G35" s="48" t="str">
        <x:v>Obligation</x:v>
      </x:c>
      <x:c r="H35" s="48" t="str">
        <x:v>Shared</x:v>
      </x:c>
      <x:c r="I35" s="48" t="n">
        <x:v>0.45</x:v>
      </x:c>
      <x:c r="J35" s="48" t="n">
        <x:v>0.4</x:v>
      </x:c>
      <x:c r="K35" s="48" t="str">
        <x:v>Yes</x:v>
      </x:c>
      <x:c r="L35" s="48" t="str">
        <x:v>OCR</x:v>
      </x:c>
    </x:row>
    <x:row r="36">
      <x:c r="A36" s="48" t="str">
        <x:v>ORANGE-0035</x:v>
      </x:c>
      <x:c r="B36" s="48" t="str">
        <x:v>ORANGE</x:v>
      </x:c>
      <x:c r="C36" s="48" t="str">
        <x:v>English</x:v>
      </x:c>
      <x:c r="D36" s="48" t="n">
        <x:v>9</x:v>
      </x:c>
      <x:c r="E36" s="48" t="str"/>
      <x:c r="F36" s="48" t="str">
        <x:v>Se exec ‘Socio at nde ene fy ec fe code Pa.</x:v>
      </x:c>
      <x:c r="G36" s="48" t="str">
        <x:v>Obligation</x:v>
      </x:c>
      <x:c r="H36" s="48" t="str">
        <x:v>Shared</x:v>
      </x:c>
      <x:c r="I36" s="48" t="n">
        <x:v>0.45</x:v>
      </x:c>
      <x:c r="J36" s="48" t="n">
        <x:v>0.4</x:v>
      </x:c>
      <x:c r="K36" s="48" t="str">
        <x:v>Yes</x:v>
      </x:c>
      <x:c r="L36" s="48" t="str">
        <x:v>OCR</x:v>
      </x:c>
    </x:row>
    <x:row r="37">
      <x:c r="A37" s="48" t="str">
        <x:v>ORANGE-0036</x:v>
      </x:c>
      <x:c r="B37" s="48" t="str">
        <x:v>ORANGE</x:v>
      </x:c>
      <x:c r="C37" s="48" t="str">
        <x:v>English</x:v>
      </x:c>
      <x:c r="D37" s="48" t="n">
        <x:v>9</x:v>
      </x:c>
      <x:c r="E37" s="48" t="str"/>
      <x:c r="F37" s="48" t="str">
        <x:v>Me, te ies el fm “evan phe Reman os</x:v>
      </x:c>
      <x:c r="G37" s="48" t="str">
        <x:v>Obligation</x:v>
      </x:c>
      <x:c r="H37" s="48" t="str">
        <x:v>Shared</x:v>
      </x:c>
      <x:c r="I37" s="48" t="n">
        <x:v>0.45</x:v>
      </x:c>
      <x:c r="J37" s="48" t="n">
        <x:v>0.4</x:v>
      </x:c>
      <x:c r="K37" s="48" t="str">
        <x:v>Yes</x:v>
      </x:c>
      <x:c r="L37" s="48" t="str">
        <x:v>OCR</x:v>
      </x:c>
    </x:row>
    <x:row r="38">
      <x:c r="A38" s="48" t="str">
        <x:v>ORANGE-0037</x:v>
      </x:c>
      <x:c r="B38" s="48" t="str">
        <x:v>ORANGE</x:v>
      </x:c>
      <x:c r="C38" s="48" t="str">
        <x:v>English</x:v>
      </x:c>
      <x:c r="D38" s="48" t="n">
        <x:v>10</x:v>
      </x:c>
      <x:c r="E38" s="48" t="str"/>
      <x:c r="F38" s="48" t="str">
        <x:v>L1A9 “Seton” mens 2 pt of he Work weil fie in he ‘Repent oar a See a) 1 1st" mean he es oie ye Eman wee Wes</x:v>
      </x:c>
      <x:c r="G38" s="48" t="str">
        <x:v>Obligation</x:v>
      </x:c>
      <x:c r="H38" s="48" t="str">
        <x:v>Shared</x:v>
      </x:c>
      <x:c r="I38" s="48" t="n">
        <x:v>0.45</x:v>
      </x:c>
      <x:c r="J38" s="48" t="n">
        <x:v>0.4</x:v>
      </x:c>
      <x:c r="K38" s="48" t="str">
        <x:v>Yes</x:v>
      </x:c>
      <x:c r="L38" s="48" t="str">
        <x:v>OCR</x:v>
      </x:c>
    </x:row>
    <x:row r="39">
      <x:c r="A39" s="48" t="str">
        <x:v>ORANGE-0038</x:v>
      </x:c>
      <x:c r="B39" s="48" t="str">
        <x:v>ORANGE</x:v>
      </x:c>
      <x:c r="C39" s="48" t="str">
        <x:v>English</x:v>
      </x:c>
      <x:c r="D39" s="48" t="n">
        <x:v>10</x:v>
      </x:c>
      <x:c r="E39" s="48" t="str"/>
      <x:c r="F39" s="48" t="str">
        <x:v>ECS eS she Meals</x:v>
      </x:c>
      <x:c r="G39" s="48" t="str">
        <x:v>Obligation</x:v>
      </x:c>
      <x:c r="H39" s="48" t="str">
        <x:v>Shared</x:v>
      </x:c>
      <x:c r="I39" s="48" t="n">
        <x:v>0.45</x:v>
      </x:c>
      <x:c r="J39" s="48" t="n">
        <x:v>0.4</x:v>
      </x:c>
      <x:c r="K39" s="48" t="str">
        <x:v>Yes</x:v>
      </x:c>
      <x:c r="L39" s="48" t="str">
        <x:v>OCR</x:v>
      </x:c>
    </x:row>
    <x:row r="40">
      <x:c r="A40" s="48" t="str">
        <x:v>ORANGE-0039</x:v>
      </x:c>
      <x:c r="B40" s="48" t="str">
        <x:v>ORANGE</x:v>
      </x:c>
      <x:c r="C40" s="48" t="str">
        <x:v>English</x:v>
      </x:c>
      <x:c r="D40" s="48" t="n">
        <x:v>10</x:v>
      </x:c>
      <x:c r="E40" s="48" t="str"/>
      <x:c r="F40" s="48" t="str">
        <x:v>‘Slee, ye pices ay be pce dept it Coma oman pu oe Si Heatingsand 12 ‘Then and magna nasa tur. he Coins hal a Margins |” Wun incomes thr wept</x:v>
      </x:c>
      <x:c r="G40" s="48" t="str">
        <x:v>Obligation</x:v>
      </x:c>
      <x:c r="H40" s="48" t="str">
        <x:v>Shared</x:v>
      </x:c>
      <x:c r="I40" s="48" t="n">
        <x:v>0.45</x:v>
      </x:c>
      <x:c r="J40" s="48" t="n">
        <x:v>0.4</x:v>
      </x:c>
      <x:c r="K40" s="48" t="str">
        <x:v>Yes</x:v>
      </x:c>
      <x:c r="L40" s="48" t="str">
        <x:v>OCR</x:v>
      </x:c>
    </x:row>
    <x:row r="41">
      <x:c r="A41" s="48" t="str">
        <x:v>ORANGE-0040</x:v>
      </x:c>
      <x:c r="B41" s="48" t="str">
        <x:v>ORANGE</x:v>
      </x:c>
      <x:c r="C41" s="48" t="str">
        <x:v>English</x:v>
      </x:c>
      <x:c r="D41" s="48" t="n">
        <x:v>10</x:v>
      </x:c>
      <x:c r="E41" s="48" t="str"/>
      <x:c r="F41" s="48" t="str">
        <x:v>TEASP pra eve the ecm aus Wes peti</x:v>
      </x:c>
      <x:c r="G41" s="48" t="str">
        <x:v>Obligation</x:v>
      </x:c>
      <x:c r="H41" s="48" t="str">
        <x:v>Shared</x:v>
      </x:c>
      <x:c r="I41" s="48" t="n">
        <x:v>0.45</x:v>
      </x:c>
      <x:c r="J41" s="48" t="n">
        <x:v>0.4</x:v>
      </x:c>
      <x:c r="K41" s="48" t="str">
        <x:v>Yes</x:v>
      </x:c>
      <x:c r="L41" s="48" t="str">
        <x:v>OCR</x:v>
      </x:c>
    </x:row>
    <x:row r="42">
      <x:c r="A42" s="48" t="str">
        <x:v>ORANGE-0041</x:v>
      </x:c>
      <x:c r="B42" s="48" t="str">
        <x:v>ORANGE</x:v>
      </x:c>
      <x:c r="C42" s="48" t="str">
        <x:v>English</x:v>
      </x:c>
      <x:c r="D42" s="48" t="n">
        <x:v>10</x:v>
      </x:c>
      <x:c r="E42" s="48" t="str"/>
      <x:c r="F42" s="48" t="str">
        <x:v>‘Soper dh aoe genie Law and Langage 1A Tela ote Conct is am inthe Ape Tener ‘hts inthe lng langage named othe Append Tene shal preva.</x:v>
      </x:c>
      <x:c r="G42" s="48" t="str">
        <x:v>Obligation</x:v>
      </x:c>
      <x:c r="H42" s="48" t="str">
        <x:v>Shared</x:v>
      </x:c>
      <x:c r="I42" s="48" t="n">
        <x:v>0.45</x:v>
      </x:c>
      <x:c r="J42" s="48" t="n">
        <x:v>0.4</x:v>
      </x:c>
      <x:c r="K42" s="48" t="str">
        <x:v>Yes</x:v>
      </x:c>
      <x:c r="L42" s="48" t="str">
        <x:v>OCR</x:v>
      </x:c>
    </x:row>
    <x:row r="43">
      <x:c r="A43" s="48" t="str">
        <x:v>ORANGE-0042</x:v>
      </x:c>
      <x:c r="B43" s="48" t="str">
        <x:v>ORANGE</x:v>
      </x:c>
      <x:c r="C43" s="48" t="str">
        <x:v>English</x:v>
      </x:c>
      <x:c r="D43" s="48" t="n">
        <x:v>10</x:v>
      </x:c>
      <x:c r="E43" s="48" t="str"/>
      <x:c r="F43" s="48" t="str">
        <x:v>Tunney ody commons eo se th APE</x:v>
      </x:c>
      <x:c r="G43" s="48" t="str">
        <x:v>Obligation</x:v>
      </x:c>
      <x:c r="H43" s="48" t="str">
        <x:v>Shared</x:v>
      </x:c>
      <x:c r="I43" s="48" t="n">
        <x:v>0.45</x:v>
      </x:c>
      <x:c r="J43" s="48" t="n">
        <x:v>0.4</x:v>
      </x:c>
      <x:c r="K43" s="48" t="str">
        <x:v>Yes</x:v>
      </x:c>
      <x:c r="L43" s="48" t="str">
        <x:v>OCR</x:v>
      </x:c>
    </x:row>
    <x:row r="44">
      <x:c r="A44" s="48" t="str">
        <x:v>ORANGE-0043</x:v>
      </x:c>
      <x:c r="B44" s="48" t="str">
        <x:v>ORANGE</x:v>
      </x:c>
      <x:c r="C44" s="48" t="str">
        <x:v>English</x:v>
      </x:c>
      <x:c r="D44" s="48" t="n">
        <x:v>10</x:v>
      </x:c>
      <x:c r="E44" s="48" t="str"/>
      <x:c r="F44" s="48" t="str">
        <x:v>cnr Avene 1S pty lf ee ty he oe ry nce» Cnt ‘Npmeebn th on rest i ch tins may cy</x:v>
      </x:c>
      <x:c r="G44" s="48" t="str">
        <x:v>Right</x:v>
      </x:c>
      <x:c r="H44" s="48" t="str">
        <x:v>Shared</x:v>
      </x:c>
      <x:c r="I44" s="48" t="n">
        <x:v>0.78</x:v>
      </x:c>
      <x:c r="J44" s="48" t="n">
        <x:v>0.4</x:v>
      </x:c>
      <x:c r="K44" s="48" t="str">
        <x:v>Yes</x:v>
      </x:c>
      <x:c r="L44" s="48" t="str">
        <x:v>OCR</x:v>
      </x:c>
    </x:row>
    <x:row r="45">
      <x:c r="A45" s="48" t="str">
        <x:v>ORANGE-0044</x:v>
      </x:c>
      <x:c r="B45" s="48" t="str">
        <x:v>ORANGE</x:v>
      </x:c>
      <x:c r="C45" s="48" t="str">
        <x:v>English</x:v>
      </x:c>
      <x:c r="D45" s="48" t="n">
        <x:v>10</x:v>
      </x:c>
      <x:c r="E45" s="48" t="str"/>
      <x:c r="F45" s="48" t="str">
        <x:v>MeSeiihc Cem Te ct of stamp Ste an iu pes poe</x:v>
      </x:c>
      <x:c r="G45" s="48" t="str">
        <x:v>Obligation</x:v>
      </x:c>
      <x:c r="H45" s="48" t="str">
        <x:v>Shared</x:v>
      </x:c>
      <x:c r="I45" s="48" t="n">
        <x:v>0.45</x:v>
      </x:c>
      <x:c r="J45" s="48" t="n">
        <x:v>0.4</x:v>
      </x:c>
      <x:c r="K45" s="48" t="str">
        <x:v>Yes</x:v>
      </x:c>
      <x:c r="L45" s="48" t="str">
        <x:v>OCR</x:v>
      </x:c>
    </x:row>
    <x:row r="46">
      <x:c r="A46" s="48" t="str">
        <x:v>ORANGE-0045</x:v>
      </x:c>
      <x:c r="B46" s="48" t="str">
        <x:v>ORANGE</x:v>
      </x:c>
      <x:c r="C46" s="48" t="str">
        <x:v>English</x:v>
      </x:c>
      <x:c r="D46" s="48" t="n">
        <x:v>10</x:v>
      </x:c>
      <x:c r="E46" s="48" t="str">
        <x:v>1</x:v>
      </x:c>
      <x:c r="F46" s="48" t="str">
        <x:v>1 shale tr ye Ege ry of 6 The document fring he Cnr a1 een at ly cay</x:v>
      </x:c>
      <x:c r="G46" s="48" t="str">
        <x:v>Heading</x:v>
      </x:c>
      <x:c r="H46" s="48" t="str"/>
      <x:c r="I46" s="48" t="n">
        <x:v>0.9</x:v>
      </x:c>
      <x:c r="J46" s="48" t="n">
        <x:v>0.99</x:v>
      </x:c>
      <x:c r="K46" s="48" t="str">
        <x:v>No</x:v>
      </x:c>
      <x:c r="L46" s="48" t="str">
        <x:v>OCR</x:v>
      </x:c>
    </x:row>
    <x:row r="47">
      <x:c r="A47" s="48" t="str">
        <x:v>ORANGE-0046</x:v>
      </x:c>
      <x:c r="B47" s="48" t="str">
        <x:v>ORANGE</x:v>
      </x:c>
      <x:c r="C47" s="48" t="str">
        <x:v>English</x:v>
      </x:c>
      <x:c r="D47" s="48" t="n">
        <x:v>10</x:v>
      </x:c>
      <x:c r="E47" s="48" t="str"/>
      <x:c r="F47" s="48" t="str">
        <x:v>BOSSE MWe Ste ee eae amma docrepny im be Scum</x:v>
      </x:c>
      <x:c r="G47" s="48" t="str">
        <x:v>Obligation</x:v>
      </x:c>
      <x:c r="H47" s="48" t="str">
        <x:v>Shared</x:v>
      </x:c>
      <x:c r="I47" s="48" t="n">
        <x:v>0.45</x:v>
      </x:c>
      <x:c r="J47" s="48" t="n">
        <x:v>0.4</x:v>
      </x:c>
      <x:c r="K47" s="48" t="str">
        <x:v>Yes</x:v>
      </x:c>
      <x:c r="L47" s="48" t="str">
        <x:v>OCR</x:v>
      </x:c>
    </x:row>
    <x:row r="48">
      <x:c r="A48" s="48" t="str">
        <x:v>ORANGE-0047</x:v>
      </x:c>
      <x:c r="B48" s="48" t="str">
        <x:v>ORANGE</x:v>
      </x:c>
      <x:c r="C48" s="48" t="str">
        <x:v>English</x:v>
      </x:c>
      <x:c r="D48" s="48" t="n">
        <x:v>10</x:v>
      </x:c>
      <x:c r="E48" s="48" t="str"/>
      <x:c r="F48" s="48" t="str">
        <x:v>toner Repeal cy meer cicton x ttn (tke Comat an the ry fhe Scone al es ows (6) Teeter of Acree (e) Te Employers Reems (© he Conlon of Cre Pat (©, Te Combis f Cote Pa (8) The Coats Popo Docume on Sit</x:v>
      </x:c>
      <x:c r="G48" s="48" t="str">
        <x:v>Obligation</x:v>
      </x:c>
      <x:c r="H48" s="48" t="str">
        <x:v>Shared</x:v>
      </x:c>
      <x:c r="I48" s="48" t="n">
        <x:v>0.45</x:v>
      </x:c>
      <x:c r="J48" s="48" t="n">
        <x:v>0.4</x:v>
      </x:c>
      <x:c r="K48" s="48" t="str">
        <x:v>Yes</x:v>
      </x:c>
      <x:c r="L48" s="48" t="str">
        <x:v>OCR</x:v>
      </x:c>
    </x:row>
    <x:row r="49">
      <x:c r="A49" s="48" t="str">
        <x:v>ORANGE-0048</x:v>
      </x:c>
      <x:c r="B49" s="48" t="str">
        <x:v>ORANGE</x:v>
      </x:c>
      <x:c r="C49" s="48" t="str">
        <x:v>English</x:v>
      </x:c>
      <x:c r="D49" s="48" t="n">
        <x:v>10</x:v>
      </x:c>
      <x:c r="E49" s="48" t="str">
        <x:v>1.7</x:v>
      </x:c>
      <x:c r="F49" s="48" t="str">
        <x:v>1.7 The Coarse oe Sie oe compte tof he dco Teint Commo te Commaee Desens ait ce! ‘Sttmtncatos gree a ual SabCate1 a e cemet, ‘und a Ce 3 The Epes te Emer Rersrne ‘Alaa ened win Sob Cone) saline be aires ‘Sm ene omission of ay a, cn</x:v>
      </x:c>
      <x:c r="G49" s="48" t="str">
        <x:v>Obligation</x:v>
      </x:c>
      <x:c r="H49" s="48" t="str">
        <x:v>Shared</x:v>
      </x:c>
      <x:c r="I49" s="48" t="n">
        <x:v>0.45</x:v>
      </x:c>
      <x:c r="J49" s="48" t="n">
        <x:v>0.4</x:v>
      </x:c>
      <x:c r="K49" s="48" t="str">
        <x:v>Yes</x:v>
      </x:c>
      <x:c r="L49" s="48" t="str">
        <x:v>OCR</x:v>
      </x:c>
    </x:row>
    <x:row r="50">
      <x:c r="A50" s="48" t="str">
        <x:v>ORANGE-0049</x:v>
      </x:c>
      <x:c r="B50" s="48" t="str">
        <x:v>ORANGE</x:v>
      </x:c>
      <x:c r="C50" s="48" t="str">
        <x:v>English</x:v>
      </x:c>
      <x:c r="D50" s="48" t="n">
        <x:v>10</x:v>
      </x:c>
      <x:c r="E50" s="48" t="str"/>
      <x:c r="F50" s="48" t="str">
        <x:v>Seietgenonei bt ing al tbe ery</x:v>
      </x:c>
      <x:c r="G50" s="48" t="str">
        <x:v>Obligation</x:v>
      </x:c>
      <x:c r="H50" s="48" t="str">
        <x:v>Shared</x:v>
      </x:c>
      <x:c r="I50" s="48" t="n">
        <x:v>0.45</x:v>
      </x:c>
      <x:c r="J50" s="48" t="n">
        <x:v>0.4</x:v>
      </x:c>
      <x:c r="K50" s="48" t="str">
        <x:v>Yes</x:v>
      </x:c>
      <x:c r="L50" s="48" t="str">
        <x:v>OCR</x:v>
      </x:c>
    </x:row>
    <x:row r="51">
      <x:c r="A51" s="48" t="str">
        <x:v>ORANGE-0050</x:v>
      </x:c>
      <x:c r="B51" s="48" t="str">
        <x:v>ORANGE</x:v>
      </x:c>
      <x:c r="C51" s="48" t="str">
        <x:v>English</x:v>
      </x:c>
      <x:c r="D51" s="48" t="n">
        <x:v>10</x:v>
      </x:c>
      <x:c r="E51" s="48" t="str"/>
      <x:c r="F51" s="48" t="str">
        <x:v>Toned cde</x:v>
      </x:c>
      <x:c r="G51" s="48" t="str">
        <x:v>Obligation</x:v>
      </x:c>
      <x:c r="H51" s="48" t="str">
        <x:v>Shared</x:v>
      </x:c>
      <x:c r="I51" s="48" t="n">
        <x:v>0.45</x:v>
      </x:c>
      <x:c r="J51" s="48" t="n">
        <x:v>0.4</x:v>
      </x:c>
      <x:c r="K51" s="48" t="str">
        <x:v>Yes</x:v>
      </x:c>
      <x:c r="L51" s="48" t="str">
        <x:v>OCR</x:v>
      </x:c>
    </x:row>
    <x:row r="52">
      <x:c r="A52" s="48" t="str">
        <x:v>ORANGE-0051</x:v>
      </x:c>
      <x:c r="B52" s="48" t="str">
        <x:v>ORANGE</x:v>
      </x:c>
      <x:c r="C52" s="48" t="str">
        <x:v>English</x:v>
      </x:c>
      <x:c r="D52" s="48" t="n">
        <x:v>11</x:v>
      </x:c>
      <x:c r="E52" s="48" t="str"/>
      <x:c r="F52" s="48" t="str">
        <x:v>heer provision is male for cman be “sit” of ‘ing alt eae han wten perm ped communica, ‘ii sped me hone ae ae te Ape ‘Alleria eso wien rer tegen whe Cota th {nine ore Emtoers Rene a aes 0 Bien oh</x:v>
      </x:c>
      <x:c r="G52" s="48" t="str">
        <x:v>Obligation</x:v>
      </x:c>
      <x:c r="H52" s="48" t="str">
        <x:v>Shared</x:v>
      </x:c>
      <x:c r="I52" s="48" t="n">
        <x:v>0.45</x:v>
      </x:c>
      <x:c r="J52" s="48" t="n">
        <x:v>0.4</x:v>
      </x:c>
      <x:c r="K52" s="48" t="str">
        <x:v>Yes</x:v>
      </x:c>
      <x:c r="L52" s="48" t="str">
        <x:v>OCR</x:v>
      </x:c>
    </x:row>
    <x:row r="53">
      <x:c r="A53" s="48" t="str">
        <x:v>ORANGE-0052</x:v>
      </x:c>
      <x:c r="B53" s="48" t="str">
        <x:v>ORANGE</x:v>
      </x:c>
      <x:c r="C53" s="48" t="str">
        <x:v>English</x:v>
      </x:c>
      <x:c r="D53" s="48" t="n">
        <x:v>11</x:v>
      </x:c>
      <x:c r="E53" s="48" t="str"/>
      <x:c r="F53" s="48" t="str">
        <x:v>Emer or be Engrs Reysesie byte Canrcne tl elr</x:v>
      </x:c>
      <x:c r="G53" s="48" t="str">
        <x:v>Obligation</x:v>
      </x:c>
      <x:c r="H53" s="48" t="str">
        <x:v>Shared</x:v>
      </x:c>
      <x:c r="I53" s="48" t="n">
        <x:v>0.45</x:v>
      </x:c>
      <x:c r="J53" s="48" t="n">
        <x:v>0.4</x:v>
      </x:c>
      <x:c r="K53" s="48" t="str">
        <x:v>Yes</x:v>
      </x:c>
      <x:c r="L53" s="48" t="str">
        <x:v>OCR</x:v>
      </x:c>
    </x:row>
    <x:row r="54">
      <x:c r="A54" s="48" t="str">
        <x:v>ORANGE-0053</x:v>
      </x:c>
      <x:c r="B54" s="48" t="str">
        <x:v>ORANGE</x:v>
      </x:c>
      <x:c r="C54" s="48" t="str">
        <x:v>English</x:v>
      </x:c>
      <x:c r="D54" s="48" t="n">
        <x:v>11</x:v>
      </x:c>
      <x:c r="E54" s="48" t="str"/>
      <x:c r="F54" s="48" t="str">
        <x:v>‘iter and gin ete nee of icy ‘Saloon of he pel yten occa umm The abe fer eccip f sch omens shal he a nt Append Provblond 19 The Comicon Dac ane sn anc of te Cour Coearecin '” Chica ober tel ne Emp gore th Coc ‘Dormant onic free of Se Ene Rasta an asa Himpnyers eet 110 Copight he Conon Dans nl ter design cme made ‘Conracors.</x:v>
      </x:c>
      <x:c r="G54" s="48" t="str">
        <x:v>Obligation</x:v>
      </x:c>
      <x:c r="H54" s="48" t="str">
        <x:v>Shared</x:v>
      </x:c>
      <x:c r="I54" s="48" t="n">
        <x:v>0.45</x:v>
      </x:c>
      <x:c r="J54" s="48" t="n">
        <x:v>0.4</x:v>
      </x:c>
      <x:c r="K54" s="48" t="str">
        <x:v>Yes</x:v>
      </x:c>
      <x:c r="L54" s="48" t="str">
        <x:v>OCR</x:v>
      </x:c>
    </x:row>
    <x:row r="55">
      <x:c r="A55" s="48" t="str">
        <x:v>ORANGE-0054</x:v>
      </x:c>
      <x:c r="B55" s="48" t="str">
        <x:v>ORANGE</x:v>
      </x:c>
      <x:c r="C55" s="48" t="str">
        <x:v>English</x:v>
      </x:c>
      <x:c r="D55" s="48" t="n">
        <x:v>11</x:v>
      </x:c>
      <x:c r="E55" s="48" t="str"/>
      <x:c r="F55" s="48" t="str">
        <x:v>"fy" en thal he Cont ‘al beeen he pti) mane cman Fy th Cac he bint tn ie ‘ers pans eccrine sang ser.</x:v>
      </x:c>
      <x:c r="G55" s="48" t="str">
        <x:v>Obligation</x:v>
      </x:c>
      <x:c r="H55" s="48" t="str">
        <x:v>Shared</x:v>
      </x:c>
      <x:c r="I55" s="48" t="n">
        <x:v>0.45</x:v>
      </x:c>
      <x:c r="J55" s="48" t="n">
        <x:v>0.4</x:v>
      </x:c>
      <x:c r="K55" s="48" t="str">
        <x:v>Yes</x:v>
      </x:c>
      <x:c r="L55" s="48" t="str">
        <x:v>OCR</x:v>
      </x:c>
    </x:row>
    <x:row r="56">
      <x:c r="A56" s="48" t="str">
        <x:v>ORANGE-0055</x:v>
      </x:c>
      <x:c r="B56" s="48" t="str">
        <x:v>ORANGE</x:v>
      </x:c>
      <x:c r="C56" s="48" t="str">
        <x:v>English</x:v>
      </x:c>
      <x:c r="D56" s="48" t="n">
        <x:v>11</x:v>
      </x:c>
      <x:c r="E56" s="48" t="str"/>
      <x:c r="F56" s="48" t="str">
        <x:v>Mey ‘oa ot Tey ulm erie Cenc ce by ak. {Spe commanic! oh ry he Hao he Eee</x:v>
      </x:c>
      <x:c r="G56" s="48" t="str">
        <x:v>Obligation</x:v>
      </x:c>
      <x:c r="H56" s="48" t="str">
        <x:v>Shared</x:v>
      </x:c>
      <x:c r="I56" s="48" t="n">
        <x:v>0.45</x:v>
      </x:c>
      <x:c r="J56" s="48" t="n">
        <x:v>0.4</x:v>
      </x:c>
      <x:c r="K56" s="48" t="str">
        <x:v>Yes</x:v>
      </x:c>
      <x:c r="L56" s="48" t="str">
        <x:v>OCR</x:v>
      </x:c>
    </x:row>
    <x:row r="57">
      <x:c r="A57" s="48" t="str">
        <x:v>ORANGE-0056</x:v>
      </x:c>
      <x:c r="B57" s="48" t="str">
        <x:v>ORANGE</x:v>
      </x:c>
      <x:c r="C57" s="48" t="str">
        <x:v>English</x:v>
      </x:c>
      <x:c r="D57" s="48" t="n">
        <x:v>11</x:v>
      </x:c>
      <x:c r="E57" s="48" t="str"/>
      <x:c r="F57" s="48" t="str">
        <x:v>Rhee fr er popes</x:v>
      </x:c>
      <x:c r="G57" s="48" t="str">
        <x:v>Obligation</x:v>
      </x:c>
      <x:c r="H57" s="48" t="str">
        <x:v>Shared</x:v>
      </x:c>
      <x:c r="I57" s="48" t="n">
        <x:v>0.45</x:v>
      </x:c>
      <x:c r="J57" s="48" t="n">
        <x:v>0.4</x:v>
      </x:c>
      <x:c r="K57" s="48" t="str">
        <x:v>Yes</x:v>
      </x:c>
      <x:c r="L57" s="48" t="str">
        <x:v>OCR</x:v>
      </x:c>
    </x:row>
    <x:row r="58">
      <x:c r="A58" s="48" t="str">
        <x:v>ORANGE-0057</x:v>
      </x:c>
      <x:c r="B58" s="48" t="str">
        <x:v>ORANGE</x:v>
      </x:c>
      <x:c r="C58" s="48" t="str">
        <x:v>English</x:v>
      </x:c>
      <x:c r="D58" s="48" t="n">
        <x:v>11</x:v>
      </x:c>
      <x:c r="E58" s="48" t="str"/>
      <x:c r="F58" s="48" t="str">
        <x:v>Contraco’ seo 111 Copyigt in te EmpoerRegsemens a ter document sad by th</x:v>
      </x:c>
      <x:c r="G58" s="48" t="str">
        <x:v>Obligation</x:v>
      </x:c>
      <x:c r="H58" s="48" t="str">
        <x:v>Shared</x:v>
      </x:c>
      <x:c r="I58" s="48" t="n">
        <x:v>0.45</x:v>
      </x:c>
      <x:c r="J58" s="48" t="n">
        <x:v>0.4</x:v>
      </x:c>
      <x:c r="K58" s="48" t="str">
        <x:v>Yes</x:v>
      </x:c>
      <x:c r="L58" s="48" t="str">
        <x:v>OCR</x:v>
      </x:c>
    </x:row>
    <x:row r="59">
      <x:c r="A59" s="48" t="str">
        <x:v>ORANGE-0058</x:v>
      </x:c>
      <x:c r="B59" s="48" t="str">
        <x:v>ORANGE</x:v>
      </x:c>
      <x:c r="C59" s="48" t="str">
        <x:v>English</x:v>
      </x:c>
      <x:c r="D59" s="48" t="n">
        <x:v>11</x:v>
      </x:c>
      <x:c r="E59" s="48" t="str"/>
      <x:c r="F59" s="48" t="str">
        <x:v>Timers Enya Enger Represent al x ees</x:v>
      </x:c>
      <x:c r="G59" s="48" t="str">
        <x:v>Obligation</x:v>
      </x:c>
      <x:c r="H59" s="48" t="str">
        <x:v>Shared</x:v>
      </x:c>
      <x:c r="I59" s="48" t="n">
        <x:v>0.45</x:v>
      </x:c>
      <x:c r="J59" s="48" t="n">
        <x:v>0.4</x:v>
      </x:c>
      <x:c r="K59" s="48" t="str">
        <x:v>Yes</x:v>
      </x:c>
      <x:c r="L59" s="48" t="str">
        <x:v>OCR</x:v>
      </x:c>
    </x:row>
    <x:row r="60">
      <x:c r="A60" s="48" t="str">
        <x:v>ORANGE-0059</x:v>
      </x:c>
      <x:c r="B60" s="48" t="str">
        <x:v>ORANGE</x:v>
      </x:c>
      <x:c r="C60" s="48" t="str">
        <x:v>English</x:v>
      </x:c>
      <x:c r="D60" s="48" t="n">
        <x:v>11</x:v>
      </x:c>
      <x:c r="E60" s="48" t="str"/>
      <x:c r="F60" s="48" t="str">
        <x:v>‘omens the es onan he pepe he Epler The Coma a he {Ss ep ae ome a ch caer par ‘Cnn Te sa thot he lye comet be copied ‘Soman pty yt Cam, nes ft Contd als 112 The Cece shal ot be reid ace. w te Empleo he [Empyers Repose he oe do ted it Append Comptes ni 112 Tones dh inal mt cng ete ptm te Core, “Rasiya win give ace ude yale rouse he reves equation and Sayan este onan other on yest amy sts gay comtuted plc story ving ution vee Wows Te (Ceo ch cn a pols brn rye apd oy st ‘Se hata ean a ng ca i a ley ‘a ant Mes an cp of he Wes The Elser 2d te ‘ono shal empl wb elo ech eum eaves se evlomed ‘iy ‘ach pence sll be jimly a vey abe to he Employer forthe ‘Smet fe ems fhe Cot Sh pron hal depo ‘em onc ear nah sory ba ha eet rt) ‘mon aim men, Te cc es</x:v>
      </x:c>
      <x:c r="G60" s="48" t="str">
        <x:v>Obligation</x:v>
      </x:c>
      <x:c r="H60" s="48" t="str">
        <x:v>Employer</x:v>
      </x:c>
      <x:c r="I60" s="48" t="n">
        <x:v>0.45</x:v>
      </x:c>
      <x:c r="J60" s="48" t="n">
        <x:v>0.68</x:v>
      </x:c>
      <x:c r="K60" s="48" t="str">
        <x:v>Yes</x:v>
      </x:c>
      <x:c r="L60" s="48" t="str">
        <x:v>OCR</x:v>
      </x:c>
    </x:row>
    <x:row r="61">
      <x:c r="A61" s="48" t="str">
        <x:v>ORANGE-0060</x:v>
      </x:c>
      <x:c r="B61" s="48" t="str">
        <x:v>ORANGE</x:v>
      </x:c>
      <x:c r="C61" s="48" t="str">
        <x:v>English</x:v>
      </x:c>
      <x:c r="D61" s="48" t="n">
        <x:v>12</x:v>
      </x:c>
      <x:c r="E61" s="48" t="str">
        <x:v>2</x:v>
      </x:c>
      <x:c r="F61" s="48" t="str">
        <x:v>2 The Employer</x:v>
      </x:c>
      <x:c r="G61" s="48" t="str">
        <x:v>Heading</x:v>
      </x:c>
      <x:c r="H61" s="48" t="str"/>
      <x:c r="I61" s="48" t="n">
        <x:v>0.9</x:v>
      </x:c>
      <x:c r="J61" s="48" t="n">
        <x:v>0.99</x:v>
      </x:c>
      <x:c r="K61" s="48" t="str">
        <x:v>No</x:v>
      </x:c>
      <x:c r="L61" s="48" t="str">
        <x:v>OCR</x:v>
      </x:c>
    </x:row>
    <x:row r="62">
      <x:c r="A62" s="48" t="str">
        <x:v>ORANGE-0061</x:v>
      </x:c>
      <x:c r="B62" s="48" t="str">
        <x:v>ORANGE</x:v>
      </x:c>
      <x:c r="C62" s="48" t="str">
        <x:v>English</x:v>
      </x:c>
      <x:c r="D62" s="48" t="n">
        <x:v>12</x:v>
      </x:c>
      <x:c r="E62" s="48" t="str"/>
      <x:c r="F62" s="48" t="str">
        <x:v>‘ocr ummains 21h ror tei py emir noose ‘Aces toand 22.</x:v>
      </x:c>
      <x:c r="G62" s="48" t="str">
        <x:v>Obligation</x:v>
      </x:c>
      <x:c r="H62" s="48" t="str">
        <x:v>Shared</x:v>
      </x:c>
      <x:c r="I62" s="48" t="n">
        <x:v>0.45</x:v>
      </x:c>
      <x:c r="J62" s="48" t="n">
        <x:v>0.4</x:v>
      </x:c>
      <x:c r="K62" s="48" t="str">
        <x:v>Yes</x:v>
      </x:c>
      <x:c r="L62" s="48" t="str">
        <x:v>OCR</x:v>
      </x:c>
    </x:row>
    <x:row r="63">
      <x:c r="A63" s="48" t="str">
        <x:v>ORANGE-0062</x:v>
      </x:c>
      <x:c r="B63" s="48" t="str">
        <x:v>ORANGE</x:v>
      </x:c>
      <x:c r="C63" s="48" t="str">
        <x:v>English</x:v>
      </x:c>
      <x:c r="D63" s="48" t="n">
        <x:v>12</x:v>
      </x:c>
      <x:c r="E63" s="48" t="str"/>
      <x:c r="F63" s="48" t="str">
        <x:v>The Bape sal gt he Counter igh fet and passion roscnon hed San te tne td ne Apne Teder Shhh md (Se pouenton ay ate cuore be nee</x:v>
      </x:c>
      <x:c r="G63" s="48" t="str">
        <x:v>Obligation</x:v>
      </x:c>
      <x:c r="H63" s="48" t="str">
        <x:v>Shared</x:v>
      </x:c>
      <x:c r="I63" s="48" t="n">
        <x:v>0.45</x:v>
      </x:c>
      <x:c r="J63" s="48" t="n">
        <x:v>0.4</x:v>
      </x:c>
      <x:c r="K63" s="48" t="str">
        <x:v>Yes</x:v>
      </x:c>
      <x:c r="L63" s="48" t="str">
        <x:v>OCR</x:v>
      </x:c>
    </x:row>
    <x:row r="64">
      <x:c r="A64" s="48" t="str">
        <x:v>ORANGE-0063</x:v>
      </x:c>
      <x:c r="B64" s="48" t="str">
        <x:v>ORANGE</x:v>
      </x:c>
      <x:c r="C64" s="48" t="str">
        <x:v>English</x:v>
      </x:c>
      <x:c r="D64" s="48" t="n">
        <x:v>12</x:v>
      </x:c>
      <x:c r="E64" s="48" t="str"/>
      <x:c r="F64" s="48" t="str">
        <x:v>Ne Coracor sen ey andra Cot om aie eh ar of</x:v>
      </x:c>
      <x:c r="G64" s="48" t="str">
        <x:v>Obligation</x:v>
      </x:c>
      <x:c r="H64" s="48" t="str">
        <x:v>Shared</x:v>
      </x:c>
      <x:c r="I64" s="48" t="n">
        <x:v>0.45</x:v>
      </x:c>
      <x:c r="J64" s="48" t="n">
        <x:v>0.4</x:v>
      </x:c>
      <x:c r="K64" s="48" t="str">
        <x:v>Yes</x:v>
      </x:c>
      <x:c r="L64" s="48" t="str">
        <x:v>OCR</x:v>
      </x:c>
    </x:row>
    <x:row r="65">
      <x:c r="A65" s="48" t="str">
        <x:v>ORANGE-0064</x:v>
      </x:c>
      <x:c r="B65" s="48" t="str">
        <x:v>ORANGE</x:v>
      </x:c>
      <x:c r="C65" s="48" t="str">
        <x:v>English</x:v>
      </x:c>
      <x:c r="D65" s="48" t="n">
        <x:v>12</x:v>
      </x:c>
      <x:c r="E65" s="48" t="str"/>
      <x:c r="F65" s="48" t="str">
        <x:v>Ernie to on ho ace wo pose he Se he Canter</x:v>
      </x:c>
      <x:c r="G65" s="48" t="str">
        <x:v>Obligation</x:v>
      </x:c>
      <x:c r="H65" s="48" t="str">
        <x:v>Shared</x:v>
      </x:c>
      <x:c r="I65" s="48" t="n">
        <x:v>0.45</x:v>
      </x:c>
      <x:c r="J65" s="48" t="n">
        <x:v>0.4</x:v>
      </x:c>
      <x:c r="K65" s="48" t="str">
        <x:v>Yes</x:v>
      </x:c>
      <x:c r="L65" s="48" t="str">
        <x:v>OCR</x:v>
      </x:c>
    </x:row>
    <x:row r="66">
      <x:c r="A66" s="48" t="str">
        <x:v>ORANGE-0065</x:v>
      </x:c>
      <x:c r="B66" s="48" t="str">
        <x:v>ORANGE</x:v>
      </x:c>
      <x:c r="C66" s="48" t="str">
        <x:v>English</x:v>
      </x:c>
      <x:c r="D66" s="48" t="n">
        <x:v>12</x:v>
      </x:c>
      <x:c r="E66" s="48" t="str"/>
      <x:c r="F66" s="48" t="str">
        <x:v>‘higeenaeme Cale Haprcnae Aterreeot ch e © amo Ct pm pt ch he a sn sal ut he Catteni Permits ener 21 The Epo le est ant ot fhe Cntr, st i in ‘Repo pry Sums pray mone enemy yr ‘BE Wenn for devry cag ewan hop cas) of Pas</x:v>
      </x:c>
      <x:c r="G66" s="48" t="str">
        <x:v>Obligation</x:v>
      </x:c>
      <x:c r="H66" s="48" t="str">
        <x:v>Shared</x:v>
      </x:c>
      <x:c r="I66" s="48" t="n">
        <x:v>0.45</x:v>
      </x:c>
      <x:c r="J66" s="48" t="n">
        <x:v>0.4</x:v>
      </x:c>
      <x:c r="K66" s="48" t="str">
        <x:v>Yes</x:v>
      </x:c>
      <x:c r="L66" s="48" t="str">
        <x:v>OCR</x:v>
      </x:c>
    </x:row>
    <x:row r="67">
      <x:c r="A67" s="48" t="str">
        <x:v>ORANGE-0066</x:v>
      </x:c>
      <x:c r="B67" s="48" t="str">
        <x:v>ORANGE</x:v>
      </x:c>
      <x:c r="C67" s="48" t="str">
        <x:v>English</x:v>
      </x:c>
      <x:c r="D67" s="48" t="n">
        <x:v>12</x:v>
      </x:c>
      <x:c r="E67" s="48" t="str"/>
      <x:c r="F67" s="48" t="str">
        <x:v>Necrls nf Coombes, al te smpiion of be Wo</x:v>
      </x:c>
      <x:c r="G67" s="48" t="str">
        <x:v>Obligation</x:v>
      </x:c>
      <x:c r="H67" s="48" t="str">
        <x:v>Shared</x:v>
      </x:c>
      <x:c r="I67" s="48" t="n">
        <x:v>0.45</x:v>
      </x:c>
      <x:c r="J67" s="48" t="n">
        <x:v>0.4</x:v>
      </x:c>
      <x:c r="K67" s="48" t="str">
        <x:v>Yes</x:v>
      </x:c>
      <x:c r="L67" s="48" t="str">
        <x:v>OCR</x:v>
      </x:c>
    </x:row>
    <x:row r="68">
      <x:c r="A68" s="48" t="str">
        <x:v>ORANGE-0067</x:v>
      </x:c>
      <x:c r="B68" s="48" t="str">
        <x:v>ORANGE</x:v>
      </x:c>
      <x:c r="C68" s="48" t="str">
        <x:v>English</x:v>
      </x:c>
      <x:c r="D68" s="48" t="n">
        <x:v>12</x:v>
      </x:c>
      <x:c r="E68" s="48" t="str"/>
      <x:c r="F68" s="48" t="str">
        <x:v>‘Siivegous may ah coe ropes fo be Emer se sprben aan me ow spo Ce Employers 24 The Ener sl be ctl wie the Cnr. se Employes eattamento "Somat ay tne ar Bing 3 porn fo the Cece.</x:v>
      </x:c>
      <x:c r="G68" s="48" t="str">
        <x:v>Right</x:v>
      </x:c>
      <x:c r="H68" s="48" t="str">
        <x:v>Shared</x:v>
      </x:c>
      <x:c r="I68" s="48" t="n">
        <x:v>0.78</x:v>
      </x:c>
      <x:c r="J68" s="48" t="n">
        <x:v>0.4</x:v>
      </x:c>
      <x:c r="K68" s="48" t="str">
        <x:v>Yes</x:v>
      </x:c>
      <x:c r="L68" s="48" t="str">
        <x:v>OCR</x:v>
      </x:c>
    </x:row>
    <x:row r="69">
      <x:c r="A69" s="48" t="str">
        <x:v>ORANGE-0068</x:v>
      </x:c>
      <x:c r="B69" s="48" t="str">
        <x:v>ORANGE</x:v>
      </x:c>
      <x:c r="C69" s="48" t="str">
        <x:v>English</x:v>
      </x:c>
      <x:c r="D69" s="48" t="n">
        <x:v>12</x:v>
      </x:c>
      <x:c r="E69" s="48" t="str"/>
      <x:c r="F69" s="48" t="str">
        <x:v>Teen Sin TaSaecemnn nce ens</x:v>
      </x:c>
      <x:c r="G69" s="48" t="str">
        <x:v>Obligation</x:v>
      </x:c>
      <x:c r="H69" s="48" t="str">
        <x:v>Shared</x:v>
      </x:c>
      <x:c r="I69" s="48" t="n">
        <x:v>0.45</x:v>
      </x:c>
      <x:c r="J69" s="48" t="n">
        <x:v>0.4</x:v>
      </x:c>
      <x:c r="K69" s="48" t="str">
        <x:v>Yes</x:v>
      </x:c>
      <x:c r="L69" s="48" t="str">
        <x:v>OCR</x:v>
      </x:c>
    </x:row>
    <x:row r="70">
      <x:c r="A70" s="48" t="str">
        <x:v>ORANGE-0069</x:v>
      </x:c>
      <x:c r="B70" s="48" t="str">
        <x:v>ORANGE</x:v>
      </x:c>
      <x:c r="C70" s="48" t="str">
        <x:v>English</x:v>
      </x:c>
      <x:c r="D70" s="48" t="n">
        <x:v>12</x:v>
      </x:c>
      <x:c r="E70" s="48" t="str"/>
      <x:c r="F70" s="48" t="str">
        <x:v>(a) shal paca in acne wi Sah Cas 1632 (0) sae py te Epo scence wih Sb Case 196 ‘Sie pero of x yarn nut the Comair consent 3 ‘The Employer's Representative</x:v>
      </x:c>
      <x:c r="G70" s="48" t="str">
        <x:v>Obligation</x:v>
      </x:c>
      <x:c r="H70" s="48" t="str">
        <x:v>Employer</x:v>
      </x:c>
      <x:c r="I70" s="48" t="n">
        <x:v>0.45</x:v>
      </x:c>
      <x:c r="J70" s="48" t="n">
        <x:v>0.68</x:v>
      </x:c>
      <x:c r="K70" s="48" t="str">
        <x:v>Yes</x:v>
      </x:c>
      <x:c r="L70" s="48" t="str">
        <x:v>OCR</x:v>
      </x:c>
    </x:row>
    <x:row r="71">
      <x:c r="A71" s="48" t="str">
        <x:v>ORANGE-0070</x:v>
      </x:c>
      <x:c r="B71" s="48" t="str">
        <x:v>ORANGE</x:v>
      </x:c>
      <x:c r="C71" s="48" t="str">
        <x:v>English</x:v>
      </x:c>
      <x:c r="D71" s="48" t="n">
        <x:v>12</x:v>
      </x:c>
      <x:c r="E71" s="48" t="str"/>
      <x:c r="F71" s="48" t="str">
        <x:v>Emplne’s AI The ployer’ Repscve al cary othe dats sei te</x:v>
      </x:c>
      <x:c r="G71" s="48" t="str">
        <x:v>Obligation</x:v>
      </x:c>
      <x:c r="H71" s="48" t="str">
        <x:v>Shared</x:v>
      </x:c>
      <x:c r="I71" s="48" t="n">
        <x:v>0.45</x:v>
      </x:c>
      <x:c r="J71" s="48" t="n">
        <x:v>0.4</x:v>
      </x:c>
      <x:c r="K71" s="48" t="str">
        <x:v>Yes</x:v>
      </x:c>
      <x:c r="L71" s="48" t="str">
        <x:v>OCR</x:v>
      </x:c>
    </x:row>
    <x:row r="72">
      <x:c r="A72" s="48" t="str">
        <x:v>ORANGE-0071</x:v>
      </x:c>
      <x:c r="B72" s="48" t="str">
        <x:v>ORANGE</x:v>
      </x:c>
      <x:c r="C72" s="48" t="str">
        <x:v>English</x:v>
      </x:c>
      <x:c r="D72" s="48" t="n">
        <x:v>12</x:v>
      </x:c>
      <x:c r="E72" s="48" t="str"/>
      <x:c r="F72" s="48" t="str">
        <x:v>eames Gute Eps ocr an oy ed "ton “The Employers Repesetine may exe bony spied ino (mrssury be pdm te Cora te Ens Reprsoaire {Sree ans erm spine yh lye an</x:v>
      </x:c>
      <x:c r="G72" s="48" t="str">
        <x:v>Right</x:v>
      </x:c>
      <x:c r="H72" s="48" t="str">
        <x:v>Shared</x:v>
      </x:c>
      <x:c r="I72" s="48" t="n">
        <x:v>0.78</x:v>
      </x:c>
      <x:c r="J72" s="48" t="n">
        <x:v>0.4</x:v>
      </x:c>
      <x:c r="K72" s="48" t="str">
        <x:v>Yes</x:v>
      </x:c>
      <x:c r="L72" s="48" t="str">
        <x:v>OCR</x:v>
      </x:c>
    </x:row>
    <x:row r="73">
      <x:c r="A73" s="48" t="str">
        <x:v>ORANGE-0072</x:v>
      </x:c>
      <x:c r="B73" s="48" t="str">
        <x:v>ORANGE</x:v>
      </x:c>
      <x:c r="C73" s="48" t="str">
        <x:v>English</x:v>
      </x:c>
      <x:c r="D73" s="48" t="n">
        <x:v>12</x:v>
      </x:c>
      <x:c r="E73" s="48" t="str"/>
      <x:c r="F73" s="48" t="str">
        <x:v>Sooo laf ie Eee ee crocang x thn ch</x:v>
      </x:c>
      <x:c r="G73" s="48" t="str">
        <x:v>Obligation</x:v>
      </x:c>
      <x:c r="H73" s="48" t="str">
        <x:v>Shared</x:v>
      </x:c>
      <x:c r="I73" s="48" t="n">
        <x:v>0.45</x:v>
      </x:c>
      <x:c r="J73" s="48" t="n">
        <x:v>0.4</x:v>
      </x:c>
      <x:c r="K73" s="48" t="str">
        <x:v>Yes</x:v>
      </x:c>
      <x:c r="L73" s="48" t="str">
        <x:v>OCR</x:v>
      </x:c>
    </x:row>
    <x:row r="74">
      <x:c r="A74" s="48" t="str">
        <x:v>ORANGE-0073</x:v>
      </x:c>
      <x:c r="B74" s="48" t="str">
        <x:v>ORANGE</x:v>
      </x:c>
      <x:c r="C74" s="48" t="str">
        <x:v>English</x:v>
      </x:c>
      <x:c r="D74" s="48" t="n">
        <x:v>12</x:v>
      </x:c>
      <x:c r="E74" s="48" t="str"/>
      <x:c r="F74" s="48" t="str">
        <x:v>‘jose all eas tun Pat Any rqate ape Sal</x:v>
      </x:c>
      <x:c r="G74" s="48" t="str">
        <x:v>Obligation</x:v>
      </x:c>
      <x:c r="H74" s="48" t="str">
        <x:v>Shared</x:v>
      </x:c>
      <x:c r="I74" s="48" t="n">
        <x:v>0.45</x:v>
      </x:c>
      <x:c r="J74" s="48" t="n">
        <x:v>0.4</x:v>
      </x:c>
      <x:c r="K74" s="48" t="str">
        <x:v>Yes</x:v>
      </x:c>
      <x:c r="L74" s="48" t="str">
        <x:v>OCR</x:v>
      </x:c>
    </x:row>
    <x:row r="75">
      <x:c r="A75" s="48" t="str">
        <x:v>ORANGE-0074</x:v>
      </x:c>
      <x:c r="B75" s="48" t="str">
        <x:v>ORANGE</x:v>
      </x:c>
      <x:c r="C75" s="48" t="str">
        <x:v>English</x:v>
      </x:c>
      <x:c r="D75" s="48" t="n">
        <x:v>12</x:v>
      </x:c>
      <x:c r="E75" s="48" t="str"/>
      <x:c r="F75" s="48" t="str">
        <x:v>Stn hve ben en ye Epler ay sch oon ened</x:v>
      </x:c>
      <x:c r="G75" s="48" t="str">
        <x:v>Obligation</x:v>
      </x:c>
      <x:c r="H75" s="48" t="str">
        <x:v>Shared</x:v>
      </x:c>
      <x:c r="I75" s="48" t="n">
        <x:v>0.45</x:v>
      </x:c>
      <x:c r="J75" s="48" t="n">
        <x:v>0.4</x:v>
      </x:c>
      <x:c r="K75" s="48" t="str">
        <x:v>Yes</x:v>
      </x:c>
      <x:c r="L75" s="48" t="str">
        <x:v>OCR</x:v>
      </x:c>
    </x:row>
    <x:row r="76">
      <x:c r="A76" s="48" t="str">
        <x:v>ORANGE-0075</x:v>
      </x:c>
      <x:c r="B76" s="48" t="str">
        <x:v>ORANGE</x:v>
      </x:c>
      <x:c r="C76" s="48" t="str">
        <x:v>English</x:v>
      </x:c>
      <x:c r="D76" s="48" t="n">
        <x:v>12</x:v>
      </x:c>
      <x:c r="E76" s="48" t="str"/>
      <x:c r="F76" s="48" t="str">
        <x:v>‘the Empyers Rescate:</x:v>
      </x:c>
      <x:c r="G76" s="48" t="str">
        <x:v>Obligation</x:v>
      </x:c>
      <x:c r="H76" s="48" t="str">
        <x:v>Shared</x:v>
      </x:c>
      <x:c r="I76" s="48" t="n">
        <x:v>0.45</x:v>
      </x:c>
      <x:c r="J76" s="48" t="n">
        <x:v>0.4</x:v>
      </x:c>
      <x:c r="K76" s="48" t="str">
        <x:v>Yes</x:v>
      </x:c>
      <x:c r="L76" s="48" t="str">
        <x:v>OCR</x:v>
      </x:c>
    </x:row>
    <x:row r="77">
      <x:c r="A77" s="48" t="str">
        <x:v>ORANGE-0076</x:v>
      </x:c>
      <x:c r="B77" s="48" t="str">
        <x:v>ORANGE</x:v>
      </x:c>
      <x:c r="C77" s="48" t="str">
        <x:v>English</x:v>
      </x:c>
      <x:c r="D77" s="48" t="n">
        <x:v>13</x:v>
      </x:c>
      <x:c r="E77" s="48" t="str"/>
      <x:c r="F77" s="48" t="str">
        <x:v>Except as egress i the Conlon of Cnc. he Epler epee Sl hve no suey cer Be Coat oS fh ‘ites ligating ae the Cac Ah ‘Sis dren sn compas wis S-Class 3.3 sad 3</x:v>
      </x:c>
      <x:c r="G77" s="48" t="str">
        <x:v>Obligation</x:v>
      </x:c>
      <x:c r="H77" s="48" t="str">
        <x:v>Shared</x:v>
      </x:c>
      <x:c r="I77" s="48" t="n">
        <x:v>0.45</x:v>
      </x:c>
      <x:c r="J77" s="48" t="n">
        <x:v>0.4</x:v>
      </x:c>
      <x:c r="K77" s="48" t="str">
        <x:v>Yes</x:v>
      </x:c>
      <x:c r="L77" s="48" t="str">
        <x:v>OCR</x:v>
      </x:c>
    </x:row>
    <x:row r="78">
      <x:c r="A78" s="48" t="str">
        <x:v>ORANGE-0077</x:v>
      </x:c>
      <x:c r="B78" s="48" t="str">
        <x:v>ORANGE</x:v>
      </x:c>
      <x:c r="C78" s="48" t="str">
        <x:v>English</x:v>
      </x:c>
      <x:c r="D78" s="48" t="n">
        <x:v>13</x:v>
      </x:c>
      <x:c r="E78" s="48" t="str"/>
      <x:c r="F78" s="48" t="str">
        <x:v>The Enger Repent lo ote Employer al commuicions</x:v>
      </x:c>
      <x:c r="G78" s="48" t="str">
        <x:v>Obligation</x:v>
      </x:c>
      <x:c r="H78" s="48" t="str">
        <x:v>Employer</x:v>
      </x:c>
      <x:c r="I78" s="48" t="n">
        <x:v>0.45</x:v>
      </x:c>
      <x:c r="J78" s="48" t="n">
        <x:v>0.68</x:v>
      </x:c>
      <x:c r="K78" s="48" t="str">
        <x:v>Yes</x:v>
      </x:c>
      <x:c r="L78" s="48" t="str">
        <x:v>OCR</x:v>
      </x:c>
    </x:row>
    <x:row r="79">
      <x:c r="A79" s="48" t="str">
        <x:v>ORANGE-0078</x:v>
      </x:c>
      <x:c r="B79" s="48" t="str">
        <x:v>ORANGE</x:v>
      </x:c>
      <x:c r="C79" s="48" t="str">
        <x:v>English</x:v>
      </x:c>
      <x:c r="D79" s="48" t="n">
        <x:v>13</x:v>
      </x:c>
      <x:c r="E79" s="48" t="str"/>
      <x:c r="F79" s="48" t="str">
        <x:v>‘esr received bhi a onan ie Co equrnwnifer 42.</x:v>
      </x:c>
      <x:c r="G79" s="48" t="str">
        <x:v>Obligation</x:v>
      </x:c>
      <x:c r="H79" s="48" t="str">
        <x:v>Shared</x:v>
      </x:c>
      <x:c r="I79" s="48" t="n">
        <x:v>0.45</x:v>
      </x:c>
      <x:c r="J79" s="48" t="n">
        <x:v>0.4</x:v>
      </x:c>
      <x:c r="K79" s="48" t="str">
        <x:v>Yes</x:v>
      </x:c>
      <x:c r="L79" s="48" t="str">
        <x:v>OCR</x:v>
      </x:c>
    </x:row>
    <x:row r="80">
      <x:c r="A80" s="48" t="str">
        <x:v>ORANGE-0079</x:v>
      </x:c>
      <x:c r="B80" s="48" t="str">
        <x:v>ORANGE</x:v>
      </x:c>
      <x:c r="C80" s="48" t="str">
        <x:v>English</x:v>
      </x:c>
      <x:c r="D80" s="48" t="n">
        <x:v>13</x:v>
      </x:c>
      <x:c r="E80" s="48" t="str"/>
      <x:c r="F80" s="48" t="str">
        <x:v>The ingloers Reps ale wy quid nga ther miners" oath ee di ay a ‘ince eternal and uke est ae for Canase Empiyer’ —A3- The Employer's Rese may fon ne te pte ay fs egresematnes "dies oasis a a ine ce ay uch apy "Atherty © Slogaonrevecaon tb ing at ht nl con ‘Daeg hacker erd ee Employed Cte ‘ny dermis, insti, inecin. examination, sing. comet ‘pyotl or imlarat by my ach nan of cE Reese ‘Tonsce wi Spice altars et cat eg hed ‘schatararine empnet enema ee (2) any fale w csappo ay Pu, Macias, design or wrap ‘Ratt epade te aif npn epee tore pea</x:v>
      </x:c>
      <x:c r="G80" s="48" t="str">
        <x:v>Right</x:v>
      </x:c>
      <x:c r="H80" s="48" t="str">
        <x:v>Employer</x:v>
      </x:c>
      <x:c r="I80" s="48" t="n">
        <x:v>0.78</x:v>
      </x:c>
      <x:c r="J80" s="48" t="n">
        <x:v>0.68</x:v>
      </x:c>
      <x:c r="K80" s="48" t="str">
        <x:v>Yes</x:v>
      </x:c>
      <x:c r="L80" s="48" t="str">
        <x:v>OCR</x:v>
      </x:c>
    </x:row>
    <x:row r="81">
      <x:c r="A81" s="48" t="str">
        <x:v>ORANGE-0080</x:v>
      </x:c>
      <x:c r="B81" s="48" t="str">
        <x:v>ORANGE</x:v>
      </x:c>
      <x:c r="C81" s="48" t="str">
        <x:v>English</x:v>
      </x:c>
      <x:c r="D81" s="48" t="n">
        <x:v>13</x:v>
      </x:c>
      <x:c r="E81" s="48" t="str"/>
      <x:c r="F81" s="48" t="str">
        <x:v>Plt tra hee ek</x:v>
      </x:c>
      <x:c r="G81" s="48" t="str">
        <x:v>Obligation</x:v>
      </x:c>
      <x:c r="H81" s="48" t="str">
        <x:v>Shared</x:v>
      </x:c>
      <x:c r="I81" s="48" t="n">
        <x:v>0.45</x:v>
      </x:c>
      <x:c r="J81" s="48" t="n">
        <x:v>0.4</x:v>
      </x:c>
      <x:c r="K81" s="48" t="str">
        <x:v>Yes</x:v>
      </x:c>
      <x:c r="L81" s="48" t="str">
        <x:v>OCR</x:v>
      </x:c>
    </x:row>
    <x:row r="82">
      <x:c r="A82" s="48" t="str">
        <x:v>ORANGE-0081</x:v>
      </x:c>
      <x:c r="B82" s="48" t="str">
        <x:v>ORANGE</x:v>
      </x:c>
      <x:c r="C82" s="48" t="str">
        <x:v>English</x:v>
      </x:c>
      <x:c r="D82" s="48" t="n">
        <x:v>13</x:v>
      </x:c>
      <x:c r="E82" s="48" t="str"/>
      <x:c r="F82" s="48" t="str">
        <x:v>1% se Conroy Semin onc of 8 te {i'Se Employer’ Reena he Cnn yee he ar te tnplgers Rayner Sheil elon vere of vay ‘Sermnatn oar aress 34 os py yey pm. he Conc sa cmp sarees “* a ge Eas cane mane he Employer's 15 When he Employer’ Repeeaive emi tine vale, Coto maps RS italy meanest Comer en Se, tet heement_ Semen apron levee Boers Reps a ‘Smee mea enya ede wie Com 4 ‘The Contractor ‘Genet Obigaom: 41 The Was as comp the Came lb hala aca i ‘he Count re pro sh hy ae aw det {= Comac.</x:v>
      </x:c>
      <x:c r="G82" s="48" t="str">
        <x:v>Obligation</x:v>
      </x:c>
      <x:c r="H82" s="48" t="str">
        <x:v>Shared</x:v>
      </x:c>
      <x:c r="I82" s="48" t="n">
        <x:v>0.45</x:v>
      </x:c>
      <x:c r="J82" s="48" t="n">
        <x:v>0.6</x:v>
      </x:c>
      <x:c r="K82" s="48" t="str">
        <x:v>Yes</x:v>
      </x:c>
      <x:c r="L82" s="48" t="str">
        <x:v>OCR</x:v>
      </x:c>
    </x:row>
    <x:row r="83">
      <x:c r="A83" s="48" t="str">
        <x:v>ORANGE-0082</x:v>
      </x:c>
      <x:c r="B83" s="48" t="str">
        <x:v>ORANGE</x:v>
      </x:c>
      <x:c r="C83" s="48" t="str">
        <x:v>English</x:v>
      </x:c>
      <x:c r="D83" s="48" t="n">
        <x:v>13</x:v>
      </x:c>
      <x:c r="E83" s="48" t="str"/>
      <x:c r="F83" s="48" t="str">
        <x:v>The Wer ol wc ty oa ch cea to an {te nloer® Regent Concur Pope snd Seba, ot {Senet seniors er Cc ny Se ln ‘ce ray conto ahi bl ice opera ioe tons</x:v>
      </x:c>
      <x:c r="G83" s="48" t="str">
        <x:v>Obligation</x:v>
      </x:c>
      <x:c r="H83" s="48" t="str">
        <x:v>Shared</x:v>
      </x:c>
      <x:c r="I83" s="48" t="n">
        <x:v>0.45</x:v>
      </x:c>
      <x:c r="J83" s="48" t="n">
        <x:v>0.4</x:v>
      </x:c>
      <x:c r="K83" s="48" t="str">
        <x:v>Yes</x:v>
      </x:c>
      <x:c r="L83" s="48" t="str">
        <x:v>OCR</x:v>
      </x:c>
    </x:row>
    <x:row r="84">
      <x:c r="A84" s="48" t="str">
        <x:v>ORANGE-0083</x:v>
      </x:c>
      <x:c r="B84" s="48" t="str">
        <x:v>ORANGE</x:v>
      </x:c>
      <x:c r="C84" s="48" t="str">
        <x:v>English</x:v>
      </x:c>
      <x:c r="D84" s="48" t="n">
        <x:v>14</x:v>
      </x:c>
      <x:c r="E84" s="48" t="str"/>
      <x:c r="F84" s="48" t="str">
        <x:v>‘re Covracor sat design coe ant compe te Woks, cane ovate a nit et ot</x:v>
      </x:c>
      <x:c r="G84" s="48" t="str">
        <x:v>Obligation</x:v>
      </x:c>
      <x:c r="H84" s="48" t="str">
        <x:v>Shared</x:v>
      </x:c>
      <x:c r="I84" s="48" t="n">
        <x:v>0.45</x:v>
      </x:c>
      <x:c r="J84" s="48" t="n">
        <x:v>0.4</x:v>
      </x:c>
      <x:c r="K84" s="48" t="str">
        <x:v>Yes</x:v>
      </x:c>
      <x:c r="L84" s="48" t="str">
        <x:v>OCR</x:v>
      </x:c>
    </x:row>
    <x:row r="85">
      <x:c r="A85" s="48" t="str">
        <x:v>ORANGE-0084</x:v>
      </x:c>
      <x:c r="B85" s="48" t="str">
        <x:v>ORANGE</x:v>
      </x:c>
      <x:c r="C85" s="48" t="str">
        <x:v>English</x:v>
      </x:c>
      <x:c r="D85" s="48" t="n">
        <x:v>14</x:v>
      </x:c>
      <x:c r="E85" s="48" t="str"/>
      <x:c r="F85" s="48" t="str">
        <x:v>Sh ere ee tag whe of gee) ma</x:v>
      </x:c>
      <x:c r="G85" s="48" t="str">
        <x:v>Obligation</x:v>
      </x:c>
      <x:c r="H85" s="48" t="str">
        <x:v>Shared</x:v>
      </x:c>
      <x:c r="I85" s="48" t="n">
        <x:v>0.45</x:v>
      </x:c>
      <x:c r="J85" s="48" t="n">
        <x:v>0.4</x:v>
      </x:c>
      <x:c r="K85" s="48" t="str">
        <x:v>Yes</x:v>
      </x:c>
      <x:c r="L85" s="48" t="str">
        <x:v>OCR</x:v>
      </x:c>
    </x:row>
    <x:row r="86">
      <x:c r="A86" s="48" t="str">
        <x:v>ORANGE-0085</x:v>
      </x:c>
      <x:c r="B86" s="48" t="str">
        <x:v>ORANGE</x:v>
      </x:c>
      <x:c r="C86" s="48" t="str">
        <x:v>English</x:v>
      </x:c>
      <x:c r="D86" s="48" t="n">
        <x:v>14</x:v>
      </x:c>
      <x:c r="E86" s="48" t="str"/>
      <x:c r="F86" s="48" t="str">
        <x:v>Tepe cin an rv degen, oes od mc</x:v>
      </x:c>
      <x:c r="G86" s="48" t="str">
        <x:v>Obligation</x:v>
      </x:c>
      <x:c r="H86" s="48" t="str">
        <x:v>Shared</x:v>
      </x:c>
      <x:c r="I86" s="48" t="n">
        <x:v>0.45</x:v>
      </x:c>
      <x:c r="J86" s="48" t="n">
        <x:v>0.4</x:v>
      </x:c>
      <x:c r="K86" s="48" t="str">
        <x:v>Yes</x:v>
      </x:c>
      <x:c r="L86" s="48" t="str">
        <x:v>OCR</x:v>
      </x:c>
    </x:row>
    <x:row r="87">
      <x:c r="A87" s="48" t="str">
        <x:v>ORANGE-0086</x:v>
      </x:c>
      <x:c r="B87" s="48" t="str">
        <x:v>ORANGE</x:v>
      </x:c>
      <x:c r="C87" s="48" t="str">
        <x:v>English</x:v>
      </x:c>
      <x:c r="D87" s="48" t="n">
        <x:v>14</x:v>
      </x:c>
      <x:c r="E87" s="48" t="str"/>
      <x:c r="F87" s="48" t="str">
        <x:v>we ommercig ese Cnr al is Himsa ping te oye Repatocne oc ugh tin an aan, ay) a a Se Epler Repent oy ene, a robe elec, oe eet liane noe ‘Sanpete Concer eon ‘Te Courter alae fl epost acy. tii a</x:v>
      </x:c>
      <x:c r="G87" s="48" t="str">
        <x:v>Obligation</x:v>
      </x:c>
      <x:c r="H87" s="48" t="str">
        <x:v>Shared</x:v>
      </x:c>
      <x:c r="I87" s="48" t="n">
        <x:v>0.45</x:v>
      </x:c>
      <x:c r="J87" s="48" t="n">
        <x:v>0.4</x:v>
      </x:c>
      <x:c r="K87" s="48" t="str">
        <x:v>Yes</x:v>
      </x:c>
      <x:c r="L87" s="48" t="str">
        <x:v>OCR</x:v>
      </x:c>
    </x:row>
    <x:row r="88">
      <x:c r="A88" s="48" t="str">
        <x:v>ORANGE-0087</x:v>
      </x:c>
      <x:c r="B88" s="48" t="str">
        <x:v>ORANGE</x:v>
      </x:c>
      <x:c r="C88" s="48" t="str">
        <x:v>English</x:v>
      </x:c>
      <x:c r="D88" s="48" t="n">
        <x:v>14</x:v>
      </x:c>
      <x:c r="E88" s="48" t="str"/>
      <x:c r="F88" s="48" t="str">
        <x:v>Fee Sant appenlorcomem ty te Employers Repeemaive</x:v>
      </x:c>
      <x:c r="G88" s="48" t="str">
        <x:v>Obligation</x:v>
      </x:c>
      <x:c r="H88" s="48" t="str">
        <x:v>Shared</x:v>
      </x:c>
      <x:c r="I88" s="48" t="n">
        <x:v>0.45</x:v>
      </x:c>
      <x:c r="J88" s="48" t="n">
        <x:v>0.4</x:v>
      </x:c>
      <x:c r="K88" s="48" t="str">
        <x:v>Yes</x:v>
      </x:c>
      <x:c r="L88" s="48" t="str">
        <x:v>OCR</x:v>
      </x:c>
    </x:row>
    <x:row r="89">
      <x:c r="A89" s="48" t="str">
        <x:v>ORANGE-0088</x:v>
      </x:c>
      <x:c r="B89" s="48" t="str">
        <x:v>ORANGE</x:v>
      </x:c>
      <x:c r="C89" s="48" t="str">
        <x:v>English</x:v>
      </x:c>
      <x:c r="D89" s="48" t="n">
        <x:v>14</x:v>
      </x:c>
      <x:c r="E89" s="48" t="str"/>
      <x:c r="F89" s="48" t="str">
        <x:v>eames 42 Reem sheer ye cog (2 inna cate st gen at</x:v>
      </x:c>
      <x:c r="G89" s="48" t="str">
        <x:v>Obligation</x:v>
      </x:c>
      <x:c r="H89" s="48" t="str">
        <x:v>Shared</x:v>
      </x:c>
      <x:c r="I89" s="48" t="n">
        <x:v>0.45</x:v>
      </x:c>
      <x:c r="J89" s="48" t="n">
        <x:v>0.4</x:v>
      </x:c>
      <x:c r="K89" s="48" t="str">
        <x:v>Yes</x:v>
      </x:c>
      <x:c r="L89" s="48" t="str">
        <x:v>OCR</x:v>
      </x:c>
    </x:row>
    <x:row r="90">
      <x:c r="A90" s="48" t="str">
        <x:v>ORANGE-0089</x:v>
      </x:c>
      <x:c r="B90" s="48" t="str">
        <x:v>ORANGE</x:v>
      </x:c>
      <x:c r="C90" s="48" t="str">
        <x:v>English</x:v>
      </x:c>
      <x:c r="D90" s="48" t="n">
        <x:v>14</x:v>
      </x:c>
      <x:c r="E90" s="48" t="str"/>
      <x:c r="F90" s="48" t="str">
        <x:v>Teepe a women ee sl be emed te</x:v>
      </x:c>
      <x:c r="G90" s="48" t="str">
        <x:v>Obligation</x:v>
      </x:c>
      <x:c r="H90" s="48" t="str">
        <x:v>Shared</x:v>
      </x:c>
      <x:c r="I90" s="48" t="n">
        <x:v>0.45</x:v>
      </x:c>
      <x:c r="J90" s="48" t="n">
        <x:v>0.4</x:v>
      </x:c>
      <x:c r="K90" s="48" t="str">
        <x:v>Yes</x:v>
      </x:c>
      <x:c r="L90" s="48" t="str">
        <x:v>OCR</x:v>
      </x:c>
    </x:row>
    <x:row r="91">
      <x:c r="A91" s="48" t="str">
        <x:v>ORANGE-0090</x:v>
      </x:c>
      <x:c r="B91" s="48" t="str">
        <x:v>ORANGE</x:v>
      </x:c>
      <x:c r="C91" s="48" t="str">
        <x:v>English</x:v>
      </x:c>
      <x:c r="D91" s="48" t="n">
        <x:v>14</x:v>
      </x:c>
      <x:c r="E91" s="48" t="str"/>
      <x:c r="F91" s="48" t="str">
        <x:v>eS 2 SEAGIG Stic ee eee een sees</x:v>
      </x:c>
      <x:c r="G91" s="48" t="str">
        <x:v>Obligation</x:v>
      </x:c>
      <x:c r="H91" s="48" t="str">
        <x:v>Shared</x:v>
      </x:c>
      <x:c r="I91" s="48" t="n">
        <x:v>0.45</x:v>
      </x:c>
      <x:c r="J91" s="48" t="n">
        <x:v>0.4</x:v>
      </x:c>
      <x:c r="K91" s="48" t="str">
        <x:v>Yes</x:v>
      </x:c>
      <x:c r="L91" s="48" t="str">
        <x:v>OCR</x:v>
      </x:c>
    </x:row>
    <x:row r="92">
      <x:c r="A92" s="48" t="str">
        <x:v>ORANGE-0091</x:v>
      </x:c>
      <x:c r="B92" s="48" t="str">
        <x:v>ORANGE</x:v>
      </x:c>
      <x:c r="C92" s="48" t="str">
        <x:v>English</x:v>
      </x:c>
      <x:c r="D92" s="48" t="n">
        <x:v>14</x:v>
      </x:c>
      <x:c r="E92" s="48" t="str"/>
      <x:c r="F92" s="48" t="str">
        <x:v>Somer te ttt eo</x:v>
      </x:c>
      <x:c r="G92" s="48" t="str">
        <x:v>Obligation</x:v>
      </x:c>
      <x:c r="H92" s="48" t="str">
        <x:v>Shared</x:v>
      </x:c>
      <x:c r="I92" s="48" t="n">
        <x:v>0.45</x:v>
      </x:c>
      <x:c r="J92" s="48" t="n">
        <x:v>0.4</x:v>
      </x:c>
      <x:c r="K92" s="48" t="str">
        <x:v>Yes</x:v>
      </x:c>
      <x:c r="L92" s="48" t="str">
        <x:v>OCR</x:v>
      </x:c>
    </x:row>
    <x:row r="93">
      <x:c r="A93" s="48" t="str">
        <x:v>ORANGE-0092</x:v>
      </x:c>
      <x:c r="B93" s="48" t="str">
        <x:v>ORANGE</x:v>
      </x:c>
      <x:c r="C93" s="48" t="str">
        <x:v>English</x:v>
      </x:c>
      <x:c r="D93" s="48" t="n">
        <x:v>14</x:v>
      </x:c>
      <x:c r="E93" s="48" t="str"/>
      <x:c r="F93" s="48" t="str">
        <x:v>Se tat pronto cet</x:v>
      </x:c>
      <x:c r="G93" s="48" t="str">
        <x:v>Obligation</x:v>
      </x:c>
      <x:c r="H93" s="48" t="str">
        <x:v>Shared</x:v>
      </x:c>
      <x:c r="I93" s="48" t="n">
        <x:v>0.45</x:v>
      </x:c>
      <x:c r="J93" s="48" t="n">
        <x:v>0.4</x:v>
      </x:c>
      <x:c r="K93" s="48" t="str">
        <x:v>Yes</x:v>
      </x:c>
      <x:c r="L93" s="48" t="str">
        <x:v>OCR</x:v>
      </x:c>
    </x:row>
    <x:row r="94">
      <x:c r="A94" s="48" t="str">
        <x:v>ORANGE-0093</x:v>
      </x:c>
      <x:c r="B94" s="48" t="str">
        <x:v>ORANGE</x:v>
      </x:c>
      <x:c r="C94" s="48" t="str">
        <x:v>English</x:v>
      </x:c>
      <x:c r="D94" s="48" t="n">
        <x:v>14</x:v>
      </x:c>
      <x:c r="E94" s="48" t="str"/>
      <x:c r="F94" s="48" t="str">
        <x:v>Goer et ste</x:v>
      </x:c>
      <x:c r="G94" s="48" t="str">
        <x:v>Obligation</x:v>
      </x:c>
      <x:c r="H94" s="48" t="str">
        <x:v>Shared</x:v>
      </x:c>
      <x:c r="I94" s="48" t="n">
        <x:v>0.45</x:v>
      </x:c>
      <x:c r="J94" s="48" t="n">
        <x:v>0.4</x:v>
      </x:c>
      <x:c r="K94" s="48" t="str">
        <x:v>Yes</x:v>
      </x:c>
      <x:c r="L94" s="48" t="str">
        <x:v>OCR</x:v>
      </x:c>
    </x:row>
    <x:row r="95">
      <x:c r="A95" s="48" t="str">
        <x:v>ORANGE-0094</x:v>
      </x:c>
      <x:c r="B95" s="48" t="str">
        <x:v>ORANGE</x:v>
      </x:c>
      <x:c r="C95" s="48" t="str">
        <x:v>English</x:v>
      </x:c>
      <x:c r="D95" s="48" t="n">
        <x:v>14</x:v>
      </x:c>
      <x:c r="E95" s="48" t="str"/>
      <x:c r="F95" s="48" t="str">
        <x:v>rake Gm Cir ere iescirtarns Gm atenn mmee e (ToircrWhenever the Conmacor’s Representative isto be absent from fe</x:v>
      </x:c>
      <x:c r="G95" s="48" t="str">
        <x:v>Obligation</x:v>
      </x:c>
      <x:c r="H95" s="48" t="str">
        <x:v>Shared</x:v>
      </x:c>
      <x:c r="I95" s="48" t="n">
        <x:v>0.45</x:v>
      </x:c>
      <x:c r="J95" s="48" t="n">
        <x:v>0.4</x:v>
      </x:c>
      <x:c r="K95" s="48" t="str">
        <x:v>Yes</x:v>
      </x:c>
      <x:c r="L95" s="48" t="str">
        <x:v>OCR</x:v>
      </x:c>
    </x:row>
    <x:row r="96">
      <x:c r="A96" s="48" t="str">
        <x:v>ORANGE-0095</x:v>
      </x:c>
      <x:c r="B96" s="48" t="str">
        <x:v>ORANGE</x:v>
      </x:c>
      <x:c r="C96" s="48" t="str">
        <x:v>English</x:v>
      </x:c>
      <x:c r="D96" s="48" t="n">
        <x:v>14</x:v>
      </x:c>
      <x:c r="E96" s="48" t="str"/>
      <x:c r="F96" s="48" t="str">
        <x:v>Sencar bere</x:v>
      </x:c>
      <x:c r="G96" s="48" t="str">
        <x:v>Obligation</x:v>
      </x:c>
      <x:c r="H96" s="48" t="str">
        <x:v>Shared</x:v>
      </x:c>
      <x:c r="I96" s="48" t="n">
        <x:v>0.45</x:v>
      </x:c>
      <x:c r="J96" s="48" t="n">
        <x:v>0.4</x:v>
      </x:c>
      <x:c r="K96" s="48" t="str">
        <x:v>Yes</x:v>
      </x:c>
      <x:c r="L96" s="48" t="str">
        <x:v>OCR</x:v>
      </x:c>
    </x:row>
    <x:row r="97">
      <x:c r="A97" s="48" t="str">
        <x:v>ORANGE-0096</x:v>
      </x:c>
      <x:c r="B97" s="48" t="str">
        <x:v>ORANGE</x:v>
      </x:c>
      <x:c r="C97" s="48" t="str">
        <x:v>English</x:v>
      </x:c>
      <x:c r="D97" s="48" t="n">
        <x:v>14</x:v>
      </x:c>
      <x:c r="E97" s="48" t="str"/>
      <x:c r="F97" s="48" t="str">
        <x:v>recat tenement green</x:v>
      </x:c>
      <x:c r="G97" s="48" t="str">
        <x:v>Obligation</x:v>
      </x:c>
      <x:c r="H97" s="48" t="str">
        <x:v>Shared</x:v>
      </x:c>
      <x:c r="I97" s="48" t="n">
        <x:v>0.45</x:v>
      </x:c>
      <x:c r="J97" s="48" t="n">
        <x:v>0.4</x:v>
      </x:c>
      <x:c r="K97" s="48" t="str">
        <x:v>Yes</x:v>
      </x:c>
      <x:c r="L97" s="48" t="str">
        <x:v>OCR</x:v>
      </x:c>
    </x:row>
    <x:row r="98">
      <x:c r="A98" s="48" t="str">
        <x:v>ORANGE-0097</x:v>
      </x:c>
      <x:c r="B98" s="48" t="str">
        <x:v>ORANGE</x:v>
      </x:c>
      <x:c r="C98" s="48" t="str">
        <x:v>English</x:v>
      </x:c>
      <x:c r="D98" s="48" t="n">
        <x:v>14</x:v>
      </x:c>
      <x:c r="E98" s="48" t="str"/>
      <x:c r="F98" s="48" t="str">
        <x:v>Ree steerer ayer ea</x:v>
      </x:c>
      <x:c r="G98" s="48" t="str">
        <x:v>Obligation</x:v>
      </x:c>
      <x:c r="H98" s="48" t="str">
        <x:v>Shared</x:v>
      </x:c>
      <x:c r="I98" s="48" t="n">
        <x:v>0.45</x:v>
      </x:c>
      <x:c r="J98" s="48" t="n">
        <x:v>0.4</x:v>
      </x:c>
      <x:c r="K98" s="48" t="str">
        <x:v>Yes</x:v>
      </x:c>
      <x:c r="L98" s="48" t="str">
        <x:v>OCR</x:v>
      </x:c>
    </x:row>
    <x:row r="99">
      <x:c r="A99" s="48" t="str">
        <x:v>ORANGE-0098</x:v>
      </x:c>
      <x:c r="B99" s="48" t="str">
        <x:v>ORANGE</x:v>
      </x:c>
      <x:c r="C99" s="48" t="str">
        <x:v>English</x:v>
      </x:c>
      <x:c r="D99" s="48" t="n">
        <x:v>14</x:v>
      </x:c>
      <x:c r="E99" s="48" t="str"/>
      <x:c r="F99" s="48" t="str">
        <x:v>Se ce iateneesaitatamenesaiae</x:v>
      </x:c>
      <x:c r="G99" s="48" t="str">
        <x:v>Obligation</x:v>
      </x:c>
      <x:c r="H99" s="48" t="str">
        <x:v>Shared</x:v>
      </x:c>
      <x:c r="I99" s="48" t="n">
        <x:v>0.45</x:v>
      </x:c>
      <x:c r="J99" s="48" t="n">
        <x:v>0.4</x:v>
      </x:c>
      <x:c r="K99" s="48" t="str">
        <x:v>Yes</x:v>
      </x:c>
      <x:c r="L99" s="48" t="str">
        <x:v>OCR</x:v>
      </x:c>
    </x:row>
    <x:row r="100">
      <x:c r="A100" s="48" t="str">
        <x:v>ORANGE-0099</x:v>
      </x:c>
      <x:c r="B100" s="48" t="str">
        <x:v>ORANGE</x:v>
      </x:c>
      <x:c r="C100" s="48" t="str">
        <x:v>English</x:v>
      </x:c>
      <x:c r="D100" s="48" t="n">
        <x:v>14</x:v>
      </x:c>
      <x:c r="E100" s="48" t="str"/>
      <x:c r="F100" s="48" t="str">
        <x:v>See Sactapieioesoe erat mur</x:v>
      </x:c>
      <x:c r="G100" s="48" t="str">
        <x:v>Obligation</x:v>
      </x:c>
      <x:c r="H100" s="48" t="str">
        <x:v>Shared</x:v>
      </x:c>
      <x:c r="I100" s="48" t="n">
        <x:v>0.45</x:v>
      </x:c>
      <x:c r="J100" s="48" t="n">
        <x:v>0.4</x:v>
      </x:c>
      <x:c r="K100" s="48" t="str">
        <x:v>Yes</x:v>
      </x:c>
      <x:c r="L100" s="48" t="str">
        <x:v>OCR</x:v>
      </x:c>
    </x:row>
    <x:row r="101">
      <x:c r="A101" s="48" t="str">
        <x:v>ORANGE-0100</x:v>
      </x:c>
      <x:c r="B101" s="48" t="str">
        <x:v>ORANGE</x:v>
      </x:c>
      <x:c r="C101" s="48" t="str">
        <x:v>English</x:v>
      </x:c>
      <x:c r="D101" s="48" t="n">
        <x:v>14</x:v>
      </x:c>
      <x:c r="E101" s="48" t="str"/>
      <x:c r="F101" s="48" t="str">
        <x:v>oa ee ead wr mvked The Court Reese</x:v>
      </x:c>
      <x:c r="G101" s="48" t="str">
        <x:v>Obligation</x:v>
      </x:c>
      <x:c r="H101" s="48" t="str">
        <x:v>Shared</x:v>
      </x:c>
      <x:c r="I101" s="48" t="n">
        <x:v>0.45</x:v>
      </x:c>
      <x:c r="J101" s="48" t="n">
        <x:v>0.4</x:v>
      </x:c>
      <x:c r="K101" s="48" t="str">
        <x:v>Yes</x:v>
      </x:c>
      <x:c r="L101" s="48" t="str">
        <x:v>OCR</x:v>
      </x:c>
    </x:row>
    <x:row r="102">
      <x:c r="A102" s="48" t="str">
        <x:v>ORANGE-0101</x:v>
      </x:c>
      <x:c r="B102" s="48" t="str">
        <x:v>ORANGE</x:v>
      </x:c>
      <x:c r="C102" s="48" t="str">
        <x:v>English</x:v>
      </x:c>
      <x:c r="D102" s="48" t="n">
        <x:v>14</x:v>
      </x:c>
      <x:c r="E102" s="48" t="str"/>
      <x:c r="F102" s="48" t="str">
        <x:v>Tooele hr De angige fr ey oy Commences</x:v>
      </x:c>
      <x:c r="G102" s="48" t="str">
        <x:v>Obligation</x:v>
      </x:c>
      <x:c r="H102" s="48" t="str">
        <x:v>Shared</x:v>
      </x:c>
      <x:c r="I102" s="48" t="n">
        <x:v>0.45</x:v>
      </x:c>
      <x:c r="J102" s="48" t="n">
        <x:v>0.4</x:v>
      </x:c>
      <x:c r="K102" s="48" t="str">
        <x:v>Yes</x:v>
      </x:c>
      <x:c r="L102" s="48" t="str">
        <x:v>OCR</x:v>
      </x:c>
    </x:row>
    <x:row r="103">
      <x:c r="A103" s="48" t="str">
        <x:v>ORANGE-0102</x:v>
      </x:c>
      <x:c r="B103" s="48" t="str">
        <x:v>ORANGE</x:v>
      </x:c>
      <x:c r="C103" s="48" t="str">
        <x:v>English</x:v>
      </x:c>
      <x:c r="D103" s="48" t="n">
        <x:v>14</x:v>
      </x:c>
      <x:c r="E103" s="48" t="str"/>
      <x:c r="F103" s="48" t="str">
        <x:v>‘Einnd Sable 1</x:v>
      </x:c>
      <x:c r="G103" s="48" t="str">
        <x:v>Obligation</x:v>
      </x:c>
      <x:c r="H103" s="48" t="str">
        <x:v>Shared</x:v>
      </x:c>
      <x:c r="I103" s="48" t="n">
        <x:v>0.45</x:v>
      </x:c>
      <x:c r="J103" s="48" t="n">
        <x:v>0.4</x:v>
      </x:c>
      <x:c r="K103" s="48" t="str">
        <x:v>Yes</x:v>
      </x:c>
      <x:c r="L103" s="48" t="str">
        <x:v>OCR</x:v>
      </x:c>
    </x:row>
    <x:row r="104">
      <x:c r="A104" s="48" t="str">
        <x:v>ORANGE-0103</x:v>
      </x:c>
      <x:c r="B104" s="48" t="str">
        <x:v>ORANGE</x:v>
      </x:c>
      <x:c r="C104" s="48" t="str">
        <x:v>English</x:v>
      </x:c>
      <x:c r="D104" s="48" t="n">
        <x:v>15</x:v>
      </x:c>
      <x:c r="E104" s="48" t="str"/>
      <x:c r="F104" s="48" t="str">
        <x:v>Coordination 44 The Courter sal te gsi eee tion npg eesin TheWeris “Ge Wak lang Grdnaion of er cance the sts ‘pein Eno Router Te Crt sal pci</x:v>
      </x:c>
      <x:c r="G104" s="48" t="str">
        <x:v>Obligation</x:v>
      </x:c>
      <x:c r="H104" s="48" t="str">
        <x:v>Shared</x:v>
      </x:c>
      <x:c r="I104" s="48" t="n">
        <x:v>0.45</x:v>
      </x:c>
      <x:c r="J104" s="48" t="n">
        <x:v>0.4</x:v>
      </x:c>
      <x:c r="K104" s="48" t="str">
        <x:v>Yes</x:v>
      </x:c>
      <x:c r="L104" s="48" t="str">
        <x:v>OCR</x:v>
      </x:c>
    </x:row>
    <x:row r="105">
      <x:c r="A105" s="48" t="str">
        <x:v>ORANGE-0104</x:v>
      </x:c>
      <x:c r="B105" s="48" t="str">
        <x:v>ORANGE</x:v>
      </x:c>
      <x:c r="C105" s="48" t="str">
        <x:v>English</x:v>
      </x:c>
      <x:c r="D105" s="48" t="n">
        <x:v>15</x:v>
      </x:c>
      <x:c r="E105" s="48" t="str"/>
      <x:c r="F105" s="48" t="str">
        <x:v>Eki ene nen em sa</x:v>
      </x:c>
      <x:c r="G105" s="48" t="str">
        <x:v>Obligation</x:v>
      </x:c>
      <x:c r="H105" s="48" t="str">
        <x:v>Shared</x:v>
      </x:c>
      <x:c r="I105" s="48" t="n">
        <x:v>0.45</x:v>
      </x:c>
      <x:c r="J105" s="48" t="n">
        <x:v>0.4</x:v>
      </x:c>
      <x:c r="K105" s="48" t="str">
        <x:v>Yes</x:v>
      </x:c>
      <x:c r="L105" s="48" t="str">
        <x:v>OCR</x:v>
      </x:c>
    </x:row>
    <x:row r="106">
      <x:c r="A106" s="48" t="str">
        <x:v>ORANGE-0105</x:v>
      </x:c>
      <x:c r="B106" s="48" t="str">
        <x:v>ORANGE</x:v>
      </x:c>
      <x:c r="C106" s="48" t="str">
        <x:v>English</x:v>
      </x:c>
      <x:c r="D106" s="48" t="n">
        <x:v>15</x:v>
      </x:c>
      <x:c r="E106" s="48" t="str"/>
      <x:c r="F106" s="48" t="str">
        <x:v>(2 ay tects poy ye gly he woken (0) Me were of the pie a (©) the workmen of ay ely costae pbc store who my be mplopesin heccettn oon Sey weak tt ed ‘ACen wich he poe mye Te Guava sal ebusn, coca and stent 6 the Enger ‘Epc ft stoma deta ne of 8 {tod pat fe Sc) rm Sects Tt Contr sal ‘spol rie cas i eh rh cr se ‘Sno cnt wath te wort of er Stent he Cotas Sebrniracon 45 The Cana sll nt nt he ws of Wak, Vl trie</x:v>
      </x:c>
      <x:c r="G106" s="48" t="str">
        <x:v>Obligation</x:v>
      </x:c>
      <x:c r="H106" s="48" t="str">
        <x:v>Shared</x:v>
      </x:c>
      <x:c r="I106" s="48" t="n">
        <x:v>0.45</x:v>
      </x:c>
      <x:c r="J106" s="48" t="n">
        <x:v>0.4</x:v>
      </x:c>
      <x:c r="K106" s="48" t="str">
        <x:v>Yes</x:v>
      </x:c>
      <x:c r="L106" s="48" t="str">
        <x:v>OCR</x:v>
      </x:c>
    </x:row>
    <x:row r="107">
      <x:c r="A107" s="48" t="str">
        <x:v>ORANGE-0106</x:v>
      </x:c>
      <x:c r="B107" s="48" t="str">
        <x:v>ORANGE</x:v>
      </x:c>
      <x:c r="C107" s="48" t="str">
        <x:v>English</x:v>
      </x:c>
      <x:c r="D107" s="48" t="n">
        <x:v>15</x:v>
      </x:c>
      <x:c r="E107" s="48" t="str"/>
      <x:c r="F107" s="48" t="str">
        <x:v>(© he Coc a at ein i cn fo une of (© te pir cone fh Ener Rees hl be ind ‘ther pep Soto ‘ommcncag werk one Se. te Cacor shal ye Employer eget wach stare pci, te Conc l gne + fir aad reno eee SL a ‘The Cott sabe eae er ceva yal Suber al pvr ot ra Tie Cnr eset ‘Sirti ne tao i omc pr or ope Asignment st 45 raSutcourtrha uneale ing aaa pion be Siicenracir’s "” Copmacoro he met Seed er cued Pat Maral oe ries ‘Obes Sop ty tach Sate, sah cao een Seyen he ‘Shey fe Cort Pathe Coomcer tl pen he apo ‘Gh ea, gn he nts of ch oa tthe ply fe ‘Seip ito, te opm et o he Emer Sting Om 47 The Cntr al to he Ws etn xg pois i ad eae pct inte Soya Rt ae ‘roi fen by a Epler Reese in wing Tae Cnt ‘Sis t hector ne poston ee, menane</x:v>
      </x:c>
      <x:c r="G107" s="48" t="str">
        <x:v>Obligation</x:v>
      </x:c>
      <x:c r="H107" s="48" t="str">
        <x:v>Employer</x:v>
      </x:c>
      <x:c r="I107" s="48" t="n">
        <x:v>0.45</x:v>
      </x:c>
      <x:c r="J107" s="48" t="n">
        <x:v>0.68</x:v>
      </x:c>
      <x:c r="K107" s="48" t="str">
        <x:v>Yes</x:v>
      </x:c>
      <x:c r="L107" s="48" t="str">
        <x:v>OCR</x:v>
      </x:c>
    </x:row>
    <x:row r="108">
      <x:c r="A108" s="48" t="str">
        <x:v>ORANGE-0107</x:v>
      </x:c>
      <x:c r="B108" s="48" t="str">
        <x:v>ORANGE</x:v>
      </x:c>
      <x:c r="C108" s="48" t="str">
        <x:v>English</x:v>
      </x:c>
      <x:c r="D108" s="48" t="n">
        <x:v>15</x:v>
      </x:c>
      <x:c r="E108" s="48" t="str"/>
      <x:c r="F108" s="48" t="str">
        <x:v>Spoof be Woe</x:v>
      </x:c>
      <x:c r="G108" s="48" t="str">
        <x:v>Obligation</x:v>
      </x:c>
      <x:c r="H108" s="48" t="str">
        <x:v>Shared</x:v>
      </x:c>
      <x:c r="I108" s="48" t="n">
        <x:v>0.45</x:v>
      </x:c>
      <x:c r="J108" s="48" t="n">
        <x:v>0.4</x:v>
      </x:c>
      <x:c r="K108" s="48" t="str">
        <x:v>Yes</x:v>
      </x:c>
      <x:c r="L108" s="48" t="str">
        <x:v>OCR</x:v>
      </x:c>
    </x:row>
    <x:row r="109">
      <x:c r="A109" s="48" t="str">
        <x:v>ORANGE-0108</x:v>
      </x:c>
      <x:c r="B109" s="48" t="str">
        <x:v>ORANGE</x:v>
      </x:c>
      <x:c r="C109" s="48" t="str">
        <x:v>English</x:v>
      </x:c>
      <x:c r="D109" s="48" t="n">
        <x:v>15</x:v>
      </x:c>
      <x:c r="E109" s="48" t="str"/>
      <x:c r="F109" s="48" t="str">
        <x:v>(Quaty Amarone AR Unlove sted ia Pt the Conc sal isin gy ‘strane ste te dentate Compan wih Se ements the ‘Gon Sch tensa = ace mi he Sa ed ‘Gora Comanche qty sence Se Salt lee ‘Conca a ces gat wep</x:v>
      </x:c>
      <x:c r="G109" s="48" t="str">
        <x:v>Obligation</x:v>
      </x:c>
      <x:c r="H109" s="48" t="str">
        <x:v>Shared</x:v>
      </x:c>
      <x:c r="I109" s="48" t="n">
        <x:v>0.45</x:v>
      </x:c>
      <x:c r="J109" s="48" t="n">
        <x:v>0.4</x:v>
      </x:c>
      <x:c r="K109" s="48" t="str">
        <x:v>Yes</x:v>
      </x:c>
      <x:c r="L109" s="48" t="str">
        <x:v>OCR</x:v>
      </x:c>
    </x:row>
    <x:row r="110">
      <x:c r="A110" s="48" t="str">
        <x:v>ORANGE-0109</x:v>
      </x:c>
      <x:c r="B110" s="48" t="str">
        <x:v>ORANGE</x:v>
      </x:c>
      <x:c r="C110" s="48" t="str">
        <x:v>English</x:v>
      </x:c>
      <x:c r="D110" s="48" t="n">
        <x:v>16</x:v>
      </x:c>
      <x:c r="E110" s="48" t="str"/>
      <x:c r="F110" s="48" t="str">
        <x:v>Df proces acpi document sa he sie the</x:v>
      </x:c>
      <x:c r="G110" s="48" t="str">
        <x:v>Obligation</x:v>
      </x:c>
      <x:c r="H110" s="48" t="str">
        <x:v>Shared</x:v>
      </x:c>
      <x:c r="I110" s="48" t="n">
        <x:v>0.45</x:v>
      </x:c>
      <x:c r="J110" s="48" t="n">
        <x:v>0.4</x:v>
      </x:c>
      <x:c r="K110" s="48" t="str">
        <x:v>Yes</x:v>
      </x:c>
      <x:c r="L110" s="48" t="str">
        <x:v>OCR</x:v>
      </x:c>
    </x:row>
    <x:row r="111">
      <x:c r="A111" s="48" t="str">
        <x:v>ORANGE-0110</x:v>
      </x:c>
      <x:c r="B111" s="48" t="str">
        <x:v>ORANGE</x:v>
      </x:c>
      <x:c r="C111" s="48" t="str">
        <x:v>English</x:v>
      </x:c>
      <x:c r="D111" s="48" t="n">
        <x:v>16</x:v>
      </x:c>
      <x:c r="E111" s="48" t="str"/>
      <x:c r="F111" s="48" t="str">
        <x:v>Bapoyers Repessasre fr ar rman bbe Seg at</x:v>
      </x:c>
      <x:c r="G111" s="48" t="str">
        <x:v>Obligation</x:v>
      </x:c>
      <x:c r="H111" s="48" t="str">
        <x:v>Shared</x:v>
      </x:c>
      <x:c r="I111" s="48" t="n">
        <x:v>0.45</x:v>
      </x:c>
      <x:c r="J111" s="48" t="n">
        <x:v>0.4</x:v>
      </x:c>
      <x:c r="K111" s="48" t="str">
        <x:v>Yes</x:v>
      </x:c>
      <x:c r="L111" s="48" t="str">
        <x:v>OCR</x:v>
      </x:c>
    </x:row>
    <x:row r="112">
      <x:c r="A112" s="48" t="str">
        <x:v>ORANGE-0111</x:v>
      </x:c>
      <x:c r="B112" s="48" t="str">
        <x:v>ORANGE</x:v>
      </x:c>
      <x:c r="C112" s="48" t="str">
        <x:v>English</x:v>
      </x:c>
      <x:c r="D112" s="48" t="n">
        <x:v>16</x:v>
      </x:c>
      <x:c r="E112" s="48" t="str"/>
      <x:c r="F112" s="48" t="str">
        <x:v>Semel en ame Ey</x:v>
      </x:c>
      <x:c r="G112" s="48" t="str">
        <x:v>Obligation</x:v>
      </x:c>
      <x:c r="H112" s="48" t="str">
        <x:v>Shared</x:v>
      </x:c>
      <x:c r="I112" s="48" t="n">
        <x:v>0.45</x:v>
      </x:c>
      <x:c r="J112" s="48" t="n">
        <x:v>0.4</x:v>
      </x:c>
      <x:c r="K112" s="48" t="str">
        <x:v>Yes</x:v>
      </x:c>
      <x:c r="L112" s="48" t="str">
        <x:v>OCR</x:v>
      </x:c>
    </x:row>
    <x:row r="113">
      <x:c r="A113" s="48" t="str">
        <x:v>ORANGE-0112</x:v>
      </x:c>
      <x:c r="B113" s="48" t="str">
        <x:v>ORANGE</x:v>
      </x:c>
      <x:c r="C113" s="48" t="str">
        <x:v>English</x:v>
      </x:c>
      <x:c r="D113" s="48" t="n">
        <x:v>16</x:v>
      </x:c>
      <x:c r="E113" s="48" t="str"/>
      <x:c r="F113" s="48" t="str">
        <x:v>[Enlye Reps sl fe ened me ypc fey dno coreive acta ewer Ste Duin 49 The Engle sl lane made stale o he Cnt i te Ra ‘te ST dao hyo ete cnn we Sa, and ‘Sts eevee ings sac iver ay bal ot</x:v>
      </x:c>
      <x:c r="G113" s="48" t="str">
        <x:v>Obligation</x:v>
      </x:c>
      <x:c r="H113" s="48" t="str">
        <x:v>Shared</x:v>
      </x:c>
      <x:c r="I113" s="48" t="n">
        <x:v>0.45</x:v>
      </x:c>
      <x:c r="J113" s="48" t="n">
        <x:v>0.4</x:v>
      </x:c>
      <x:c r="K113" s="48" t="str">
        <x:v>Yes</x:v>
      </x:c>
      <x:c r="L113" s="48" t="str">
        <x:v>OCR</x:v>
      </x:c>
    </x:row>
    <x:row r="114">
      <x:c r="A114" s="48" t="str">
        <x:v>ORANGE-0113</x:v>
      </x:c>
      <x:c r="B114" s="48" t="str">
        <x:v>ORANGE</x:v>
      </x:c>
      <x:c r="C114" s="48" t="str">
        <x:v>English</x:v>
      </x:c>
      <x:c r="D114" s="48" t="n">
        <x:v>16</x:v>
      </x:c>
      <x:c r="E114" s="48" t="str"/>
      <x:c r="F114" s="48" t="str">
        <x:v>Stage on meng er ne Ws Te Cc at</x:v>
      </x:c>
      <x:c r="G114" s="48" t="str">
        <x:v>Obligation</x:v>
      </x:c>
      <x:c r="H114" s="48" t="str">
        <x:v>Shared</x:v>
      </x:c>
      <x:c r="I114" s="48" t="n">
        <x:v>0.45</x:v>
      </x:c>
      <x:c r="J114" s="48" t="n">
        <x:v>0.4</x:v>
      </x:c>
      <x:c r="K114" s="48" t="str">
        <x:v>Yes</x:v>
      </x:c>
      <x:c r="L114" s="48" t="str">
        <x:v>OCR</x:v>
      </x:c>
    </x:row>
    <x:row r="115">
      <x:c r="A115" s="48" t="str">
        <x:v>ORANGE-0114</x:v>
      </x:c>
      <x:c r="B115" s="48" t="str">
        <x:v>ORANGE</x:v>
      </x:c>
      <x:c r="C115" s="48" t="str">
        <x:v>English</x:v>
      </x:c>
      <x:c r="D115" s="48" t="n">
        <x:v>16</x:v>
      </x:c>
      <x:c r="E115" s="48" t="str"/>
      <x:c r="F115" s="48" t="str">
        <x:v>“The Conn sl be ene ae npc and xa eS ‘Sreontngs shea sn ocr ste nomaton, tad hae ‘et sabi te Tn .</x:v>
      </x:c>
      <x:c r="G115" s="48" t="str">
        <x:v>Obligation</x:v>
      </x:c>
      <x:c r="H115" s="48" t="str">
        <x:v>Shared</x:v>
      </x:c>
      <x:c r="I115" s="48" t="n">
        <x:v>0.45</x:v>
      </x:c>
      <x:c r="J115" s="48" t="n">
        <x:v>0.4</x:v>
      </x:c>
      <x:c r="K115" s="48" t="str">
        <x:v>Yes</x:v>
      </x:c>
      <x:c r="L115" s="48" t="str">
        <x:v>OCR</x:v>
      </x:c>
    </x:row>
    <x:row r="116">
      <x:c r="A116" s="48" t="str">
        <x:v>ORANGE-0115</x:v>
      </x:c>
      <x:c r="B116" s="48" t="str">
        <x:v>ORANGE</x:v>
      </x:c>
      <x:c r="C116" s="48" t="str">
        <x:v>English</x:v>
      </x:c>
      <x:c r="D116" s="48" t="n">
        <x:v>16</x:v>
      </x:c>
      <x:c r="E116" s="48" t="str"/>
      <x:c r="F116" s="48" t="str">
        <x:v>(4) se dp nse contin (0) texkrt andra ote wknd Maertsncsay fer heeceicn ‘Diste etgecis snl ober inom ehh ay ile 6 “The Cotes dca hve sii ae 8 coc: {au tice ef be Conan lem eee ate inte Caen {fe Comac el oer als gan be Cort sting ‘Sign exec tl compoion ef the Wons andthe remedying 9 2) nlorseble 401 sabre endo a emacs by the Contac wich in is ‘Schsurtae | opnna ne stv by an xperenee cna ie Cen hal ‘Cones he" ho the" Ener epee oat te empoyes [epscuiv can mae such cose De eel ou nie a rh npn sf megan he Enpoyers Reon al ‘SS.</x:v>
      </x:c>
      <x:c r="G116" s="48" t="str">
        <x:v>Obligation</x:v>
      </x:c>
      <x:c r="H116" s="48" t="str">
        <x:v>Shared</x:v>
      </x:c>
      <x:c r="I116" s="48" t="n">
        <x:v>0.45</x:v>
      </x:c>
      <x:c r="J116" s="48" t="n">
        <x:v>0.4</x:v>
      </x:c>
      <x:c r="K116" s="48" t="str">
        <x:v>Yes</x:v>
      </x:c>
      <x:c r="L116" s="48" t="str">
        <x:v>OCR</x:v>
      </x:c>
    </x:row>
    <x:row r="117">
      <x:c r="A117" s="48" t="str">
        <x:v>ORANGE-0116</x:v>
      </x:c>
      <x:c r="B117" s="48" t="str">
        <x:v>ORANGE</x:v>
      </x:c>
      <x:c r="C117" s="48" t="str">
        <x:v>English</x:v>
      </x:c>
      <x:c r="D117" s="48" t="n">
        <x:v>16</x:v>
      </x:c>
      <x:c r="E117" s="48" t="str"/>
      <x:c r="F117" s="48" t="str">
        <x:v>Conlon st bye Boe Da) ese by a expel ‘Shescor roca! atone wig Se-Chane tape Sen (2) any evemion tne wich he Comer ell ander Sub (©) the ana Cote uch coi, hich Sal Be led he oc a ye Conroe cong ‘Aces Hele 412 The Contr le de hve ssid Nm the stably ‘Dively ef ener atthe Came oe Te Conn shal</x:v>
      </x:c>
      <x:c r="G117" s="48" t="str">
        <x:v>Obligation</x:v>
      </x:c>
      <x:c r="H117" s="48" t="str">
        <x:v>Shared</x:v>
      </x:c>
      <x:c r="I117" s="48" t="n">
        <x:v>0.45</x:v>
      </x:c>
      <x:c r="J117" s="48" t="n">
        <x:v>0.4</x:v>
      </x:c>
      <x:c r="K117" s="48" t="str">
        <x:v>Yes</x:v>
      </x:c>
      <x:c r="L117" s="48" t="str">
        <x:v>OCR</x:v>
      </x:c>
    </x:row>
    <x:row r="118">
      <x:c r="A118" s="48" t="str">
        <x:v>ORANGE-0117</x:v>
      </x:c>
      <x:c r="B118" s="48" t="str">
        <x:v>ORANGE</x:v>
      </x:c>
      <x:c r="C118" s="48" t="str">
        <x:v>English</x:v>
      </x:c>
      <x:c r="D118" s="48" t="n">
        <x:v>16</x:v>
      </x:c>
      <x:c r="E118" s="48" t="str"/>
      <x:c r="F118" s="48" t="str">
        <x:v>Semur nis ay sge Soe oh be oy caer</x:v>
      </x:c>
      <x:c r="G118" s="48" t="str">
        <x:v>Obligation</x:v>
      </x:c>
      <x:c r="H118" s="48" t="str">
        <x:v>Shared</x:v>
      </x:c>
      <x:c r="I118" s="48" t="n">
        <x:v>0.45</x:v>
      </x:c>
      <x:c r="J118" s="48" t="n">
        <x:v>0.4</x:v>
      </x:c>
      <x:c r="K118" s="48" t="str">
        <x:v>Yes</x:v>
      </x:c>
      <x:c r="L118" s="48" t="str">
        <x:v>OCR</x:v>
      </x:c>
    </x:row>
    <x:row r="119">
      <x:c r="A119" s="48" t="str">
        <x:v>ORANGE-0118</x:v>
      </x:c>
      <x:c r="B119" s="48" t="str">
        <x:v>ORANGE</x:v>
      </x:c>
      <x:c r="C119" s="48" t="str">
        <x:v>English</x:v>
      </x:c>
      <x:c r="D119" s="48" t="n">
        <x:v>16</x:v>
      </x:c>
      <x:c r="E119" s="48" t="str"/>
      <x:c r="F119" s="48" t="str">
        <x:v>‘cry fhe ae ot at, ear snd der Toe Coa ‘Sean my poms at ay be eed fom ea arts re ‘Seer ars td cons,</x:v>
      </x:c>
      <x:c r="G119" s="48" t="str">
        <x:v>Obligation</x:v>
      </x:c>
      <x:c r="H119" s="48" t="str">
        <x:v>Shared</x:v>
      </x:c>
      <x:c r="I119" s="48" t="n">
        <x:v>0.45</x:v>
      </x:c>
      <x:c r="J119" s="48" t="n">
        <x:v>0.4</x:v>
      </x:c>
      <x:c r="K119" s="48" t="str">
        <x:v>Yes</x:v>
      </x:c>
      <x:c r="L119" s="48" t="str">
        <x:v>OCR</x:v>
      </x:c>
    </x:row>
    <x:row r="120">
      <x:c r="A120" s="48" t="str">
        <x:v>ORANGE-0119</x:v>
      </x:c>
      <x:c r="B120" s="48" t="str">
        <x:v>ORANGE</x:v>
      </x:c>
      <x:c r="C120" s="48" t="str">
        <x:v>English</x:v>
      </x:c>
      <x:c r="D120" s="48" t="n">
        <x:v>17</x:v>
      </x:c>
      <x:c r="E120" s="48" t="str"/>
      <x:c r="F120" s="48" t="str">
        <x:v>“The Emporia eens ray am which may are fhe (Sow shrvnof ny acter The Epo et grr th ‘Siti ray oy pt ae ote a i eer igh Way nd 413 Te Comer hl et acon and are peal rtp Pace: Gayman im racer nt Sa The Cra al ah</x:v>
      </x:c>
      <x:c r="G120" s="48" t="str">
        <x:v>Right</x:v>
      </x:c>
      <x:c r="H120" s="48" t="str">
        <x:v>Shared</x:v>
      </x:c>
      <x:c r="I120" s="48" t="n">
        <x:v>0.78</x:v>
      </x:c>
      <x:c r="J120" s="48" t="n">
        <x:v>0.4</x:v>
      </x:c>
      <x:c r="K120" s="48" t="str">
        <x:v>Yes</x:v>
      </x:c>
      <x:c r="L120" s="48" t="str">
        <x:v>OCR</x:v>
      </x:c>
    </x:row>
    <x:row r="121">
      <x:c r="A121" s="48" t="str">
        <x:v>ORANGE-0120</x:v>
      </x:c>
      <x:c r="B121" s="48" t="str">
        <x:v>ORANGE</x:v>
      </x:c>
      <x:c r="C121" s="48" t="str">
        <x:v>English</x:v>
      </x:c>
      <x:c r="D121" s="48" t="n">
        <x:v>17</x:v>
      </x:c>
      <x:c r="E121" s="48" t="str"/>
      <x:c r="F121" s="48" t="str">
        <x:v>SSRIS yl ies oa Spy re</x:v>
      </x:c>
      <x:c r="G121" s="48" t="str">
        <x:v>Obligation</x:v>
      </x:c>
      <x:c r="H121" s="48" t="str">
        <x:v>Shared</x:v>
      </x:c>
      <x:c r="I121" s="48" t="n">
        <x:v>0.45</x:v>
      </x:c>
      <x:c r="J121" s="48" t="n">
        <x:v>0.4</x:v>
      </x:c>
      <x:c r="K121" s="48" t="str">
        <x:v>Yes</x:v>
      </x:c>
      <x:c r="L121" s="48" t="str">
        <x:v>OCR</x:v>
      </x:c>
    </x:row>
    <x:row r="122">
      <x:c r="A122" s="48" t="str">
        <x:v>ORANGE-0121</x:v>
      </x:c>
      <x:c r="B122" s="48" t="str">
        <x:v>ORANGE</x:v>
      </x:c>
      <x:c r="C122" s="48" t="str">
        <x:v>English</x:v>
      </x:c>
      <x:c r="D122" s="48" t="n">
        <x:v>17</x:v>
      </x:c>
      <x:c r="E122" s="48" t="str"/>
      <x:c r="F122" s="48" t="str">
        <x:v>Progam 414 The Contacte sl stmt» pone he noe Reese, 1 manip tad Apt Re Te [Gcoding each stage of Sgn, pte. mart no</x:v>
      </x:c>
      <x:c r="G122" s="48" t="str">
        <x:v>Obligation</x:v>
      </x:c>
      <x:c r="H122" s="48" t="str">
        <x:v>Shared</x:v>
      </x:c>
      <x:c r="I122" s="48" t="n">
        <x:v>0.45</x:v>
      </x:c>
      <x:c r="J122" s="48" t="n">
        <x:v>0.4</x:v>
      </x:c>
      <x:c r="K122" s="48" t="str">
        <x:v>Yes</x:v>
      </x:c>
      <x:c r="L122" s="48" t="str">
        <x:v>OCR</x:v>
      </x:c>
    </x:row>
    <x:row r="123">
      <x:c r="A123" s="48" t="str">
        <x:v>ORANGE-0122</x:v>
      </x:c>
      <x:c r="B123" s="48" t="str">
        <x:v>ORANGE</x:v>
      </x:c>
      <x:c r="C123" s="48" t="str">
        <x:v>English</x:v>
      </x:c>
      <x:c r="D123" s="48" t="n">
        <x:v>17</x:v>
      </x:c>
      <x:c r="E123" s="48" t="str"/>
      <x:c r="F123" s="48" t="str">
        <x:v>Sie cetrviee, encom sigan comment)</x:v>
      </x:c>
      <x:c r="G123" s="48" t="str">
        <x:v>Obligation</x:v>
      </x:c>
      <x:c r="H123" s="48" t="str">
        <x:v>Shared</x:v>
      </x:c>
      <x:c r="I123" s="48" t="n">
        <x:v>0.45</x:v>
      </x:c>
      <x:c r="J123" s="48" t="n">
        <x:v>0.4</x:v>
      </x:c>
      <x:c r="K123" s="48" t="str">
        <x:v>Yes</x:v>
      </x:c>
      <x:c r="L123" s="48" t="str">
        <x:v>OCR</x:v>
      </x:c>
    </x:row>
    <x:row r="124">
      <x:c r="A124" s="48" t="str">
        <x:v>ORANGE-0123</x:v>
      </x:c>
      <x:c r="B124" s="48" t="str">
        <x:v>ORANGE</x:v>
      </x:c>
      <x:c r="C124" s="48" t="str">
        <x:v>English</x:v>
      </x:c>
      <x:c r="D124" s="48" t="n">
        <x:v>17</x:v>
      </x:c>
      <x:c r="E124" s="48" t="str"/>
      <x:c r="F124" s="48" t="str">
        <x:v>(© a ree ant ties te nf Cnn (0) te pits rcomn sins vd Sb.</x:v>
      </x:c>
      <x:c r="G124" s="48" t="str">
        <x:v>Obligation</x:v>
      </x:c>
      <x:c r="H124" s="48" t="str">
        <x:v>Shared</x:v>
      </x:c>
      <x:c r="I124" s="48" t="n">
        <x:v>0.45</x:v>
      </x:c>
      <x:c r="J124" s="48" t="n">
        <x:v>0.4</x:v>
      </x:c>
      <x:c r="K124" s="48" t="str">
        <x:v>Yes</x:v>
      </x:c>
      <x:c r="L124" s="48" t="str">
        <x:v>OCR</x:v>
      </x:c>
    </x:row>
    <x:row r="125">
      <x:c r="A125" s="48" t="str">
        <x:v>ORANGE-0124</x:v>
      </x:c>
      <x:c r="B125" s="48" t="str">
        <x:v>ORANGE</x:v>
      </x:c>
      <x:c r="C125" s="48" t="str">
        <x:v>English</x:v>
      </x:c>
      <x:c r="D125" s="48" t="n">
        <x:v>17</x:v>
      </x:c>
      <x:c r="E125" s="48" t="str"/>
      <x:c r="F125" s="48" t="str">
        <x:v>5:2 od fit {Sy eraser, appenaandconent ected ie Employers acne (6 esac fa ests pid athe Ca {es tere ste i he Cae he Opa sl be deen sitcoms en se Sw se Sa “he Contr al wwe red ye Engine Rees eva mary, afoman gee Sueno he seg ict Se cea papas ar re cae ‘tle made want neat Engler open pope ft rs dot eo openness ena my enrothe Conan ee pene</x:v>
      </x:c>
      <x:c r="G125" s="48" t="str">
        <x:v>Obligation</x:v>
      </x:c>
      <x:c r="H125" s="48" t="str">
        <x:v>Shared</x:v>
      </x:c>
      <x:c r="I125" s="48" t="n">
        <x:v>0.45</x:v>
      </x:c>
      <x:c r="J125" s="48" t="n">
        <x:v>0.4</x:v>
      </x:c>
      <x:c r="K125" s="48" t="str">
        <x:v>Yes</x:v>
      </x:c>
      <x:c r="L125" s="48" t="str">
        <x:v>OCR</x:v>
      </x:c>
    </x:row>
    <x:row r="126">
      <x:c r="A126" s="48" t="str">
        <x:v>ORANGE-0125</x:v>
      </x:c>
      <x:c r="B126" s="48" t="str">
        <x:v>ORANGE</x:v>
      </x:c>
      <x:c r="C126" s="48" t="str">
        <x:v>English</x:v>
      </x:c>
      <x:c r="D126" s="48" t="n">
        <x:v>17</x:v>
      </x:c>
      <x:c r="E126" s="48" t="str"/>
      <x:c r="F126" s="48" t="str">
        <x:v>Grcetbetes ereray w edore ents SO Fo</x:v>
      </x:c>
      <x:c r="G126" s="48" t="str">
        <x:v>Obligation</x:v>
      </x:c>
      <x:c r="H126" s="48" t="str">
        <x:v>Shared</x:v>
      </x:c>
      <x:c r="I126" s="48" t="n">
        <x:v>0.45</x:v>
      </x:c>
      <x:c r="J126" s="48" t="n">
        <x:v>0.4</x:v>
      </x:c>
      <x:c r="K126" s="48" t="str">
        <x:v>Yes</x:v>
      </x:c>
      <x:c r="L126" s="48" t="str">
        <x:v>OCR</x:v>
      </x:c>
    </x:row>
    <x:row r="127">
      <x:c r="A127" s="48" t="str">
        <x:v>ORANGE-0126</x:v>
      </x:c>
      <x:c r="B127" s="48" t="str">
        <x:v>ORANGE</x:v>
      </x:c>
      <x:c r="C127" s="48" t="str">
        <x:v>English</x:v>
      </x:c>
      <x:c r="D127" s="48" t="n">
        <x:v>17</x:v>
      </x:c>
      <x:c r="E127" s="48" t="str"/>
      <x:c r="F127" s="48" t="str">
        <x:v>poms rege Reps 448 ou oes psa a 8 Concer a abt</x:v>
      </x:c>
      <x:c r="G127" s="48" t="str">
        <x:v>Obligation</x:v>
      </x:c>
      <x:c r="H127" s="48" t="str">
        <x:v>Shared</x:v>
      </x:c>
      <x:c r="I127" s="48" t="n">
        <x:v>0.45</x:v>
      </x:c>
      <x:c r="J127" s="48" t="n">
        <x:v>0.4</x:v>
      </x:c>
      <x:c r="K127" s="48" t="str">
        <x:v>Yes</x:v>
      </x:c>
      <x:c r="L127" s="48" t="str">
        <x:v>OCR</x:v>
      </x:c>
    </x:row>
    <x:row r="128">
      <x:c r="A128" s="48" t="str">
        <x:v>ORANGE-0127</x:v>
      </x:c>
      <x:c r="B128" s="48" t="str">
        <x:v>ORANGE</x:v>
      </x:c>
      <x:c r="C128" s="48" t="str">
        <x:v>English</x:v>
      </x:c>
      <x:c r="D128" s="48" t="n">
        <x:v>17</x:v>
      </x:c>
      <x:c r="E128" s="48" t="str">
        <x:v>1</x:v>
      </x:c>
      <x:c r="F128" s="48" t="str">
        <x:v>1 Empyers Repesete a eps Th it pe al oe te</x:v>
      </x:c>
      <x:c r="G128" s="48" t="str">
        <x:v>Heading</x:v>
      </x:c>
      <x:c r="H128" s="48" t="str"/>
      <x:c r="I128" s="48" t="n">
        <x:v>0.9</x:v>
      </x:c>
      <x:c r="J128" s="48" t="n">
        <x:v>0.99</x:v>
      </x:c>
      <x:c r="K128" s="48" t="str">
        <x:v>No</x:v>
      </x:c>
      <x:c r="L128" s="48" t="str">
        <x:v>OCR</x:v>
      </x:c>
    </x:row>
    <x:row r="129">
      <x:c r="A129" s="48" t="str">
        <x:v>ORANGE-0128</x:v>
      </x:c>
      <x:c r="B129" s="48" t="str">
        <x:v>ORANGE</x:v>
      </x:c>
      <x:c r="C129" s="48" t="str">
        <x:v>English</x:v>
      </x:c>
      <x:c r="D129" s="48" t="n">
        <x:v>17</x:v>
      </x:c>
      <x:c r="E129" s="48" t="str"/>
      <x:c r="F129" s="48" t="str">
        <x:v>Pil op tot ed ee kn beh afer in wach</x:v>
      </x:c>
      <x:c r="G129" s="48" t="str">
        <x:v>Obligation</x:v>
      </x:c>
      <x:c r="H129" s="48" t="str">
        <x:v>Shared</x:v>
      </x:c>
      <x:c r="I129" s="48" t="n">
        <x:v>0.45</x:v>
      </x:c>
      <x:c r="J129" s="48" t="n">
        <x:v>0.4</x:v>
      </x:c>
      <x:c r="K129" s="48" t="str">
        <x:v>Yes</x:v>
      </x:c>
      <x:c r="L129" s="48" t="str">
        <x:v>OCR</x:v>
      </x:c>
    </x:row>
    <x:row r="130">
      <x:c r="A130" s="48" t="str">
        <x:v>ORANGE-0129</x:v>
      </x:c>
      <x:c r="B130" s="48" t="str">
        <x:v>ORANGE</x:v>
      </x:c>
      <x:c r="C130" s="48" t="str">
        <x:v>English</x:v>
      </x:c>
      <x:c r="D130" s="48" t="n">
        <x:v>17</x:v>
      </x:c>
      <x:c r="E130" s="48" t="str"/>
      <x:c r="F130" s="48" t="str">
        <x:v>Extn ba cree wl mnt hese</x:v>
      </x:c>
      <x:c r="G130" s="48" t="str">
        <x:v>Obligation</x:v>
      </x:c>
      <x:c r="H130" s="48" t="str">
        <x:v>Shared</x:v>
      </x:c>
      <x:c r="I130" s="48" t="n">
        <x:v>0.45</x:v>
      </x:c>
      <x:c r="J130" s="48" t="n">
        <x:v>0.4</x:v>
      </x:c>
      <x:c r="K130" s="48" t="str">
        <x:v>Yes</x:v>
      </x:c>
      <x:c r="L130" s="48" t="str">
        <x:v>OCR</x:v>
      </x:c>
    </x:row>
    <x:row r="131">
      <x:c r="A131" s="48" t="str">
        <x:v>ORANGE-0130</x:v>
      </x:c>
      <x:c r="B131" s="48" t="str">
        <x:v>ORANGE</x:v>
      </x:c>
      <x:c r="C131" s="48" t="str">
        <x:v>English</x:v>
      </x:c>
      <x:c r="D131" s="48" t="n">
        <x:v>17</x:v>
      </x:c>
      <x:c r="E131" s="48" t="str"/>
      <x:c r="F131" s="48" t="str">
        <x:v>Scheie trad ote pated eaten nan Rap</x:v>
      </x:c>
      <x:c r="G131" s="48" t="str">
        <x:v>Obligation</x:v>
      </x:c>
      <x:c r="H131" s="48" t="str">
        <x:v>Shared</x:v>
      </x:c>
      <x:c r="I131" s="48" t="n">
        <x:v>0.45</x:v>
      </x:c>
      <x:c r="J131" s="48" t="n">
        <x:v>0.4</x:v>
      </x:c>
      <x:c r="K131" s="48" t="str">
        <x:v>Yes</x:v>
      </x:c>
      <x:c r="L131" s="48" t="str">
        <x:v>OCR</x:v>
      </x:c>
    </x:row>
    <x:row r="132">
      <x:c r="A132" s="48" t="str">
        <x:v>ORANGE-0131</x:v>
      </x:c>
      <x:c r="B132" s="48" t="str">
        <x:v>ORANGE</x:v>
      </x:c>
      <x:c r="C132" s="48" t="str">
        <x:v>English</x:v>
      </x:c>
      <x:c r="D132" s="48" t="n">
        <x:v>17</x:v>
      </x:c>
      <x:c r="E132" s="48" t="str"/>
      <x:c r="F132" s="48" t="str">
        <x:v>‘Satu ne Comte oie ro ic se ‘Statute we compan ane nd ae ag Ont Cio</x:v>
      </x:c>
      <x:c r="G132" s="48" t="str">
        <x:v>Obligation</x:v>
      </x:c>
      <x:c r="H132" s="48" t="str">
        <x:v>Shared</x:v>
      </x:c>
      <x:c r="I132" s="48" t="n">
        <x:v>0.45</x:v>
      </x:c>
      <x:c r="J132" s="48" t="n">
        <x:v>0.4</x:v>
      </x:c>
      <x:c r="K132" s="48" t="str">
        <x:v>Yes</x:v>
      </x:c>
      <x:c r="L132" s="48" t="str">
        <x:v>OCR</x:v>
      </x:c>
    </x:row>
    <x:row r="133">
      <x:c r="A133" s="48" t="str">
        <x:v>ORANGE-0132</x:v>
      </x:c>
      <x:c r="B133" s="48" t="str">
        <x:v>ORANGE</x:v>
      </x:c>
      <x:c r="C133" s="48" t="str">
        <x:v>English</x:v>
      </x:c>
      <x:c r="D133" s="48" t="n">
        <x:v>17</x:v>
      </x:c>
      <x:c r="E133" s="48" t="str"/>
      <x:c r="F133" s="48" t="str">
        <x:v>Scottie ep ie</x:v>
      </x:c>
      <x:c r="G133" s="48" t="str">
        <x:v>Obligation</x:v>
      </x:c>
      <x:c r="H133" s="48" t="str">
        <x:v>Shared</x:v>
      </x:c>
      <x:c r="I133" s="48" t="n">
        <x:v>0.45</x:v>
      </x:c>
      <x:c r="J133" s="48" t="n">
        <x:v>0.4</x:v>
      </x:c>
      <x:c r="K133" s="48" t="str">
        <x:v>Yes</x:v>
      </x:c>
      <x:c r="L133" s="48" t="str">
        <x:v>OCR</x:v>
      </x:c>
    </x:row>
    <x:row r="134">
      <x:c r="A134" s="48" t="str">
        <x:v>ORANGE-0133</x:v>
      </x:c>
      <x:c r="B134" s="48" t="str">
        <x:v>ORANGE</x:v>
      </x:c>
      <x:c r="C134" s="48" t="str">
        <x:v>English</x:v>
      </x:c>
      <x:c r="D134" s="48" t="n">
        <x:v>17</x:v>
      </x:c>
      <x:c r="E134" s="48" t="str"/>
      <x:c r="F134" s="48" t="str">
        <x:v>(2) pepe aac ern pes mang apt (Eogh prcccner mancace oe Sue cmt ‘sehen oom ©» sash hf Ces Des con (6) forte mint of ch mai en Para Nee. be nae</x:v>
      </x:c>
      <x:c r="G134" s="48" t="str">
        <x:v>Obligation</x:v>
      </x:c>
      <x:c r="H134" s="48" t="str">
        <x:v>Shared</x:v>
      </x:c>
      <x:c r="I134" s="48" t="n">
        <x:v>0.45</x:v>
      </x:c>
      <x:c r="J134" s="48" t="n">
        <x:v>0.4</x:v>
      </x:c>
      <x:c r="K134" s="48" t="str">
        <x:v>Yes</x:v>
      </x:c>
      <x:c r="L134" s="48" t="str">
        <x:v>OCR</x:v>
      </x:c>
    </x:row>
    <x:row r="135">
      <x:c r="A135" s="48" t="str">
        <x:v>ORANGE-0134</x:v>
      </x:c>
      <x:c r="B135" s="48" t="str">
        <x:v>ORANGE</x:v>
      </x:c>
      <x:c r="C135" s="48" t="str">
        <x:v>English</x:v>
      </x:c>
      <x:c r="D135" s="48" t="n">
        <x:v>18</x:v>
      </x:c>
      <x:c r="E135" s="48" t="str"/>
      <x:c r="F135" s="48" t="str">
        <x:v>(4) scot fpr! nd Corr’ Equipment on Si (0 cals of gay ssurne dcunes,e el a cefes o (0 sty ie aig dei fy can der a en ‘eigenen sec dpb ons nd (© compat ofa and pled progres, wih eae of ay ape ‘Stir ane became scan ith Cra a ‘hermanos han (robe ape none ach ap Caras 416 Unis eri stein Pr Ihe Cnt al pve i Cec quiet” Egupnes ces compte th Wer.</x:v>
      </x:c>
      <x:c r="G135" s="48" t="str">
        <x:v>Obligation</x:v>
      </x:c>
      <x:c r="H135" s="48" t="str">
        <x:v>Shared</x:v>
      </x:c>
      <x:c r="I135" s="48" t="n">
        <x:v>0.45</x:v>
      </x:c>
      <x:c r="J135" s="48" t="n">
        <x:v>0.4</x:v>
      </x:c>
      <x:c r="K135" s="48" t="str">
        <x:v>Yes</x:v>
      </x:c>
      <x:c r="L135" s="48" t="str">
        <x:v>OCR</x:v>
      </x:c>
    </x:row>
    <x:row r="136">
      <x:c r="A136" s="48" t="str">
        <x:v>ORANGE-0135</x:v>
      </x:c>
      <x:c r="B136" s="48" t="str">
        <x:v>ORANGE</x:v>
      </x:c>
      <x:c r="C136" s="48" t="str">
        <x:v>English</x:v>
      </x:c>
      <x:c r="D136" s="48" t="n">
        <x:v>18</x:v>
      </x:c>
      <x:c r="E136" s="48" t="str"/>
      <x:c r="F136" s="48" t="str">
        <x:v>Al Crna s Eqn shal. ‘wee iongt oh tt dvb eciely ier or ‘CoametersEgupmen watt comer fe Empl Reps ‘SaeyPrecaaion 417 The Cont alcompy ith ppcae sy plain hs een xtseanpne epee Un rs Pat be Ene pve (2 fein. ating nding ad hig of he Wess 1 etic acannon a pane oer andor et</x:v>
      </x:c>
      <x:c r="G136" s="48" t="str">
        <x:v>Obligation</x:v>
      </x:c>
      <x:c r="H136" s="48" t="str">
        <x:v>Shared</x:v>
      </x:c>
      <x:c r="I136" s="48" t="n">
        <x:v>0.45</x:v>
      </x:c>
      <x:c r="J136" s="48" t="n">
        <x:v>0.4</x:v>
      </x:c>
      <x:c r="K136" s="48" t="str">
        <x:v>Yes</x:v>
      </x:c>
      <x:c r="L136" s="48" t="str">
        <x:v>OCR</x:v>
      </x:c>
    </x:row>
    <x:row r="137">
      <x:c r="A137" s="48" t="str">
        <x:v>ORANGE-0136</x:v>
      </x:c>
      <x:c r="B137" s="48" t="str">
        <x:v>ORANGE</x:v>
      </x:c>
      <x:c r="C137" s="48" t="str">
        <x:v>English</x:v>
      </x:c>
      <x:c r="D137" s="48" t="n">
        <x:v>18</x:v>
      </x:c>
      <x:c r="E137" s="48" t="str"/>
      <x:c r="F137" s="48" t="str">
        <x:v>Tan teat wh</x:v>
      </x:c>
      <x:c r="G137" s="48" t="str">
        <x:v>Obligation</x:v>
      </x:c>
      <x:c r="H137" s="48" t="str">
        <x:v>Shared</x:v>
      </x:c>
      <x:c r="I137" s="48" t="n">
        <x:v>0.45</x:v>
      </x:c>
      <x:c r="J137" s="48" t="n">
        <x:v>0.4</x:v>
      </x:c>
      <x:c r="K137" s="48" t="str">
        <x:v>Yes</x:v>
      </x:c>
      <x:c r="L137" s="48" t="str">
        <x:v>OCR</x:v>
      </x:c>
    </x:row>
    <x:row r="138">
      <x:c r="A138" s="48" t="str">
        <x:v>ORANGE-0137</x:v>
      </x:c>
      <x:c r="B138" s="48" t="str">
        <x:v>ORANGE</x:v>
      </x:c>
      <x:c r="C138" s="48" t="str">
        <x:v>English</x:v>
      </x:c>
      <x:c r="D138" s="48" t="n">
        <x:v>18</x:v>
      </x:c>
      <x:c r="E138" s="48" t="str"/>
      <x:c r="F138" s="48" t="str">
        <x:v>Protein the AK The Conta sae</x:v>
      </x:c>
      <x:c r="G138" s="48" t="str">
        <x:v>Obligation</x:v>
      </x:c>
      <x:c r="H138" s="48" t="str">
        <x:v>Shared</x:v>
      </x:c>
      <x:c r="I138" s="48" t="n">
        <x:v>0.45</x:v>
      </x:c>
      <x:c r="J138" s="48" t="n">
        <x:v>0.4</x:v>
      </x:c>
      <x:c r="K138" s="48" t="str">
        <x:v>Yes</x:v>
      </x:c>
      <x:c r="L138" s="48" t="str">
        <x:v>OCR</x:v>
      </x:c>
    </x:row>
    <x:row r="139">
      <x:c r="A139" s="48" t="str">
        <x:v>ORANGE-0138</x:v>
      </x:c>
      <x:c r="B139" s="48" t="str">
        <x:v>ORANGE</x:v>
      </x:c>
      <x:c r="C139" s="48" t="str">
        <x:v>English</x:v>
      </x:c>
      <x:c r="D139" s="48" t="n">
        <x:v>18</x:v>
      </x:c>
      <x:c r="E139" s="48" t="str"/>
      <x:c r="F139" s="48" t="str">
        <x:v>vvoomnt nano at ee ma pr Rey (Coordi ee msn sve chug cle em, ‘he St ring te Comat er ln eced he he ne a</x:v>
      </x:c>
      <x:c r="G139" s="48" t="str">
        <x:v>Obligation</x:v>
      </x:c>
      <x:c r="H139" s="48" t="str">
        <x:v>Shared</x:v>
      </x:c>
      <x:c r="I139" s="48" t="n">
        <x:v>0.45</x:v>
      </x:c>
      <x:c r="J139" s="48" t="n">
        <x:v>0.4</x:v>
      </x:c>
      <x:c r="K139" s="48" t="str">
        <x:v>Yes</x:v>
      </x:c>
      <x:c r="L139" s="48" t="str">
        <x:v>OCR</x:v>
      </x:c>
    </x:row>
    <x:row r="140">
      <x:c r="A140" s="48" t="str">
        <x:v>ORANGE-0139</x:v>
      </x:c>
      <x:c r="B140" s="48" t="str">
        <x:v>ORANGE</x:v>
      </x:c>
      <x:c r="C140" s="48" t="str">
        <x:v>English</x:v>
      </x:c>
      <x:c r="D140" s="48" t="n">
        <x:v>18</x:v>
      </x:c>
      <x:c r="E140" s="48" t="str"/>
      <x:c r="F140" s="48" t="str">
        <x:v>Engler Regent a sail cused i aes pei</x:v>
      </x:c>
      <x:c r="G140" s="48" t="str">
        <x:v>Obligation</x:v>
      </x:c>
      <x:c r="H140" s="48" t="str">
        <x:v>Shared</x:v>
      </x:c>
      <x:c r="I140" s="48" t="n">
        <x:v>0.45</x:v>
      </x:c>
      <x:c r="J140" s="48" t="n">
        <x:v>0.4</x:v>
      </x:c>
      <x:c r="K140" s="48" t="str">
        <x:v>Yes</x:v>
      </x:c>
      <x:c r="L140" s="48" t="str">
        <x:v>OCR</x:v>
      </x:c>
    </x:row>
    <x:row r="141">
      <x:c r="A141" s="48" t="str">
        <x:v>ORANGE-0140</x:v>
      </x:c>
      <x:c r="B141" s="48" t="str">
        <x:v>ORANGE</x:v>
      </x:c>
      <x:c r="C141" s="48" t="str">
        <x:v>English</x:v>
      </x:c>
      <x:c r="D141" s="48" t="n">
        <x:v>18</x:v>
      </x:c>
      <x:c r="E141" s="48" t="str"/>
      <x:c r="F141" s="48" t="str">
        <x:v>ti Mae 448 The Cas hl aed rhe rn he Wen ck “natin “pe cc sande sericea mae he</x:v>
      </x:c>
      <x:c r="G141" s="48" t="str">
        <x:v>Obligation</x:v>
      </x:c>
      <x:c r="H141" s="48" t="str">
        <x:v>Shared</x:v>
      </x:c>
      <x:c r="I141" s="48" t="n">
        <x:v>0.45</x:v>
      </x:c>
      <x:c r="J141" s="48" t="n">
        <x:v>0.4</x:v>
      </x:c>
      <x:c r="K141" s="48" t="str">
        <x:v>Yes</x:v>
      </x:c>
      <x:c r="L141" s="48" t="str">
        <x:v>OCR</x:v>
      </x:c>
    </x:row>
    <x:row r="142">
      <x:c r="A142" s="48" t="str">
        <x:v>ORANGE-0141</x:v>
      </x:c>
      <x:c r="B142" s="48" t="str">
        <x:v>ORANGE</x:v>
      </x:c>
      <x:c r="C142" s="48" t="str">
        <x:v>English</x:v>
      </x:c>
      <x:c r="D142" s="48" t="n">
        <x:v>18</x:v>
      </x:c>
      <x:c r="E142" s="48" t="str"/>
      <x:c r="F142" s="48" t="str">
        <x:v>Sen sch det pn in he Employers Regaine The</x:v>
      </x:c>
      <x:c r="G142" s="48" t="str">
        <x:v>Obligation</x:v>
      </x:c>
      <x:c r="H142" s="48" t="str">
        <x:v>Shared</x:v>
      </x:c>
      <x:c r="I142" s="48" t="n">
        <x:v>0.45</x:v>
      </x:c>
      <x:c r="J142" s="48" t="n">
        <x:v>0.4</x:v>
      </x:c>
      <x:c r="K142" s="48" t="str">
        <x:v>Yes</x:v>
      </x:c>
      <x:c r="L142" s="48" t="str">
        <x:v>OCR</x:v>
      </x:c>
    </x:row>
    <x:row r="143">
      <x:c r="A143" s="48" t="str">
        <x:v>ORANGE-0142</x:v>
      </x:c>
      <x:c r="B143" s="48" t="str">
        <x:v>ORANGE</x:v>
      </x:c>
      <x:c r="C143" s="48" t="str">
        <x:v>English</x:v>
      </x:c>
      <x:c r="D143" s="48" t="n">
        <x:v>18</x:v>
      </x:c>
      <x:c r="E143" s="48" t="str"/>
      <x:c r="F143" s="48" t="str">
        <x:v>Courses py te Employer te pues sae be Emp</x:v>
      </x:c>
      <x:c r="G143" s="48" t="str">
        <x:v>Obligation</x:v>
      </x:c>
      <x:c r="H143" s="48" t="str">
        <x:v>Employer</x:v>
      </x:c>
      <x:c r="I143" s="48" t="n">
        <x:v>0.45</x:v>
      </x:c>
      <x:c r="J143" s="48" t="n">
        <x:v>0.68</x:v>
      </x:c>
      <x:c r="K143" s="48" t="str">
        <x:v>Yes</x:v>
      </x:c>
      <x:c r="L143" s="48" t="str">
        <x:v>OCR</x:v>
      </x:c>
    </x:row>
    <x:row r="144">
      <x:c r="A144" s="48" t="str">
        <x:v>ORANGE-0143</x:v>
      </x:c>
      <x:c r="B144" s="48" t="str">
        <x:v>ORANGE</x:v>
      </x:c>
      <x:c r="C144" s="48" t="str">
        <x:v>English</x:v>
      </x:c>
      <x:c r="D144" s="48" t="n">
        <x:v>18</x:v>
      </x:c>
      <x:c r="E144" s="48" t="str"/>
      <x:c r="F144" s="48" t="str">
        <x:v>eget Te aie cto ult decminedy he ge ‘Sf sms mage amu ae smo nen</x:v>
      </x:c>
      <x:c r="G144" s="48" t="str">
        <x:v>Obligation</x:v>
      </x:c>
      <x:c r="H144" s="48" t="str">
        <x:v>Shared</x:v>
      </x:c>
      <x:c r="I144" s="48" t="n">
        <x:v>0.45</x:v>
      </x:c>
      <x:c r="J144" s="48" t="n">
        <x:v>0.4</x:v>
      </x:c>
      <x:c r="K144" s="48" t="str">
        <x:v>Yes</x:v>
      </x:c>
      <x:c r="L144" s="48" t="str">
        <x:v>OCR</x:v>
      </x:c>
    </x:row>
    <x:row r="145">
      <x:c r="A145" s="48" t="str">
        <x:v>ORANGE-0144</x:v>
      </x:c>
      <x:c r="B145" s="48" t="str">
        <x:v>ORANGE</x:v>
      </x:c>
      <x:c r="C145" s="48" t="str">
        <x:v>English</x:v>
      </x:c>
      <x:c r="D145" s="48" t="n">
        <x:v>18</x:v>
      </x:c>
      <x:c r="E145" s="48" t="str"/>
      <x:c r="F145" s="48" t="str">
        <x:v>Fil Payment Cec The Conor sl tr act pose</x:v>
      </x:c>
      <x:c r="G145" s="48" t="str">
        <x:v>Obligation</x:v>
      </x:c>
      <x:c r="H145" s="48" t="str">
        <x:v>Shared</x:v>
      </x:c>
      <x:c r="I145" s="48" t="n">
        <x:v>0.55</x:v>
      </x:c>
      <x:c r="J145" s="48" t="n">
        <x:v>0.4</x:v>
      </x:c>
      <x:c r="K145" s="48" t="str">
        <x:v>Yes</x:v>
      </x:c>
      <x:c r="L145" s="48" t="str">
        <x:v>OCR</x:v>
      </x:c>
    </x:row>
    <x:row r="146">
      <x:c r="A146" s="48" t="str">
        <x:v>ORANGE-0145</x:v>
      </x:c>
      <x:c r="B146" s="48" t="str">
        <x:v>ORANGE</x:v>
      </x:c>
      <x:c r="C146" s="48" t="str">
        <x:v>English</x:v>
      </x:c>
      <x:c r="D146" s="48" t="n">
        <x:v>18</x:v>
      </x:c>
      <x:c r="E146" s="48" t="str"/>
      <x:c r="F146" s="48" t="str">
        <x:v>Sy orponr sro fo sh derma td for Ne wf ie</x:v>
      </x:c>
      <x:c r="G146" s="48" t="str">
        <x:v>Obligation</x:v>
      </x:c>
      <x:c r="H146" s="48" t="str">
        <x:v>Shared</x:v>
      </x:c>
      <x:c r="I146" s="48" t="n">
        <x:v>0.45</x:v>
      </x:c>
      <x:c r="J146" s="48" t="n">
        <x:v>0.4</x:v>
      </x:c>
      <x:c r="K146" s="48" t="str">
        <x:v>Yes</x:v>
      </x:c>
      <x:c r="L146" s="48" t="str">
        <x:v>OCR</x:v>
      </x:c>
    </x:row>
    <x:row r="147">
      <x:c r="A147" s="48" t="str">
        <x:v>ORANGE-0146</x:v>
      </x:c>
      <x:c r="B147" s="48" t="str">
        <x:v>ORANGE</x:v>
      </x:c>
      <x:c r="C147" s="48" t="str">
        <x:v>English</x:v>
      </x:c>
      <x:c r="D147" s="48" t="n">
        <x:v>18</x:v>
      </x:c>
      <x:c r="E147" s="48" t="str"/>
      <x:c r="F147" s="48" t="str">
        <x:v>ee step tet ena ea Su 508 np mn pee macy me “ittasyact “Tp ntecascmn can preside Une Ropu Te</x:v>
      </x:c>
      <x:c r="G147" s="48" t="str">
        <x:v>Obligation</x:v>
      </x:c>
      <x:c r="H147" s="48" t="str">
        <x:v>Shared</x:v>
      </x:c>
      <x:c r="I147" s="48" t="n">
        <x:v>0.45</x:v>
      </x:c>
      <x:c r="J147" s="48" t="n">
        <x:v>0.4</x:v>
      </x:c>
      <x:c r="K147" s="48" t="str">
        <x:v>Yes</x:v>
      </x:c>
      <x:c r="L147" s="48" t="str">
        <x:v>OCR</x:v>
      </x:c>
    </x:row>
    <x:row r="148">
      <x:c r="A148" s="48" t="str">
        <x:v>ORANGE-0147</x:v>
      </x:c>
      <x:c r="B148" s="48" t="str">
        <x:v>ORANGE</x:v>
      </x:c>
      <x:c r="C148" s="48" t="str">
        <x:v>English</x:v>
      </x:c>
      <x:c r="D148" s="48" t="n">
        <x:v>18</x:v>
      </x:c>
      <x:c r="E148" s="48" t="str"/>
      <x:c r="F148" s="48" t="str">
        <x:v>Scat Per ene apt sey rs</x:v>
      </x:c>
      <x:c r="G148" s="48" t="str">
        <x:v>Obligation</x:v>
      </x:c>
      <x:c r="H148" s="48" t="str">
        <x:v>Shared</x:v>
      </x:c>
      <x:c r="I148" s="48" t="n">
        <x:v>0.45</x:v>
      </x:c>
      <x:c r="J148" s="48" t="n">
        <x:v>0.4</x:v>
      </x:c>
      <x:c r="K148" s="48" t="str">
        <x:v>Yes</x:v>
      </x:c>
      <x:c r="L148" s="48" t="str">
        <x:v>OCR</x:v>
      </x:c>
    </x:row>
    <x:row r="149">
      <x:c r="A149" s="48" t="str">
        <x:v>ORANGE-0148</x:v>
      </x:c>
      <x:c r="B149" s="48" t="str">
        <x:v>ORANGE</x:v>
      </x:c>
      <x:c r="C149" s="48" t="str">
        <x:v>English</x:v>
      </x:c>
      <x:c r="D149" s="48" t="n">
        <x:v>18</x:v>
      </x:c>
      <x:c r="E149" s="48" t="str"/>
      <x:c r="F149" s="48" t="str">
        <x:v>‘Seca the ine an pce pido he Coma inom a sty et hy th ei ‘octet ls Ele ani Eyer Resa ny Shrug dat or ef th, ier Epi sal meaty ‘Set ay vgs sree he Cac Cou ‘Se Empty epesenaine ape) sal cary st th eta ‘SEdtin her tn pecs choy a marl al come ier the ce, ety tn Cowl of he CnmcarThe Com ‘hpi operon. ce, ou an ena hall eve Be</x:v>
      </x:c>
      <x:c r="G149" s="48" t="str">
        <x:v>Obligation</x:v>
      </x:c>
      <x:c r="H149" s="48" t="str">
        <x:v>Shared</x:v>
      </x:c>
      <x:c r="I149" s="48" t="n">
        <x:v>0.45</x:v>
      </x:c>
      <x:c r="J149" s="48" t="n">
        <x:v>0.4</x:v>
      </x:c>
      <x:c r="K149" s="48" t="str">
        <x:v>Yes</x:v>
      </x:c>
      <x:c r="L149" s="48" t="str">
        <x:v>OCR</x:v>
      </x:c>
    </x:row>
    <x:row r="150">
      <x:c r="A150" s="48" t="str">
        <x:v>ORANGE-0149</x:v>
      </x:c>
      <x:c r="B150" s="48" t="str">
        <x:v>ORANGE</x:v>
      </x:c>
      <x:c r="C150" s="48" t="str">
        <x:v>English</x:v>
      </x:c>
      <x:c r="D150" s="48" t="n">
        <x:v>18</x:v>
      </x:c>
      <x:c r="E150" s="48" t="str"/>
      <x:c r="F150" s="48" t="str">
        <x:v>Erle ob oy sane rae a</x:v>
      </x:c>
      <x:c r="G150" s="48" t="str">
        <x:v>Obligation</x:v>
      </x:c>
      <x:c r="H150" s="48" t="str">
        <x:v>Shared</x:v>
      </x:c>
      <x:c r="I150" s="48" t="n">
        <x:v>0.45</x:v>
      </x:c>
      <x:c r="J150" s="48" t="n">
        <x:v>0.4</x:v>
      </x:c>
      <x:c r="K150" s="48" t="str">
        <x:v>Yes</x:v>
      </x:c>
      <x:c r="L150" s="48" t="str">
        <x:v>OCR</x:v>
      </x:c>
    </x:row>
    <x:row r="151">
      <x:c r="A151" s="48" t="str">
        <x:v>ORANGE-0150</x:v>
      </x:c>
      <x:c r="B151" s="48" t="str">
        <x:v>ORANGE</x:v>
      </x:c>
      <x:c r="C151" s="48" t="str">
        <x:v>English</x:v>
      </x:c>
      <x:c r="D151" s="48" t="n">
        <x:v>19</x:v>
      </x:c>
      <x:c r="E151" s="48" t="str"/>
      <x:c r="F151" s="48" t="str">
        <x:v>‘he ngloe so east pee tens machinery andes</x:v>
      </x:c>
      <x:c r="G151" s="48" t="str">
        <x:v>Obligation</x:v>
      </x:c>
      <x:c r="H151" s="48" t="str">
        <x:v>Shared</x:v>
      </x:c>
      <x:c r="I151" s="48" t="n">
        <x:v>0.45</x:v>
      </x:c>
      <x:c r="J151" s="48" t="n">
        <x:v>0.4</x:v>
      </x:c>
      <x:c r="K151" s="48" t="str">
        <x:v>Yes</x:v>
      </x:c>
      <x:c r="L151" s="48" t="str">
        <x:v>OCR</x:v>
      </x:c>
    </x:row>
    <x:row r="152">
      <x:c r="A152" s="48" t="str">
        <x:v>ORANGE-0151</x:v>
      </x:c>
      <x:c r="B152" s="48" t="str">
        <x:v>ORANGE</x:v>
      </x:c>
      <x:c r="C152" s="48" t="str">
        <x:v>English</x:v>
      </x:c>
      <x:c r="D152" s="48" t="n">
        <x:v>19</x:v>
      </x:c>
      <x:c r="E152" s="48" t="str"/>
      <x:c r="F152" s="48" t="str">
        <x:v>SNccrdne wi te det srugemes a care gen Ie</x:v>
      </x:c>
      <x:c r="G152" s="48" t="str">
        <x:v>Obligation</x:v>
      </x:c>
      <x:c r="H152" s="48" t="str">
        <x:v>Shared</x:v>
      </x:c>
      <x:c r="I152" s="48" t="n">
        <x:v>0.45</x:v>
      </x:c>
      <x:c r="J152" s="48" t="n">
        <x:v>0.4</x:v>
      </x:c>
      <x:c r="K152" s="48" t="str">
        <x:v>Yes</x:v>
      </x:c>
      <x:c r="L152" s="48" t="str">
        <x:v>OCR</x:v>
      </x:c>
    </x:row>
    <x:row r="153">
      <x:c r="A153" s="48" t="str">
        <x:v>ORANGE-0152</x:v>
      </x:c>
      <x:c r="B153" s="48" t="str">
        <x:v>ORANGE</x:v>
      </x:c>
      <x:c r="C153" s="48" t="str">
        <x:v>English</x:v>
      </x:c>
      <x:c r="D153" s="48" t="n">
        <x:v>19</x:v>
      </x:c>
      <x:c r="E153" s="48" t="str"/>
      <x:c r="F153" s="48" t="str">
        <x:v>Engi egrets he Cette pet es Be</x:v>
      </x:c>
      <x:c r="G153" s="48" t="str">
        <x:v>Obligation</x:v>
      </x:c>
      <x:c r="H153" s="48" t="str">
        <x:v>Shared</x:v>
      </x:c>
      <x:c r="I153" s="48" t="n">
        <x:v>0.45</x:v>
      </x:c>
      <x:c r="J153" s="48" t="n">
        <x:v>0.4</x:v>
      </x:c>
      <x:c r="K153" s="48" t="str">
        <x:v>Yes</x:v>
      </x:c>
      <x:c r="L153" s="48" t="str">
        <x:v>OCR</x:v>
      </x:c>
    </x:row>
    <x:row r="154">
      <x:c r="A154" s="48" t="str">
        <x:v>ORANGE-0153</x:v>
      </x:c>
      <x:c r="B154" s="48" t="str">
        <x:v>ORANGE</x:v>
      </x:c>
      <x:c r="C154" s="48" t="str">
        <x:v>English</x:v>
      </x:c>
      <x:c r="D154" s="48" t="n">
        <x:v>19</x:v>
      </x:c>
      <x:c r="E154" s="48" t="str"/>
      <x:c r="F154" s="48" t="str">
        <x:v>Se SS Ee</x:v>
      </x:c>
      <x:c r="G154" s="48" t="str">
        <x:v>Obligation</x:v>
      </x:c>
      <x:c r="H154" s="48" t="str">
        <x:v>Shared</x:v>
      </x:c>
      <x:c r="I154" s="48" t="n">
        <x:v>0.45</x:v>
      </x:c>
      <x:c r="J154" s="48" t="n">
        <x:v>0.4</x:v>
      </x:c>
      <x:c r="K154" s="48" t="str">
        <x:v>Yes</x:v>
      </x:c>
      <x:c r="L154" s="48" t="str">
        <x:v>OCR</x:v>
      </x:c>
    </x:row>
    <x:row r="155">
      <x:c r="A155" s="48" t="str">
        <x:v>ORANGE-0154</x:v>
      </x:c>
      <x:c r="B155" s="48" t="str">
        <x:v>ORANGE</x:v>
      </x:c>
      <x:c r="C155" s="48" t="str">
        <x:v>English</x:v>
      </x:c>
      <x:c r="D155" s="48" t="n">
        <x:v>19</x:v>
      </x:c>
      <x:c r="E155" s="48" t="str"/>
      <x:c r="F155" s="48" t="str">
        <x:v>loi sacha cons In a Fal apn Charme of Ste 421 During erste Werks th Coma Sa ep he Si ee om Sen ee a ‘i ‘obs and Tenor Wor The Cosco shal ae ch pao he ee ‘tee wns ns can ants onthe atsaom a be Epes eps Fach be Coro shal te nies wean on Si,</x:v>
      </x:c>
      <x:c r="G155" s="48" t="str">
        <x:v>Obligation</x:v>
      </x:c>
      <x:c r="H155" s="48" t="str">
        <x:v>Shared</x:v>
      </x:c>
      <x:c r="I155" s="48" t="n">
        <x:v>0.45</x:v>
      </x:c>
      <x:c r="J155" s="48" t="n">
        <x:v>0.4</x:v>
      </x:c>
      <x:c r="K155" s="48" t="str">
        <x:v>Yes</x:v>
      </x:c>
      <x:c r="L155" s="48" t="str">
        <x:v>OCR</x:v>
      </x:c>
    </x:row>
    <x:row r="156">
      <x:c r="A156" s="48" t="str">
        <x:v>ORANGE-0155</x:v>
      </x:c>
      <x:c r="B156" s="48" t="str">
        <x:v>ORANGE</x:v>
      </x:c>
      <x:c r="C156" s="48" t="str">
        <x:v>English</x:v>
      </x:c>
      <x:c r="D156" s="48" t="n">
        <x:v>19</x:v>
      </x:c>
      <x:c r="E156" s="48" t="str"/>
      <x:c r="F156" s="48" t="str">
        <x:v>Sinceapy of Cnn Pood ah Cette gupta</x:v>
      </x:c>
      <x:c r="G156" s="48" t="str">
        <x:v>Obligation</x:v>
      </x:c>
      <x:c r="H156" s="48" t="str">
        <x:v>Shared</x:v>
      </x:c>
      <x:c r="I156" s="48" t="n">
        <x:v>0.45</x:v>
      </x:c>
      <x:c r="J156" s="48" t="n">
        <x:v>0.4</x:v>
      </x:c>
      <x:c r="K156" s="48" t="str">
        <x:v>Yes</x:v>
      </x:c>
      <x:c r="L156" s="48" t="str">
        <x:v>OCR</x:v>
      </x:c>
    </x:row>
    <x:row r="157">
      <x:c r="A157" s="48" t="str">
        <x:v>ORANGE-0156</x:v>
      </x:c>
      <x:c r="B157" s="48" t="str">
        <x:v>ORANGE</x:v>
      </x:c>
      <x:c r="C157" s="48" t="str">
        <x:v>English</x:v>
      </x:c>
      <x:c r="D157" s="48" t="n">
        <x:v>19</x:v>
      </x:c>
      <x:c r="E157" s="48" t="str"/>
      <x:c r="F157" s="48" t="str">
        <x:v>‘Sa'Tenory Wess a eae By hi ff pry fating bs aon wr be Conese te Coacr ais remove by 28 dys fer sa ote Performance</x:v>
      </x:c>
      <x:c r="G157" s="48" t="str">
        <x:v>Obligation</x:v>
      </x:c>
      <x:c r="H157" s="48" t="str">
        <x:v>Shared</x:v>
      </x:c>
      <x:c r="I157" s="48" t="n">
        <x:v>0.45</x:v>
      </x:c>
      <x:c r="J157" s="48" t="n">
        <x:v>0.4</x:v>
      </x:c>
      <x:c r="K157" s="48" t="str">
        <x:v>Yes</x:v>
      </x:c>
      <x:c r="L157" s="48" t="str">
        <x:v>OCR</x:v>
      </x:c>
    </x:row>
    <x:row r="158">
      <x:c r="A158" s="48" t="str">
        <x:v>ORANGE-0157</x:v>
      </x:c>
      <x:c r="B158" s="48" t="str">
        <x:v>ORANGE</x:v>
      </x:c>
      <x:c r="C158" s="48" t="str">
        <x:v>English</x:v>
      </x:c>
      <x:c r="D158" s="48" t="n">
        <x:v>19</x:v>
      </x:c>
      <x:c r="E158" s="48" t="str"/>
      <x:c r="F158" s="48" t="str">
        <x:v>Can av oman Cas Eunmet pata eka,</x:v>
      </x:c>
      <x:c r="G158" s="48" t="str">
        <x:v>Obligation</x:v>
      </x:c>
      <x:c r="H158" s="48" t="str">
        <x:v>Shared</x:v>
      </x:c>
      <x:c r="I158" s="48" t="n">
        <x:v>0.45</x:v>
      </x:c>
      <x:c r="J158" s="48" t="n">
        <x:v>0.4</x:v>
      </x:c>
      <x:c r="K158" s="48" t="str">
        <x:v>Yes</x:v>
      </x:c>
      <x:c r="L158" s="48" t="str">
        <x:v>OCR</x:v>
      </x:c>
    </x:row>
    <x:row r="159">
      <x:c r="A159" s="48" t="str">
        <x:v>ORANGE-0158</x:v>
      </x:c>
      <x:c r="B159" s="48" t="str">
        <x:v>ORANGE</x:v>
      </x:c>
      <x:c r="C159" s="48" t="str">
        <x:v>English</x:v>
      </x:c>
      <x:c r="D159" s="48" t="n">
        <x:v>19</x:v>
      </x:c>
      <x:c r="E159" s="48" t="str"/>
      <x:c r="F159" s="48" t="str">
        <x:v>‘Sut Rempory Wek he Empey sor hersa pneo ‘Soins Th Ener lr ened afte precede fs ‘Shreve eet he conn ced ncn she lo ‘Soran ing eS Any ae fe pce shal be yids ‘So'Guncne We ees of le ec</x:v>
      </x:c>
      <x:c r="G159" s="48" t="str">
        <x:v>Obligation</x:v>
      </x:c>
      <x:c r="H159" s="48" t="str">
        <x:v>Shared</x:v>
      </x:c>
      <x:c r="I159" s="48" t="n">
        <x:v>0.45</x:v>
      </x:c>
      <x:c r="J159" s="48" t="n">
        <x:v>0.4</x:v>
      </x:c>
      <x:c r="K159" s="48" t="str">
        <x:v>Yes</x:v>
      </x:c>
      <x:c r="L159" s="48" t="str">
        <x:v>OCR</x:v>
      </x:c>
    </x:row>
    <x:row r="160">
      <x:c r="A160" s="48" t="str">
        <x:v>ORANGE-0159</x:v>
      </x:c>
      <x:c r="B160" s="48" t="str">
        <x:v>ORANGE</x:v>
      </x:c>
      <x:c r="C160" s="48" t="str">
        <x:v>English</x:v>
      </x:c>
      <x:c r="D160" s="48" t="n">
        <x:v>19</x:v>
      </x:c>
      <x:c r="E160" s="48" t="str"/>
      <x:c r="F160" s="48" t="str">
        <x:v>Employers coat he Sasoang hace sal te mene othe</x:v>
      </x:c>
      <x:c r="G160" s="48" t="str">
        <x:v>Obligation</x:v>
      </x:c>
      <x:c r="H160" s="48" t="str">
        <x:v>Shared</x:v>
      </x:c>
      <x:c r="I160" s="48" t="n">
        <x:v>0.45</x:v>
      </x:c>
      <x:c r="J160" s="48" t="n">
        <x:v>0.4</x:v>
      </x:c>
      <x:c r="K160" s="48" t="str">
        <x:v>Yes</x:v>
      </x:c>
      <x:c r="L160" s="48" t="str">
        <x:v>OCR</x:v>
      </x:c>
    </x:row>
    <x:row r="161">
      <x:c r="A161" s="48" t="str">
        <x:v>ORANGE-0160</x:v>
      </x:c>
      <x:c r="B161" s="48" t="str">
        <x:v>ORANGE</x:v>
      </x:c>
      <x:c r="C161" s="48" t="str">
        <x:v>English</x:v>
      </x:c>
      <x:c r="D161" s="48" t="n">
        <x:v>19</x:v>
      </x:c>
      <x:c r="E161" s="48" t="str"/>
      <x:c r="F161" s="48" t="str">
        <x:v>Country the Eyer</x:v>
      </x:c>
      <x:c r="G161" s="48" t="str">
        <x:v>Obligation</x:v>
      </x:c>
      <x:c r="H161" s="48" t="str">
        <x:v>Shared</x:v>
      </x:c>
      <x:c r="I161" s="48" t="n">
        <x:v>0.45</x:v>
      </x:c>
      <x:c r="J161" s="48" t="n">
        <x:v>0.4</x:v>
      </x:c>
      <x:c r="K161" s="48" t="str">
        <x:v>Yes</x:v>
      </x:c>
      <x:c r="L161" s="48" t="str">
        <x:v>OCR</x:v>
      </x:c>
    </x:row>
    <x:row r="162">
      <x:c r="A162" s="48" t="str">
        <x:v>ORANGE-0161</x:v>
      </x:c>
      <x:c r="B162" s="48" t="str">
        <x:v>ORANGE</x:v>
      </x:c>
      <x:c r="C162" s="48" t="str">
        <x:v>English</x:v>
      </x:c>
      <x:c r="D162" s="48" t="n">
        <x:v>19</x:v>
      </x:c>
      <x:c r="E162" s="48" t="str"/>
      <x:c r="F162" s="48" t="str">
        <x:v>Sect othe Ste 422 Unsere stdin Pa</x:v>
      </x:c>
      <x:c r="G162" s="48" t="str">
        <x:v>Obligation</x:v>
      </x:c>
      <x:c r="H162" s="48" t="str">
        <x:v>Shared</x:v>
      </x:c>
      <x:c r="I162" s="48" t="n">
        <x:v>0.45</x:v>
      </x:c>
      <x:c r="J162" s="48" t="n">
        <x:v>0.4</x:v>
      </x:c>
      <x:c r="K162" s="48" t="str">
        <x:v>Yes</x:v>
      </x:c>
      <x:c r="L162" s="48" t="str">
        <x:v>OCR</x:v>
      </x:c>
    </x:row>
    <x:row r="163">
      <x:c r="A163" s="48" t="str">
        <x:v>ORANGE-0162</x:v>
      </x:c>
      <x:c r="B163" s="48" t="str">
        <x:v>ORANGE</x:v>
      </x:c>
      <x:c r="C163" s="48" t="str">
        <x:v>English</x:v>
      </x:c>
      <x:c r="D163" s="48" t="n">
        <x:v>19</x:v>
      </x:c>
      <x:c r="E163" s="48" t="str"/>
      <x:c r="F163" s="48" t="str">
        <x:v>(0) axis pres sl be ited he employes of th Cnr, ‘Sepyecs ths Stnanc a enn aed ye Ep SU ScpinerBeene” Contractors 423.</x:v>
      </x:c>
      <x:c r="G163" s="48" t="str">
        <x:v>Obligation</x:v>
      </x:c>
      <x:c r="H163" s="48" t="str">
        <x:v>Shared</x:v>
      </x:c>
      <x:c r="I163" s="48" t="n">
        <x:v>0.45</x:v>
      </x:c>
      <x:c r="J163" s="48" t="n">
        <x:v>0.4</x:v>
      </x:c>
      <x:c r="K163" s="48" t="str">
        <x:v>Yes</x:v>
      </x:c>
      <x:c r="L163" s="48" t="str">
        <x:v>OCR</x:v>
      </x:c>
    </x:row>
    <x:row r="164">
      <x:c r="A164" s="48" t="str">
        <x:v>ORANGE-0163</x:v>
      </x:c>
      <x:c r="B164" s="48" t="str">
        <x:v>ORANGE</x:v>
      </x:c>
      <x:c r="C164" s="48" t="str">
        <x:v>English</x:v>
      </x:c>
      <x:c r="D164" s="48" t="n">
        <x:v>19</x:v>
      </x:c>
      <x:c r="E164" s="48" t="str"/>
      <x:c r="F164" s="48" t="str">
        <x:v>The Concer sl ses pron othe Se, to ay aon</x:v>
      </x:c>
      <x:c r="G164" s="48" t="str">
        <x:v>Obligation</x:v>
      </x:c>
      <x:c r="H164" s="48" t="str">
        <x:v>Shared</x:v>
      </x:c>
      <x:c r="I164" s="48" t="n">
        <x:v>0.45</x:v>
      </x:c>
      <x:c r="J164" s="48" t="n">
        <x:v>0.4</x:v>
      </x:c>
      <x:c r="K164" s="48" t="str">
        <x:v>Yes</x:v>
      </x:c>
      <x:c r="L164" s="48" t="str">
        <x:v>OCR</x:v>
      </x:c>
    </x:row>
    <x:row r="165">
      <x:c r="A165" s="48" t="str">
        <x:v>ORANGE-0164</x:v>
      </x:c>
      <x:c r="B165" s="48" t="str">
        <x:v>ORANGE</x:v>
      </x:c>
      <x:c r="C165" s="48" t="str">
        <x:v>English</x:v>
      </x:c>
      <x:c r="D165" s="48" t="n">
        <x:v>19</x:v>
      </x:c>
      <x:c r="E165" s="48" t="str"/>
      <x:c r="F165" s="48" t="str">
        <x:v>Cperaom on Ste swish may be vib te Corte ped Ye Eppes</x:v>
      </x:c>
      <x:c r="G165" s="48" t="str">
        <x:v>Right</x:v>
      </x:c>
      <x:c r="H165" s="48" t="str">
        <x:v>Shared</x:v>
      </x:c>
      <x:c r="I165" s="48" t="n">
        <x:v>0.78</x:v>
      </x:c>
      <x:c r="J165" s="48" t="n">
        <x:v>0.4</x:v>
      </x:c>
      <x:c r="K165" s="48" t="str">
        <x:v>Yes</x:v>
      </x:c>
      <x:c r="L165" s="48" t="str">
        <x:v>OCR</x:v>
      </x:c>
    </x:row>
    <x:row r="166">
      <x:c r="A166" s="48" t="str">
        <x:v>ORANGE-0165</x:v>
      </x:c>
      <x:c r="B166" s="48" t="str">
        <x:v>ORANGE</x:v>
      </x:c>
      <x:c r="C166" s="48" t="str">
        <x:v>English</x:v>
      </x:c>
      <x:c r="D166" s="48" t="n">
        <x:v>19</x:v>
      </x:c>
      <x:c r="E166" s="48" t="str"/>
      <x:c r="F166" s="48" t="str">
        <x:v>‘Spesemaive me wong se The Conc sal she al cee) ‘causes Aco he fer and epee wian the Ste snd oh ‘Sta! ean sto ean pot et ecco acco Yt 42 Aloo acd cn eee</x:v>
      </x:c>
      <x:c r="G166" s="48" t="str">
        <x:v>Obligation</x:v>
      </x:c>
      <x:c r="H166" s="48" t="str">
        <x:v>Shared</x:v>
      </x:c>
      <x:c r="I166" s="48" t="n">
        <x:v>0.45</x:v>
      </x:c>
      <x:c r="J166" s="48" t="n">
        <x:v>0.4</x:v>
      </x:c>
      <x:c r="K166" s="48" t="str">
        <x:v>Yes</x:v>
      </x:c>
      <x:c r="L166" s="48" t="str">
        <x:v>OCR</x:v>
      </x:c>
    </x:row>
    <x:row r="167">
      <x:c r="A167" s="48" t="str">
        <x:v>ORANGE-0166</x:v>
      </x:c>
      <x:c r="B167" s="48" t="str">
        <x:v>ORANGE</x:v>
      </x:c>
      <x:c r="C167" s="48" t="str">
        <x:v>English</x:v>
      </x:c>
      <x:c r="D167" s="48" t="n">
        <x:v>19</x:v>
      </x:c>
      <x:c r="E167" s="48" t="str"/>
      <x:c r="F167" s="48" t="str">
        <x:v>Rs Seiad ete pry eEmpe feCorcea</x:v>
      </x:c>
      <x:c r="G167" s="48" t="str">
        <x:v>Obligation</x:v>
      </x:c>
      <x:c r="H167" s="48" t="str">
        <x:v>Shared</x:v>
      </x:c>
      <x:c r="I167" s="48" t="n">
        <x:v>0.45</x:v>
      </x:c>
      <x:c r="J167" s="48" t="n">
        <x:v>0.4</x:v>
      </x:c>
      <x:c r="K167" s="48" t="str">
        <x:v>Yes</x:v>
      </x:c>
      <x:c r="L167" s="48" t="str">
        <x:v>OCR</x:v>
      </x:c>
    </x:row>
    <x:row r="168">
      <x:c r="A168" s="48" t="str">
        <x:v>ORANGE-0167</x:v>
      </x:c>
      <x:c r="B168" s="48" t="str">
        <x:v>ORANGE</x:v>
      </x:c>
      <x:c r="C168" s="48" t="str">
        <x:v>English</x:v>
      </x:c>
      <x:c r="D168" s="48" t="n">
        <x:v>19</x:v>
      </x:c>
      <x:c r="E168" s="48" t="str"/>
      <x:c r="F168" s="48" t="str">
        <x:v>‘Scnnc pecan often a the pers on vay dinghy my sch co tng Te Catcera ‘Rca open Sey of ane tg. ee pe’</x:v>
      </x:c>
      <x:c r="G168" s="48" t="str">
        <x:v>Obligation</x:v>
      </x:c>
      <x:c r="H168" s="48" t="str">
        <x:v>Shared</x:v>
      </x:c>
      <x:c r="I168" s="48" t="n">
        <x:v>0.45</x:v>
      </x:c>
      <x:c r="J168" s="48" t="n">
        <x:v>0.4</x:v>
      </x:c>
      <x:c r="K168" s="48" t="str">
        <x:v>Yes</x:v>
      </x:c>
      <x:c r="L168" s="48" t="str">
        <x:v>OCR</x:v>
      </x:c>
    </x:row>
    <x:row r="169">
      <x:c r="A169" s="48" t="str">
        <x:v>ORANGE-0168</x:v>
      </x:c>
      <x:c r="B169" s="48" t="str">
        <x:v>ORANGE</x:v>
      </x:c>
      <x:c r="C169" s="48" t="str">
        <x:v>English</x:v>
      </x:c>
      <x:c r="D169" s="48" t="n">
        <x:v>19</x:v>
      </x:c>
      <x:c r="E169" s="48" t="str"/>
      <x:c r="F169" s="48" t="str">
        <x:v>Eorcenlel Shon te homecare wa</x:v>
      </x:c>
      <x:c r="G169" s="48" t="str">
        <x:v>Obligation</x:v>
      </x:c>
      <x:c r="H169" s="48" t="str">
        <x:v>Shared</x:v>
      </x:c>
      <x:c r="I169" s="48" t="n">
        <x:v>0.45</x:v>
      </x:c>
      <x:c r="J169" s="48" t="n">
        <x:v>0.4</x:v>
      </x:c>
      <x:c r="K169" s="48" t="str">
        <x:v>Yes</x:v>
      </x:c>
      <x:c r="L169" s="48" t="str">
        <x:v>OCR</x:v>
      </x:c>
    </x:row>
    <x:row r="170">
      <x:c r="A170" s="48" t="str">
        <x:v>ORANGE-0169</x:v>
      </x:c>
      <x:c r="B170" s="48" t="str">
        <x:v>ORANGE</x:v>
      </x:c>
      <x:c r="C170" s="48" t="str">
        <x:v>English</x:v>
      </x:c>
      <x:c r="D170" s="48" t="n">
        <x:v>20</x:v>
      </x:c>
      <x:c r="E170" s="48" t="str"/>
      <x:c r="F170" s="48" t="str">
        <x:v>ence tn i mie nt a ole ers</x:v>
      </x:c>
      <x:c r="G170" s="48" t="str">
        <x:v>Obligation</x:v>
      </x:c>
      <x:c r="H170" s="48" t="str">
        <x:v>Shared</x:v>
      </x:c>
      <x:c r="I170" s="48" t="n">
        <x:v>0.45</x:v>
      </x:c>
      <x:c r="J170" s="48" t="n">
        <x:v>0.4</x:v>
      </x:c>
      <x:c r="K170" s="48" t="str">
        <x:v>Yes</x:v>
      </x:c>
      <x:c r="L170" s="48" t="str">
        <x:v>OCR</x:v>
      </x:c>
    </x:row>
    <x:row r="171">
      <x:c r="A171" s="48" t="str">
        <x:v>ORANGE-0170</x:v>
      </x:c>
      <x:c r="B171" s="48" t="str">
        <x:v>ORANGE</x:v>
      </x:c>
      <x:c r="C171" s="48" t="str">
        <x:v>English</x:v>
      </x:c>
      <x:c r="D171" s="48" t="n">
        <x:v>20</x:v>
      </x:c>
      <x:c r="E171" s="48" t="str"/>
      <x:c r="F171" s="48" t="str">
        <x:v>Wik Eager arate sic ay nde Cot wt</x:v>
      </x:c>
      <x:c r="G171" s="48" t="str">
        <x:v>Obligation</x:v>
      </x:c>
      <x:c r="H171" s="48" t="str">
        <x:v>Shared</x:v>
      </x:c>
      <x:c r="I171" s="48" t="n">
        <x:v>0.45</x:v>
      </x:c>
      <x:c r="J171" s="48" t="n">
        <x:v>0.4</x:v>
      </x:c>
      <x:c r="K171" s="48" t="str">
        <x:v>Yes</x:v>
      </x:c>
      <x:c r="L171" s="48" t="str">
        <x:v>OCR</x:v>
      </x:c>
    </x:row>
    <x:row r="172">
      <x:c r="A172" s="48" t="str">
        <x:v>ORANGE-0171</x:v>
      </x:c>
      <x:c r="B172" s="48" t="str">
        <x:v>ORANGE</x:v>
      </x:c>
      <x:c r="C172" s="48" t="str">
        <x:v>English</x:v>
      </x:c>
      <x:c r="D172" s="48" t="n">
        <x:v>20</x:v>
      </x:c>
      <x:c r="E172" s="48" t="str"/>
      <x:c r="F172" s="48" t="str">
        <x:v>te hn ey omer by apt te 6 Coa hcp of sch cee Employers Represnae Sal reed ‘Monch Chane 5 ape dete {a amy everson f tne ich the Cone eile uk Sab (she amu of ih Cot, bch hb aed Cotas Pi, shal ite Comracor acon</x:v>
      </x:c>
      <x:c r="G172" s="48" t="str">
        <x:v>Obligation</x:v>
      </x:c>
      <x:c r="H172" s="48" t="str">
        <x:v>Shared</x:v>
      </x:c>
      <x:c r="I172" s="48" t="n">
        <x:v>0.45</x:v>
      </x:c>
      <x:c r="J172" s="48" t="n">
        <x:v>0.4</x:v>
      </x:c>
      <x:c r="K172" s="48" t="str">
        <x:v>Yes</x:v>
      </x:c>
      <x:c r="L172" s="48" t="str">
        <x:v>OCR</x:v>
      </x:c>
    </x:row>
    <x:row r="173">
      <x:c r="A173" s="48" t="str">
        <x:v>ORANGE-0172</x:v>
      </x:c>
      <x:c r="B173" s="48" t="str">
        <x:v>ORANGE</x:v>
      </x:c>
      <x:c r="C173" s="48" t="str">
        <x:v>English</x:v>
      </x:c>
      <x:c r="D173" s="48" t="n">
        <x:v>20</x:v>
      </x:c>
      <x:c r="E173" s="48" t="str">
        <x:v>5</x:v>
      </x:c>
      <x:c r="F173" s="48" t="str">
        <x:v>5 Design</x:v>
      </x:c>
      <x:c r="G173" s="48" t="str">
        <x:v>Heading</x:v>
      </x:c>
      <x:c r="H173" s="48" t="str"/>
      <x:c r="I173" s="48" t="n">
        <x:v>0.9</x:v>
      </x:c>
      <x:c r="J173" s="48" t="n">
        <x:v>0.99</x:v>
      </x:c>
      <x:c r="K173" s="48" t="str">
        <x:v>No</x:v>
      </x:c>
      <x:c r="L173" s="48" t="str">
        <x:v>OCR</x:v>
      </x:c>
    </x:row>
    <x:row r="174">
      <x:c r="A174" s="48" t="str">
        <x:v>ORANGE-0173</x:v>
      </x:c>
      <x:c r="B174" s="48" t="str">
        <x:v>ORANGE</x:v>
      </x:c>
      <x:c r="C174" s="48" t="str">
        <x:v>English</x:v>
      </x:c>
      <x:c r="D174" s="48" t="n">
        <x:v>20</x:v>
      </x:c>
      <x:c r="E174" s="48" t="str"/>
      <x:c r="F174" s="48" t="str">
        <x:v>amr Obxiom 51 Th Conteris oie Wo</x:v>
      </x:c>
      <x:c r="G174" s="48" t="str">
        <x:v>Obligation</x:v>
      </x:c>
      <x:c r="H174" s="48" t="str">
        <x:v>Shared</x:v>
      </x:c>
      <x:c r="I174" s="48" t="n">
        <x:v>0.45</x:v>
      </x:c>
      <x:c r="J174" s="48" t="n">
        <x:v>0.4</x:v>
      </x:c>
      <x:c r="K174" s="48" t="str">
        <x:v>Yes</x:v>
      </x:c>
      <x:c r="L174" s="48" t="str">
        <x:v>OCR</x:v>
      </x:c>
    </x:row>
    <x:row r="175">
      <x:c r="A175" s="48" t="str">
        <x:v>ORANGE-0174</x:v>
      </x:c>
      <x:c r="B175" s="48" t="str">
        <x:v>ORANGE</x:v>
      </x:c>
      <x:c r="C175" s="48" t="str">
        <x:v>English</x:v>
      </x:c>
      <x:c r="D175" s="48" t="n">
        <x:v>20</x:v>
      </x:c>
      <x:c r="E175" s="48" t="str"/>
      <x:c r="F175" s="48" t="str">
        <x:v>BSG pee ged pes wha nee</x:v>
      </x:c>
      <x:c r="G175" s="48" t="str">
        <x:v>Obligation</x:v>
      </x:c>
      <x:c r="H175" s="48" t="str">
        <x:v>Shared</x:v>
      </x:c>
      <x:c r="I175" s="48" t="n">
        <x:v>0.45</x:v>
      </x:c>
      <x:c r="J175" s="48" t="n">
        <x:v>0.4</x:v>
      </x:c>
      <x:c r="K175" s="48" t="str">
        <x:v>Yes</x:v>
      </x:c>
      <x:c r="L175" s="48" t="str">
        <x:v>OCR</x:v>
      </x:c>
    </x:row>
    <x:row r="176">
      <x:c r="A176" s="48" t="str">
        <x:v>ORANGE-0175</x:v>
      </x:c>
      <x:c r="B176" s="48" t="str">
        <x:v>ORANGE</x:v>
      </x:c>
      <x:c r="C176" s="48" t="str">
        <x:v>English</x:v>
      </x:c>
      <x:c r="D176" s="48" t="n">
        <x:v>20</x:v>
      </x:c>
      <x:c r="E176" s="48" t="str"/>
      <x:c r="F176" s="48" t="str">
        <x:v>eins si cing bt etal te Ep cron Frente Nes ep const he Ee</x:v>
      </x:c>
      <x:c r="G176" s="48" t="str">
        <x:v>Obligation</x:v>
      </x:c>
      <x:c r="H176" s="48" t="str">
        <x:v>Shared</x:v>
      </x:c>
      <x:c r="I176" s="48" t="n">
        <x:v>0.45</x:v>
      </x:c>
      <x:c r="J176" s="48" t="n">
        <x:v>0.4</x:v>
      </x:c>
      <x:c r="K176" s="48" t="str">
        <x:v>Yes</x:v>
      </x:c>
      <x:c r="L176" s="48" t="str">
        <x:v>OCR</x:v>
      </x:c>
    </x:row>
    <x:row r="177">
      <x:c r="A177" s="48" t="str">
        <x:v>ORANGE-0176</x:v>
      </x:c>
      <x:c r="B177" s="48" t="str">
        <x:v>ORANGE</x:v>
      </x:c>
      <x:c r="C177" s="48" t="str">
        <x:v>English</x:v>
      </x:c>
      <x:c r="D177" s="48" t="n">
        <x:v>20</x:v>
      </x:c>
      <x:c r="E177" s="48" t="str"/>
      <x:c r="F177" s="48" t="str">
        <x:v>Sere ce Cnet Sain sel Come</x:v>
      </x:c>
      <x:c r="G177" s="48" t="str">
        <x:v>Obligation</x:v>
      </x:c>
      <x:c r="H177" s="48" t="str">
        <x:v>Shared</x:v>
      </x:c>
      <x:c r="I177" s="48" t="n">
        <x:v>0.45</x:v>
      </x:c>
      <x:c r="J177" s="48" t="n">
        <x:v>0.4</x:v>
      </x:c>
      <x:c r="K177" s="48" t="str">
        <x:v>Yes</x:v>
      </x:c>
      <x:c r="L177" s="48" t="str">
        <x:v>OCR</x:v>
      </x:c>
    </x:row>
    <x:row r="178">
      <x:c r="A178" s="48" t="str">
        <x:v>ORANGE-0177</x:v>
      </x:c>
      <x:c r="B178" s="48" t="str">
        <x:v>ORANGE</x:v>
      </x:c>
      <x:c r="C178" s="48" t="str">
        <x:v>English</x:v>
      </x:c>
      <x:c r="D178" s="48" t="n">
        <x:v>20</x:v>
      </x:c>
      <x:c r="E178" s="48" t="str"/>
      <x:c r="F178" s="48" t="str">
        <x:v>ae mane et as patie tage ona</x:v>
      </x:c>
      <x:c r="G178" s="48" t="str">
        <x:v>Obligation</x:v>
      </x:c>
      <x:c r="H178" s="48" t="str">
        <x:v>Shared</x:v>
      </x:c>
      <x:c r="I178" s="48" t="n">
        <x:v>0.45</x:v>
      </x:c>
      <x:c r="J178" s="48" t="n">
        <x:v>0.4</x:v>
      </x:c>
      <x:c r="K178" s="48" t="str">
        <x:v>Yes</x:v>
      </x:c>
      <x:c r="L178" s="48" t="str">
        <x:v>OCR</x:v>
      </x:c>
    </x:row>
    <x:row r="179">
      <x:c r="A179" s="48" t="str">
        <x:v>ORANGE-0178</x:v>
      </x:c>
      <x:c r="B179" s="48" t="str">
        <x:v>ORANGE</x:v>
      </x:c>
      <x:c r="C179" s="48" t="str">
        <x:v>English</x:v>
      </x:c>
      <x:c r="D179" s="48" t="n">
        <x:v>20</x:v>
      </x:c>
      <x:c r="E179" s="48" t="str"/>
      <x:c r="F179" s="48" t="str">
        <x:v>Spon dpe toner Epa</x:v>
      </x:c>
      <x:c r="G179" s="48" t="str">
        <x:v>Obligation</x:v>
      </x:c>
      <x:c r="H179" s="48" t="str">
        <x:v>Shared</x:v>
      </x:c>
      <x:c r="I179" s="48" t="n">
        <x:v>0.45</x:v>
      </x:c>
      <x:c r="J179" s="48" t="n">
        <x:v>0.4</x:v>
      </x:c>
      <x:c r="K179" s="48" t="str">
        <x:v>Yes</x:v>
      </x:c>
      <x:c r="L179" s="48" t="str">
        <x:v>OCR</x:v>
      </x:c>
    </x:row>
    <x:row r="180">
      <x:c r="A180" s="48" t="str">
        <x:v>ORANGE-0179</x:v>
      </x:c>
      <x:c r="B180" s="48" t="str">
        <x:v>ORANGE</x:v>
      </x:c>
      <x:c r="C180" s="48" t="str">
        <x:v>English</x:v>
      </x:c>
      <x:c r="D180" s="48" t="n">
        <x:v>20</x:v>
      </x:c>
      <x:c r="E180" s="48" t="str"/>
      <x:c r="F180" s="48" t="str">
        <x:v>The Conn tls hcl, ts designer an ei Suomen</x:v>
      </x:c>
      <x:c r="G180" s="48" t="str">
        <x:v>Obligation</x:v>
      </x:c>
      <x:c r="H180" s="48" t="str">
        <x:v>Shared</x:v>
      </x:c>
      <x:c r="I180" s="48" t="n">
        <x:v>0.45</x:v>
      </x:c>
      <x:c r="J180" s="48" t="n">
        <x:v>0.4</x:v>
      </x:c>
      <x:c r="K180" s="48" t="str">
        <x:v>Yes</x:v>
      </x:c>
      <x:c r="L180" s="48" t="str">
        <x:v>OCR</x:v>
      </x:c>
    </x:row>
    <x:row r="181">
      <x:c r="A181" s="48" t="str">
        <x:v>ORANGE-0180</x:v>
      </x:c>
      <x:c r="B181" s="48" t="str">
        <x:v>ORANGE</x:v>
      </x:c>
      <x:c r="C181" s="48" t="str">
        <x:v>English</x:v>
      </x:c>
      <x:c r="D181" s="48" t="n">
        <x:v>20</x:v>
      </x:c>
      <x:c r="E181" s="48" t="str"/>
      <x:c r="F181" s="48" t="str">
        <x:v>ering acta mec rh ep Th Cee Contraction $2 The Contac hl pepe Cnn Dement St ‘heumens ayaa ware pi nomen places Th ers pean aoe eget ee ‘S2STop oe wept Cotten Domes whee BY</x:v>
      </x:c>
      <x:c r="G181" s="48" t="str">
        <x:v>Obligation</x:v>
      </x:c>
      <x:c r="H181" s="48" t="str">
        <x:v>Shared</x:v>
      </x:c>
      <x:c r="I181" s="48" t="n">
        <x:v>0.45</x:v>
      </x:c>
      <x:c r="J181" s="48" t="n">
        <x:v>0.4</x:v>
      </x:c>
      <x:c r="K181" s="48" t="str">
        <x:v>Yes</x:v>
      </x:c>
      <x:c r="L181" s="48" t="str">
        <x:v>OCR</x:v>
      </x:c>
    </x:row>
    <x:row r="182">
      <x:c r="A182" s="48" t="str">
        <x:v>ORANGE-0181</x:v>
      </x:c>
      <x:c r="B182" s="48" t="str">
        <x:v>ORANGE</x:v>
      </x:c>
      <x:c r="C182" s="48" t="str">
        <x:v>English</x:v>
      </x:c>
      <x:c r="D182" s="48" t="n">
        <x:v>20</x:v>
      </x:c>
      <x:c r="E182" s="48" t="str"/>
      <x:c r="F182" s="48" t="str">
        <x:v>Exh he Comte Dane sal wen cme el fe</x:v>
      </x:c>
      <x:c r="G182" s="48" t="str">
        <x:v>Obligation</x:v>
      </x:c>
      <x:c r="H182" s="48" t="str">
        <x:v>Shared</x:v>
      </x:c>
      <x:c r="I182" s="48" t="n">
        <x:v>0.45</x:v>
      </x:c>
      <x:c r="J182" s="48" t="n">
        <x:v>0.4</x:v>
      </x:c>
      <x:c r="K182" s="48" t="str">
        <x:v>Yes</x:v>
      </x:c>
      <x:c r="L182" s="48" t="str">
        <x:v>OCR</x:v>
      </x:c>
    </x:row>
    <x:row r="183">
      <x:c r="A183" s="48" t="str">
        <x:v>ORANGE-0182</x:v>
      </x:c>
      <x:c r="B183" s="48" t="str">
        <x:v>ORANGE</x:v>
      </x:c>
      <x:c r="C183" s="48" t="str">
        <x:v>English</x:v>
      </x:c>
      <x:c r="D183" s="48" t="n">
        <x:v>20</x:v>
      </x:c>
      <x:c r="E183" s="48" t="str"/>
      <x:c r="F183" s="48" t="str">
        <x:v>hs Ge Eph Repent recon t&gt;</x:v>
      </x:c>
      <x:c r="G183" s="48" t="str">
        <x:v>Obligation</x:v>
      </x:c>
      <x:c r="H183" s="48" t="str">
        <x:v>Shared</x:v>
      </x:c>
      <x:c r="I183" s="48" t="n">
        <x:v>0.45</x:v>
      </x:c>
      <x:c r="J183" s="48" t="n">
        <x:v>0.4</x:v>
      </x:c>
      <x:c r="K183" s="48" t="str">
        <x:v>Yes</x:v>
      </x:c>
      <x:c r="L183" s="48" t="str">
        <x:v>OCR</x:v>
      </x:c>
    </x:row>
    <x:row r="184">
      <x:c r="A184" s="48" t="str">
        <x:v>ORANGE-0183</x:v>
      </x:c>
      <x:c r="B184" s="48" t="str">
        <x:v>ORANGE</x:v>
      </x:c>
      <x:c r="C184" s="48" t="str">
        <x:v>English</x:v>
      </x:c>
      <x:c r="D184" s="48" t="n">
        <x:v>20</x:v>
      </x:c>
      <x:c r="E184" s="48" t="str"/>
      <x:c r="F184" s="48" t="str">
        <x:v>Siochuse, tence eo am he pro gued fy te Empl</x:v>
      </x:c>
      <x:c r="G184" s="48" t="str">
        <x:v>Obligation</x:v>
      </x:c>
      <x:c r="H184" s="48" t="str">
        <x:v>Shared</x:v>
      </x:c>
      <x:c r="I184" s="48" t="n">
        <x:v>0.45</x:v>
      </x:c>
      <x:c r="J184" s="48" t="n">
        <x:v>0.4</x:v>
      </x:c>
      <x:c r="K184" s="48" t="str">
        <x:v>Yes</x:v>
      </x:c>
      <x:c r="L184" s="48" t="str">
        <x:v>OCR</x:v>
      </x:c>
    </x:row>
    <x:row r="185">
      <x:c r="A185" s="48" t="str">
        <x:v>ORANGE-0184</x:v>
      </x:c>
      <x:c r="B185" s="48" t="str">
        <x:v>ORANGE</x:v>
      </x:c>
      <x:c r="C185" s="48" t="str">
        <x:v>English</x:v>
      </x:c>
      <x:c r="D185" s="48" t="n">
        <x:v>20</x:v>
      </x:c>
      <x:c r="E185" s="48" t="str"/>
      <x:c r="F185" s="48" t="str">
        <x:v>RBececkines sachsen erase act the pegs</x:v>
      </x:c>
      <x:c r="G185" s="48" t="str">
        <x:v>Obligation</x:v>
      </x:c>
      <x:c r="H185" s="48" t="str">
        <x:v>Shared</x:v>
      </x:c>
      <x:c r="I185" s="48" t="n">
        <x:v>0.45</x:v>
      </x:c>
      <x:c r="J185" s="48" t="n">
        <x:v>0.4</x:v>
      </x:c>
      <x:c r="K185" s="48" t="str">
        <x:v>Yes</x:v>
      </x:c>
      <x:c r="L185" s="48" t="str">
        <x:v>OCR</x:v>
      </x:c>
    </x:row>
    <x:row r="186">
      <x:c r="A186" s="48" t="str">
        <x:v>ORANGE-0185</x:v>
      </x:c>
      <x:c r="B186" s="48" t="str">
        <x:v>ORANGE</x:v>
      </x:c>
      <x:c r="C186" s="48" t="str">
        <x:v>English</x:v>
      </x:c>
      <x:c r="D186" s="48" t="n">
        <x:v>20</x:v>
      </x:c>
      <x:c r="E186" s="48" t="str"/>
      <x:c r="F186" s="48" t="str">
        <x:v>‘Reseed 1 ace ote eo he ESD" kagesemane rises Connon Dximest an Se ‘ExEizir hoe ht sod ety, bah fer 2 econ Couette wi in Sb Chu, ae fr we.</x:v>
      </x:c>
      <x:c r="G186" s="48" t="str">
        <x:v>Obligation</x:v>
      </x:c>
      <x:c r="H186" s="48" t="str">
        <x:v>Shared</x:v>
      </x:c>
      <x:c r="I186" s="48" t="n">
        <x:v>0.45</x:v>
      </x:c>
      <x:c r="J186" s="48" t="n">
        <x:v>0.4</x:v>
      </x:c>
      <x:c r="K186" s="48" t="str">
        <x:v>Yes</x:v>
      </x:c>
      <x:c r="L186" s="48" t="str">
        <x:v>OCR</x:v>
      </x:c>
    </x:row>
    <x:row r="187">
      <x:c r="A187" s="48" t="str">
        <x:v>ORANGE-0186</x:v>
      </x:c>
      <x:c r="B187" s="48" t="str">
        <x:v>ORANGE</x:v>
      </x:c>
      <x:c r="C187" s="48" t="str">
        <x:v>English</x:v>
      </x:c>
      <x:c r="D187" s="48" t="n">
        <x:v>20</x:v>
      </x:c>
      <x:c r="E187" s="48" t="str"/>
      <x:c r="F187" s="48" t="str">
        <x:v>We Empey [epceratne, wan sth eve pt lies he Contac Sa ah ‘Succinate com 3it Se</x:v>
      </x:c>
      <x:c r="G187" s="48" t="str">
        <x:v>Obligation</x:v>
      </x:c>
      <x:c r="H187" s="48" t="str">
        <x:v>Shared</x:v>
      </x:c>
      <x:c r="I187" s="48" t="n">
        <x:v>0.45</x:v>
      </x:c>
      <x:c r="J187" s="48" t="n">
        <x:v>0.4</x:v>
      </x:c>
      <x:c r="K187" s="48" t="str">
        <x:v>Yes</x:v>
      </x:c>
      <x:c r="L187" s="48" t="str">
        <x:v>OCR</x:v>
      </x:c>
    </x:row>
    <x:row r="188">
      <x:c r="A188" s="48" t="str">
        <x:v>ORANGE-0187</x:v>
      </x:c>
      <x:c r="B188" s="48" t="str">
        <x:v>ORANGE</x:v>
      </x:c>
      <x:c r="C188" s="48" t="str">
        <x:v>English</x:v>
      </x:c>
      <x:c r="D188" s="48" t="n">
        <x:v>20</x:v>
      </x:c>
      <x:c r="E188" s="48" t="str"/>
      <x:c r="F188" s="48" t="str">
        <x:v>Eihice wins Sb Case som</x:v>
      </x:c>
      <x:c r="G188" s="48" t="str">
        <x:v>Obligation</x:v>
      </x:c>
      <x:c r="H188" s="48" t="str">
        <x:v>Shared</x:v>
      </x:c>
      <x:c r="I188" s="48" t="n">
        <x:v>0.45</x:v>
      </x:c>
      <x:c r="J188" s="48" t="n">
        <x:v>0.4</x:v>
      </x:c>
      <x:c r="K188" s="48" t="str">
        <x:v>Yes</x:v>
      </x:c>
      <x:c r="L188" s="48" t="str">
        <x:v>OCR</x:v>
      </x:c>
    </x:row>
    <x:row r="189">
      <x:c r="A189" s="48" t="str">
        <x:v>ORANGE-0188</x:v>
      </x:c>
      <x:c r="B189" s="48" t="str">
        <x:v>ORANGE</x:v>
      </x:c>
      <x:c r="C189" s="48" t="str">
        <x:v>English</x:v>
      </x:c>
      <x:c r="D189" s="48" t="n">
        <x:v>20</x:v>
      </x:c>
      <x:c r="E189" s="48" t="str"/>
      <x:c r="F189" s="48" t="str">
        <x:v>och pt of he Ws ace oth ect at he pr ese of</x:v>
      </x:c>
      <x:c r="G189" s="48" t="str">
        <x:v>Obligation</x:v>
      </x:c>
      <x:c r="H189" s="48" t="str">
        <x:v>Shared</x:v>
      </x:c>
      <x:c r="I189" s="48" t="n">
        <x:v>0.45</x:v>
      </x:c>
      <x:c r="J189" s="48" t="n">
        <x:v>0.4</x:v>
      </x:c>
      <x:c r="K189" s="48" t="str">
        <x:v>Yes</x:v>
      </x:c>
      <x:c r="L189" s="48" t="str">
        <x:v>OCR</x:v>
      </x:c>
    </x:row>
    <x:row r="190">
      <x:c r="A190" s="48" t="str">
        <x:v>ORANGE-0189</x:v>
      </x:c>
      <x:c r="B190" s="48" t="str">
        <x:v>ORANGE</x:v>
      </x:c>
      <x:c r="C190" s="48" t="str">
        <x:v>English</x:v>
      </x:c>
      <x:c r="D190" s="48" t="n">
        <x:v>20</x:v>
      </x:c>
      <x:c r="E190" s="48" t="str"/>
      <x:c r="F190" s="48" t="str">
        <x:v>Eopyers Rope Sl hve br aed</x:v>
      </x:c>
      <x:c r="G190" s="48" t="str">
        <x:v>Obligation</x:v>
      </x:c>
      <x:c r="H190" s="48" t="str">
        <x:v>Shared</x:v>
      </x:c>
      <x:c r="I190" s="48" t="n">
        <x:v>0.45</x:v>
      </x:c>
      <x:c r="J190" s="48" t="n">
        <x:v>0.4</x:v>
      </x:c>
      <x:c r="K190" s="48" t="str">
        <x:v>Yes</x:v>
      </x:c>
      <x:c r="L190" s="48" t="str">
        <x:v>OCR</x:v>
      </x:c>
    </x:row>
    <x:row r="191">
      <x:c r="A191" s="48" t="str">
        <x:v>ORANGE-0190</x:v>
      </x:c>
      <x:c r="B191" s="48" t="str">
        <x:v>ORANGE</x:v>
      </x:c>
      <x:c r="C191" s="48" t="str">
        <x:v>English</x:v>
      </x:c>
      <x:c r="D191" s="48" t="n">
        <x:v>20</x:v>
      </x:c>
      <x:c r="E191" s="48" t="str"/>
      <x:c r="F191" s="48" t="str">
        <x:v>(o gemma eee Seeman wl akan Se Salem</x:v>
      </x:c>
      <x:c r="G191" s="48" t="str">
        <x:v>Obligation</x:v>
      </x:c>
      <x:c r="H191" s="48" t="str">
        <x:v>Shared</x:v>
      </x:c>
      <x:c r="I191" s="48" t="n">
        <x:v>0.45</x:v>
      </x:c>
      <x:c r="J191" s="48" t="n">
        <x:v>0.4</x:v>
      </x:c>
      <x:c r="K191" s="48" t="str">
        <x:v>Yes</x:v>
      </x:c>
      <x:c r="L191" s="48" t="str">
        <x:v>OCR</x:v>
      </x:c>
    </x:row>
    <x:row r="192">
      <x:c r="A192" s="48" t="str">
        <x:v>ORANGE-0191</x:v>
      </x:c>
      <x:c r="B192" s="48" t="str">
        <x:v>ORANGE</x:v>
      </x:c>
      <x:c r="C192" s="48" t="str">
        <x:v>English</x:v>
      </x:c>
      <x:c r="D192" s="48" t="n">
        <x:v>21</x:v>
      </x:c>
      <x:c r="E192" s="48" t="str"/>
      <x:c r="F192" s="48" t="str">
        <x:v>(© comstion sl ein cence wit ach Conaron Dasamems (©) te Counce wesw yay Sse Sorament which as</x:v>
      </x:c>
      <x:c r="G192" s="48" t="str">
        <x:v>Obligation</x:v>
      </x:c>
      <x:c r="H192" s="48" t="str">
        <x:v>Shared</x:v>
      </x:c>
      <x:c r="I192" s="48" t="n">
        <x:v>0.45</x:v>
      </x:c>
      <x:c r="J192" s="48" t="n">
        <x:v>0.4</x:v>
      </x:c>
      <x:c r="K192" s="48" t="str">
        <x:v>Yes</x:v>
      </x:c>
      <x:c r="L192" s="48" t="str">
        <x:v>OCR</x:v>
      </x:c>
    </x:row>
    <x:row r="193">
      <x:c r="A193" s="48" t="str">
        <x:v>ORANGE-0192</x:v>
      </x:c>
      <x:c r="B193" s="48" t="str">
        <x:v>ORANGE</x:v>
      </x:c>
      <x:c r="C193" s="48" t="str">
        <x:v>English</x:v>
      </x:c>
      <x:c r="D193" s="48" t="n">
        <x:v>21</x:v>
      </x:c>
      <x:c r="E193" s="48" t="str"/>
      <x:c r="F193" s="48" t="str">
        <x:v>Freon ten atad ors erin sie Cote</x:v>
      </x:c>
      <x:c r="G193" s="48" t="str">
        <x:v>Obligation</x:v>
      </x:c>
      <x:c r="H193" s="48" t="str">
        <x:v>Shared</x:v>
      </x:c>
      <x:c r="I193" s="48" t="n">
        <x:v>0.45</x:v>
      </x:c>
      <x:c r="J193" s="48" t="n">
        <x:v>0.4</x:v>
      </x:c>
      <x:c r="K193" s="48" t="str">
        <x:v>Yes</x:v>
      </x:c>
      <x:c r="L193" s="48" t="str">
        <x:v>OCR</x:v>
      </x:c>
    </x:row>
    <x:row r="194">
      <x:c r="A194" s="48" t="str">
        <x:v>ORANGE-0193</x:v>
      </x:c>
      <x:c r="B194" s="48" t="str">
        <x:v>ORANGE</x:v>
      </x:c>
      <x:c r="C194" s="48" t="str">
        <x:v>English</x:v>
      </x:c>
      <x:c r="D194" s="48" t="n">
        <x:v>21</x:v>
      </x:c>
      <x:c r="E194" s="48" t="str"/>
      <x:c r="F194" s="48" t="str">
        <x:v>SSSI"Smmetaty iy be Enploers Renae, nd all ‘shepard ours oe Engler epee rpc snc oe lune Employers Repeseteierast ftes Coin Dons te met fr aig he We he Caso sh go oe</x:v>
      </x:c>
      <x:c r="G194" s="48" t="str">
        <x:v>Obligation</x:v>
      </x:c>
      <x:c r="H194" s="48" t="str">
        <x:v>Shared</x:v>
      </x:c>
      <x:c r="I194" s="48" t="n">
        <x:v>0.45</x:v>
      </x:c>
      <x:c r="J194" s="48" t="n">
        <x:v>0.4</x:v>
      </x:c>
      <x:c r="K194" s="48" t="str">
        <x:v>Yes</x:v>
      </x:c>
      <x:c r="L194" s="48" t="str">
        <x:v>OCR</x:v>
      </x:c>
    </x:row>
    <x:row r="195">
      <x:c r="A195" s="48" t="str">
        <x:v>ORANGE-0194</x:v>
      </x:c>
      <x:c r="B195" s="48" t="str">
        <x:v>ORANGE</x:v>
      </x:c>
      <x:c r="C195" s="48" t="str">
        <x:v>English</x:v>
      </x:c>
      <x:c r="D195" s="48" t="n">
        <x:v>21</x:v>
      </x:c>
      <x:c r="E195" s="48" t="str">
        <x:v>1</x:v>
      </x:c>
      <x:c r="F195" s="48" t="str">
        <x:v>1 EeploereRopeoe' Sects eps Conan</x:v>
      </x:c>
      <x:c r="G195" s="48" t="str">
        <x:v>Heading</x:v>
      </x:c>
      <x:c r="H195" s="48" t="str"/>
      <x:c r="I195" s="48" t="n">
        <x:v>0.9</x:v>
      </x:c>
      <x:c r="J195" s="48" t="n">
        <x:v>0.99</x:v>
      </x:c>
      <x:c r="K195" s="48" t="str">
        <x:v>No</x:v>
      </x:c>
      <x:c r="L195" s="48" t="str">
        <x:v>OCR</x:v>
      </x:c>
    </x:row>
    <x:row r="196">
      <x:c r="A196" s="48" t="str">
        <x:v>ORANGE-0195</x:v>
      </x:c>
      <x:c r="B196" s="48" t="str">
        <x:v>ORANGE</x:v>
      </x:c>
      <x:c r="C196" s="48" t="str">
        <x:v>English</x:v>
      </x:c>
      <x:c r="D196" s="48" t="n">
        <x:v>21</x:v>
      </x:c>
      <x:c r="E196" s="48" t="str"/>
      <x:c r="F196" s="48" t="str">
        <x:v>econ ‘Sat be eid by te Comat a hi co Contracts 63 The Cortes ey ad pyc pou he deen Uterine"?</x:v>
      </x:c>
      <x:c r="G196" s="48" t="str">
        <x:v>Obligation</x:v>
      </x:c>
      <x:c r="H196" s="48" t="str">
        <x:v>Shared</x:v>
      </x:c>
      <x:c r="I196" s="48" t="n">
        <x:v>0.45</x:v>
      </x:c>
      <x:c r="J196" s="48" t="n">
        <x:v>0.4</x:v>
      </x:c>
      <x:c r="K196" s="48" t="str">
        <x:v>Yes</x:v>
      </x:c>
      <x:c r="L196" s="48" t="str">
        <x:v>OCR</x:v>
      </x:c>
    </x:row>
    <x:row r="197">
      <x:c r="A197" s="48" t="str">
        <x:v>ORANGE-0196</x:v>
      </x:c>
      <x:c r="B197" s="48" t="str">
        <x:v>ORANGE</x:v>
      </x:c>
      <x:c r="C197" s="48" t="str">
        <x:v>English</x:v>
      </x:c>
      <x:c r="D197" s="48" t="n">
        <x:v>21</x:v>
      </x:c>
      <x:c r="E197" s="48" t="str"/>
      <x:c r="F197" s="48" t="str">
        <x:v>2S Comin Dc exon he od Wis wa (@) telawnthe Coney. and “Thnk Sands $4 The eign he Comat Decameron sd fe compe “rd Regaatom —“* Noi th cmp mathe nse sana speciatons ttm Stu, bolle. contate aa eevinmenal eso los ‘fetch fede ng pone! fom he Wk andthe dd ‘Feotel t Employrs Regiments ae tbe Cone</x:v>
      </x:c>
      <x:c r="G197" s="48" t="str">
        <x:v>Obligation</x:v>
      </x:c>
      <x:c r="H197" s="48" t="str">
        <x:v>Shared</x:v>
      </x:c>
      <x:c r="I197" s="48" t="n">
        <x:v>0.45</x:v>
      </x:c>
      <x:c r="J197" s="48" t="n">
        <x:v>0.4</x:v>
      </x:c>
      <x:c r="K197" s="48" t="str">
        <x:v>Yes</x:v>
      </x:c>
      <x:c r="L197" s="48" t="str">
        <x:v>OCR</x:v>
      </x:c>
    </x:row>
    <x:row r="198">
      <x:c r="A198" s="48" t="str">
        <x:v>ORANGE-0197</x:v>
      </x:c>
      <x:c r="B198" s="48" t="str">
        <x:v>ORANGE</x:v>
      </x:c>
      <x:c r="C198" s="48" t="str">
        <x:v>English</x:v>
      </x:c>
      <x:c r="D198" s="48" t="n">
        <x:v>21</x:v>
      </x:c>
      <x:c r="E198" s="48" t="str"/>
      <x:c r="F198" s="48" t="str">
        <x:v>Ropu ant Schauer end yon he Cent</x:v>
      </x:c>
      <x:c r="G198" s="48" t="str">
        <x:v>Obligation</x:v>
      </x:c>
      <x:c r="H198" s="48" t="str">
        <x:v>Shared</x:v>
      </x:c>
      <x:c r="I198" s="48" t="n">
        <x:v>0.45</x:v>
      </x:c>
      <x:c r="J198" s="48" t="n">
        <x:v>0.4</x:v>
      </x:c>
      <x:c r="K198" s="48" t="str">
        <x:v>Yes</x:v>
      </x:c>
      <x:c r="L198" s="48" t="str">
        <x:v>OCR</x:v>
      </x:c>
    </x:row>
    <x:row r="199">
      <x:c r="A199" s="48" t="str">
        <x:v>ORANGE-0198</x:v>
      </x:c>
      <x:c r="B199" s="48" t="str">
        <x:v>ORANGE</x:v>
      </x:c>
      <x:c r="C199" s="48" t="str">
        <x:v>English</x:v>
      </x:c>
      <x:c r="D199" s="48" t="n">
        <x:v>21</x:v>
      </x:c>
      <x:c r="E199" s="48" t="str"/>
      <x:c r="F199" s="48" t="str">
        <x:v>‘tet eer math een be ree the (Sicm apc oh Be De ew sae teres bea ‘Sangean spent! seca ean uno ‘etn cane i fear fe Da, Coors abt (eens umn wt Es Rope ere ‘S'Eginer Ropes sedis atch pop te ‘ici al den ns Wren acre was Chane Samples $- The Contr stl tbe owing sae andrea nfeation 0</x:v>
      </x:c>
      <x:c r="G199" s="48" t="str">
        <x:v>Obligation</x:v>
      </x:c>
      <x:c r="H199" s="48" t="str">
        <x:v>Shared</x:v>
      </x:c>
      <x:c r="I199" s="48" t="n">
        <x:v>0.45</x:v>
      </x:c>
      <x:c r="J199" s="48" t="n">
        <x:v>0.4</x:v>
      </x:c>
      <x:c r="K199" s="48" t="str">
        <x:v>Yes</x:v>
      </x:c>
      <x:c r="L199" s="48" t="str">
        <x:v>OCR</x:v>
      </x:c>
    </x:row>
    <x:row r="200">
      <x:c r="A200" s="48" t="str">
        <x:v>ORANGE-0199</x:v>
      </x:c>
      <x:c r="B200" s="48" t="str">
        <x:v>ORANGE</x:v>
      </x:c>
      <x:c r="C200" s="48" t="str">
        <x:v>English</x:v>
      </x:c>
      <x:c r="D200" s="48" t="n">
        <x:v>21</x:v>
      </x:c>
      <x:c r="E200" s="48" t="str"/>
      <x:c r="F200" s="48" t="str">
        <x:v>Degen Rapaeentee rp stretees omens</x:v>
      </x:c>
      <x:c r="G200" s="48" t="str">
        <x:v>Obligation</x:v>
      </x:c>
      <x:c r="H200" s="48" t="str">
        <x:v>Shared</x:v>
      </x:c>
      <x:c r="I200" s="48" t="n">
        <x:v>0.45</x:v>
      </x:c>
      <x:c r="J200" s="48" t="n">
        <x:v>0.4</x:v>
      </x:c>
      <x:c r="K200" s="48" t="str">
        <x:v>Yes</x:v>
      </x:c>
      <x:c r="L200" s="48" t="str">
        <x:v>OCR</x:v>
      </x:c>
    </x:row>
    <x:row r="201">
      <x:c r="A201" s="48" t="str">
        <x:v>ORANGE-0200</x:v>
      </x:c>
      <x:c r="B201" s="48" t="str">
        <x:v>ORANGE</x:v>
      </x:c>
      <x:c r="C201" s="48" t="str">
        <x:v>English</x:v>
      </x:c>
      <x:c r="D201" s="48" t="n">
        <x:v>21</x:v>
      </x:c>
      <x:c r="E201" s="48" t="str"/>
      <x:c r="F201" s="48" t="str">
        <x:v>‘yd for Corte Dnsmen ried ab ne 83 (©) mattress of Mar, (4) sample i ny) ped in he ples Regret nd (© ation! somes inte by he Eppes Reps de</x:v>
      </x:c>
      <x:c r="G201" s="48" t="str">
        <x:v>Obligation</x:v>
      </x:c>
      <x:c r="H201" s="48" t="str">
        <x:v>Shared</x:v>
      </x:c>
      <x:c r="I201" s="48" t="n">
        <x:v>0.45</x:v>
      </x:c>
      <x:c r="J201" s="48" t="n">
        <x:v>0.4</x:v>
      </x:c>
      <x:c r="K201" s="48" t="str">
        <x:v>Yes</x:v>
      </x:c>
      <x:c r="L201" s="48" t="str">
        <x:v>OCR</x:v>
      </x:c>
    </x:row>
    <x:row r="202">
      <x:c r="A202" s="48" t="str">
        <x:v>ORANGE-0201</x:v>
      </x:c>
      <x:c r="B202" s="48" t="str">
        <x:v>ORANGE</x:v>
      </x:c>
      <x:c r="C202" s="48" t="str">
        <x:v>English</x:v>
      </x:c>
      <x:c r="D202" s="48" t="n">
        <x:v>21</x:v>
      </x:c>
      <x:c r="E202" s="48" t="str"/>
      <x:c r="F202" s="48" t="str">
        <x:v>{ac spl sal be ae a rg a nee we inte Wor Actin Drowns $6 Tae Cote al eps ec od scat oa tl” ‘oof te aneuanof he Wake ong theta acm, ‘Scan deal ofthe we ap tee wi os reese ‘Spor a da ets Tse ces pont Sea all cine forthe pps of hs So Cae Two cp shal be ‘SiSiudloine EmpoyersRepeseamne rors th cones te ‘see Compo</x:v>
      </x:c>
      <x:c r="G202" s="48" t="str">
        <x:v>Obligation</x:v>
      </x:c>
      <x:c r="H202" s="48" t="str">
        <x:v>Shared</x:v>
      </x:c>
      <x:c r="I202" s="48" t="n">
        <x:v>0.45</x:v>
      </x:c>
      <x:c r="J202" s="48" t="n">
        <x:v>0.4</x:v>
      </x:c>
      <x:c r="K202" s="48" t="str">
        <x:v>Yes</x:v>
      </x:c>
      <x:c r="L202" s="48" t="str">
        <x:v>OCR</x:v>
      </x:c>
    </x:row>
    <x:row r="203">
      <x:c r="A203" s="48" t="str">
        <x:v>ORANGE-0202</x:v>
      </x:c>
      <x:c r="B203" s="48" t="str">
        <x:v>ORANGE</x:v>
      </x:c>
      <x:c r="C203" s="48" t="str">
        <x:v>English</x:v>
      </x:c>
      <x:c r="D203" s="48" t="n">
        <x:v>22</x:v>
      </x:c>
      <x:c r="E203" s="48" t="str"/>
      <x:c r="F203" s="48" t="str">
        <x:v>1m adit, the Comasr all pee and stm the, Eplon’s et stu nrogr o eek sowing all Wek a8 ‘SESE Th aig epee he Mth proce ant sl be</x:v>
      </x:c>
      <x:c r="G203" s="48" t="str">
        <x:v>Obligation</x:v>
      </x:c>
      <x:c r="H203" s="48" t="str">
        <x:v>Shared</x:v>
      </x:c>
      <x:c r="I203" s="48" t="n">
        <x:v>0.45</x:v>
      </x:c>
      <x:c r="J203" s="48" t="n">
        <x:v>0.4</x:v>
      </x:c>
      <x:c r="K203" s="48" t="str">
        <x:v>Yes</x:v>
      </x:c>
      <x:c r="L203" s="48" t="str">
        <x:v>OCR</x:v>
      </x:c>
    </x:row>
    <x:row r="204">
      <x:c r="A204" s="48" t="str">
        <x:v>ORANGE-0203</x:v>
      </x:c>
      <x:c r="B204" s="48" t="str">
        <x:v>ORANGE</x:v>
      </x:c>
      <x:c r="C204" s="48" t="str">
        <x:v>English</x:v>
      </x:c>
      <x:c r="D204" s="48" t="n">
        <x:v>22</x:v>
      </x:c>
      <x:c r="E204" s="48" t="str"/>
      <x:c r="F204" s="48" t="str">
        <x:v>Siac tone Ener keene oes mycoses</x:v>
      </x:c>
      <x:c r="G204" s="48" t="str">
        <x:v>Obligation</x:v>
      </x:c>
      <x:c r="H204" s="48" t="str">
        <x:v>Shared</x:v>
      </x:c>
      <x:c r="I204" s="48" t="n">
        <x:v>0.45</x:v>
      </x:c>
      <x:c r="J204" s="48" t="n">
        <x:v>0.4</x:v>
      </x:c>
      <x:c r="K204" s="48" t="str">
        <x:v>Yes</x:v>
      </x:c>
      <x:c r="L204" s="48" t="str">
        <x:v>OCR</x:v>
      </x:c>
    </x:row>
    <x:row r="205">
      <x:c r="A205" s="48" t="str">
        <x:v>ORANGE-0204</x:v>
      </x:c>
      <x:c r="B205" s="48" t="str">
        <x:v>ORANGE</x:v>
      </x:c>
      <x:c r="C205" s="48" t="str">
        <x:v>English</x:v>
      </x:c>
      <x:c r="D205" s="48" t="n">
        <x:v>22</x:v>
      </x:c>
      <x:c r="E205" s="48" t="str"/>
      <x:c r="F205" s="48" t="str">
        <x:v>‘Sebati cote ob EnpoesRersenane 5 nh ‘Rtreming son sl she pre eae ror eso oy Tain Ove Cerin be Coa hal eit Iii uyers Repent nt mmc copy: om fl ae eal ‘Span tesco ft unable ‘CEtenion Dement pci i Enpoe Reuse Te Wes shebang ‘eponcanne Opeatnn snd 57 Photo conmencoent of he Teton Conpen, h Cota a imanars $7 fee, ool ska oe Eagle's Ropesnane. cpr and niente manana ithe Empoyer Resets an ‘nts rte Engr peste, ua, dames</x:v>
      </x:c>
      <x:c r="G205" s="48" t="str">
        <x:v>Obligation</x:v>
      </x:c>
      <x:c r="H205" s="48" t="str">
        <x:v>Shared</x:v>
      </x:c>
      <x:c r="I205" s="48" t="n">
        <x:v>0.45</x:v>
      </x:c>
      <x:c r="J205" s="48" t="n">
        <x:v>0.4</x:v>
      </x:c>
      <x:c r="K205" s="48" t="str">
        <x:v>Yes</x:v>
      </x:c>
      <x:c r="L205" s="48" t="str">
        <x:v>OCR</x:v>
      </x:c>
    </x:row>
    <x:row r="206">
      <x:c r="A206" s="48" t="str">
        <x:v>ORANGE-0205</x:v>
      </x:c>
      <x:c r="B206" s="48" t="str">
        <x:v>ORANGE</x:v>
      </x:c>
      <x:c r="C206" s="48" t="str">
        <x:v>English</x:v>
      </x:c>
      <x:c r="D206" s="48" t="n">
        <x:v>22</x:v>
      </x:c>
      <x:c r="E206" s="48" t="str"/>
      <x:c r="F206" s="48" t="str">
        <x:v>SSSR Monee want er cometh compos</x:v>
      </x:c>
      <x:c r="G206" s="48" t="str">
        <x:v>Obligation</x:v>
      </x:c>
      <x:c r="H206" s="48" t="str">
        <x:v>Shared</x:v>
      </x:c>
      <x:c r="I206" s="48" t="n">
        <x:v>0.45</x:v>
      </x:c>
      <x:c r="J206" s="48" t="n">
        <x:v>0.4</x:v>
      </x:c>
      <x:c r="K206" s="48" t="str">
        <x:v>Yes</x:v>
      </x:c>
      <x:c r="L206" s="48" t="str">
        <x:v>OCR</x:v>
      </x:c>
    </x:row>
    <x:row r="207">
      <x:c r="A207" s="48" t="str">
        <x:v>ORANGE-0206</x:v>
      </x:c>
      <x:c r="B207" s="48" t="str">
        <x:v>ORANGE</x:v>
      </x:c>
      <x:c r="C207" s="48" t="str">
        <x:v>English</x:v>
      </x:c>
      <x:c r="D207" s="48" t="n">
        <x:v>22</x:v>
      </x:c>
      <x:c r="E207" s="48" t="str"/>
      <x:c r="F207" s="48" t="str">
        <x:v>Wc ps tein eer onc Sb Cle 10! wt ch opr ‘nce manasa tee abe the Enpoyes Renate: wtaneeee rvs she Comes co —e reo Ris $9 The Contr al dei the pepsin a ci fining ‘amy me opted Sn copy teak or a me, er zap (@) se chsmor ceding ah ow of te dig consonance rosette (&gt; se hg eerie et eee acne ae ‘eonahiy tbe infeed om. he Conc (© te ntinger or began of ingeme wa he ol of a (Gea oe Mots fee din scion combat hy "ae py the Copa os ach ia ‘Seton sch th Comer por othe ase Bao ‘sted te Cont and te aingener (lepton of eigen) was at he aoe ‘Rae be Couto wh he Employes Reger ‘he Canaco shtbe pump nied of any cam uk hs Sab ‘Case nme apa he Emer The Coach Cs im ‘eps ore tees ch ca and ny gee eae</x:v>
      </x:c>
      <x:c r="G207" s="48" t="str">
        <x:v>Obligation</x:v>
      </x:c>
      <x:c r="H207" s="48" t="str">
        <x:v>Shared</x:v>
      </x:c>
      <x:c r="I207" s="48" t="n">
        <x:v>0.45</x:v>
      </x:c>
      <x:c r="J207" s="48" t="n">
        <x:v>0.4</x:v>
      </x:c>
      <x:c r="K207" s="48" t="str">
        <x:v>Yes</x:v>
      </x:c>
      <x:c r="L207" s="48" t="str">
        <x:v>OCR</x:v>
      </x:c>
    </x:row>
    <x:row r="208">
      <x:c r="A208" s="48" t="str">
        <x:v>ORANGE-0207</x:v>
      </x:c>
      <x:c r="B208" s="48" t="str">
        <x:v>ORANGE</x:v>
      </x:c>
      <x:c r="C208" s="48" t="str">
        <x:v>English</x:v>
      </x:c>
      <x:c r="D208" s="48" t="n">
        <x:v>22</x:v>
      </x:c>
      <x:c r="E208" s="48" t="str"/>
      <x:c r="F208" s="48" t="str">
        <x:v>Sig, eng petals a Sree ee</x:v>
      </x:c>
      <x:c r="G208" s="48" t="str">
        <x:v>Obligation</x:v>
      </x:c>
      <x:c r="H208" s="48" t="str">
        <x:v>Shared</x:v>
      </x:c>
      <x:c r="I208" s="48" t="n">
        <x:v>0.45</x:v>
      </x:c>
      <x:c r="J208" s="48" t="n">
        <x:v>0.4</x:v>
      </x:c>
      <x:c r="K208" s="48" t="str">
        <x:v>Yes</x:v>
      </x:c>
      <x:c r="L208" s="48" t="str">
        <x:v>OCR</x:v>
      </x:c>
    </x:row>
    <x:row r="209">
      <x:c r="A209" s="48" t="str">
        <x:v>ORANGE-0208</x:v>
      </x:c>
      <x:c r="B209" s="48" t="str">
        <x:v>ORANGE</x:v>
      </x:c>
      <x:c r="C209" s="48" t="str">
        <x:v>English</x:v>
      </x:c>
      <x:c r="D209" s="48" t="n">
        <x:v>22</x:v>
      </x:c>
      <x:c r="E209" s="48" t="str"/>
      <x:c r="F209" s="48" t="str">
        <x:v>a tn ge eset Cement</x:v>
      </x:c>
      <x:c r="G209" s="48" t="str">
        <x:v>Obligation</x:v>
      </x:c>
      <x:c r="H209" s="48" t="str">
        <x:v>Shared</x:v>
      </x:c>
      <x:c r="I209" s="48" t="n">
        <x:v>0.45</x:v>
      </x:c>
      <x:c r="J209" s="48" t="n">
        <x:v>0.4</x:v>
      </x:c>
      <x:c r="K209" s="48" t="str">
        <x:v>Yes</x:v>
      </x:c>
      <x:c r="L209" s="48" t="str">
        <x:v>OCR</x:v>
      </x:c>
    </x:row>
    <x:row r="210">
      <x:c r="A210" s="48" t="str">
        <x:v>ORANGE-0209</x:v>
      </x:c>
      <x:c r="B210" s="48" t="str">
        <x:v>ORANGE</x:v>
      </x:c>
      <x:c r="C210" s="48" t="str">
        <x:v>English</x:v>
      </x:c>
      <x:c r="D210" s="48" t="n">
        <x:v>22</x:v>
      </x:c>
      <x:c r="E210" s="48" t="str"/>
      <x:c r="F210" s="48" t="str">
        <x:v>BiCeice sald ote oertbe cof of ng, tin</x:v>
      </x:c>
      <x:c r="G210" s="48" t="str">
        <x:v>Obligation</x:v>
      </x:c>
      <x:c r="H210" s="48" t="str">
        <x:v>Shared</x:v>
      </x:c>
      <x:c r="I210" s="48" t="n">
        <x:v>0.45</x:v>
      </x:c>
      <x:c r="J210" s="48" t="n">
        <x:v>0.4</x:v>
      </x:c>
      <x:c r="K210" s="48" t="str">
        <x:v>Yes</x:v>
      </x:c>
      <x:c r="L210" s="48" t="str">
        <x:v>OCR</x:v>
      </x:c>
    </x:row>
    <x:row r="211">
      <x:c r="A211" s="48" t="str">
        <x:v>ORANGE-0210</x:v>
      </x:c>
      <x:c r="B211" s="48" t="str">
        <x:v>ORANGE</x:v>
      </x:c>
      <x:c r="C211" s="48" t="str">
        <x:v>English</x:v>
      </x:c>
      <x:c r="D211" s="48" t="n">
        <x:v>22</x:v>
      </x:c>
      <x:c r="E211" s="48" t="str"/>
      <x:c r="F211" s="48" t="str">
        <x:v>‘Teoma iia eal in ser ing fen ees. repo the one he Enpoye apes ceric he Coc hl</x:v>
      </x:c>
      <x:c r="G211" s="48" t="str">
        <x:v>Obligation</x:v>
      </x:c>
      <x:c r="H211" s="48" t="str">
        <x:v>Shared</x:v>
      </x:c>
      <x:c r="I211" s="48" t="n">
        <x:v>0.45</x:v>
      </x:c>
      <x:c r="J211" s="48" t="n">
        <x:v>0.4</x:v>
      </x:c>
      <x:c r="K211" s="48" t="str">
        <x:v>Yes</x:v>
      </x:c>
      <x:c r="L211" s="48" t="str">
        <x:v>OCR</x:v>
      </x:c>
    </x:row>
    <x:row r="212">
      <x:c r="A212" s="48" t="str">
        <x:v>ORANGE-0211</x:v>
      </x:c>
      <x:c r="B212" s="48" t="str">
        <x:v>ORANGE</x:v>
      </x:c>
      <x:c r="C212" s="48" t="str">
        <x:v>English</x:v>
      </x:c>
      <x:c r="D212" s="48" t="n">
        <x:v>22</x:v>
      </x:c>
      <x:c r="E212" s="48" t="str"/>
      <x:c r="F212" s="48" t="str">
        <x:v>SSE wy sinaor wich mieten wl</x:v>
      </x:c>
      <x:c r="G212" s="48" t="str">
        <x:v>Obligation</x:v>
      </x:c>
      <x:c r="H212" s="48" t="str">
        <x:v>Shared</x:v>
      </x:c>
      <x:c r="I212" s="48" t="n">
        <x:v>0.45</x:v>
      </x:c>
      <x:c r="J212" s="48" t="n">
        <x:v>0.4</x:v>
      </x:c>
      <x:c r="K212" s="48" t="str">
        <x:v>Yes</x:v>
      </x:c>
      <x:c r="L212" s="48" t="str">
        <x:v>OCR</x:v>
      </x:c>
    </x:row>
    <x:row r="213">
      <x:c r="A213" s="48" t="str">
        <x:v>ORANGE-0212</x:v>
      </x:c>
      <x:c r="B213" s="48" t="str">
        <x:v>ORANGE</x:v>
      </x:c>
      <x:c r="C213" s="48" t="str">
        <x:v>English</x:v>
      </x:c>
      <x:c r="D213" s="48" t="n">
        <x:v>22</x:v>
      </x:c>
      <x:c r="E213" s="48" t="str"/>
      <x:c r="F213" s="48" t="str">
        <x:v>‘Coach pene Engle sh renomble seri he Bae</x:v>
      </x:c>
      <x:c r="G213" s="48" t="str">
        <x:v>Obligation</x:v>
      </x:c>
      <x:c r="H213" s="48" t="str">
        <x:v>Shared</x:v>
      </x:c>
      <x:c r="I213" s="48" t="n">
        <x:v>0.45</x:v>
      </x:c>
      <x:c r="J213" s="48" t="n">
        <x:v>0.4</x:v>
      </x:c>
      <x:c r="K213" s="48" t="str">
        <x:v>Yes</x:v>
      </x:c>
      <x:c r="L213" s="48" t="str">
        <x:v>OCR</x:v>
      </x:c>
    </x:row>
    <x:row r="214">
      <x:c r="A214" s="48" t="str">
        <x:v>ORANGE-0213</x:v>
      </x:c>
      <x:c r="B214" s="48" t="str">
        <x:v>ORANGE</x:v>
      </x:c>
      <x:c r="C214" s="48" t="str">
        <x:v>English</x:v>
      </x:c>
      <x:c r="D214" s="48" t="n">
        <x:v>22</x:v>
      </x:c>
      <x:c r="E214" s="48" t="str"/>
      <x:c r="F214" s="48" t="str">
        <x:v>Stir sen lh fos anoun hich an seamen of Be</x:v>
      </x:c>
      <x:c r="G214" s="48" t="str">
        <x:v>Obligation</x:v>
      </x:c>
      <x:c r="H214" s="48" t="str">
        <x:v>Shared</x:v>
      </x:c>
      <x:c r="I214" s="48" t="n">
        <x:v>0.45</x:v>
      </x:c>
      <x:c r="J214" s="48" t="n">
        <x:v>0.4</x:v>
      </x:c>
      <x:c r="K214" s="48" t="str">
        <x:v>Yes</x:v>
      </x:c>
      <x:c r="L214" s="48" t="str">
        <x:v>OCR</x:v>
      </x:c>
    </x:row>
    <x:row r="215">
      <x:c r="A215" s="48" t="str">
        <x:v>ORANGE-0214</x:v>
      </x:c>
      <x:c r="B215" s="48" t="str">
        <x:v>ORANGE</x:v>
      </x:c>
      <x:c r="C215" s="48" t="str">
        <x:v>English</x:v>
      </x:c>
      <x:c r="D215" s="48" t="n">
        <x:v>22</x:v>
      </x:c>
      <x:c r="E215" s="48" t="str"/>
      <x:c r="F215" s="48" t="str">
        <x:v>‘eye dagen shes sn con or wh te Egle ‘SERTING cath ne ety ter ub Chase pes</x:v>
      </x:c>
      <x:c r="G215" s="48" t="str">
        <x:v>Obligation</x:v>
      </x:c>
      <x:c r="H215" s="48" t="str">
        <x:v>Shared</x:v>
      </x:c>
      <x:c r="I215" s="48" t="n">
        <x:v>0.45</x:v>
      </x:c>
      <x:c r="J215" s="48" t="n">
        <x:v>0.4</x:v>
      </x:c>
      <x:c r="K215" s="48" t="str">
        <x:v>Yes</x:v>
      </x:c>
      <x:c r="L215" s="48" t="str">
        <x:v>OCR</x:v>
      </x:c>
    </x:row>
    <x:row r="216">
      <x:c r="A216" s="48" t="str">
        <x:v>ORANGE-0215</x:v>
      </x:c>
      <x:c r="B216" s="48" t="str">
        <x:v>ORANGE</x:v>
      </x:c>
      <x:c r="C216" s="48" t="str">
        <x:v>English</x:v>
      </x:c>
      <x:c r="D216" s="48" t="n">
        <x:v>23</x:v>
      </x:c>
      <x:c r="E216" s="48" t="str"/>
      <x:c r="F216" s="48" t="str">
        <x:v>The Egle at he oes a sof th Cara asst him in</x:v>
      </x:c>
      <x:c r="G216" s="48" t="str">
        <x:v>Obligation</x:v>
      </x:c>
      <x:c r="H216" s="48" t="str">
        <x:v>Shared</x:v>
      </x:c>
      <x:c r="I216" s="48" t="n">
        <x:v>0.45</x:v>
      </x:c>
      <x:c r="J216" s="48" t="n">
        <x:v>0.4</x:v>
      </x:c>
      <x:c r="K216" s="48" t="str">
        <x:v>Yes</x:v>
      </x:c>
      <x:c r="L216" s="48" t="str">
        <x:v>OCR</x:v>
      </x:c>
    </x:row>
    <x:row r="217">
      <x:c r="A217" s="48" t="str">
        <x:v>ORANGE-0216</x:v>
      </x:c>
      <x:c r="B217" s="48" t="str">
        <x:v>ORANGE</x:v>
      </x:c>
      <x:c r="C217" s="48" t="str">
        <x:v>English</x:v>
      </x:c>
      <x:c r="D217" s="48" t="n">
        <x:v>23</x:v>
      </x:c>
      <x:c r="E217" s="48" t="str"/>
      <x:c r="F217" s="48" t="str">
        <x:v>Se yh onl pa tb</x:v>
      </x:c>
      <x:c r="G217" s="48" t="str">
        <x:v>Obligation</x:v>
      </x:c>
      <x:c r="H217" s="48" t="str">
        <x:v>Shared</x:v>
      </x:c>
      <x:c r="I217" s="48" t="n">
        <x:v>0.45</x:v>
      </x:c>
      <x:c r="J217" s="48" t="n">
        <x:v>0.4</x:v>
      </x:c>
      <x:c r="K217" s="48" t="str">
        <x:v>Yes</x:v>
      </x:c>
      <x:c r="L217" s="48" t="str">
        <x:v>OCR</x:v>
      </x:c>
    </x:row>
    <x:row r="218">
      <x:c r="A218" s="48" t="str">
        <x:v>ORANGE-0217</x:v>
      </x:c>
      <x:c r="B218" s="48" t="str">
        <x:v>ORANGE</x:v>
      </x:c>
      <x:c r="C218" s="48" t="str">
        <x:v>English</x:v>
      </x:c>
      <x:c r="D218" s="48" t="n">
        <x:v>23</x:v>
      </x:c>
      <x:c r="E218" s="48" t="str">
        <x:v>6</x:v>
      </x:c>
      <x:c r="F218" s="48" t="str">
        <x:v>6 Staff'and Labour</x:v>
      </x:c>
      <x:c r="G218" s="48" t="str">
        <x:v>Heading</x:v>
      </x:c>
      <x:c r="H218" s="48" t="str"/>
      <x:c r="I218" s="48" t="n">
        <x:v>0.9</x:v>
      </x:c>
      <x:c r="J218" s="48" t="n">
        <x:v>0.99</x:v>
      </x:c>
      <x:c r="K218" s="48" t="str">
        <x:v>No</x:v>
      </x:c>
      <x:c r="L218" s="48" t="str">
        <x:v>OCR</x:v>
      </x:c>
    </x:row>
    <x:row r="219">
      <x:c r="A219" s="48" t="str">
        <x:v>ORANGE-0218</x:v>
      </x:c>
      <x:c r="B219" s="48" t="str">
        <x:v>ORANGE</x:v>
      </x:c>
      <x:c r="C219" s="48" t="str">
        <x:v>English</x:v>
      </x:c>
      <x:c r="D219" s="48" t="n">
        <x:v>23</x:v>
      </x:c>
      <x:c r="E219" s="48" t="str"/>
      <x:c r="F219" s="48" t="str">
        <x:v>ttt 61 The Conall mae hs orn amnganent rth engage ol a ed Labour ibaa trea or py ng. eng at os Condon {Es fvourai han ons oti forthe ws ory where he work</x:v>
      </x:c>
      <x:c r="G219" s="48" t="str">
        <x:v>Obligation</x:v>
      </x:c>
      <x:c r="H219" s="48" t="str">
        <x:v>Shared</x:v>
      </x:c>
      <x:c r="I219" s="48" t="n">
        <x:v>0.45</x:v>
      </x:c>
      <x:c r="J219" s="48" t="n">
        <x:v>0.4</x:v>
      </x:c>
      <x:c r="K219" s="48" t="str">
        <x:v>Yes</x:v>
      </x:c>
      <x:c r="L219" s="48" t="str">
        <x:v>OCR</x:v>
      </x:c>
    </x:row>
    <x:row r="220">
      <x:c r="A220" s="48" t="str">
        <x:v>ORANGE-0219</x:v>
      </x:c>
      <x:c r="B220" s="48" t="str">
        <x:v>ORANGE</x:v>
      </x:c>
      <x:c r="C220" s="48" t="str">
        <x:v>English</x:v>
      </x:c>
      <x:c r="D220" s="48" t="n">
        <x:v>23</x:v>
      </x:c>
      <x:c r="E220" s="48" t="str"/>
      <x:c r="F220" s="48" t="str">
        <x:v>Taieer ir cared et If cach slid mace or oats apie the</x:v>
      </x:c>
      <x:c r="G220" s="48" t="str">
        <x:v>Obligation</x:v>
      </x:c>
      <x:c r="H220" s="48" t="str">
        <x:v>Shared</x:v>
      </x:c>
      <x:c r="I220" s="48" t="n">
        <x:v>0.45</x:v>
      </x:c>
      <x:c r="J220" s="48" t="n">
        <x:v>0.4</x:v>
      </x:c>
      <x:c r="K220" s="48" t="str">
        <x:v>Yes</x:v>
      </x:c>
      <x:c r="L220" s="48" t="str">
        <x:v>OCR</x:v>
      </x:c>
    </x:row>
    <x:row r="221">
      <x:c r="A221" s="48" t="str">
        <x:v>ORANGE-0220</x:v>
      </x:c>
      <x:c r="B221" s="48" t="str">
        <x:v>ORANGE</x:v>
      </x:c>
      <x:c r="C221" s="48" t="str">
        <x:v>English</x:v>
      </x:c>
      <x:c r="D221" s="48" t="n">
        <x:v>23</x:v>
      </x:c>
      <x:c r="E221" s="48" t="str"/>
      <x:c r="F221" s="48" t="str">
        <x:v>(Comme sl py tr waged ne cones nots eb ‘hn pra et of moe an cnn ster yee Me lo ty st te Come erseminthe 63.</x:v>
      </x:c>
      <x:c r="G221" s="48" t="str">
        <x:v>Obligation</x:v>
      </x:c>
      <x:c r="H221" s="48" t="str">
        <x:v>Shared</x:v>
      </x:c>
      <x:c r="I221" s="48" t="n">
        <x:v>0.45</x:v>
      </x:c>
      <x:c r="J221" s="48" t="n">
        <x:v>0.4</x:v>
      </x:c>
      <x:c r="K221" s="48" t="str">
        <x:v>Yes</x:v>
      </x:c>
      <x:c r="L221" s="48" t="str">
        <x:v>OCR</x:v>
      </x:c>
    </x:row>
    <x:row r="222">
      <x:c r="A222" s="48" t="str">
        <x:v>ORANGE-0221</x:v>
      </x:c>
      <x:c r="B222" s="48" t="str">
        <x:v>ORANGE</x:v>
      </x:c>
      <x:c r="C222" s="48" t="str">
        <x:v>English</x:v>
      </x:c>
      <x:c r="D222" s="48" t="n">
        <x:v>23</x:v>
      </x:c>
      <x:c r="E222" s="48" t="str"/>
      <x:c r="F222" s="48" t="str">
        <x:v>TheContat ll at etree outs sf an bu om serccetOers mong pron ne sense athe Emperor th Enger</x:v>
      </x:c>
      <x:c r="G222" s="48" t="str">
        <x:v>Obligation</x:v>
      </x:c>
      <x:c r="H222" s="48" t="str">
        <x:v>Shared</x:v>
      </x:c>
      <x:c r="I222" s="48" t="n">
        <x:v>0.45</x:v>
      </x:c>
      <x:c r="J222" s="48" t="n">
        <x:v>0.4</x:v>
      </x:c>
      <x:c r="K222" s="48" t="str">
        <x:v>Yes</x:v>
      </x:c>
      <x:c r="L222" s="48" t="str">
        <x:v>OCR</x:v>
      </x:c>
    </x:row>
    <x:row r="223">
      <x:c r="A223" s="48" t="str">
        <x:v>ORANGE-0222</x:v>
      </x:c>
      <x:c r="B223" s="48" t="str">
        <x:v>ORANGE</x:v>
      </x:c>
      <x:c r="C223" s="48" t="str">
        <x:v>English</x:v>
      </x:c>
      <x:c r="D223" s="48" t="n">
        <x:v>23</x:v>
      </x:c>
      <x:c r="E223" s="48" t="str"/>
      <x:c r="F223" s="48" t="str">
        <x:v>Reyenenave</x:v>
      </x:c>
      <x:c r="G223" s="48" t="str">
        <x:v>Obligation</x:v>
      </x:c>
      <x:c r="H223" s="48" t="str">
        <x:v>Shared</x:v>
      </x:c>
      <x:c r="I223" s="48" t="n">
        <x:v>0.45</x:v>
      </x:c>
      <x:c r="J223" s="48" t="n">
        <x:v>0.4</x:v>
      </x:c>
      <x:c r="K223" s="48" t="str">
        <x:v>Yes</x:v>
      </x:c>
      <x:c r="L223" s="48" t="str">
        <x:v>OCR</x:v>
      </x:c>
    </x:row>
    <x:row r="224">
      <x:c r="A224" s="48" t="str">
        <x:v>ORANGE-0223</x:v>
      </x:c>
      <x:c r="B224" s="48" t="str">
        <x:v>ORANGE</x:v>
      </x:c>
      <x:c r="C224" s="48" t="str">
        <x:v>English</x:v>
      </x:c>
      <x:c r="D224" s="48" t="n">
        <x:v>23</x:v>
      </x:c>
      <x:c r="E224" s="48" t="str"/>
      <x:c r="F224" s="48" t="str">
        <x:v>Atour Laws 64 The Conrcr lip will he eka tapping 6s eg a Te pe nd Working Haars 6S.</x:v>
      </x:c>
      <x:c r="G224" s="48" t="str">
        <x:v>Obligation</x:v>
      </x:c>
      <x:c r="H224" s="48" t="str">
        <x:v>Shared</x:v>
      </x:c>
      <x:c r="I224" s="48" t="n">
        <x:v>0.45</x:v>
      </x:c>
      <x:c r="J224" s="48" t="n">
        <x:v>0.4</x:v>
      </x:c>
      <x:c r="K224" s="48" t="str">
        <x:v>Yes</x:v>
      </x:c>
      <x:c r="L224" s="48" t="str">
        <x:v>OCR</x:v>
      </x:c>
    </x:row>
    <x:row r="225">
      <x:c r="A225" s="48" t="str">
        <x:v>ORANGE-0224</x:v>
      </x:c>
      <x:c r="B225" s="48" t="str">
        <x:v>ORANGE</x:v>
      </x:c>
      <x:c r="C225" s="48" t="str">
        <x:v>English</x:v>
      </x:c>
      <x:c r="D225" s="48" t="n">
        <x:v>23</x:v>
      </x:c>
      <x:c r="E225" s="48" t="str"/>
      <x:c r="F225" s="48" t="str">
        <x:v>No wot tal ec to he Si se eal whi as</x:v>
      </x:c>
      <x:c r="G225" s="48" t="str">
        <x:v>Obligation</x:v>
      </x:c>
      <x:c r="H225" s="48" t="str">
        <x:v>Shared</x:v>
      </x:c>
      <x:c r="I225" s="48" t="n">
        <x:v>0.45</x:v>
      </x:c>
      <x:c r="J225" s="48" t="n">
        <x:v>0.4</x:v>
      </x:c>
      <x:c r="K225" s="48" t="str">
        <x:v>Yes</x:v>
      </x:c>
      <x:c r="L225" s="48" t="str">
        <x:v>OCR</x:v>
      </x:c>
    </x:row>
    <x:row r="226">
      <x:c r="A226" s="48" t="str">
        <x:v>ORANGE-0225</x:v>
      </x:c>
      <x:c r="B226" s="48" t="str">
        <x:v>ORANGE</x:v>
      </x:c>
      <x:c r="C226" s="48" t="str">
        <x:v>English</x:v>
      </x:c>
      <x:c r="D226" s="48" t="n">
        <x:v>23</x:v>
      </x:c>
      <x:c r="E226" s="48" t="str"/>
      <x:c r="F226" s="48" t="str">
        <x:v>SST agp Wa ro aay wc i fw</x:v>
      </x:c>
      <x:c r="G226" s="48" t="str">
        <x:v>Obligation</x:v>
      </x:c>
      <x:c r="H226" s="48" t="str">
        <x:v>Shared</x:v>
      </x:c>
      <x:c r="I226" s="48" t="n">
        <x:v>0.45</x:v>
      </x:c>
      <x:c r="J226" s="48" t="n">
        <x:v>0.4</x:v>
      </x:c>
      <x:c r="K226" s="48" t="str">
        <x:v>Yes</x:v>
      </x:c>
      <x:c r="L226" s="48" t="str">
        <x:v>OCR</x:v>
      </x:c>
    </x:row>
    <x:row r="227">
      <x:c r="A227" s="48" t="str">
        <x:v>ORANGE-0226</x:v>
      </x:c>
      <x:c r="B227" s="48" t="str">
        <x:v>ORANGE</x:v>
      </x:c>
      <x:c r="C227" s="48" t="str">
        <x:v>English</x:v>
      </x:c>
      <x:c r="D227" s="48" t="n">
        <x:v>23</x:v>
      </x:c>
      <x:c r="E227" s="48" t="str"/>
      <x:c r="F227" s="48" t="str">
        <x:v>(te Conn 0 rides, (©) works marovbe, omc fe he sno ea open o {friesicy ot Wen mnbch a Coc sha nei Sh te Eapyers Repeat.</x:v>
      </x:c>
      <x:c r="G227" s="48" t="str">
        <x:v>Obligation</x:v>
      </x:c>
      <x:c r="H227" s="48" t="str">
        <x:v>Shared</x:v>
      </x:c>
      <x:c r="I227" s="48" t="n">
        <x:v>0.45</x:v>
      </x:c>
      <x:c r="J227" s="48" t="n">
        <x:v>0.4</x:v>
      </x:c>
      <x:c r="K227" s="48" t="str">
        <x:v>Yes</x:v>
      </x:c>
      <x:c r="L227" s="48" t="str">
        <x:v>OCR</x:v>
      </x:c>
    </x:row>
    <x:row r="228">
      <x:c r="A228" s="48" t="str">
        <x:v>ORANGE-0227</x:v>
      </x:c>
      <x:c r="B228" s="48" t="str">
        <x:v>ORANGE</x:v>
      </x:c>
      <x:c r="C228" s="48" t="str">
        <x:v>English</x:v>
      </x:c>
      <x:c r="D228" s="48" t="n">
        <x:v>23</x:v>
      </x:c>
      <x:c r="E228" s="48" t="str"/>
      <x:c r="F228" s="48" t="str">
        <x:v>(6 empty Repeater is coe acts or Stata erie ini Pa te Cntr rove at mini dtatowt “recy arcommotisn sad were cis oe MS (and hes Sob (pei ate Engrs Requumen, fr he plea Elo</x:v>
      </x:c>
      <x:c r="G228" s="48" t="str">
        <x:v>Obligation</x:v>
      </x:c>
      <x:c r="H228" s="48" t="str">
        <x:v>Shared</x:v>
      </x:c>
      <x:c r="I228" s="48" t="n">
        <x:v>0.45</x:v>
      </x:c>
      <x:c r="J228" s="48" t="n">
        <x:v>0.4</x:v>
      </x:c>
      <x:c r="K228" s="48" t="str">
        <x:v>Yes</x:v>
      </x:c>
      <x:c r="L228" s="48" t="str">
        <x:v>OCR</x:v>
      </x:c>
    </x:row>
    <x:row r="229">
      <x:c r="A229" s="48" t="str">
        <x:v>ORANGE-0228</x:v>
      </x:c>
      <x:c r="B229" s="48" t="str">
        <x:v>ORANGE</x:v>
      </x:c>
      <x:c r="C229" s="48" t="str">
        <x:v>English</x:v>
      </x:c>
      <x:c r="D229" s="48" t="n">
        <x:v>23</x:v>
      </x:c>
      <x:c r="E229" s="48" t="str"/>
      <x:c r="F229" s="48" t="str">
        <x:v>Spcenines poset Te Coun hal pe yf</x:v>
      </x:c>
      <x:c r="G229" s="48" t="str">
        <x:v>Obligation</x:v>
      </x:c>
      <x:c r="H229" s="48" t="str">
        <x:v>Shared</x:v>
      </x:c>
      <x:c r="I229" s="48" t="n">
        <x:v>0.45</x:v>
      </x:c>
      <x:c r="J229" s="48" t="n">
        <x:v>0.4</x:v>
      </x:c>
      <x:c r="K229" s="48" t="str">
        <x:v>Yes</x:v>
      </x:c>
      <x:c r="L229" s="48" t="str">
        <x:v>OCR</x:v>
      </x:c>
    </x:row>
    <x:row r="230">
      <x:c r="A230" s="48" t="str">
        <x:v>ORANGE-0229</x:v>
      </x:c>
      <x:c r="B230" s="48" t="str">
        <x:v>ORANGE</x:v>
      </x:c>
      <x:c r="C230" s="48" t="str">
        <x:v>English</x:v>
      </x:c>
      <x:c r="D230" s="48" t="n">
        <x:v>23</x:v>
      </x:c>
      <x:c r="E230" s="48" t="str"/>
      <x:c r="F230" s="48" t="str">
        <x:v>“pues mati ay perry ope nig ae hin ‘Sur: lamin tote Ws Meath and Sey 7 Pecos al hn ye ocr sah ah ae ey {urement al eh etic, tae at ea al {icy oct pan anne see eae common ‘Simi Seem lunes so se arangernt we nae fo a ‘ecm wefe an hypne tg eter te prvetion of ‘in Ti Comoran aula prs concer ‘at ley sed wee of erm an danape Soper a</x:v>
      </x:c>
      <x:c r="G230" s="48" t="str">
        <x:v>Obligation</x:v>
      </x:c>
      <x:c r="H230" s="48" t="str">
        <x:v>Shared</x:v>
      </x:c>
      <x:c r="I230" s="48" t="n">
        <x:v>0.45</x:v>
      </x:c>
      <x:c r="J230" s="48" t="n">
        <x:v>0.4</x:v>
      </x:c>
      <x:c r="K230" s="48" t="str">
        <x:v>Yes</x:v>
      </x:c>
      <x:c r="L230" s="48" t="str">
        <x:v>OCR</x:v>
      </x:c>
    </x:row>
    <x:row r="231">
      <x:c r="A231" s="48" t="str">
        <x:v>ORANGE-0230</x:v>
      </x:c>
      <x:c r="B231" s="48" t="str">
        <x:v>ORANGE</x:v>
      </x:c>
      <x:c r="C231" s="48" t="str">
        <x:v>English</x:v>
      </x:c>
      <x:c r="D231" s="48" t="n">
        <x:v>23</x:v>
      </x:c>
      <x:c r="E231" s="48" t="str"/>
      <x:c r="F231" s="48" t="str">
        <x:v>Ener Repewsuve may ease</x:v>
      </x:c>
      <x:c r="G231" s="48" t="str">
        <x:v>Right</x:v>
      </x:c>
      <x:c r="H231" s="48" t="str">
        <x:v>Shared</x:v>
      </x:c>
      <x:c r="I231" s="48" t="n">
        <x:v>0.78</x:v>
      </x:c>
      <x:c r="J231" s="48" t="n">
        <x:v>0.4</x:v>
      </x:c>
      <x:c r="K231" s="48" t="str">
        <x:v>Yes</x:v>
      </x:c>
      <x:c r="L231" s="48" t="str">
        <x:v>OCR</x:v>
      </x:c>
    </x:row>
    <x:row r="232">
      <x:c r="A232" s="48" t="str">
        <x:v>ORANGE-0231</x:v>
      </x:c>
      <x:c r="B232" s="48" t="str">
        <x:v>ORANGE</x:v>
      </x:c>
      <x:c r="C232" s="48" t="str">
        <x:v>English</x:v>
      </x:c>
      <x:c r="D232" s="48" t="n">
        <x:v>24</x:v>
      </x:c>
      <x:c r="E232" s="48" t="str"/>
      <x:c r="F232" s="48" t="str">
        <x:v>‘To Coarac allege</x:v>
      </x:c>
      <x:c r="G232" s="48" t="str">
        <x:v>Obligation</x:v>
      </x:c>
      <x:c r="H232" s="48" t="str">
        <x:v>Shared</x:v>
      </x:c>
      <x:c r="I232" s="48" t="n">
        <x:v>0.45</x:v>
      </x:c>
      <x:c r="J232" s="48" t="n">
        <x:v>0.4</x:v>
      </x:c>
      <x:c r="K232" s="48" t="str">
        <x:v>Yes</x:v>
      </x:c>
      <x:c r="L232" s="48" t="str">
        <x:v>OCR</x:v>
      </x:c>
    </x:row>
    <x:row r="233">
      <x:c r="A233" s="48" t="str">
        <x:v>ORANGE-0232</x:v>
      </x:c>
      <x:c r="B233" s="48" t="str">
        <x:v>ORANGE</x:v>
      </x:c>
      <x:c r="C233" s="48" t="str">
        <x:v>English</x:v>
      </x:c>
      <x:c r="D233" s="48" t="n">
        <x:v>24</x:v>
      </x:c>
      <x:c r="E233" s="48" t="str"/>
      <x:c r="F233" s="48" t="str">
        <x:v>ToS tend grea op aces, f pene on the</x:v>
      </x:c>
      <x:c r="G233" s="48" t="str">
        <x:v>Obligation</x:v>
      </x:c>
      <x:c r="H233" s="48" t="str">
        <x:v>Shared</x:v>
      </x:c>
      <x:c r="I233" s="48" t="n">
        <x:v>0.45</x:v>
      </x:c>
      <x:c r="J233" s="48" t="n">
        <x:v>0.4</x:v>
      </x:c>
      <x:c r="K233" s="48" t="str">
        <x:v>Yes</x:v>
      </x:c>
      <x:c r="L233" s="48" t="str">
        <x:v>OCR</x:v>
      </x:c>
    </x:row>
    <x:row r="234">
      <x:c r="A234" s="48" t="str">
        <x:v>ORANGE-0233</x:v>
      </x:c>
      <x:c r="B234" s="48" t="str">
        <x:v>ORANGE</x:v>
      </x:c>
      <x:c r="C234" s="48" t="str">
        <x:v>English</x:v>
      </x:c>
      <x:c r="D234" s="48" t="n">
        <x:v>24</x:v>
      </x:c>
      <x:c r="E234" s="48" t="str"/>
      <x:c r="F234" s="48" t="str">
        <x:v>rE tgs hs tk an le e ory</x:v>
      </x:c>
      <x:c r="G234" s="48" t="str">
        <x:v>Obligation</x:v>
      </x:c>
      <x:c r="H234" s="48" t="str">
        <x:v>Shared</x:v>
      </x:c>
      <x:c r="I234" s="48" t="n">
        <x:v>0.45</x:v>
      </x:c>
      <x:c r="J234" s="48" t="n">
        <x:v>0.4</x:v>
      </x:c>
      <x:c r="K234" s="48" t="str">
        <x:v>Yes</x:v>
      </x:c>
      <x:c r="L234" s="48" t="str">
        <x:v>OCR</x:v>
      </x:c>
    </x:row>
    <x:row r="235">
      <x:c r="A235" s="48" t="str">
        <x:v>ORANGE-0234</x:v>
      </x:c>
      <x:c r="B235" s="48" t="str">
        <x:v>ORANGE</x:v>
      </x:c>
      <x:c r="C235" s="48" t="str">
        <x:v>English</x:v>
      </x:c>
      <x:c r="D235" s="48" t="n">
        <x:v>24</x:v>
      </x:c>
      <x:c r="E235" s="48" t="str"/>
      <x:c r="F235" s="48" t="str">
        <x:v>Sc Meee septacne meee tps moh Pe</x:v>
      </x:c>
      <x:c r="G235" s="48" t="str">
        <x:v>Obligation</x:v>
      </x:c>
      <x:c r="H235" s="48" t="str">
        <x:v>Shared</x:v>
      </x:c>
      <x:c r="I235" s="48" t="n">
        <x:v>0.45</x:v>
      </x:c>
      <x:c r="J235" s="48" t="n">
        <x:v>0.4</x:v>
      </x:c>
      <x:c r="K235" s="48" t="str">
        <x:v>Yes</x:v>
      </x:c>
      <x:c r="L235" s="48" t="str">
        <x:v>OCR</x:v>
      </x:c>
    </x:row>
    <x:row r="236">
      <x:c r="A236" s="48" t="str">
        <x:v>ORANGE-0235</x:v>
      </x:c>
      <x:c r="B236" s="48" t="str">
        <x:v>ORANGE</x:v>
      </x:c>
      <x:c r="C236" s="48" t="str">
        <x:v>English</x:v>
      </x:c>
      <x:c r="D236" s="48" t="n">
        <x:v>24</x:v>
      </x:c>
      <x:c r="E236" s="48" t="str"/>
      <x:c r="F236" s="48" t="str">
        <x:v>‘Coach obe Employees, ras ay secs ‘Sowa pnt srs ose, Ccamracers 4H The Cotes provi al messy opine in he ein soning, 825 Catt oe Wiis tm tn thee oe emmy ea wet ens hring agence oe operations 10 Be fein he ncn ions regu heads By</x:v>
      </x:c>
      <x:c r="G236" s="48" t="str">
        <x:v>Obligation</x:v>
      </x:c>
      <x:c r="H236" s="48" t="str">
        <x:v>Shared</x:v>
      </x:c>
      <x:c r="I236" s="48" t="n">
        <x:v>0.45</x:v>
      </x:c>
      <x:c r="J236" s="48" t="n">
        <x:v>0.4</x:v>
      </x:c>
      <x:c r="K236" s="48" t="str">
        <x:v>Yes</x:v>
      </x:c>
      <x:c r="L236" s="48" t="str">
        <x:v>OCR</x:v>
      </x:c>
    </x:row>
    <x:row r="237">
      <x:c r="A237" s="48" t="str">
        <x:v>ORANGE-0236</x:v>
      </x:c>
      <x:c r="B237" s="48" t="str">
        <x:v>ORANGE</x:v>
      </x:c>
      <x:c r="C237" s="48" t="str">
        <x:v>English</x:v>
      </x:c>
      <x:c r="D237" s="48" t="n">
        <x:v>24</x:v>
      </x:c>
      <x:c r="E237" s="48" t="str"/>
      <x:c r="F237" s="48" t="str">
        <x:v>STS presnng en re hon ot</x:v>
      </x:c>
      <x:c r="G237" s="48" t="str">
        <x:v>Obligation</x:v>
      </x:c>
      <x:c r="H237" s="48" t="str">
        <x:v>Shared</x:v>
      </x:c>
      <x:c r="I237" s="48" t="n">
        <x:v>0.45</x:v>
      </x:c>
      <x:c r="J237" s="48" t="n">
        <x:v>0.4</x:v>
      </x:c>
      <x:c r="K237" s="48" t="str">
        <x:v>Yes</x:v>
      </x:c>
      <x:c r="L237" s="48" t="str">
        <x:v>OCR</x:v>
      </x:c>
    </x:row>
    <x:row r="238">
      <x:c r="A238" s="48" t="str">
        <x:v>ORANGE-0237</x:v>
      </x:c>
      <x:c r="B238" s="48" t="str">
        <x:v>ORANGE</x:v>
      </x:c>
      <x:c r="C238" s="48" t="str">
        <x:v>English</x:v>
      </x:c>
      <x:c r="D238" s="48" t="n">
        <x:v>24</x:v>
      </x:c>
      <x:c r="E238" s="48" t="str"/>
      <x:c r="F238" s="48" t="str">
        <x:v>‘Si teat the Wo, ‘The Contac salen cae be cnet ey rans bo st que, ae an xprmed he eee ime fer te te smote ny prem cage on ers Cente Renna eo th Sen ‘te Empleper Repent 2 pres tney mto (&amp; tnieompers or mpieat inh perlomane W es, {o) falen conor wih ay pov te Cos,</x:v>
      </x:c>
      <x:c r="G238" s="48" t="str">
        <x:v>Obligation</x:v>
      </x:c>
      <x:c r="H238" s="48" t="str">
        <x:v>Shared</x:v>
      </x:c>
      <x:c r="I238" s="48" t="n">
        <x:v>0.45</x:v>
      </x:c>
      <x:c r="J238" s="48" t="n">
        <x:v>0.4</x:v>
      </x:c>
      <x:c r="K238" s="48" t="str">
        <x:v>Yes</x:v>
      </x:c>
      <x:c r="L238" s="48" t="str">
        <x:v>OCR</x:v>
      </x:c>
    </x:row>
    <x:row r="239">
      <x:c r="A239" s="48" t="str">
        <x:v>ORANGE-0238</x:v>
      </x:c>
      <x:c r="B239" s="48" t="str">
        <x:v>ORANGE</x:v>
      </x:c>
      <x:c r="C239" s="48" t="str">
        <x:v>English</x:v>
      </x:c>
      <x:c r="D239" s="48" t="n">
        <x:v>24</x:v>
      </x:c>
      <x:c r="E239" s="48" t="str"/>
      <x:c r="F239" s="48" t="str">
        <x:v>Font fb more</x:v>
      </x:c>
      <x:c r="G239" s="48" t="str">
        <x:v>Obligation</x:v>
      </x:c>
      <x:c r="H239" s="48" t="str">
        <x:v>Shared</x:v>
      </x:c>
      <x:c r="I239" s="48" t="n">
        <x:v>0.45</x:v>
      </x:c>
      <x:c r="J239" s="48" t="n">
        <x:v>0.4</x:v>
      </x:c>
      <x:c r="K239" s="48" t="str">
        <x:v>Yes</x:v>
      </x:c>
      <x:c r="L239" s="48" t="str">
        <x:v>OCR</x:v>
      </x:c>
    </x:row>
    <x:row r="240">
      <x:c r="A240" s="48" t="str">
        <x:v>ORANGE-0239</x:v>
      </x:c>
      <x:c r="B240" s="48" t="str">
        <x:v>ORANGE</x:v>
      </x:c>
      <x:c r="C240" s="48" t="str">
        <x:v>English</x:v>
      </x:c>
      <x:c r="D240" s="48" t="n">
        <x:v>24</x:v>
      </x:c>
      <x:c r="E240" s="48" t="str"/>
      <x:c r="F240" s="48" t="str">
        <x:v>tappoptan, be Cone sal ben aps orcs Be pie 2 ‘odie pce Fen. arety Couch 698 Tene ata ies hl ae can nay</x:v>
      </x:c>
      <x:c r="G240" s="48" t="str">
        <x:v>Obligation</x:v>
      </x:c>
      <x:c r="H240" s="48" t="str">
        <x:v>Shared</x:v>
      </x:c>
      <x:c r="I240" s="48" t="n">
        <x:v>0.45</x:v>
      </x:c>
      <x:c r="J240" s="48" t="n">
        <x:v>0.4</x:v>
      </x:c>
      <x:c r="K240" s="48" t="str">
        <x:v>Yes</x:v>
      </x:c>
      <x:c r="L240" s="48" t="str">
        <x:v>OCR</x:v>
      </x:c>
    </x:row>
    <x:row r="241">
      <x:c r="A241" s="48" t="str">
        <x:v>ORANGE-0240</x:v>
      </x:c>
      <x:c r="B241" s="48" t="str">
        <x:v>ORANGE</x:v>
      </x:c>
      <x:c r="C241" s="48" t="str">
        <x:v>English</x:v>
      </x:c>
      <x:c r="D241" s="48" t="n">
        <x:v>24</x:v>
      </x:c>
      <x:c r="E241" s="48" t="str"/>
      <x:c r="F241" s="48" t="str">
        <x:v>TRS dow acy or am hn and</x:v>
      </x:c>
      <x:c r="G241" s="48" t="str">
        <x:v>Obligation</x:v>
      </x:c>
      <x:c r="H241" s="48" t="str">
        <x:v>Shared</x:v>
      </x:c>
      <x:c r="I241" s="48" t="n">
        <x:v>0.45</x:v>
      </x:c>
      <x:c r="J241" s="48" t="n">
        <x:v>0.4</x:v>
      </x:c>
      <x:c r="K241" s="48" t="str">
        <x:v>Yes</x:v>
      </x:c>
      <x:c r="L241" s="48" t="str">
        <x:v>OCR</x:v>
      </x:c>
    </x:row>
    <x:row r="242">
      <x:c r="A242" s="48" t="str">
        <x:v>ORANGE-0241</x:v>
      </x:c>
      <x:c r="B242" s="48" t="str">
        <x:v>ORANGE</x:v>
      </x:c>
      <x:c r="C242" s="48" t="str">
        <x:v>English</x:v>
      </x:c>
      <x:c r="D242" s="48" t="n">
        <x:v>24</x:v>
      </x:c>
      <x:c r="E242" s="48" t="str"/>
      <x:c r="F242" s="48" t="str">
        <x:v>rane en recon por ed per ie ior?</x:v>
      </x:c>
      <x:c r="G242" s="48" t="str">
        <x:v>Obligation</x:v>
      </x:c>
      <x:c r="H242" s="48" t="str">
        <x:v>Shared</x:v>
      </x:c>
      <x:c r="I242" s="48" t="n">
        <x:v>0.45</x:v>
      </x:c>
      <x:c r="J242" s="48" t="n">
        <x:v>0.4</x:v>
      </x:c>
      <x:c r="K242" s="48" t="str">
        <x:v>Yes</x:v>
      </x:c>
      <x:c r="L242" s="48" t="str">
        <x:v>OCR</x:v>
      </x:c>
    </x:row>
    <x:row r="243">
      <x:c r="A243" s="48" t="str">
        <x:v>ORANGE-0242</x:v>
      </x:c>
      <x:c r="B243" s="48" t="str">
        <x:v>ORANGE</x:v>
      </x:c>
      <x:c r="C243" s="48" t="str">
        <x:v>English</x:v>
      </x:c>
      <x:c r="D243" s="48" t="n">
        <x:v>24</x:v>
      </x:c>
      <x:c r="E243" s="48" t="str"/>
      <x:c r="F243" s="48" t="str">
        <x:v>(he Won gat cho Connors 63 ‘ewe</x:v>
      </x:c>
      <x:c r="G243" s="48" t="str">
        <x:v>Obligation</x:v>
      </x:c>
      <x:c r="H243" s="48" t="str">
        <x:v>Shared</x:v>
      </x:c>
      <x:c r="I243" s="48" t="n">
        <x:v>0.45</x:v>
      </x:c>
      <x:c r="J243" s="48" t="n">
        <x:v>0.4</x:v>
      </x:c>
      <x:c r="K243" s="48" t="str">
        <x:v>Yes</x:v>
      </x:c>
      <x:c r="L243" s="48" t="str">
        <x:v>OCR</x:v>
      </x:c>
    </x:row>
    <x:row r="244">
      <x:c r="A244" s="48" t="str">
        <x:v>ORANGE-0243</x:v>
      </x:c>
      <x:c r="B244" s="48" t="str">
        <x:v>ORANGE</x:v>
      </x:c>
      <x:c r="C244" s="48" t="str">
        <x:v>English</x:v>
      </x:c>
      <x:c r="D244" s="48" t="n">
        <x:v>24</x:v>
      </x:c>
      <x:c r="E244" s="48" t="str">
        <x:v>7</x:v>
      </x:c>
      <x:c r="F244" s="48" t="str">
        <x:v>7 Plant, Materials and Workmanship</x:v>
      </x:c>
      <x:c r="G244" s="48" t="str">
        <x:v>Heading</x:v>
      </x:c>
      <x:c r="H244" s="48" t="str"/>
      <x:c r="I244" s="48" t="n">
        <x:v>0.9</x:v>
      </x:c>
      <x:c r="J244" s="48" t="n">
        <x:v>0.99</x:v>
      </x:c>
      <x:c r="K244" s="48" t="str">
        <x:v>No</x:v>
      </x:c>
      <x:c r="L244" s="48" t="str">
        <x:v>OCR</x:v>
      </x:c>
    </x:row>
    <x:row r="245">
      <x:c r="A245" s="48" t="str">
        <x:v>ORANGE-0244</x:v>
      </x:c>
      <x:c r="B245" s="48" t="str">
        <x:v>ORANGE</x:v>
      </x:c>
      <x:c r="C245" s="48" t="str">
        <x:v>English</x:v>
      </x:c>
      <x:c r="D245" s="48" t="n">
        <x:v>24</x:v>
      </x:c>
      <x:c r="E245" s="48" t="str"/>
      <x:c r="F245" s="48" t="str">
        <x:v>nner of 74-0 Meri esata mantic a wo Mamet 7 At fat be eed nthe mane te Cott, Wi</x:v>
      </x:c>
      <x:c r="G245" s="48" t="str">
        <x:v>Obligation</x:v>
      </x:c>
      <x:c r="H245" s="48" t="str">
        <x:v>Shared</x:v>
      </x:c>
      <x:c r="I245" s="48" t="n">
        <x:v>0.45</x:v>
      </x:c>
      <x:c r="J245" s="48" t="n">
        <x:v>0.4</x:v>
      </x:c>
      <x:c r="K245" s="48" t="str">
        <x:v>Yes</x:v>
      </x:c>
      <x:c r="L245" s="48" t="str">
        <x:v>OCR</x:v>
      </x:c>
    </x:row>
    <x:row r="246">
      <x:c r="A246" s="48" t="str">
        <x:v>ORANGE-0245</x:v>
      </x:c>
      <x:c r="B246" s="48" t="str">
        <x:v>ORANGE</x:v>
      </x:c>
      <x:c r="C246" s="48" t="str">
        <x:v>English</x:v>
      </x:c>
      <x:c r="D246" s="48" t="n">
        <x:v>24</x:v>
      </x:c>
      <x:c r="E246" s="48" t="str"/>
      <x:c r="F246" s="48" t="str">
        <x:v>See austere ani ene wr he Cac wo</x:v>
      </x:c>
      <x:c r="G246" s="48" t="str">
        <x:v>Obligation</x:v>
      </x:c>
      <x:c r="H246" s="48" t="str">
        <x:v>Shared</x:v>
      </x:c>
      <x:c r="I246" s="48" t="n">
        <x:v>0.45</x:v>
      </x:c>
      <x:c r="J246" s="48" t="n">
        <x:v>0.4</x:v>
      </x:c>
      <x:c r="K246" s="48" t="str">
        <x:v>Yes</x:v>
      </x:c>
      <x:c r="L246" s="48" t="str">
        <x:v>OCR</x:v>
      </x:c>
    </x:row>
    <x:row r="247">
      <x:c r="A247" s="48" t="str">
        <x:v>ORANGE-0246</x:v>
      </x:c>
      <x:c r="B247" s="48" t="str">
        <x:v>ORANGE</x:v>
      </x:c>
      <x:c r="C247" s="48" t="str">
        <x:v>English</x:v>
      </x:c>
      <x:c r="D247" s="48" t="n">
        <x:v>24</x:v>
      </x:c>
      <x:c r="E247" s="48" t="str"/>
      <x:c r="F247" s="48" t="str">
        <x:v>ans ype romani acl mac, ih ORS sane peace 0% enon Maca md in acoce ‘ogni gd praie 12. the Contac sl fe rape for proceenn. rset, hin</x:v>
      </x:c>
      <x:c r="G247" s="48" t="str">
        <x:v>Obligation</x:v>
      </x:c>
      <x:c r="H247" s="48" t="str">
        <x:v>Shared</x:v>
      </x:c>
      <x:c r="I247" s="48" t="n">
        <x:v>0.45</x:v>
      </x:c>
      <x:c r="J247" s="48" t="n">
        <x:v>0.4</x:v>
      </x:c>
      <x:c r="K247" s="48" t="str">
        <x:v>Yes</x:v>
      </x:c>
      <x:c r="L247" s="48" t="str">
        <x:v>OCR</x:v>
      </x:c>
    </x:row>
    <x:row r="248">
      <x:c r="A248" s="48" t="str">
        <x:v>ORANGE-0247</x:v>
      </x:c>
      <x:c r="B248" s="48" t="str">
        <x:v>ORANGE</x:v>
      </x:c>
      <x:c r="C248" s="48" t="str">
        <x:v>English</x:v>
      </x:c>
      <x:c r="D248" s="48" t="n">
        <x:v>24</x:v>
      </x:c>
      <x:c r="E248" s="48" t="str"/>
      <x:c r="F248" s="48" t="str">
        <x:v>PR GaRT ae epngo a Pe Sari Cota spc a</x:v>
      </x:c>
      <x:c r="G248" s="48" t="str">
        <x:v>Obligation</x:v>
      </x:c>
      <x:c r="H248" s="48" t="str">
        <x:v>Shared</x:v>
      </x:c>
      <x:c r="I248" s="48" t="n">
        <x:v>0.45</x:v>
      </x:c>
      <x:c r="J248" s="48" t="n">
        <x:v>0.4</x:v>
      </x:c>
      <x:c r="K248" s="48" t="str">
        <x:v>Yes</x:v>
      </x:c>
      <x:c r="L248" s="48" t="str">
        <x:v>OCR</x:v>
      </x:c>
    </x:row>
    <x:row r="249">
      <x:c r="A249" s="48" t="str">
        <x:v>ORANGE-0248</x:v>
      </x:c>
      <x:c r="B249" s="48" t="str">
        <x:v>ORANGE</x:v>
      </x:c>
      <x:c r="C249" s="48" t="str">
        <x:v>English</x:v>
      </x:c>
      <x:c r="D249" s="48" t="n">
        <x:v>24</x:v>
      </x:c>
      <x:c r="E249" s="48" t="str"/>
      <x:c r="F249" s="48" t="str">
        <x:v>Bests ream fe Wess</x:v>
      </x:c>
      <x:c r="G249" s="48" t="str">
        <x:v>Obligation</x:v>
      </x:c>
      <x:c r="H249" s="48" t="str">
        <x:v>Shared</x:v>
      </x:c>
      <x:c r="I249" s="48" t="n">
        <x:v>0.45</x:v>
      </x:c>
      <x:c r="J249" s="48" t="n">
        <x:v>0.4</x:v>
      </x:c>
      <x:c r="K249" s="48" t="str">
        <x:v>Yes</x:v>
      </x:c>
      <x:c r="L249" s="48" t="str">
        <x:v>OCR</x:v>
      </x:c>
    </x:row>
    <x:row r="250">
      <x:c r="A250" s="48" t="str">
        <x:v>ORANGE-0249</x:v>
      </x:c>
      <x:c r="B250" s="48" t="str">
        <x:v>ORANGE</x:v>
      </x:c>
      <x:c r="C250" s="48" t="str">
        <x:v>English</x:v>
      </x:c>
      <x:c r="D250" s="48" t="n">
        <x:v>25</x:v>
      </x:c>
      <x:c r="E250" s="48" t="str"/>
      <x:c r="F250" s="48" t="str">
        <x:v>Inspcion 713.</x:v>
      </x:c>
      <x:c r="G250" s="48" t="str">
        <x:v>Obligation</x:v>
      </x:c>
      <x:c r="H250" s="48" t="str">
        <x:v>Shared</x:v>
      </x:c>
      <x:c r="I250" s="48" t="n">
        <x:v>0.45</x:v>
      </x:c>
      <x:c r="J250" s="48" t="n">
        <x:v>0.4</x:v>
      </x:c>
      <x:c r="K250" s="48" t="str">
        <x:v>Yes</x:v>
      </x:c>
      <x:c r="L250" s="48" t="str">
        <x:v>OCR</x:v>
      </x:c>
    </x:row>
    <x:row r="251">
      <x:c r="A251" s="48" t="str">
        <x:v>ORANGE-0250</x:v>
      </x:c>
      <x:c r="B251" s="48" t="str">
        <x:v>ORANGE</x:v>
      </x:c>
      <x:c r="C251" s="48" t="str">
        <x:v>English</x:v>
      </x:c>
      <x:c r="D251" s="48" t="n">
        <x:v>25</x:v>
      </x:c>
      <x:c r="E251" s="48" t="str"/>
      <x:c r="F251" s="48" t="str">
        <x:v>The Engle nt te lovers Reps al be eit sing ‘ei cn py a hen</x:v>
      </x:c>
      <x:c r="G251" s="48" t="str">
        <x:v>Obligation</x:v>
      </x:c>
      <x:c r="H251" s="48" t="str">
        <x:v>Shared</x:v>
      </x:c>
      <x:c r="I251" s="48" t="n">
        <x:v>0.45</x:v>
      </x:c>
      <x:c r="J251" s="48" t="n">
        <x:v>0.4</x:v>
      </x:c>
      <x:c r="K251" s="48" t="str">
        <x:v>Yes</x:v>
      </x:c>
      <x:c r="L251" s="48" t="str">
        <x:v>OCR</x:v>
      </x:c>
    </x:row>
    <x:row r="252">
      <x:c r="A252" s="48" t="str">
        <x:v>ORANGE-0251</x:v>
      </x:c>
      <x:c r="B252" s="48" t="str">
        <x:v>ORANGE</x:v>
      </x:c>
      <x:c r="C252" s="48" t="str">
        <x:v>English</x:v>
      </x:c>
      <x:c r="D252" s="48" t="n">
        <x:v>25</x:v>
      </x:c>
      <x:c r="E252" s="48" t="str"/>
      <x:c r="F252" s="48" t="str">
        <x:v>SSCs Sane at naa ar te ore</x:v>
      </x:c>
      <x:c r="G252" s="48" t="str">
        <x:v>Obligation</x:v>
      </x:c>
      <x:c r="H252" s="48" t="str">
        <x:v>Shared</x:v>
      </x:c>
      <x:c r="I252" s="48" t="n">
        <x:v>0.45</x:v>
      </x:c>
      <x:c r="J252" s="48" t="n">
        <x:v>0.4</x:v>
      </x:c>
      <x:c r="K252" s="48" t="str">
        <x:v>Yes</x:v>
      </x:c>
      <x:c r="L252" s="48" t="str">
        <x:v>OCR</x:v>
      </x:c>
    </x:row>
    <x:row r="253">
      <x:c r="A253" s="48" t="str">
        <x:v>ORANGE-0252</x:v>
      </x:c>
      <x:c r="B253" s="48" t="str">
        <x:v>ORANGE</x:v>
      </x:c>
      <x:c r="C253" s="48" t="str">
        <x:v>English</x:v>
      </x:c>
      <x:c r="D253" s="48" t="n">
        <x:v>25</x:v>
      </x:c>
      <x:c r="E253" s="48" t="str"/>
      <x:c r="F253" s="48" t="str">
        <x:v>‘ere Te Corral gh al opty wpe ‘Saran sue anew) wo Ser shore</x:v>
      </x:c>
      <x:c r="G253" s="48" t="str">
        <x:v>Obligation</x:v>
      </x:c>
      <x:c r="H253" s="48" t="str">
        <x:v>Shared</x:v>
      </x:c>
      <x:c r="I253" s="48" t="n">
        <x:v>0.45</x:v>
      </x:c>
      <x:c r="J253" s="48" t="n">
        <x:v>0.4</x:v>
      </x:c>
      <x:c r="K253" s="48" t="str">
        <x:v>Yes</x:v>
      </x:c>
      <x:c r="L253" s="48" t="str">
        <x:v>OCR</x:v>
      </x:c>
    </x:row>
    <x:row r="254">
      <x:c r="A254" s="48" t="str">
        <x:v>ORANGE-0253</x:v>
      </x:c>
      <x:c r="B254" s="48" t="str">
        <x:v>ORANGE</x:v>
      </x:c>
      <x:c r="C254" s="48" t="str">
        <x:v>English</x:v>
      </x:c>
      <x:c r="D254" s="48" t="n">
        <x:v>25</x:v>
      </x:c>
      <x:c r="E254" s="48" t="str"/>
      <x:c r="F254" s="48" t="str">
        <x:v>Season means</x:v>
      </x:c>
      <x:c r="G254" s="48" t="str">
        <x:v>Obligation</x:v>
      </x:c>
      <x:c r="H254" s="48" t="str">
        <x:v>Shared</x:v>
      </x:c>
      <x:c r="I254" s="48" t="n">
        <x:v>0.45</x:v>
      </x:c>
      <x:c r="J254" s="48" t="n">
        <x:v>0.4</x:v>
      </x:c>
      <x:c r="K254" s="48" t="str">
        <x:v>Yes</x:v>
      </x:c>
      <x:c r="L254" s="48" t="str">
        <x:v>OCR</x:v>
      </x:c>
    </x:row>
    <x:row r="255">
      <x:c r="A255" s="48" t="str">
        <x:v>ORANGE-0254</x:v>
      </x:c>
      <x:c r="B255" s="48" t="str">
        <x:v>ORANGE</x:v>
      </x:c>
      <x:c r="C255" s="48" t="str">
        <x:v>English</x:v>
      </x:c>
      <x:c r="D255" s="48" t="n">
        <x:v>25</x:v>
      </x:c>
      <x:c r="E255" s="48" t="str"/>
      <x:c r="F255" s="48" t="str">
        <x:v>Teco ote ease ee as</x:v>
      </x:c>
      <x:c r="G255" s="48" t="str">
        <x:v>Obligation</x:v>
      </x:c>
      <x:c r="H255" s="48" t="str">
        <x:v>Shared</x:v>
      </x:c>
      <x:c r="I255" s="48" t="n">
        <x:v>0.45</x:v>
      </x:c>
      <x:c r="J255" s="48" t="n">
        <x:v>0.4</x:v>
      </x:c>
      <x:c r="K255" s="48" t="str">
        <x:v>Yes</x:v>
      </x:c>
      <x:c r="L255" s="48" t="str">
        <x:v>OCR</x:v>
      </x:c>
    </x:row>
    <x:row r="256">
      <x:c r="A256" s="48" t="str">
        <x:v>ORANGE-0255</x:v>
      </x:c>
      <x:c r="B256" s="48" t="str">
        <x:v>ORANGE</x:v>
      </x:c>
      <x:c r="C256" s="48" t="str">
        <x:v>English</x:v>
      </x:c>
      <x:c r="D256" s="48" t="n">
        <x:v>25</x:v>
      </x:c>
      <x:c r="E256" s="48" t="str"/>
      <x:c r="F256" s="48" t="str">
        <x:v>Soaeatmernes:</x:v>
      </x:c>
      <x:c r="G256" s="48" t="str">
        <x:v>Obligation</x:v>
      </x:c>
      <x:c r="H256" s="48" t="str">
        <x:v>Shared</x:v>
      </x:c>
      <x:c r="I256" s="48" t="n">
        <x:v>0.45</x:v>
      </x:c>
      <x:c r="J256" s="48" t="n">
        <x:v>0.4</x:v>
      </x:c>
      <x:c r="K256" s="48" t="str">
        <x:v>Yes</x:v>
      </x:c>
      <x:c r="L256" s="48" t="str">
        <x:v>OCR</x:v>
      </x:c>
    </x:row>
    <x:row r="257">
      <x:c r="A257" s="48" t="str">
        <x:v>ORANGE-0256</x:v>
      </x:c>
      <x:c r="B257" s="48" t="str">
        <x:v>ORANGE</x:v>
      </x:c>
      <x:c r="C257" s="48" t="str">
        <x:v>English</x:v>
      </x:c>
      <x:c r="D257" s="48" t="n">
        <x:v>25</x:v>
      </x:c>
      <x:c r="E257" s="48" t="str"/>
      <x:c r="F257" s="48" t="str">
        <x:v>Sie eer nee</x:v>
      </x:c>
      <x:c r="G257" s="48" t="str">
        <x:v>Obligation</x:v>
      </x:c>
      <x:c r="H257" s="48" t="str">
        <x:v>Shared</x:v>
      </x:c>
      <x:c r="I257" s="48" t="n">
        <x:v>0.45</x:v>
      </x:c>
      <x:c r="J257" s="48" t="n">
        <x:v>0.4</x:v>
      </x:c>
      <x:c r="K257" s="48" t="str">
        <x:v>Yes</x:v>
      </x:c>
      <x:c r="L257" s="48" t="str">
        <x:v>OCR</x:v>
      </x:c>
    </x:row>
    <x:row r="258">
      <x:c r="A258" s="48" t="str">
        <x:v>ORANGE-0257</x:v>
      </x:c>
      <x:c r="B258" s="48" t="str">
        <x:v>ORANGE</x:v>
      </x:c>
      <x:c r="C258" s="48" t="str">
        <x:v>English</x:v>
      </x:c>
      <x:c r="D258" s="48" t="n">
        <x:v>25</x:v>
      </x:c>
      <x:c r="E258" s="48" t="str"/>
      <x:c r="F258" s="48" t="str">
        <x:v>aaa eed steeseeemio ee 24 Force mong mn</x:v>
      </x:c>
      <x:c r="G258" s="48" t="str">
        <x:v>Obligation</x:v>
      </x:c>
      <x:c r="H258" s="48" t="str">
        <x:v>Shared</x:v>
      </x:c>
      <x:c r="I258" s="48" t="n">
        <x:v>0.45</x:v>
      </x:c>
      <x:c r="J258" s="48" t="n">
        <x:v>0.4</x:v>
      </x:c>
      <x:c r="K258" s="48" t="str">
        <x:v>Yes</x:v>
      </x:c>
      <x:c r="L258" s="48" t="str">
        <x:v>OCR</x:v>
      </x:c>
    </x:row>
    <x:row r="259">
      <x:c r="A259" s="48" t="str">
        <x:v>ORANGE-0258</x:v>
      </x:c>
      <x:c r="B259" s="48" t="str">
        <x:v>ORANGE</x:v>
      </x:c>
      <x:c r="C259" s="48" t="str">
        <x:v>English</x:v>
      </x:c>
      <x:c r="D259" s="48" t="n">
        <x:v>25</x:v>
      </x:c>
      <x:c r="E259" s="48" t="str"/>
      <x:c r="F259" s="48" t="str">
        <x:v>‘ovie ice say suid ad ejrenced sai aya Be es =a eee pert mieten bers seers piece bem seen cae</x:v>
      </x:c>
      <x:c r="G259" s="48" t="str">
        <x:v>Obligation</x:v>
      </x:c>
      <x:c r="H259" s="48" t="str">
        <x:v>Shared</x:v>
      </x:c>
      <x:c r="I259" s="48" t="n">
        <x:v>0.45</x:v>
      </x:c>
      <x:c r="J259" s="48" t="n">
        <x:v>0.4</x:v>
      </x:c>
      <x:c r="K259" s="48" t="str">
        <x:v>Yes</x:v>
      </x:c>
      <x:c r="L259" s="48" t="str">
        <x:v>OCR</x:v>
      </x:c>
    </x:row>
    <x:row r="260">
      <x:c r="A260" s="48" t="str">
        <x:v>ORANGE-0259</x:v>
      </x:c>
      <x:c r="B260" s="48" t="str">
        <x:v>ORANGE</x:v>
      </x:c>
      <x:c r="C260" s="48" t="str">
        <x:v>English</x:v>
      </x:c>
      <x:c r="D260" s="48" t="n">
        <x:v>25</x:v>
      </x:c>
      <x:c r="E260" s="48" t="str"/>
      <x:c r="F260" s="48" t="str">
        <x:v>SS mcoreiee silo</x:v>
      </x:c>
      <x:c r="G260" s="48" t="str">
        <x:v>Obligation</x:v>
      </x:c>
      <x:c r="H260" s="48" t="str">
        <x:v>Shared</x:v>
      </x:c>
      <x:c r="I260" s="48" t="n">
        <x:v>0.45</x:v>
      </x:c>
      <x:c r="J260" s="48" t="n">
        <x:v>0.4</x:v>
      </x:c>
      <x:c r="K260" s="48" t="str">
        <x:v>Yes</x:v>
      </x:c>
      <x:c r="L260" s="48" t="str">
        <x:v>OCR</x:v>
      </x:c>
    </x:row>
    <x:row r="261">
      <x:c r="A261" s="48" t="str">
        <x:v>ORANGE-0260</x:v>
      </x:c>
      <x:c r="B261" s="48" t="str">
        <x:v>ORANGE</x:v>
      </x:c>
      <x:c r="C261" s="48" t="str">
        <x:v>English</x:v>
      </x:c>
      <x:c r="D261" s="48" t="n">
        <x:v>25</x:v>
      </x:c>
      <x:c r="E261" s="48" t="str"/>
      <x:c r="F261" s="48" t="str">
        <x:v>Se ee eee ‘Senpad he lnlover Rescate send he Comte Sri essere hi ht ele.</x:v>
      </x:c>
      <x:c r="G261" s="48" t="str">
        <x:v>Obligation</x:v>
      </x:c>
      <x:c r="H261" s="48" t="str">
        <x:v>Shared</x:v>
      </x:c>
      <x:c r="I261" s="48" t="n">
        <x:v>0.45</x:v>
      </x:c>
      <x:c r="J261" s="48" t="n">
        <x:v>0.4</x:v>
      </x:c>
      <x:c r="K261" s="48" t="str">
        <x:v>Yes</x:v>
      </x:c>
      <x:c r="L261" s="48" t="str">
        <x:v>OCR</x:v>
      </x:c>
    </x:row>
    <x:row r="262">
      <x:c r="A262" s="48" t="str">
        <x:v>ORANGE-0261</x:v>
      </x:c>
      <x:c r="B262" s="48" t="str">
        <x:v>ORANGE</x:v>
      </x:c>
      <x:c r="C262" s="48" t="str">
        <x:v>English</x:v>
      </x:c>
      <x:c r="D262" s="48" t="n">
        <x:v>25</x:v>
      </x:c>
      <x:c r="E262" s="48" t="str"/>
      <x:c r="F262" s="48" t="str">
        <x:v>Repcton 1S em a rat of ingen, earn Feng he Eres 1 he Eppes Reeser such Pat, Maia, dip fled yal enery poeple pr nye a {Si W sch vpn an sg ase the Enger ce ‘Stata es, sch ot sl be maven fm he Come by te ‘Employer may te ected Empey ns ho ‘cle de Connor ‘Ownenip of ast 74 Fach tof Mat and Mari sa bec rope enor a Sna'auetas"* uhuherers te caierf e oing mes</x:v>
      </x:c>
      <x:c r="G262" s="48" t="str">
        <x:v>Right</x:v>
      </x:c>
      <x:c r="H262" s="48" t="str">
        <x:v>Employer</x:v>
      </x:c>
      <x:c r="I262" s="48" t="n">
        <x:v>0.78</x:v>
      </x:c>
      <x:c r="J262" s="48" t="n">
        <x:v>0.92</x:v>
      </x:c>
      <x:c r="K262" s="48" t="str">
        <x:v>No</x:v>
      </x:c>
      <x:c r="L262" s="48" t="str">
        <x:v>OCR</x:v>
      </x:c>
    </x:row>
    <x:row r="263">
      <x:c r="A263" s="48" t="str">
        <x:v>ORANGE-0262</x:v>
      </x:c>
      <x:c r="B263" s="48" t="str">
        <x:v>ORANGE</x:v>
      </x:c>
      <x:c r="C263" s="48" t="str">
        <x:v>English</x:v>
      </x:c>
      <x:c r="D263" s="48" t="n">
        <x:v>26</x:v>
      </x:c>
      <x:c r="E263" s="48" t="str"/>
      <x:c r="F263" s="48" t="str">
        <x:v>(0 sen ident Site (©) wh by vie of Sub Cae $9, he Cntr Boe etl</x:v>
      </x:c>
      <x:c r="G263" s="48" t="str">
        <x:v>Obligation</x:v>
      </x:c>
      <x:c r="H263" s="48" t="str">
        <x:v>Shared</x:v>
      </x:c>
      <x:c r="I263" s="48" t="n">
        <x:v>0.45</x:v>
      </x:c>
      <x:c r="J263" s="48" t="n">
        <x:v>0.4</x:v>
      </x:c>
      <x:c r="K263" s="48" t="str">
        <x:v>Yes</x:v>
      </x:c>
      <x:c r="L263" s="48" t="str">
        <x:v>OCR</x:v>
      </x:c>
    </x:row>
    <x:row r="264">
      <x:c r="A264" s="48" t="str">
        <x:v>ORANGE-0263</x:v>
      </x:c>
      <x:c r="B264" s="48" t="str">
        <x:v>ORANGE</x:v>
      </x:c>
      <x:c r="C264" s="48" t="str">
        <x:v>English</x:v>
      </x:c>
      <x:c r="D264" s="48" t="n">
        <x:v>26</x:v>
      </x:c>
      <x:c r="E264" s="48" t="str">
        <x:v>8</x:v>
      </x:c>
      <x:c r="F264" s="48" t="str">
        <x:v>8 Commencement, Delays and Suspension</x:v>
      </x:c>
      <x:c r="G264" s="48" t="str">
        <x:v>Heading</x:v>
      </x:c>
      <x:c r="H264" s="48" t="str"/>
      <x:c r="I264" s="48" t="n">
        <x:v>0.9</x:v>
      </x:c>
      <x:c r="J264" s="48" t="n">
        <x:v>0.99</x:v>
      </x:c>
      <x:c r="K264" s="48" t="str">
        <x:v>No</x:v>
      </x:c>
      <x:c r="L264" s="48" t="str">
        <x:v>OCR</x:v>
      </x:c>
    </x:row>
    <x:row r="265">
      <x:c r="A265" s="48" t="str">
        <x:v>ORANGE-0264</x:v>
      </x:c>
      <x:c r="B265" s="48" t="str">
        <x:v>ORANGE</x:v>
      </x:c>
      <x:c r="C265" s="48" t="str">
        <x:v>English</x:v>
      </x:c>
      <x:c r="D265" s="48" t="n">
        <x:v>26</x:v>
      </x:c>
      <x:c r="E265" s="48" t="str"/>
      <x:c r="F265" s="48" t="str">
        <x:v>Commencement of AL The Corr al comment devp and xcaion of be Was at sce</x:v>
      </x:c>
      <x:c r="G265" s="48" t="str">
        <x:v>Obligation</x:v>
      </x:c>
      <x:c r="H265" s="48" t="str">
        <x:v>Shared</x:v>
      </x:c>
      <x:c r="I265" s="48" t="n">
        <x:v>0.45</x:v>
      </x:c>
      <x:c r="J265" s="48" t="n">
        <x:v>0.4</x:v>
      </x:c>
      <x:c r="K265" s="48" t="str">
        <x:v>Yes</x:v>
      </x:c>
      <x:c r="L265" s="48" t="str">
        <x:v>OCR</x:v>
      </x:c>
    </x:row>
    <x:row r="266">
      <x:c r="A266" s="48" t="str">
        <x:v>ORANGE-0265</x:v>
      </x:c>
      <x:c r="B266" s="48" t="str">
        <x:v>ORANGE</x:v>
      </x:c>
      <x:c r="C266" s="48" t="str">
        <x:v>English</x:v>
      </x:c>
      <x:c r="D266" s="48" t="n">
        <x:v>26</x:v>
      </x:c>
      <x:c r="E266" s="48" t="str"/>
      <x:c r="F266" s="48" t="str">
        <x:v>St iremuy poe tr th cyto ace oh ef</x:v>
      </x:c>
      <x:c r="G266" s="48" t="str">
        <x:v>Obligation</x:v>
      </x:c>
      <x:c r="H266" s="48" t="str">
        <x:v>Shared</x:v>
      </x:c>
      <x:c r="I266" s="48" t="n">
        <x:v>0.45</x:v>
      </x:c>
      <x:c r="J266" s="48" t="n">
        <x:v>0.4</x:v>
      </x:c>
      <x:c r="K266" s="48" t="str">
        <x:v>Yes</x:v>
      </x:c>
      <x:c r="L266" s="48" t="str">
        <x:v>OCR</x:v>
      </x:c>
    </x:row>
    <x:row r="267">
      <x:c r="A267" s="48" t="str">
        <x:v>ORANGE-0266</x:v>
      </x:c>
      <x:c r="B267" s="48" t="str">
        <x:v>ORANGE</x:v>
      </x:c>
      <x:c r="C267" s="48" t="str">
        <x:v>English</x:v>
      </x:c>
      <x:c r="D267" s="48" t="n">
        <x:v>26</x:v>
      </x:c>
      <x:c r="E267" s="48" t="str"/>
      <x:c r="F267" s="48" t="str">
        <x:v>EC Nel tas ae Eine Setar amen a oe</x:v>
      </x:c>
      <x:c r="G267" s="48" t="str">
        <x:v>Obligation</x:v>
      </x:c>
      <x:c r="H267" s="48" t="str">
        <x:v>Shared</x:v>
      </x:c>
      <x:c r="I267" s="48" t="n">
        <x:v>0.45</x:v>
      </x:c>
      <x:c r="J267" s="48" t="n">
        <x:v>0.4</x:v>
      </x:c>
      <x:c r="K267" s="48" t="str">
        <x:v>Yes</x:v>
      </x:c>
      <x:c r="L267" s="48" t="str">
        <x:v>OCR</x:v>
      </x:c>
    </x:row>
    <x:row r="268">
      <x:c r="A268" s="48" t="str">
        <x:v>ORANGE-0267</x:v>
      </x:c>
      <x:c r="B268" s="48" t="str">
        <x:v>ORANGE</x:v>
      </x:c>
      <x:c r="C268" s="48" t="str">
        <x:v>English</x:v>
      </x:c>
      <x:c r="D268" s="48" t="n">
        <x:v>26</x:v>
      </x:c>
      <x:c r="E268" s="48" t="str"/>
      <x:c r="F268" s="48" t="str">
        <x:v>rose wah Woss wi ie epeaien and ho ay, sl</x:v>
      </x:c>
      <x:c r="G268" s="48" t="str">
        <x:v>Obligation</x:v>
      </x:c>
      <x:c r="H268" s="48" t="str">
        <x:v>Shared</x:v>
      </x:c>
      <x:c r="I268" s="48" t="n">
        <x:v>0.45</x:v>
      </x:c>
      <x:c r="J268" s="48" t="n">
        <x:v>0.4</x:v>
      </x:c>
      <x:c r="K268" s="48" t="str">
        <x:v>Yes</x:v>
      </x:c>
      <x:c r="L268" s="48" t="str">
        <x:v>OCR</x:v>
      </x:c>
    </x:row>
    <x:row r="269">
      <x:c r="A269" s="48" t="str">
        <x:v>ORANGE-0268</x:v>
      </x:c>
      <x:c r="B269" s="48" t="str">
        <x:v>ORANGE</x:v>
      </x:c>
      <x:c r="C269" s="48" t="str">
        <x:v>English</x:v>
      </x:c>
      <x:c r="D269" s="48" t="n">
        <x:v>26</x:v>
      </x:c>
      <x:c r="E269" s="48" t="str"/>
      <x:c r="F269" s="48" t="str">
        <x:v>Srrpcton</x:v>
      </x:c>
      <x:c r="G269" s="48" t="str">
        <x:v>Obligation</x:v>
      </x:c>
      <x:c r="H269" s="48" t="str">
        <x:v>Shared</x:v>
      </x:c>
      <x:c r="I269" s="48" t="n">
        <x:v>0.45</x:v>
      </x:c>
      <x:c r="J269" s="48" t="n">
        <x:v>0.4</x:v>
      </x:c>
      <x:c r="K269" s="48" t="str">
        <x:v>Yes</x:v>
      </x:c>
      <x:c r="L269" s="48" t="str">
        <x:v>OCR</x:v>
      </x:c>
    </x:row>
    <x:row r="270">
      <x:c r="A270" s="48" t="str">
        <x:v>ORANGE-0269</x:v>
      </x:c>
      <x:c r="B270" s="48" t="str">
        <x:v>ORANGE</x:v>
      </x:c>
      <x:c r="C270" s="48" t="str">
        <x:v>English</x:v>
      </x:c>
      <x:c r="D270" s="48" t="n">
        <x:v>26</x:v>
      </x:c>
      <x:c r="E270" s="48" t="str"/>
      <x:c r="F270" s="48" t="str">
        <x:v>“Tamer 42 Then of e Wak and ah Scion ay ale cempeed ad sat compuana 7 pd Yenc Cones win Teer Ceo rth senso Te 3 The Conran my spy fe cto be Tn for Copenh erCompltion "rns ne curb sir Tine fr Crt ay he (0 in nn ne te ie Co apd (0) ce ieee eed nb Ce 19.9, (6) cae of ey gga eect eens fee ker Sab ‘ite of ae Coon usr te Curt tt oped it (anya, ingen prvi ye Empeer eC ge se oe payers naps oS ening son plea! in any even wna 2 ya he stat fe ‘em ping ey, opti any wee eed he ‘Goma sad‘ tots cae The Caer ital toe" ‘cormgorry rer maybe tour fe bu ay span, ‘Sher ont Sas or ater bean scl he Eger ‘epee an a er reer enemy Berea ye</x:v>
      </x:c>
      <x:c r="G270" s="48" t="str">
        <x:v>Obligation</x:v>
      </x:c>
      <x:c r="H270" s="48" t="str">
        <x:v>Shared</x:v>
      </x:c>
      <x:c r="I270" s="48" t="n">
        <x:v>0.45</x:v>
      </x:c>
      <x:c r="J270" s="48" t="n">
        <x:v>0.4</x:v>
      </x:c>
      <x:c r="K270" s="48" t="str">
        <x:v>Yes</x:v>
      </x:c>
      <x:c r="L270" s="48" t="str">
        <x:v>OCR</x:v>
      </x:c>
    </x:row>
    <x:row r="271">
      <x:c r="A271" s="48" t="str">
        <x:v>ORANGE-0270</x:v>
      </x:c>
      <x:c r="B271" s="48" t="str">
        <x:v>ORANGE</x:v>
      </x:c>
      <x:c r="C271" s="48" t="str">
        <x:v>English</x:v>
      </x:c>
      <x:c r="D271" s="48" t="n">
        <x:v>26</x:v>
      </x:c>
      <x:c r="E271" s="48" t="str"/>
      <x:c r="F271" s="48" t="str">
        <x:v>Enger Repesinve Te Cnc shal pom I oer</x:v>
      </x:c>
      <x:c r="G271" s="48" t="str">
        <x:v>Obligation</x:v>
      </x:c>
      <x:c r="H271" s="48" t="str">
        <x:v>Shared</x:v>
      </x:c>
      <x:c r="I271" s="48" t="n">
        <x:v>0.45</x:v>
      </x:c>
      <x:c r="J271" s="48" t="n">
        <x:v>0.4</x:v>
      </x:c>
      <x:c r="K271" s="48" t="str">
        <x:v>Yes</x:v>
      </x:c>
      <x:c r="L271" s="48" t="str">
        <x:v>OCR</x:v>
      </x:c>
    </x:row>
    <x:row r="272">
      <x:c r="A272" s="48" t="str">
        <x:v>ORANGE-0271</x:v>
      </x:c>
      <x:c r="B272" s="48" t="str">
        <x:v>ORANGE</x:v>
      </x:c>
      <x:c r="C272" s="48" t="str">
        <x:v>English</x:v>
      </x:c>
      <x:c r="D272" s="48" t="n">
        <x:v>26</x:v>
      </x:c>
      <x:c r="E272" s="48" t="str"/>
      <x:c r="F272" s="48" t="str">
        <x:v>Epes ming ache a hl pe nr</x:v>
      </x:c>
      <x:c r="G272" s="48" t="str">
        <x:v>Obligation</x:v>
      </x:c>
      <x:c r="H272" s="48" t="str">
        <x:v>Shared</x:v>
      </x:c>
      <x:c r="I272" s="48" t="n">
        <x:v>0.45</x:v>
      </x:c>
      <x:c r="J272" s="48" t="n">
        <x:v>0.4</x:v>
      </x:c>
      <x:c r="K272" s="48" t="str">
        <x:v>Yes</x:v>
      </x:c>
      <x:c r="L272" s="48" t="str">
        <x:v>OCR</x:v>
      </x:c>
    </x:row>
    <x:row r="273">
      <x:c r="A273" s="48" t="str">
        <x:v>ORANGE-0272</x:v>
      </x:c>
      <x:c r="B273" s="48" t="str">
        <x:v>ORANGE</x:v>
      </x:c>
      <x:c r="C273" s="48" t="str">
        <x:v>English</x:v>
      </x:c>
      <x:c r="D273" s="48" t="n">
        <x:v>26</x:v>
      </x:c>
      <x:c r="E273" s="48" t="str"/>
      <x:c r="F273" s="48" t="str">
        <x:v>Win 2 aah yf ch lay sch oer pid a ay be ered ty ts enpoyers Renmin), be Coney Sa sab al</x:v>
      </x:c>
      <x:c r="G273" s="48" t="str">
        <x:v>Obligation</x:v>
      </x:c>
      <x:c r="H273" s="48" t="str">
        <x:v>Shared</x:v>
      </x:c>
      <x:c r="I273" s="48" t="n">
        <x:v>0.45</x:v>
      </x:c>
      <x:c r="J273" s="48" t="n">
        <x:v>0.4</x:v>
      </x:c>
      <x:c r="K273" s="48" t="str">
        <x:v>Yes</x:v>
      </x:c>
      <x:c r="L273" s="48" t="str">
        <x:v>OCR</x:v>
      </x:c>
    </x:row>
    <x:row r="274">
      <x:c r="A274" s="48" t="str">
        <x:v>ORANGE-0273</x:v>
      </x:c>
      <x:c r="B274" s="48" t="str">
        <x:v>ORANGE</x:v>
      </x:c>
      <x:c r="C274" s="48" t="str">
        <x:v>English</x:v>
      </x:c>
      <x:c r="D274" s="48" t="n">
        <x:v>27</x:v>
      </x:c>
      <x:c r="E274" s="48" t="str"/>
      <x:c r="F274" s="48" t="str">
        <x:v>“Te Epler Repsemtne shall proceed acon with Su ‘Ghoe So ae stems citer epeciely or eemyecaveac ‘Stef dine Compo tay dee Ener?</x:v>
      </x:c>
      <x:c r="G274" s="48" t="str">
        <x:v>Obligation</x:v>
      </x:c>
      <x:c r="H274" s="48" t="str">
        <x:v>Shared</x:v>
      </x:c>
      <x:c r="I274" s="48" t="n">
        <x:v>0.88</x:v>
      </x:c>
      <x:c r="J274" s="48" t="n">
        <x:v>0.4</x:v>
      </x:c>
      <x:c r="K274" s="48" t="str">
        <x:v>Yes</x:v>
      </x:c>
      <x:c r="L274" s="48" t="str">
        <x:v>OCR</x:v>
      </x:c>
    </x:row>
    <x:row r="275">
      <x:c r="A275" s="48" t="str">
        <x:v>ORANGE-0274</x:v>
      </x:c>
      <x:c r="B275" s="48" t="str">
        <x:v>ORANGE</x:v>
      </x:c>
      <x:c r="C275" s="48" t="str">
        <x:v>English</x:v>
      </x:c>
      <x:c r="D275" s="48" t="n">
        <x:v>27</x:v>
      </x:c>
      <x:c r="E275" s="48" t="str"/>
      <x:c r="F275" s="48" t="str">
        <x:v>Ser Ate aaceteene ry hes anelag</x:v>
      </x:c>
      <x:c r="G275" s="48" t="str">
        <x:v>Obligation</x:v>
      </x:c>
      <x:c r="H275" s="48" t="str">
        <x:v>Shared</x:v>
      </x:c>
      <x:c r="I275" s="48" t="n">
        <x:v>0.45</x:v>
      </x:c>
      <x:c r="J275" s="48" t="n">
        <x:v>0.4</x:v>
      </x:c>
      <x:c r="K275" s="48" t="str">
        <x:v>Yes</x:v>
      </x:c>
      <x:c r="L275" s="48" t="str">
        <x:v>OCR</x:v>
      </x:c>
    </x:row>
    <x:row r="276">
      <x:c r="A276" s="48" t="str">
        <x:v>ORANGE-0275</x:v>
      </x:c>
      <x:c r="B276" s="48" t="str">
        <x:v>ORANGE</x:v>
      </x:c>
      <x:c r="C276" s="48" t="str">
        <x:v>English</x:v>
      </x:c>
      <x:c r="D276" s="48" t="n">
        <x:v>27</x:v>
      </x:c>
      <x:c r="E276" s="48" t="str"/>
      <x:c r="F276" s="48" t="str">
        <x:v>‘sais ome, he Employers Recess ‘Cermastnand may eset Sal hot Sees eal xcs naps Comedy 4M along coins sy, ames: ‘ators Gh Comcast foe te pce i oun by th ‘Siva gay cova pe arene Cot (0) sh nati dey, ged reve he Cone ad {© thereulig dele Wot wat at ye He Ue ree ‘omin aneude Sub Ce ato Progr RSW ny i, he Cura al rope fl eid he ‘ican Sabino hcp at i lnk. ‘5 Courter ssl seat the Empayers Reprocve evel ogame ting mo aco te pang comes, The Cora eS ct ep ac ep opm meee te heaped pepmnso eave comer wih Fine ot</x:v>
      </x:c>
      <x:c r="G276" s="48" t="str">
        <x:v>Right</x:v>
      </x:c>
      <x:c r="H276" s="48" t="str">
        <x:v>Shared</x:v>
      </x:c>
      <x:c r="I276" s="48" t="n">
        <x:v>0.78</x:v>
      </x:c>
      <x:c r="J276" s="48" t="n">
        <x:v>0.4</x:v>
      </x:c>
      <x:c r="K276" s="48" t="str">
        <x:v>Yes</x:v>
      </x:c>
      <x:c r="L276" s="48" t="str">
        <x:v>OCR</x:v>
      </x:c>
    </x:row>
    <x:row r="277">
      <x:c r="A277" s="48" t="str">
        <x:v>ORANGE-0276</x:v>
      </x:c>
      <x:c r="B277" s="48" t="str">
        <x:v>ORANGE</x:v>
      </x:c>
      <x:c r="C277" s="48" t="str">
        <x:v>English</x:v>
      </x:c>
      <x:c r="D277" s="48" t="n">
        <x:v>27</x:v>
      </x:c>
      <x:c r="E277" s="48" t="str"/>
      <x:c r="F277" s="48" t="str">
        <x:v>am spite Coc mang a ne ‘eve Coc eye yb ddd ye</x:v>
      </x:c>
      <x:c r="G277" s="48" t="str">
        <x:v>Obligation</x:v>
      </x:c>
      <x:c r="H277" s="48" t="str">
        <x:v>Shared</x:v>
      </x:c>
      <x:c r="I277" s="48" t="n">
        <x:v>0.45</x:v>
      </x:c>
      <x:c r="J277" s="48" t="n">
        <x:v>0.4</x:v>
      </x:c>
      <x:c r="K277" s="48" t="str">
        <x:v>Yes</x:v>
      </x:c>
      <x:c r="L277" s="48" t="str">
        <x:v>OCR</x:v>
      </x:c>
    </x:row>
    <x:row r="278">
      <x:c r="A278" s="48" t="str">
        <x:v>ORANGE-0277</x:v>
      </x:c>
      <x:c r="B278" s="48" t="str">
        <x:v>ORANGE</x:v>
      </x:c>
      <x:c r="C278" s="48" t="str">
        <x:v>English</x:v>
      </x:c>
      <x:c r="D278" s="48" t="n">
        <x:v>27</x:v>
      </x:c>
      <x:c r="E278" s="48" t="str"/>
      <x:c r="F278" s="48" t="str">
        <x:v>Ely fmm ond obec oh Ceca,</x:v>
      </x:c>
      <x:c r="G278" s="48" t="str">
        <x:v>Obligation</x:v>
      </x:c>
      <x:c r="H278" s="48" t="str">
        <x:v>Shared</x:v>
      </x:c>
      <x:c r="I278" s="48" t="n">
        <x:v>0.45</x:v>
      </x:c>
      <x:c r="J278" s="48" t="n">
        <x:v>0.4</x:v>
      </x:c>
      <x:c r="K278" s="48" t="str">
        <x:v>Yes</x:v>
      </x:c>
      <x:c r="L278" s="48" t="str">
        <x:v>OCR</x:v>
      </x:c>
    </x:row>
    <x:row r="279">
      <x:c r="A279" s="48" t="str">
        <x:v>ORANGE-0278</x:v>
      </x:c>
      <x:c r="B279" s="48" t="str">
        <x:v>ORANGE</x:v>
      </x:c>
      <x:c r="C279" s="48" t="str">
        <x:v>English</x:v>
      </x:c>
      <x:c r="D279" s="48" t="n">
        <x:v>27</x:v>
      </x:c>
      <x:c r="E279" s="48" t="str"/>
      <x:c r="F279" s="48" t="str">
        <x:v>Ligeiaed Damages 86 ihe Cones 0 comply wit Sub-CaseK2 the Cte sal oy fhe Doky othe ingyen ae he Agena ee wd “amar ck stant which sam al ee ony woes om</x:v>
      </x:c>
      <x:c r="G279" s="48" t="str">
        <x:v>Obligation</x:v>
      </x:c>
      <x:c r="H279" s="48" t="str">
        <x:v>Shared</x:v>
      </x:c>
      <x:c r="I279" s="48" t="n">
        <x:v>0.45</x:v>
      </x:c>
      <x:c r="J279" s="48" t="n">
        <x:v>0.4</x:v>
      </x:c>
      <x:c r="K279" s="48" t="str">
        <x:v>Yes</x:v>
      </x:c>
      <x:c r="L279" s="48" t="str">
        <x:v>OCR</x:v>
      </x:c>
    </x:row>
    <x:row r="280">
      <x:c r="A280" s="48" t="str">
        <x:v>ORANGE-0279</x:v>
      </x:c>
      <x:c r="B280" s="48" t="str">
        <x:v>ORANGE</x:v>
      </x:c>
      <x:c r="C280" s="48" t="str">
        <x:v>English</x:v>
      </x:c>
      <x:c r="D280" s="48" t="n">
        <x:v>27</x:v>
      </x:c>
      <x:c r="E280" s="48" t="str"/>
      <x:c r="F280" s="48" t="str">
        <x:v>Cea uh deta fer ener aye part of ey ehh Sal Cpe</x:v>
      </x:c>
      <x:c r="G280" s="48" t="str">
        <x:v>Obligation</x:v>
      </x:c>
      <x:c r="H280" s="48" t="str">
        <x:v>Shared</x:v>
      </x:c>
      <x:c r="I280" s="48" t="n">
        <x:v>0.45</x:v>
      </x:c>
      <x:c r="J280" s="48" t="n">
        <x:v>0.4</x:v>
      </x:c>
      <x:c r="K280" s="48" t="str">
        <x:v>Yes</x:v>
      </x:c>
      <x:c r="L280" s="48" t="str">
        <x:v>OCR</x:v>
      </x:c>
    </x:row>
    <x:row r="281">
      <x:c r="A281" s="48" t="str">
        <x:v>ORANGE-0280</x:v>
      </x:c>
      <x:c r="B281" s="48" t="str">
        <x:v>ORANGE</x:v>
      </x:c>
      <x:c r="C281" s="48" t="str">
        <x:v>English</x:v>
      </x:c>
      <x:c r="D281" s="48" t="n">
        <x:v>27</x:v>
      </x:c>
      <x:c r="E281" s="48" t="str"/>
      <x:c r="F281" s="48" t="str">
        <x:v>fetecn he crn Tine fr Compson sah ae ed ne Taking ‘Ore Cees tte tl pen al meee he et 6 aps spendin enn ee ‘Te Empey wit pee tay oe met eon dt ihc mano sch oat ny mens tcf ‘Gracin Inthe rem ancien tne Do aed nS</x:v>
      </x:c>
      <x:c r="G281" s="48" t="str">
        <x:v>Obligation</x:v>
      </x:c>
      <x:c r="H281" s="48" t="str">
        <x:v>Shared</x:v>
      </x:c>
      <x:c r="I281" s="48" t="n">
        <x:v>0.45</x:v>
      </x:c>
      <x:c r="J281" s="48" t="n">
        <x:v>0.4</x:v>
      </x:c>
      <x:c r="K281" s="48" t="str">
        <x:v>Yes</x:v>
      </x:c>
      <x:c r="L281" s="48" t="str">
        <x:v>OCR</x:v>
      </x:c>
    </x:row>
    <x:row r="282">
      <x:c r="A282" s="48" t="str">
        <x:v>ORANGE-0281</x:v>
      </x:c>
      <x:c r="B282" s="48" t="str">
        <x:v>ORANGE</x:v>
      </x:c>
      <x:c r="C282" s="48" t="str">
        <x:v>English</x:v>
      </x:c>
      <x:c r="D282" s="48" t="n">
        <x:v>27</x:v>
      </x:c>
      <x:c r="E282" s="48" t="str"/>
      <x:c r="F282" s="48" t="str">
        <x:v>Son esther anaes</x:v>
      </x:c>
      <x:c r="G282" s="48" t="str">
        <x:v>Obligation</x:v>
      </x:c>
      <x:c r="H282" s="48" t="str">
        <x:v>Shared</x:v>
      </x:c>
      <x:c r="I282" s="48" t="n">
        <x:v>0.45</x:v>
      </x:c>
      <x:c r="J282" s="48" t="n">
        <x:v>0.4</x:v>
      </x:c>
      <x:c r="K282" s="48" t="str">
        <x:v>Yes</x:v>
      </x:c>
      <x:c r="L282" s="48" t="str">
        <x:v>OCR</x:v>
      </x:c>
    </x:row>
    <x:row r="283">
      <x:c r="A283" s="48" t="str">
        <x:v>ORANGE-0282</x:v>
      </x:c>
      <x:c r="B283" s="48" t="str">
        <x:v>ORANGE</x:v>
      </x:c>
      <x:c r="C283" s="48" t="str">
        <x:v>English</x:v>
      </x:c>
      <x:c r="D283" s="48" t="n">
        <x:v>27</x:v>
      </x:c>
      <x:c r="E283" s="48" t="str"/>
      <x:c r="F283" s="48" t="str">
        <x:v>Seaham anenannpmncnaare</x:v>
      </x:c>
      <x:c r="G283" s="48" t="str">
        <x:v>Obligation</x:v>
      </x:c>
      <x:c r="H283" s="48" t="str">
        <x:v>Shared</x:v>
      </x:c>
      <x:c r="I283" s="48" t="n">
        <x:v>0.45</x:v>
      </x:c>
      <x:c r="J283" s="48" t="n">
        <x:v>0.4</x:v>
      </x:c>
      <x:c r="K283" s="48" t="str">
        <x:v>Yes</x:v>
      </x:c>
      <x:c r="L283" s="48" t="str">
        <x:v>OCR</x:v>
      </x:c>
    </x:row>
    <x:row r="284">
      <x:c r="A284" s="48" t="str">
        <x:v>ORANGE-0283</x:v>
      </x:c>
      <x:c r="B284" s="48" t="str">
        <x:v>ORANGE</x:v>
      </x:c>
      <x:c r="C284" s="48" t="str">
        <x:v>English</x:v>
      </x:c>
      <x:c r="D284" s="48" t="n">
        <x:v>27</x:v>
      </x:c>
      <x:c r="E284" s="48" t="str"/>
      <x:c r="F284" s="48" t="str">
        <x:v>Eeiarceeneeceae</x:v>
      </x:c>
      <x:c r="G284" s="48" t="str">
        <x:v>Obligation</x:v>
      </x:c>
      <x:c r="H284" s="48" t="str">
        <x:v>Shared</x:v>
      </x:c>
      <x:c r="I284" s="48" t="n">
        <x:v>0.45</x:v>
      </x:c>
      <x:c r="J284" s="48" t="n">
        <x:v>0.4</x:v>
      </x:c>
      <x:c r="K284" s="48" t="str">
        <x:v>Yes</x:v>
      </x:c>
      <x:c r="L284" s="48" t="str">
        <x:v>OCR</x:v>
      </x:c>
    </x:row>
    <x:row r="285">
      <x:c r="A285" s="48" t="str">
        <x:v>ORANGE-0284</x:v>
      </x:c>
      <x:c r="B285" s="48" t="str">
        <x:v>ORANGE</x:v>
      </x:c>
      <x:c r="C285" s="48" t="str">
        <x:v>English</x:v>
      </x:c>
      <x:c r="D285" s="48" t="n">
        <x:v>27</x:v>
      </x:c>
      <x:c r="E285" s="48" t="str"/>
      <x:c r="F285" s="48" t="str">
        <x:v>Ean Rea mars eee aS</x:v>
      </x:c>
      <x:c r="G285" s="48" t="str">
        <x:v>Obligation</x:v>
      </x:c>
      <x:c r="H285" s="48" t="str">
        <x:v>Shared</x:v>
      </x:c>
      <x:c r="I285" s="48" t="n">
        <x:v>0.45</x:v>
      </x:c>
      <x:c r="J285" s="48" t="n">
        <x:v>0.4</x:v>
      </x:c>
      <x:c r="K285" s="48" t="str">
        <x:v>Yes</x:v>
      </x:c>
      <x:c r="L285" s="48" t="str">
        <x:v>OCR</x:v>
      </x:c>
    </x:row>
    <x:row r="286">
      <x:c r="A286" s="48" t="str">
        <x:v>ORANGE-0285</x:v>
      </x:c>
      <x:c r="B286" s="48" t="str">
        <x:v>ORANGE</x:v>
      </x:c>
      <x:c r="C286" s="48" t="str">
        <x:v>English</x:v>
      </x:c>
      <x:c r="D286" s="48" t="n">
        <x:v>27</x:v>
      </x:c>
      <x:c r="E286" s="48" t="str"/>
      <x:c r="F286" s="48" t="str">
        <x:v>Soy Setar acres</x:v>
      </x:c>
      <x:c r="G286" s="48" t="str">
        <x:v>Obligation</x:v>
      </x:c>
      <x:c r="H286" s="48" t="str">
        <x:v>Shared</x:v>
      </x:c>
      <x:c r="I286" s="48" t="n">
        <x:v>0.45</x:v>
      </x:c>
      <x:c r="J286" s="48" t="n">
        <x:v>0.4</x:v>
      </x:c>
      <x:c r="K286" s="48" t="str">
        <x:v>Yes</x:v>
      </x:c>
      <x:c r="L286" s="48" t="str">
        <x:v>OCR</x:v>
      </x:c>
    </x:row>
    <x:row r="287">
      <x:c r="A287" s="48" t="str">
        <x:v>ORANGE-0286</x:v>
      </x:c>
      <x:c r="B287" s="48" t="str">
        <x:v>ORANGE</x:v>
      </x:c>
      <x:c r="C287" s="48" t="str">
        <x:v>English</x:v>
      </x:c>
      <x:c r="D287" s="48" t="n">
        <x:v>27</x:v>
      </x:c>
      <x:c r="E287" s="48" t="str"/>
      <x:c r="F287" s="48" t="str">
        <x:v>ee pa eet hy teenies 7 rte ee ie ees brie maaenacnce ease</x:v>
      </x:c>
      <x:c r="G287" s="48" t="str">
        <x:v>Obligation</x:v>
      </x:c>
      <x:c r="H287" s="48" t="str">
        <x:v>Shared</x:v>
      </x:c>
      <x:c r="I287" s="48" t="n">
        <x:v>0.45</x:v>
      </x:c>
      <x:c r="J287" s="48" t="n">
        <x:v>0.4</x:v>
      </x:c>
      <x:c r="K287" s="48" t="str">
        <x:v>Yes</x:v>
      </x:c>
      <x:c r="L287" s="48" t="str">
        <x:v>OCR</x:v>
      </x:c>
    </x:row>
    <x:row r="288">
      <x:c r="A288" s="48" t="str">
        <x:v>ORANGE-0287</x:v>
      </x:c>
      <x:c r="B288" s="48" t="str">
        <x:v>ORANGE</x:v>
      </x:c>
      <x:c r="C288" s="48" t="str">
        <x:v>English</x:v>
      </x:c>
      <x:c r="D288" s="48" t="n">
        <x:v>29</x:v>
      </x:c>
      <x:c r="E288" s="48" t="str">
        <x:v>9</x:v>
      </x:c>
      <x:c r="F288" s="48" t="str">
        <x:v>9 Tests on Completion</x:v>
      </x:c>
      <x:c r="G288" s="48" t="str">
        <x:v>Heading</x:v>
      </x:c>
      <x:c r="H288" s="48" t="str"/>
      <x:c r="I288" s="48" t="n">
        <x:v>0.9</x:v>
      </x:c>
      <x:c r="J288" s="48" t="n">
        <x:v>0.99</x:v>
      </x:c>
      <x:c r="K288" s="48" t="str">
        <x:v>No</x:v>
      </x:c>
      <x:c r="L288" s="48" t="str">
        <x:v>OCR</x:v>
      </x:c>
    </x:row>
    <x:row r="289">
      <x:c r="A289" s="48" t="str">
        <x:v>ORANGE-0288</x:v>
      </x:c>
      <x:c r="B289" s="48" t="str">
        <x:v>ORANGE</x:v>
      </x:c>
      <x:c r="C289" s="48" t="str">
        <x:v>English</x:v>
      </x:c>
      <x:c r="D289" s="48" t="n">
        <x:v>29</x:v>
      </x:c>
      <x:c r="E289" s="48" t="str"/>
      <x:c r="F289" s="48" t="str">
        <x:v>Ccomcnrs 34 Tae Como sa ay wt Tn Copii ‘Oniosion "Che wd SubC Yaar pong he nan acne Sia Sand $7.</x:v>
      </x:c>
      <x:c r="G289" s="48" t="str">
        <x:v>Obligation</x:v>
      </x:c>
      <x:c r="H289" s="48" t="str">
        <x:v>Shared</x:v>
      </x:c>
      <x:c r="I289" s="48" t="n">
        <x:v>0.45</x:v>
      </x:c>
      <x:c r="J289" s="48" t="n">
        <x:v>0.4</x:v>
      </x:c>
      <x:c r="K289" s="48" t="str">
        <x:v>Yes</x:v>
      </x:c>
      <x:c r="L289" s="48" t="str">
        <x:v>OCR</x:v>
      </x:c>
    </x:row>
    <x:row r="290">
      <x:c r="A290" s="48" t="str">
        <x:v>ORANGE-0289</x:v>
      </x:c>
      <x:c r="B290" s="48" t="str">
        <x:v>ORANGE</x:v>
      </x:c>
      <x:c r="C290" s="48" t="str">
        <x:v>English</x:v>
      </x:c>
      <x:c r="D290" s="48" t="n">
        <x:v>29</x:v>
      </x:c>
      <x:c r="E290" s="48" t="str"/>
      <x:c r="F290" s="48" t="str">
        <x:v>The Comer al pe othe Ene Reps 2 isnot fhe dae she hi he Comacorwil "ads ocay stfu a Compeson Une ors spel eh Te ‘Secrets sin 1 uae eon yy athe</x:v>
      </x:c>
      <x:c r="G290" s="48" t="str">
        <x:v>Obligation</x:v>
      </x:c>
      <x:c r="H290" s="48" t="str">
        <x:v>Shared</x:v>
      </x:c>
      <x:c r="I290" s="48" t="n">
        <x:v>0.45</x:v>
      </x:c>
      <x:c r="J290" s="48" t="n">
        <x:v>0.4</x:v>
      </x:c>
      <x:c r="K290" s="48" t="str">
        <x:v>Yes</x:v>
      </x:c>
      <x:c r="L290" s="48" t="str">
        <x:v>OCR</x:v>
      </x:c>
    </x:row>
    <x:row r="291">
      <x:c r="A291" s="48" t="str">
        <x:v>ORANGE-0290</x:v>
      </x:c>
      <x:c r="B291" s="48" t="str">
        <x:v>ORANGE</x:v>
      </x:c>
      <x:c r="C291" s="48" t="str">
        <x:v>English</x:v>
      </x:c>
      <x:c r="D291" s="48" t="n">
        <x:v>29</x:v>
      </x:c>
      <x:c r="E291" s="48" t="str"/>
      <x:c r="F291" s="48" t="str">
        <x:v>Empoer Reeenae Sal st</x:v>
      </x:c>
      <x:c r="G291" s="48" t="str">
        <x:v>Obligation</x:v>
      </x:c>
      <x:c r="H291" s="48" t="str">
        <x:v>Shared</x:v>
      </x:c>
      <x:c r="I291" s="48" t="n">
        <x:v>0.45</x:v>
      </x:c>
      <x:c r="J291" s="48" t="n">
        <x:v>0.4</x:v>
      </x:c>
      <x:c r="K291" s="48" t="str">
        <x:v>Yes</x:v>
      </x:c>
      <x:c r="L291" s="48" t="str">
        <x:v>OCR</x:v>
      </x:c>
    </x:row>
    <x:row r="292">
      <x:c r="A292" s="48" t="str">
        <x:v>ORANGE-0291</x:v>
      </x:c>
      <x:c r="B292" s="48" t="str">
        <x:v>ORANGE</x:v>
      </x:c>
      <x:c r="C292" s="48" t="str">
        <x:v>English</x:v>
      </x:c>
      <x:c r="D292" s="48" t="n">
        <x:v>29</x:v>
      </x:c>
      <x:c r="E292" s="48" t="str"/>
      <x:c r="F292" s="48" t="str">
        <x:v>te coming the wats of he Tes cn Congo, the Empoe’s ews le swans forth fl yh fe Wak by ‘Sit Wr a Setion tne pase owen Contin, be Cane ‘Ripon employes Repent nthe poe tha ere ‘pt fe eae ach Toe Dauged Tots 92 ihe Teo Camplion a ring wally dened by the Conan the {tnpyersRepstane may ty nce more eC ea nt ‘Soh Tess win day er hes of ch ie The Conca a ‘Sry nc Teton uch or ne wan apr te Cte fy fiand ot wch hl ge eo Bmpr Reporte 1d Cvracor ary eT Copenh 2 dy the</x:v>
      </x:c>
      <x:c r="G292" s="48" t="str">
        <x:v>Right</x:v>
      </x:c>
      <x:c r="H292" s="48" t="str">
        <x:v>Shared</x:v>
      </x:c>
      <x:c r="I292" s="48" t="n">
        <x:v>0.78</x:v>
      </x:c>
      <x:c r="J292" s="48" t="n">
        <x:v>0.4</x:v>
      </x:c>
      <x:c r="K292" s="48" t="str">
        <x:v>Yes</x:v>
      </x:c>
      <x:c r="L292" s="48" t="str">
        <x:v>OCR</x:v>
      </x:c>
    </x:row>
    <x:row r="293">
      <x:c r="A293" s="48" t="str">
        <x:v>ORANGE-0292</x:v>
      </x:c>
      <x:c r="B293" s="48" t="str">
        <x:v>ORANGE</x:v>
      </x:c>
      <x:c r="C293" s="48" t="str">
        <x:v>English</x:v>
      </x:c>
      <x:c r="D293" s="48" t="n">
        <x:v>29</x:v>
      </x:c>
      <x:c r="E293" s="48" t="str"/>
      <x:c r="F293" s="48" t="str">
        <x:v>Enpyer Repsese may hm pce wa ach Teh Ale Fee</x:v>
      </x:c>
      <x:c r="G293" s="48" t="str">
        <x:v>Right</x:v>
      </x:c>
      <x:c r="H293" s="48" t="str">
        <x:v>Shared</x:v>
      </x:c>
      <x:c r="I293" s="48" t="n">
        <x:v>0.78</x:v>
      </x:c>
      <x:c r="J293" s="48" t="n">
        <x:v>0.4</x:v>
      </x:c>
      <x:c r="K293" s="48" t="str">
        <x:v>Yes</x:v>
      </x:c>
      <x:c r="L293" s="48" t="str">
        <x:v>OCR</x:v>
      </x:c>
    </x:row>
    <x:row r="294">
      <x:c r="A294" s="48" t="str">
        <x:v>ORANGE-0293</x:v>
      </x:c>
      <x:c r="B294" s="48" t="str">
        <x:v>ORANGE</x:v>
      </x:c>
      <x:c r="C294" s="48" t="str">
        <x:v>English</x:v>
      </x:c>
      <x:c r="D294" s="48" t="n">
        <x:v>29</x:v>
      </x:c>
      <x:c r="E294" s="48" t="str"/>
      <x:c r="F294" s="48" t="str">
        <x:v>‘Sra eat yc Emplper Hepes sl batt ak com ‘Be Couraor These Tats Cpe ha hen be ceed thane ten (Shemini pours oe Clore uso ch oes a iced sae [eteing 4.3 ie Wns Sion pase he Teo Compaen, Sub Cae 75</x:v>
      </x:c>
      <x:c r="G294" s="48" t="str">
        <x:v>Obligation</x:v>
      </x:c>
      <x:c r="H294" s="48" t="str">
        <x:v>Shared</x:v>
      </x:c>
      <x:c r="I294" s="48" t="n">
        <x:v>0.45</x:v>
      </x:c>
      <x:c r="J294" s="48" t="n">
        <x:v>0.4</x:v>
      </x:c>
      <x:c r="K294" s="48" t="str">
        <x:v>Yes</x:v>
      </x:c>
      <x:c r="L294" s="48" t="str">
        <x:v>OCR</x:v>
      </x:c>
    </x:row>
    <x:row r="295">
      <x:c r="A295" s="48" t="str">
        <x:v>ORANGE-0294</x:v>
      </x:c>
      <x:c r="B295" s="48" t="str">
        <x:v>ORANGE</x:v>
      </x:c>
      <x:c r="C295" s="48" t="str">
        <x:v>English</x:v>
      </x:c>
      <x:c r="D295" s="48" t="n">
        <x:v>29</x:v>
      </x:c>
      <x:c r="E295" s="48" t="str"/>
      <x:c r="F295" s="48" t="str">
        <x:v>Cy ae oe</x:v>
      </x:c>
      <x:c r="G295" s="48" t="str">
        <x:v>Obligation</x:v>
      </x:c>
      <x:c r="H295" s="48" t="str">
        <x:v>Shared</x:v>
      </x:c>
      <x:c r="I295" s="48" t="n">
        <x:v>0.45</x:v>
      </x:c>
      <x:c r="J295" s="48" t="n">
        <x:v>0.4</x:v>
      </x:c>
      <x:c r="K295" s="48" t="str">
        <x:v>Yes</x:v>
      </x:c>
      <x:c r="L295" s="48" t="str">
        <x:v>OCR</x:v>
      </x:c>
    </x:row>
    <x:row r="296">
      <x:c r="A296" s="48" t="str">
        <x:v>ORANGE-0295</x:v>
      </x:c>
      <x:c r="B296" s="48" t="str">
        <x:v>ORANGE</x:v>
      </x:c>
      <x:c r="C296" s="48" t="str">
        <x:v>English</x:v>
      </x:c>
      <x:c r="D296" s="48" t="n">
        <x:v>29</x:v>
      </x:c>
      <x:c r="E296" s="48" t="str"/>
      <x:c r="F296" s="48" t="str">
        <x:v>‘pene ne he ane fem an coda, Falterots Pam 94 he Works Sto. pss the Ton Content dr ‘ess cn Compltion Ssphne 9S Se Emplnes Repesettie al ented (oy ees npn of Toon Coon tC 35 (0) het he Wess Sen a he ee ay te) i wich een th {Soper a ae te anes he Conca poe ‘one Cae 10° (ae aig Over Conia te Eminem te Conc ‘Me sles te eoceby ch anon a bag oe Empge ‘te Cota (lie fc re nel Cato ‘Sutthn proces inact ii oe obligates dete Cone</x:v>
      </x:c>
      <x:c r="G296" s="48" t="str">
        <x:v>Obligation</x:v>
      </x:c>
      <x:c r="H296" s="48" t="str">
        <x:v>Shared</x:v>
      </x:c>
      <x:c r="I296" s="48" t="n">
        <x:v>0.45</x:v>
      </x:c>
      <x:c r="J296" s="48" t="n">
        <x:v>0.4</x:v>
      </x:c>
      <x:c r="K296" s="48" t="str">
        <x:v>Yes</x:v>
      </x:c>
      <x:c r="L296" s="48" t="str">
        <x:v>OCR</x:v>
      </x:c>
    </x:row>
    <x:row r="297">
      <x:c r="A297" s="48" t="str">
        <x:v>ORANGE-0296</x:v>
      </x:c>
      <x:c r="B297" s="48" t="str">
        <x:v>ORANGE</x:v>
      </x:c>
      <x:c r="C297" s="48" t="str">
        <x:v>English</x:v>
      </x:c>
      <x:c r="D297" s="48" t="n">
        <x:v>29</x:v>
      </x:c>
      <x:c r="E297" s="48" t="str">
        <x:v>10</x:v>
      </x:c>
      <x:c r="F297" s="48" t="str">
        <x:v>10 Employer's Taking Over</x:v>
      </x:c>
      <x:c r="G297" s="48" t="str">
        <x:v>Heading</x:v>
      </x:c>
      <x:c r="H297" s="48" t="str"/>
      <x:c r="I297" s="48" t="n">
        <x:v>0.9</x:v>
      </x:c>
      <x:c r="J297" s="48" t="n">
        <x:v>0.99</x:v>
      </x:c>
      <x:c r="K297" s="48" t="str">
        <x:v>No</x:v>
      </x:c>
      <x:c r="L297" s="48" t="str">
        <x:v>OCR</x:v>
      </x:c>
    </x:row>
    <x:row r="298">
      <x:c r="A298" s="48" t="str">
        <x:v>ORANGE-0297</x:v>
      </x:c>
      <x:c r="B298" s="48" t="str">
        <x:v>ORANGE</x:v>
      </x:c>
      <x:c r="C298" s="48" t="str">
        <x:v>English</x:v>
      </x:c>
      <x:c r="D298" s="48" t="n">
        <x:v>29</x:v>
      </x:c>
      <x:c r="E298" s="48" t="str"/>
      <x:c r="F298" s="48" t="str">
        <x:v>‘Thine VAL Exe a din S.C 9.4 te Won shal be ken oe he ‘Cente '*" Elgort hy hve fen compe crane ih he Coa (ene dscbed foo pnp) bbw. he ped he ese</x:v>
      </x:c>
      <x:c r="G298" s="48" t="str">
        <x:v>Obligation</x:v>
      </x:c>
      <x:c r="H298" s="48" t="str">
        <x:v>Shared</x:v>
      </x:c>
      <x:c r="I298" s="48" t="n">
        <x:v>0.45</x:v>
      </x:c>
      <x:c r="J298" s="48" t="n">
        <x:v>0.4</x:v>
      </x:c>
      <x:c r="K298" s="48" t="str">
        <x:v>Yes</x:v>
      </x:c>
      <x:c r="L298" s="48" t="str">
        <x:v>OCR</x:v>
      </x:c>
    </x:row>
    <x:row r="299">
      <x:c r="A299" s="48" t="str">
        <x:v>ORANGE-0298</x:v>
      </x:c>
      <x:c r="B299" s="48" t="str">
        <x:v>ORANGE</x:v>
      </x:c>
      <x:c r="C299" s="48" t="str">
        <x:v>English</x:v>
      </x:c>
      <x:c r="D299" s="48" t="n">
        <x:v>30</x:v>
      </x:c>
      <x:c r="E299" s="48" t="str"/>
      <x:c r="F299" s="48" t="str">
        <x:v>(2 ee Taig Over Corfe 4 te Cnc sting te dtc</x:v>
      </x:c>
      <x:c r="G299" s="48" t="str">
        <x:v>Obligation</x:v>
      </x:c>
      <x:c r="H299" s="48" t="str">
        <x:v>Shared</x:v>
      </x:c>
      <x:c r="I299" s="48" t="n">
        <x:v>0.45</x:v>
      </x:c>
      <x:c r="J299" s="48" t="n">
        <x:v>0.4</x:v>
      </x:c>
      <x:c r="K299" s="48" t="str">
        <x:v>Yes</x:v>
      </x:c>
      <x:c r="L299" s="48" t="str">
        <x:v>OCR</x:v>
      </x:c>
    </x:row>
    <x:row r="300">
      <x:c r="A300" s="48" t="str">
        <x:v>ORANGE-0299</x:v>
      </x:c>
      <x:c r="B300" s="48" t="str">
        <x:v>ORANGE</x:v>
      </x:c>
      <x:c r="C300" s="48" t="str">
        <x:v>English</x:v>
      </x:c>
      <x:c r="D300" s="48" t="n">
        <x:v>30</x:v>
      </x:c>
      <x:c r="E300" s="48" t="str"/>
      <x:c r="F300" s="48" t="str">
        <x:v>Stine ws w Smee emp cece at</x:v>
      </x:c>
      <x:c r="G300" s="48" t="str">
        <x:v>Obligation</x:v>
      </x:c>
      <x:c r="H300" s="48" t="str">
        <x:v>Shared</x:v>
      </x:c>
      <x:c r="I300" s="48" t="n">
        <x:v>0.45</x:v>
      </x:c>
      <x:c r="J300" s="48" t="n">
        <x:v>0.4</x:v>
      </x:c>
      <x:c r="K300" s="48" t="str">
        <x:v>Yes</x:v>
      </x:c>
      <x:c r="L300" s="48" t="str">
        <x:v>OCR</x:v>
      </x:c>
    </x:row>
    <x:row r="301">
      <x:c r="A301" s="48" t="str">
        <x:v>ORANGE-0300</x:v>
      </x:c>
      <x:c r="B301" s="48" t="str">
        <x:v>ORANGE</x:v>
      </x:c>
      <x:c r="C301" s="48" t="str">
        <x:v>English</x:v>
      </x:c>
      <x:c r="D301" s="48" t="n">
        <x:v>30</x:v>
      </x:c>
      <x:c r="E301" s="48" t="str"/>
      <x:c r="F301" s="48" t="str">
        <x:v>Paetsch end pron) cig pen te</x:v>
      </x:c>
      <x:c r="G301" s="48" t="str">
        <x:v>Obligation</x:v>
      </x:c>
      <x:c r="H301" s="48" t="str">
        <x:v>Shared</x:v>
      </x:c>
      <x:c r="I301" s="48" t="n">
        <x:v>0.45</x:v>
      </x:c>
      <x:c r="J301" s="48" t="n">
        <x:v>0.4</x:v>
      </x:c>
      <x:c r="K301" s="48" t="str">
        <x:v>Yes</x:v>
      </x:c>
      <x:c r="L301" s="48" t="str">
        <x:v>OCR</x:v>
      </x:c>
    </x:row>
    <x:row r="302">
      <x:c r="A302" s="48" t="str">
        <x:v>ORANGE-0301</x:v>
      </x:c>
      <x:c r="B302" s="48" t="str">
        <x:v>ORANGE</x:v>
      </x:c>
      <x:c r="C302" s="48" t="str">
        <x:v>English</x:v>
      </x:c>
      <x:c r="D302" s="48" t="n">
        <x:v>30</x:v>
      </x:c>
      <x:c r="E302" s="48" t="str"/>
      <x:c r="F302" s="48" t="str">
        <x:v>ocr Compinon (0) set eyo. sig hi ann and speying wk reed SA Sec ie Coma cml Taking Over Cree | ‘cae Coma shal ceca seh or Bere Big» fre ac nr eC 1 te Epler Repeinie a eter Wise he Thing Over Ecgufneara tie Cama vate stan 3</x:v>
      </x:c>
      <x:c r="G302" s="48" t="str">
        <x:v>Obligation</x:v>
      </x:c>
      <x:c r="H302" s="48" t="str">
        <x:v>Shared</x:v>
      </x:c>
      <x:c r="I302" s="48" t="n">
        <x:v>0.45</x:v>
      </x:c>
      <x:c r="J302" s="48" t="n">
        <x:v>0.4</x:v>
      </x:c>
      <x:c r="K302" s="48" t="str">
        <x:v>Yes</x:v>
      </x:c>
      <x:c r="L302" s="48" t="str">
        <x:v>OCR</x:v>
      </x:c>
    </x:row>
    <x:row r="303">
      <x:c r="A303" s="48" t="str">
        <x:v>ORANGE-0302</x:v>
      </x:c>
      <x:c r="B303" s="48" t="str">
        <x:v>ORANGE</x:v>
      </x:c>
      <x:c r="C303" s="48" t="str">
        <x:v>English</x:v>
      </x:c>
      <x:c r="D303" s="48" t="n">
        <x:v>30</x:v>
      </x:c>
      <x:c r="E303" s="48" t="str"/>
      <x:c r="F303" s="48" t="str">
        <x:v>Sie Gnu he lng Over Cre Sai be em Tone es</x:v>
      </x:c>
      <x:c r="G303" s="48" t="str">
        <x:v>Obligation</x:v>
      </x:c>
      <x:c r="H303" s="48" t="str">
        <x:v>Shared</x:v>
      </x:c>
      <x:c r="I303" s="48" t="n">
        <x:v>0.45</x:v>
      </x:c>
      <x:c r="J303" s="48" t="n">
        <x:v>0.4</x:v>
      </x:c>
      <x:c r="K303" s="48" t="str">
        <x:v>Yes</x:v>
      </x:c>
      <x:c r="L303" s="48" t="str">
        <x:v>OCR</x:v>
      </x:c>
    </x:row>
    <x:row r="304">
      <x:c r="A304" s="48" t="str">
        <x:v>ORANGE-0303</x:v>
      </x:c>
      <x:c r="B304" s="48" t="str">
        <x:v>ORANGE</x:v>
      </x:c>
      <x:c r="C304" s="48" t="str">
        <x:v>English</x:v>
      </x:c>
      <x:c r="D304" s="48" t="n">
        <x:v>30</x:v>
      </x:c>
      <x:c r="E304" s="48" t="str"/>
      <x:c r="F304" s="48" t="str">
        <x:v>‘eo nt dy th pe sey The Emphyer 142 The Epler te aty ft of he Was ees the Emon Mpc hs act's novos Conn ech pa.</x:v>
      </x:c>
      <x:c r="G304" s="48" t="str">
        <x:v>Obligation</x:v>
      </x:c>
      <x:c r="H304" s="48" t="str">
        <x:v>Shared</x:v>
      </x:c>
      <x:c r="I304" s="48" t="n">
        <x:v>0.45</x:v>
      </x:c>
      <x:c r="J304" s="48" t="n">
        <x:v>0.4</x:v>
      </x:c>
      <x:c r="K304" s="48" t="str">
        <x:v>Yes</x:v>
      </x:c>
      <x:c r="L304" s="48" t="str">
        <x:v>OCR</x:v>
      </x:c>
    </x:row>
    <x:row r="305">
      <x:c r="A305" s="48" t="str">
        <x:v>ORANGE-0304</x:v>
      </x:c>
      <x:c r="B305" s="48" t="str">
        <x:v>ORANGE</x:v>
      </x:c>
      <x:c r="C305" s="48" t="str">
        <x:v>English</x:v>
      </x:c>
      <x:c r="D305" s="48" t="n">
        <x:v>30</x:v>
      </x:c>
      <x:c r="E305" s="48" t="str"/>
      <x:c r="F305" s="48" t="str">
        <x:v>Tg ‘vee Coca a ben ed fer my pao te Wks Ctr than 3 ‘Scan he hpi maps dey em f he renin of ‘SS ws ana th Sco of whch os prt al fr ay pido ‘Saya he en sh Tang Ove Cee ee he</x:v>
      </x:c>
      <x:c r="G305" s="48" t="str">
        <x:v>Obligation</x:v>
      </x:c>
      <x:c r="H305" s="48" t="str">
        <x:v>Shared</x:v>
      </x:c>
      <x:c r="I305" s="48" t="n">
        <x:v>0.45</x:v>
      </x:c>
      <x:c r="J305" s="48" t="n">
        <x:v>0.4</x:v>
      </x:c>
      <x:c r="K305" s="48" t="str">
        <x:v>Yes</x:v>
      </x:c>
      <x:c r="L305" s="48" t="str">
        <x:v>OCR</x:v>
      </x:c>
    </x:row>
    <x:row r="306">
      <x:c r="A306" s="48" t="str">
        <x:v>ORANGE-0305</x:v>
      </x:c>
      <x:c r="B306" s="48" t="str">
        <x:v>ORANGE</x:v>
      </x:c>
      <x:c r="C306" s="48" t="str">
        <x:v>English</x:v>
      </x:c>
      <x:c r="D306" s="48" t="n">
        <x:v>30</x:v>
      </x:c>
      <x:c r="E306" s="48" t="str"/>
      <x:c r="F306" s="48" t="str">
        <x:v>Gets rte may oh vs abcd ye</x:v>
      </x:c>
      <x:c r="G306" s="48" t="str">
        <x:v>Right</x:v>
      </x:c>
      <x:c r="H306" s="48" t="str">
        <x:v>Shared</x:v>
      </x:c>
      <x:c r="I306" s="48" t="n">
        <x:v>0.78</x:v>
      </x:c>
      <x:c r="J306" s="48" t="n">
        <x:v>0.4</x:v>
      </x:c>
      <x:c r="K306" s="48" t="str">
        <x:v>Yes</x:v>
      </x:c>
      <x:c r="L306" s="48" t="str">
        <x:v>OCR</x:v>
      </x:c>
    </x:row>
    <x:row r="307">
      <x:c r="A307" s="48" t="str">
        <x:v>ORANGE-0306</x:v>
      </x:c>
      <x:c r="B307" s="48" t="str">
        <x:v>ORANGE</x:v>
      </x:c>
      <x:c r="C307" s="48" t="str">
        <x:v>English</x:v>
      </x:c>
      <x:c r="D307" s="48" t="n">
        <x:v>30</x:v>
      </x:c>
      <x:c r="E307" s="48" t="str"/>
      <x:c r="F307" s="48" t="str">
        <x:v>EMO oti ft npn hn pe af</x:v>
      </x:c>
      <x:c r="G307" s="48" t="str">
        <x:v>Obligation</x:v>
      </x:c>
      <x:c r="H307" s="48" t="str">
        <x:v>Shared</x:v>
      </x:c>
      <x:c r="I307" s="48" t="n">
        <x:v>0.45</x:v>
      </x:c>
      <x:c r="J307" s="48" t="n">
        <x:v>0.4</x:v>
      </x:c>
      <x:c r="K307" s="48" t="str">
        <x:v>Yes</x:v>
      </x:c>
      <x:c r="L307" s="48" t="str">
        <x:v>OCR</x:v>
      </x:c>
    </x:row>
    <x:row r="308">
      <x:c r="A308" s="48" t="str">
        <x:v>ORANGE-0307</x:v>
      </x:c>
      <x:c r="B308" s="48" t="str">
        <x:v>ORANGE</x:v>
      </x:c>
      <x:c r="C308" s="48" t="str">
        <x:v>English</x:v>
      </x:c>
      <x:c r="D308" s="48" t="n">
        <x:v>30</x:v>
      </x:c>
      <x:c r="E308" s="48" t="str"/>
      <x:c r="F308" s="48" t="str">
        <x:v>ocean Shae ha ch</x:v>
      </x:c>
      <x:c r="G308" s="48" t="str">
        <x:v>Obligation</x:v>
      </x:c>
      <x:c r="H308" s="48" t="str">
        <x:v>Shared</x:v>
      </x:c>
      <x:c r="I308" s="48" t="n">
        <x:v>0.45</x:v>
      </x:c>
      <x:c r="J308" s="48" t="n">
        <x:v>0.4</x:v>
      </x:c>
      <x:c r="K308" s="48" t="str">
        <x:v>Yes</x:v>
      </x:c>
      <x:c r="L308" s="48" t="str">
        <x:v>OCR</x:v>
      </x:c>
    </x:row>
    <x:row r="309">
      <x:c r="A309" s="48" t="str">
        <x:v>ORANGE-0308</x:v>
      </x:c>
      <x:c r="B309" s="48" t="str">
        <x:v>ORANGE</x:v>
      </x:c>
      <x:c r="C309" s="48" t="str">
        <x:v>English</x:v>
      </x:c>
      <x:c r="D309" s="48" t="n">
        <x:v>30</x:v>
      </x:c>
      <x:c r="E309" s="48" t="str"/>
      <x:c r="F309" s="48" t="str">
        <x:v>WC e Employer des we ay prof he Won fore the Taking Over</x:v>
      </x:c>
      <x:c r="G309" s="48" t="str">
        <x:v>Obligation</x:v>
      </x:c>
      <x:c r="H309" s="48" t="str">
        <x:v>Employer</x:v>
      </x:c>
      <x:c r="I309" s="48" t="n">
        <x:v>0.45</x:v>
      </x:c>
      <x:c r="J309" s="48" t="n">
        <x:v>0.68</x:v>
      </x:c>
      <x:c r="K309" s="48" t="str">
        <x:v>Yes</x:v>
      </x:c>
      <x:c r="L309" s="48" t="str">
        <x:v>OCR</x:v>
      </x:c>
    </x:row>
    <x:row r="310">
      <x:c r="A310" s="48" t="str">
        <x:v>ORANGE-0309</x:v>
      </x:c>
      <x:c r="B310" s="48" t="str">
        <x:v>ORANGE</x:v>
      </x:c>
      <x:c r="C310" s="48" t="str">
        <x:v>English</x:v>
      </x:c>
      <x:c r="D310" s="48" t="n">
        <x:v>30</x:v>
      </x:c>
      <x:c r="E310" s="48" t="str"/>
      <x:c r="F310" s="48" t="str">
        <x:v>(Cnet (te por whch asl ee he eth ee (0) the Epes Rete sl, shen este by the Cone,</x:v>
      </x:c>
      <x:c r="G310" s="48" t="str">
        <x:v>Obligation</x:v>
      </x:c>
      <x:c r="H310" s="48" t="str">
        <x:v>Shared</x:v>
      </x:c>
      <x:c r="I310" s="48" t="n">
        <x:v>0.45</x:v>
      </x:c>
      <x:c r="J310" s="48" t="n">
        <x:v>0.4</x:v>
      </x:c>
      <x:c r="K310" s="48" t="str">
        <x:v>Yes</x:v>
      </x:c>
      <x:c r="L310" s="48" t="str">
        <x:v>OCR</x:v>
      </x:c>
    </x:row>
    <x:row r="311">
      <x:c r="A311" s="48" t="str">
        <x:v>ORANGE-0310</x:v>
      </x:c>
      <x:c r="B311" s="48" t="str">
        <x:v>ORANGE</x:v>
      </x:c>
      <x:c r="C311" s="48" t="str">
        <x:v>English</x:v>
      </x:c>
      <x:c r="D311" s="48" t="n">
        <x:v>30</x:v>
      </x:c>
      <x:c r="E311" s="48" t="str"/>
      <x:c r="F311" s="48" t="str">
        <x:v>Soe fay Ove Cree see oo</x:v>
      </x:c>
      <x:c r="G311" s="48" t="str">
        <x:v>Obligation</x:v>
      </x:c>
      <x:c r="H311" s="48" t="str">
        <x:v>Shared</x:v>
      </x:c>
      <x:c r="I311" s="48" t="n">
        <x:v>0.45</x:v>
      </x:c>
      <x:c r="J311" s="48" t="n">
        <x:v>0.4</x:v>
      </x:c>
      <x:c r="K311" s="48" t="str">
        <x:v>Yes</x:v>
      </x:c>
      <x:c r="L311" s="48" t="str">
        <x:v>OCR</x:v>
      </x:c>
    </x:row>
    <x:row r="312">
      <x:c r="A312" s="48" t="str">
        <x:v>ORANGE-0311</x:v>
      </x:c>
      <x:c r="B312" s="48" t="str">
        <x:v>ORANGE</x:v>
      </x:c>
      <x:c r="C312" s="48" t="str">
        <x:v>English</x:v>
      </x:c>
      <x:c r="D312" s="48" t="n">
        <x:v>30</x:v>
      </x:c>
      <x:c r="E312" s="48" t="str"/>
      <x:c r="F312" s="48" t="str">
        <x:v>‘ehcp paste Epp ~ ‘Aer einer Rpt ha ed Taking Over Cin fo ‘prof the Wake te Concer sl be gene els oppouney SEGA Me auy be menany1 ct ay osteng Ts ‘Cet nt Coco tl cary ot mach Tom Cnn</x:v>
      </x:c>
      <x:c r="G312" s="48" t="str">
        <x:v>Obligation</x:v>
      </x:c>
      <x:c r="H312" s="48" t="str">
        <x:v>Shared</x:v>
      </x:c>
      <x:c r="I312" s="48" t="n">
        <x:v>0.45</x:v>
      </x:c>
      <x:c r="J312" s="48" t="n">
        <x:v>0.4</x:v>
      </x:c>
      <x:c r="K312" s="48" t="str">
        <x:v>Yes</x:v>
      </x:c>
      <x:c r="L312" s="48" t="str">
        <x:v>OCR</x:v>
      </x:c>
    </x:row>
    <x:row r="313">
      <x:c r="A313" s="48" t="str">
        <x:v>ORANGE-0312</x:v>
      </x:c>
      <x:c r="B313" s="48" t="str">
        <x:v>ORANGE</x:v>
      </x:c>
      <x:c r="C313" s="48" t="str">
        <x:v>English</x:v>
      </x:c>
      <x:c r="D313" s="48" t="n">
        <x:v>30</x:v>
      </x:c>
      <x:c r="E313" s="48" t="str"/>
      <x:c r="F313" s="48" t="str">
        <x:v>Stone pal beet ep ft Conc Pd</x:v>
      </x:c>
      <x:c r="G313" s="48" t="str">
        <x:v>Obligation</x:v>
      </x:c>
      <x:c r="H313" s="48" t="str">
        <x:v>Shared</x:v>
      </x:c>
      <x:c r="I313" s="48" t="n">
        <x:v>0.45</x:v>
      </x:c>
      <x:c r="J313" s="48" t="n">
        <x:v>0.4</x:v>
      </x:c>
      <x:c r="K313" s="48" t="str">
        <x:v>Yes</x:v>
      </x:c>
      <x:c r="L313" s="48" t="str">
        <x:v>OCR</x:v>
      </x:c>
    </x:row>
    <x:row r="314">
      <x:c r="A314" s="48" t="str">
        <x:v>ORANGE-0313</x:v>
      </x:c>
      <x:c r="B314" s="48" t="str">
        <x:v>ORANGE</x:v>
      </x:c>
      <x:c r="C314" s="48" t="str">
        <x:v>English</x:v>
      </x:c>
      <x:c r="D314" s="48" t="n">
        <x:v>30</x:v>
      </x:c>
      <x:c r="E314" s="48" t="str"/>
      <x:c r="F314" s="48" t="str">
        <x:v>merece wih 143i Corer irs om crying te Tes Compe « ‘natenCansuina "San fr ehh he Engler (or aber coun employed by</x:v>
      </x:c>
      <x:c r="G314" s="48" t="str">
        <x:v>Obligation</x:v>
      </x:c>
      <x:c r="H314" s="48" t="str">
        <x:v>Shared</x:v>
      </x:c>
      <x:c r="I314" s="48" t="n">
        <x:v>0.45</x:v>
      </x:c>
      <x:c r="J314" s="48" t="n">
        <x:v>0.4</x:v>
      </x:c>
      <x:c r="K314" s="48" t="str">
        <x:v>Yes</x:v>
      </x:c>
      <x:c r="L314" s="48" t="str">
        <x:v>OCR</x:v>
      </x:c>
    </x:row>
    <x:row r="315">
      <x:c r="A315" s="48" t="str">
        <x:v>ORANGE-0314</x:v>
      </x:c>
      <x:c r="B315" s="48" t="str">
        <x:v>ORANGE</x:v>
      </x:c>
      <x:c r="C315" s="48" t="str">
        <x:v>English</x:v>
      </x:c>
      <x:c r="D315" s="48" t="n">
        <x:v>31</x:v>
      </x:c>
      <x:c r="E315" s="48" t="str"/>
      <x:c r="F315" s="48" t="str">
        <x:v>Een rapnsble he npr sal bedankt</x:v>
      </x:c>
      <x:c r="G315" s="48" t="str">
        <x:v>Obligation</x:v>
      </x:c>
      <x:c r="H315" s="48" t="str">
        <x:v>Shared</x:v>
      </x:c>
      <x:c r="I315" s="48" t="n">
        <x:v>0.45</x:v>
      </x:c>
      <x:c r="J315" s="48" t="n">
        <x:v>0.4</x:v>
      </x:c>
      <x:c r="K315" s="48" t="str">
        <x:v>Yes</x:v>
      </x:c>
      <x:c r="L315" s="48" t="str">
        <x:v>OCR</x:v>
      </x:c>
    </x:row>
    <x:row r="316">
      <x:c r="A316" s="48" t="str">
        <x:v>ORANGE-0315</x:v>
      </x:c>
      <x:c r="B316" s="48" t="str">
        <x:v>ORANGE</x:v>
      </x:c>
      <x:c r="C316" s="48" t="str">
        <x:v>English</x:v>
      </x:c>
      <x:c r="D316" s="48" t="n">
        <x:v>31</x:v>
      </x:c>
      <x:c r="E316" s="48" t="str"/>
      <x:c r="F316" s="48" t="str">
        <x:v>‘Nort or Sects csc abe ae wen Tens Compa</x:v>
      </x:c>
      <x:c r="G316" s="48" t="str">
        <x:v>Obligation</x:v>
      </x:c>
      <x:c r="H316" s="48" t="str">
        <x:v>Shared</x:v>
      </x:c>
      <x:c r="I316" s="48" t="n">
        <x:v>0.45</x:v>
      </x:c>
      <x:c r="J316" s="48" t="n">
        <x:v>0.4</x:v>
      </x:c>
      <x:c r="K316" s="48" t="str">
        <x:v>Yes</x:v>
      </x:c>
      <x:c r="L316" s="48" t="str">
        <x:v>OCR</x:v>
      </x:c>
    </x:row>
    <x:row r="317">
      <x:c r="A317" s="48" t="str">
        <x:v>ORANGE-0316</x:v>
      </x:c>
      <x:c r="B317" s="48" t="str">
        <x:v>ORANGE</x:v>
      </x:c>
      <x:c r="C317" s="48" t="str">
        <x:v>English</x:v>
      </x:c>
      <x:c r="D317" s="48" t="n">
        <x:v>31</x:v>
      </x:c>
      <x:c r="E317" s="48" t="str"/>
      <x:c r="F317" s="48" t="str">
        <x:v>Wine snp Ova Soe ety alae toes coy</x:v>
      </x:c>
      <x:c r="G317" s="48" t="str">
        <x:v>Obligation</x:v>
      </x:c>
      <x:c r="H317" s="48" t="str">
        <x:v>Shared</x:v>
      </x:c>
      <x:c r="I317" s="48" t="n">
        <x:v>0.45</x:v>
      </x:c>
      <x:c r="J317" s="48" t="n">
        <x:v>0.4</x:v>
      </x:c>
      <x:c r="K317" s="48" t="str">
        <x:v>Yes</x:v>
      </x:c>
      <x:c r="L317" s="48" t="str">
        <x:v>OCR</x:v>
      </x:c>
    </x:row>
    <x:row r="318">
      <x:c r="A318" s="48" t="str">
        <x:v>ORANGE-0317</x:v>
      </x:c>
      <x:c r="B318" s="48" t="str">
        <x:v>ORANGE</x:v>
      </x:c>
      <x:c r="C318" s="48" t="str">
        <x:v>English</x:v>
      </x:c>
      <x:c r="D318" s="48" t="n">
        <x:v>31</x:v>
      </x:c>
      <x:c r="E318" s="48" t="str"/>
      <x:c r="F318" s="48" t="str">
        <x:v>{ae Tea en Capon w Soo pata, blr the exp he</x:v>
      </x:c>
      <x:c r="G318" s="48" t="str">
        <x:v>Obligation</x:v>
      </x:c>
      <x:c r="H318" s="48" t="str">
        <x:v>Shared</x:v>
      </x:c>
      <x:c r="I318" s="48" t="n">
        <x:v>0.45</x:v>
      </x:c>
      <x:c r="J318" s="48" t="n">
        <x:v>0.4</x:v>
      </x:c>
      <x:c r="K318" s="48" t="str">
        <x:v>Yes</x:v>
      </x:c>
      <x:c r="L318" s="48" t="str">
        <x:v>OCR</x:v>
      </x:c>
    </x:row>
    <x:row r="319">
      <x:c r="A319" s="48" t="str">
        <x:v>ORANGE-0318</x:v>
      </x:c>
      <x:c r="B319" s="48" t="str">
        <x:v>ORANGE</x:v>
      </x:c>
      <x:c r="C319" s="48" t="str">
        <x:v>English</x:v>
      </x:c>
      <x:c r="D319" s="48" t="n">
        <x:v>31</x:v>
      </x:c>
      <x:c r="E319" s="48" t="str"/>
      <x:c r="F319" s="48" t="str">
        <x:v>Sitar ceartenreneas tee</x:v>
      </x:c>
      <x:c r="G319" s="48" t="str">
        <x:v>Obligation</x:v>
      </x:c>
      <x:c r="H319" s="48" t="str">
        <x:v>Shared</x:v>
      </x:c>
      <x:c r="I319" s="48" t="n">
        <x:v>0.45</x:v>
      </x:c>
      <x:c r="J319" s="48" t="n">
        <x:v>0.4</x:v>
      </x:c>
      <x:c r="K319" s="48" t="str">
        <x:v>Yes</x:v>
      </x:c>
      <x:c r="L319" s="48" t="str">
        <x:v>OCR</x:v>
      </x:c>
    </x:row>
    <x:row r="320">
      <x:c r="A320" s="48" t="str">
        <x:v>ORANGE-0319</x:v>
      </x:c>
      <x:c r="B320" s="48" t="str">
        <x:v>ORANGE</x:v>
      </x:c>
      <x:c r="C320" s="48" t="str">
        <x:v>English</x:v>
      </x:c>
      <x:c r="D320" s="48" t="n">
        <x:v>31</x:v>
      </x:c>
      <x:c r="E320" s="48" t="str"/>
      <x:c r="F320" s="48" t="str">
        <x:v>meeestiomoh ie eetemers ‘Cone Price 7</x:v>
      </x:c>
      <x:c r="G320" s="48" t="str">
        <x:v>Obligation</x:v>
      </x:c>
      <x:c r="H320" s="48" t="str">
        <x:v>Shared</x:v>
      </x:c>
      <x:c r="I320" s="48" t="n">
        <x:v>0.45</x:v>
      </x:c>
      <x:c r="J320" s="48" t="n">
        <x:v>0.4</x:v>
      </x:c>
      <x:c r="K320" s="48" t="str">
        <x:v>Yes</x:v>
      </x:c>
      <x:c r="L320" s="48" t="str">
        <x:v>OCR</x:v>
      </x:c>
    </x:row>
    <x:row r="321">
      <x:c r="A321" s="48" t="str">
        <x:v>ORANGE-0320</x:v>
      </x:c>
      <x:c r="B321" s="48" t="str">
        <x:v>ORANGE</x:v>
      </x:c>
      <x:c r="C321" s="48" t="str">
        <x:v>English</x:v>
      </x:c>
      <x:c r="D321" s="48" t="n">
        <x:v>31</x:v>
      </x:c>
      <x:c r="E321" s="48" t="str"/>
      <x:c r="F321" s="48" t="str">
        <x:v>LL Tests after Completion</x:v>
      </x:c>
      <x:c r="G321" s="48" t="str">
        <x:v>Obligation</x:v>
      </x:c>
      <x:c r="H321" s="48" t="str">
        <x:v>Shared</x:v>
      </x:c>
      <x:c r="I321" s="48" t="n">
        <x:v>0.45</x:v>
      </x:c>
      <x:c r="J321" s="48" t="n">
        <x:v>0.4</x:v>
      </x:c>
      <x:c r="K321" s="48" t="str">
        <x:v>Yes</x:v>
      </x:c>
      <x:c r="L321" s="48" t="str">
        <x:v>OCR</x:v>
      </x:c>
    </x:row>
    <x:row r="322">
      <x:c r="A322" s="48" t="str">
        <x:v>ORANGE-0321</x:v>
      </x:c>
      <x:c r="B322" s="48" t="str">
        <x:v>ORANGE</x:v>
      </x:c>
      <x:c r="C322" s="48" t="str">
        <x:v>English</x:v>
      </x:c>
      <x:c r="D322" s="48" t="n">
        <x:v>31</x:v>
      </x:c>
      <x:c r="E322" s="48" t="str"/>
      <x:c r="F322" s="48" t="str">
        <x:v>Ampler LL Ti ter Compton a pce aC hi Cae a</x:v>
      </x:c>
      <x:c r="G322" s="48" t="str">
        <x:v>Obligation</x:v>
      </x:c>
      <x:c r="H322" s="48" t="str">
        <x:v>Shared</x:v>
      </x:c>
      <x:c r="I322" s="48" t="n">
        <x:v>0.45</x:v>
      </x:c>
      <x:c r="J322" s="48" t="n">
        <x:v>0.4</x:v>
      </x:c>
      <x:c r="K322" s="48" t="str">
        <x:v>Yes</x:v>
      </x:c>
      <x:c r="L322" s="48" t="str">
        <x:v>OCR</x:v>
      </x:c>
    </x:row>
    <x:row r="323">
      <x:c r="A323" s="48" t="str">
        <x:v>ORANGE-0322</x:v>
      </x:c>
      <x:c r="B323" s="48" t="str">
        <x:v>ORANGE</x:v>
      </x:c>
      <x:c r="C323" s="48" t="str">
        <x:v>English</x:v>
      </x:c>
      <x:c r="D323" s="48" t="n">
        <x:v>31</x:v>
      </x:c>
      <x:c r="E323" s="48" t="str"/>
      <x:c r="F323" s="48" t="str">
        <x:v>Gilead" lc here uscd in fae pone ae nce br mas, cry, wat ad all cy oth oa i ‘Genin nase St maa poe y Cotter dt</x:v>
      </x:c>
      <x:c r="G323" s="48" t="str">
        <x:v>Obligation</x:v>
      </x:c>
      <x:c r="H323" s="48" t="str">
        <x:v>Shared</x:v>
      </x:c>
      <x:c r="I323" s="48" t="n">
        <x:v>0.45</x:v>
      </x:c>
      <x:c r="J323" s="48" t="n">
        <x:v>0.4</x:v>
      </x:c>
      <x:c r="K323" s="48" t="str">
        <x:v>Yes</x:v>
      </x:c>
      <x:c r="L323" s="48" t="str">
        <x:v>OCR</x:v>
      </x:c>
    </x:row>
    <x:row r="324">
      <x:c r="A324" s="48" t="str">
        <x:v>ORANGE-0323</x:v>
      </x:c>
      <x:c r="B324" s="48" t="str">
        <x:v>ORANGE</x:v>
      </x:c>
      <x:c r="C324" s="48" t="str">
        <x:v>English</x:v>
      </x:c>
      <x:c r="D324" s="48" t="n">
        <x:v>31</x:v>
      </x:c>
      <x:c r="E324" s="48" t="str"/>
      <x:c r="F324" s="48" t="str">
        <x:v>Sse sn ac pi te Comm ay bee ae</x:v>
      </x:c>
      <x:c r="G324" s="48" t="str">
        <x:v>Obligation</x:v>
      </x:c>
      <x:c r="H324" s="48" t="str">
        <x:v>Shared</x:v>
      </x:c>
      <x:c r="I324" s="48" t="n">
        <x:v>0.45</x:v>
      </x:c>
      <x:c r="J324" s="48" t="n">
        <x:v>0.4</x:v>
      </x:c>
      <x:c r="K324" s="48" t="str">
        <x:v>Yes</x:v>
      </x:c>
      <x:c r="L324" s="48" t="str">
        <x:v>OCR</x:v>
      </x:c>
    </x:row>
    <x:row r="325">
      <x:c r="A325" s="48" t="str">
        <x:v>ORANGE-0324</x:v>
      </x:c>
      <x:c r="B325" s="48" t="str">
        <x:v>ORANGE</x:v>
      </x:c>
      <x:c r="C325" s="48" t="str">
        <x:v>English</x:v>
      </x:c>
      <x:c r="D325" s="48" t="n">
        <x:v>31</x:v>
      </x:c>
      <x:c r="E325" s="48" t="str"/>
      <x:c r="F325" s="48" t="str">
        <x:v>‘he Ta sf Compton sl ced on emly [seal aero oS tavern en ne he Epe ‘Re Enpesape he Com 3 em eae Sher whi e an ser Compcn st cad Un ern se, “ivtes uteri ten 1a ne ey ‘Etanscdty ic Eee Whe Cnet st cd ca cragcd be npn’ siy pce eine Tse Coron eh ‘Sir t'cema hn tena othe Com prec,</x:v>
      </x:c>
      <x:c r="G325" s="48" t="str">
        <x:v>Obligation</x:v>
      </x:c>
      <x:c r="H325" s="48" t="str">
        <x:v>Shared</x:v>
      </x:c>
      <x:c r="I325" s="48" t="n">
        <x:v>0.45</x:v>
      </x:c>
      <x:c r="J325" s="48" t="n">
        <x:v>0.4</x:v>
      </x:c>
      <x:c r="K325" s="48" t="str">
        <x:v>Yes</x:v>
      </x:c>
      <x:c r="L325" s="48" t="str">
        <x:v>OCR</x:v>
      </x:c>
    </x:row>
    <x:row r="326">
      <x:c r="A326" s="48" t="str">
        <x:v>ORANGE-0325</x:v>
      </x:c>
      <x:c r="B326" s="48" t="str">
        <x:v>ORANGE</x:v>
      </x:c>
      <x:c r="C326" s="48" t="str">
        <x:v>English</x:v>
      </x:c>
      <x:c r="D326" s="48" t="n">
        <x:v>31</x:v>
      </x:c>
      <x:c r="E326" s="48" t="str"/>
      <x:c r="F326" s="48" t="str">
        <x:v>Fake To altloks</x:v>
      </x:c>
      <x:c r="G326" s="48" t="str">
        <x:v>Obligation</x:v>
      </x:c>
      <x:c r="H326" s="48" t="str">
        <x:v>Shared</x:v>
      </x:c>
      <x:c r="I326" s="48" t="n">
        <x:v>0.45</x:v>
      </x:c>
      <x:c r="J326" s="48" t="n">
        <x:v>0.4</x:v>
      </x:c>
      <x:c r="K326" s="48" t="str">
        <x:v>Yes</x:v>
      </x:c>
      <x:c r="L326" s="48" t="str">
        <x:v>OCR</x:v>
      </x:c>
    </x:row>
    <x:row r="327">
      <x:c r="A327" s="48" t="str">
        <x:v>ORANGE-0326</x:v>
      </x:c>
      <x:c r="B327" s="48" t="str">
        <x:v>ORANGE</x:v>
      </x:c>
      <x:c r="C327" s="48" t="str">
        <x:v>English</x:v>
      </x:c>
      <x:c r="D327" s="48" t="n">
        <x:v>31</x:v>
      </x:c>
      <x:c r="E327" s="48" t="str"/>
      <x:c r="F327" s="48" t="str">
        <x:v>‘Ther oth Ts Comptia comp anes {ener a he Cra Ay eo elf es ae mplon wach on esrb shown bed teh pr we fh odin shat be tc no ou nena aa Deed Yo 12 the Concer nc ato Co sk fy ene ey byte Empl ng ot th Tense Cpt, ch Con pt anc pt sl be Sse he Eng Reps ‘Seri pin Sub Clane 33 fl Wn Yo</x:v>
      </x:c>
      <x:c r="G327" s="48" t="str">
        <x:v>Obligation</x:v>
      </x:c>
      <x:c r="H327" s="48" t="str">
        <x:v>Shared</x:v>
      </x:c>
      <x:c r="I327" s="48" t="n">
        <x:v>0.45</x:v>
      </x:c>
      <x:c r="J327" s="48" t="n">
        <x:v>0.4</x:v>
      </x:c>
      <x:c r="K327" s="48" t="str">
        <x:v>Yes</x:v>
      </x:c>
      <x:c r="L327" s="48" t="str">
        <x:v>OCR</x:v>
      </x:c>
    </x:row>
    <x:row r="328">
      <x:c r="A328" s="48" t="str">
        <x:v>ORANGE-0327</x:v>
      </x:c>
      <x:c r="B328" s="48" t="str">
        <x:v>ORANGE</x:v>
      </x:c>
      <x:c r="C328" s="48" t="str">
        <x:v>English</x:v>
      </x:c>
      <x:c r="D328" s="48" t="n">
        <x:v>31</x:v>
      </x:c>
      <x:c r="E328" s="48" t="str"/>
      <x:c r="F328" s="48" t="str">
        <x:v>Somact he</x:v>
      </x:c>
      <x:c r="G328" s="48" t="str">
        <x:v>Obligation</x:v>
      </x:c>
      <x:c r="H328" s="48" t="str">
        <x:v>Shared</x:v>
      </x:c>
      <x:c r="I328" s="48" t="n">
        <x:v>0.45</x:v>
      </x:c>
      <x:c r="J328" s="48" t="n">
        <x:v>0.4</x:v>
      </x:c>
      <x:c r="K328" s="48" t="str">
        <x:v>Yes</x:v>
      </x:c>
      <x:c r="L328" s="48" t="str">
        <x:v>OCR</x:v>
      </x:c>
    </x:row>
    <x:row r="329">
      <x:c r="A329" s="48" t="str">
        <x:v>ORANGE-0328</x:v>
      </x:c>
      <x:c r="B329" s="48" t="str">
        <x:v>ORANGE</x:v>
      </x:c>
      <x:c r="C329" s="48" t="str">
        <x:v>English</x:v>
      </x:c>
      <x:c r="D329" s="48" t="n">
        <x:v>31</x:v>
      </x:c>
      <x:c r="E329" s="48" t="str"/>
      <x:c r="F329" s="48" t="str">
        <x:v>if ress oat eC. es afer Completion on te</x:v>
      </x:c>
      <x:c r="G329" s="48" t="str">
        <x:v>Obligation</x:v>
      </x:c>
      <x:c r="H329" s="48" t="str">
        <x:v>Shared</x:v>
      </x:c>
      <x:c r="I329" s="48" t="n">
        <x:v>0.45</x:v>
      </x:c>
      <x:c r="J329" s="48" t="n">
        <x:v>0.4</x:v>
      </x:c>
      <x:c r="K329" s="48" t="str">
        <x:v>Yes</x:v>
      </x:c>
      <x:c r="L329" s="48" t="str">
        <x:v>OCR</x:v>
      </x:c>
    </x:row>
    <x:row r="330">
      <x:c r="A330" s="48" t="str">
        <x:v>ORANGE-0329</x:v>
      </x:c>
      <x:c r="B330" s="48" t="str">
        <x:v>ORANGE</x:v>
      </x:c>
      <x:c r="C330" s="48" t="str">
        <x:v>English</x:v>
      </x:c>
      <x:c r="D330" s="48" t="n">
        <x:v>31</x:v>
      </x:c>
      <x:c r="E330" s="48" t="str"/>
      <x:c r="F330" s="48" t="str">
        <x:v>Moss ay Sess cab congo rig te Cent Ped</x:v>
      </x:c>
      <x:c r="G330" s="48" t="str">
        <x:v>Obligation</x:v>
      </x:c>
      <x:c r="H330" s="48" t="str">
        <x:v>Shared</x:v>
      </x:c>
      <x:c r="I330" s="48" t="n">
        <x:v>0.45</x:v>
      </x:c>
      <x:c r="J330" s="48" t="n">
        <x:v>0.4</x:v>
      </x:c>
      <x:c r="K330" s="48" t="str">
        <x:v>Yes</x:v>
      </x:c>
      <x:c r="L330" s="48" t="str">
        <x:v>OCR</x:v>
      </x:c>
    </x:row>
    <x:row r="331">
      <x:c r="A331" s="48" t="str">
        <x:v>ORANGE-0330</x:v>
      </x:c>
      <x:c r="B331" s="48" t="str">
        <x:v>ORANGE</x:v>
      </x:c>
      <x:c r="C331" s="48" t="str">
        <x:v>English</x:v>
      </x:c>
      <x:c r="D331" s="48" t="n">
        <x:v>31</x:v>
      </x:c>
      <x:c r="E331" s="48" t="str"/>
      <x:c r="F331" s="48" t="str">
        <x:v>‘ihe psd ape py the Eyer Cnt) ben te Was ‘Sse mlb occ pes ss ae empce Reesig 13 Ws, Sen. to use Tes fer Cnn. spon (the Contr ny ree aed Ts ae Tes ae Comptin ‘Syd wr oops eh same ee cod SL2Uae ad itaig el fs ol of 9 Conran une ‘Employer mcr aoa co ch ec sal be weve {ry Eales) — s</x:v>
      </x:c>
      <x:c r="G331" s="48" t="str">
        <x:v>Obligation</x:v>
      </x:c>
      <x:c r="H331" s="48" t="str">
        <x:v>Employer</x:v>
      </x:c>
      <x:c r="I331" s="48" t="n">
        <x:v>0.45</x:v>
      </x:c>
      <x:c r="J331" s="48" t="n">
        <x:v>0.68</x:v>
      </x:c>
      <x:c r="K331" s="48" t="str">
        <x:v>Yes</x:v>
      </x:c>
      <x:c r="L331" s="48" t="str">
        <x:v>OCR</x:v>
      </x:c>
    </x:row>
    <x:row r="332">
      <x:c r="A332" s="48" t="str">
        <x:v>ORANGE-0331</x:v>
      </x:c>
      <x:c r="B332" s="48" t="str">
        <x:v>ORANGE</x:v>
      </x:c>
      <x:c r="C332" s="48" t="str">
        <x:v>English</x:v>
      </x:c>
      <x:c r="D332" s="48" t="n">
        <x:v>32</x:v>
      </x:c>
      <x:c r="E332" s="48" t="str"/>
      <x:c r="F332" s="48" t="str">
        <x:v>rare Pan A i ftwing conto ym:</x:v>
      </x:c>
      <x:c r="G332" s="48" t="str">
        <x:v>Obligation</x:v>
      </x:c>
      <x:c r="H332" s="48" t="str">
        <x:v>Shared</x:v>
      </x:c>
      <x:c r="I332" s="48" t="n">
        <x:v>0.45</x:v>
      </x:c>
      <x:c r="J332" s="48" t="n">
        <x:v>0.4</x:v>
      </x:c>
      <x:c r="K332" s="48" t="str">
        <x:v>Yes</x:v>
      </x:c>
      <x:c r="L332" s="48" t="str">
        <x:v>OCR</x:v>
      </x:c>
    </x:row>
    <x:row r="333">
      <x:c r="A333" s="48" t="str">
        <x:v>ORANGE-0332</x:v>
      </x:c>
      <x:c r="B333" s="48" t="str">
        <x:v>ORANGE</x:v>
      </x:c>
      <x:c r="C333" s="48" t="str">
        <x:v>English</x:v>
      </x:c>
      <x:c r="D333" s="48" t="n">
        <x:v>32</x:v>
      </x:c>
      <x:c r="E333" s="48" t="str"/>
      <x:c r="F333" s="48" t="str">
        <x:v>Tater) he Wns Scena say rao Tester Competin</x:v>
      </x:c>
      <x:c r="G333" s="48" t="str">
        <x:v>Obligation</x:v>
      </x:c>
      <x:c r="H333" s="48" t="str">
        <x:v>Shared</x:v>
      </x:c>
      <x:c r="I333" s="48" t="n">
        <x:v>0.45</x:v>
      </x:c>
      <x:c r="J333" s="48" t="n">
        <x:v>0.4</x:v>
      </x:c>
      <x:c r="K333" s="48" t="str">
        <x:v>Yes</x:v>
      </x:c>
      <x:c r="L333" s="48" t="str">
        <x:v>OCR</x:v>
      </x:c>
    </x:row>
    <x:row r="334">
      <x:c r="A334" s="48" t="str">
        <x:v>ORANGE-0333</x:v>
      </x:c>
      <x:c r="B334" s="48" t="str">
        <x:v>ORANGE</x:v>
      </x:c>
      <x:c r="C334" s="48" t="str">
        <x:v>English</x:v>
      </x:c>
      <x:c r="D334" s="48" t="n">
        <x:v>32</x:v>
      </x:c>
      <x:c r="E334" s="48" t="str"/>
      <x:c r="F334" s="48" t="str">
        <x:v>cesta (3 ea sam pti ete nage fc chr ta ‘eelsegS Ss etn Ape Ter. and @ weCanrncr pays achiev sath Egle ing the Coni pon hun Wek oh Senn abe deme ohne pact wa Te ae</x:v>
      </x:c>
      <x:c r="G334" s="48" t="str">
        <x:v>Obligation</x:v>
      </x:c>
      <x:c r="H334" s="48" t="str">
        <x:v>Shared</x:v>
      </x:c>
      <x:c r="I334" s="48" t="n">
        <x:v>0.45</x:v>
      </x:c>
      <x:c r="J334" s="48" t="n">
        <x:v>0.4</x:v>
      </x:c>
      <x:c r="K334" s="48" t="str">
        <x:v>Yes</x:v>
      </x:c>
      <x:c r="L334" s="48" t="str">
        <x:v>OCR</x:v>
      </x:c>
    </x:row>
    <x:row r="335">
      <x:c r="A335" s="48" t="str">
        <x:v>ORANGE-0334</x:v>
      </x:c>
      <x:c r="B335" s="48" t="str">
        <x:v>ORANGE</x:v>
      </x:c>
      <x:c r="C335" s="48" t="str">
        <x:v>English</x:v>
      </x:c>
      <x:c r="D335" s="48" t="n">
        <x:v>32</x:v>
      </x:c>
      <x:c r="E335" s="48" t="str"/>
      <x:c r="F335" s="48" t="str">
        <x:v>Seatac eapnte cme yon oe</x:v>
      </x:c>
      <x:c r="G335" s="48" t="str">
        <x:v>Obligation</x:v>
      </x:c>
      <x:c r="H335" s="48" t="str">
        <x:v>Shared</x:v>
      </x:c>
      <x:c r="I335" s="48" t="n">
        <x:v>0.45</x:v>
      </x:c>
      <x:c r="J335" s="48" t="n">
        <x:v>0.4</x:v>
      </x:c>
      <x:c r="K335" s="48" t="str">
        <x:v>Yes</x:v>
      </x:c>
      <x:c r="L335" s="48" t="str">
        <x:v>OCR</x:v>
      </x:c>
    </x:row>
    <x:row r="336">
      <x:c r="A336" s="48" t="str">
        <x:v>ORANGE-0335</x:v>
      </x:c>
      <x:c r="B336" s="48" t="str">
        <x:v>ORANGE</x:v>
      </x:c>
      <x:c r="C336" s="48" t="str">
        <x:v>English</x:v>
      </x:c>
      <x:c r="D336" s="48" t="n">
        <x:v>32</x:v>
      </x:c>
      <x:c r="E336" s="48" t="str"/>
      <x:c r="F336" s="48" t="str">
        <x:v>ee ern sch ajo eieso 0b a wl&amp; i svt be Emly sch event. te Contact Sal ee tna te enc malin. das ch cert nef tig tte to 0b he Eons Fens weve te per Repent fa Be 2 "Goa Peat e Care tl eee at aaa ews Scion st coe may lb Semed sepa och aber Comptia</x:v>
      </x:c>
      <x:c r="G336" s="48" t="str">
        <x:v>Right</x:v>
      </x:c>
      <x:c r="H336" s="48" t="str">
        <x:v>Shared</x:v>
      </x:c>
      <x:c r="I336" s="48" t="n">
        <x:v>0.78</x:v>
      </x:c>
      <x:c r="J336" s="48" t="n">
        <x:v>0.4</x:v>
      </x:c>
      <x:c r="K336" s="48" t="str">
        <x:v>Yes</x:v>
      </x:c>
      <x:c r="L336" s="48" t="str">
        <x:v>OCR</x:v>
      </x:c>
    </x:row>
    <x:row r="337">
      <x:c r="A337" s="48" t="str">
        <x:v>ORANGE-0336</x:v>
      </x:c>
      <x:c r="B337" s="48" t="str">
        <x:v>ORANGE</x:v>
      </x:c>
      <x:c r="C337" s="48" t="str">
        <x:v>English</x:v>
      </x:c>
      <x:c r="D337" s="48" t="n">
        <x:v>32</x:v>
      </x:c>
      <x:c r="E337" s="48" t="str"/>
      <x:c r="F337" s="48" t="str">
        <x:v>Writs Clonaor cas err ont me ay wae ey</x:v>
      </x:c>
      <x:c r="G337" s="48" t="str">
        <x:v>Obligation</x:v>
      </x:c>
      <x:c r="H337" s="48" t="str">
        <x:v>Shared</x:v>
      </x:c>
      <x:c r="I337" s="48" t="n">
        <x:v>0.45</x:v>
      </x:c>
      <x:c r="J337" s="48" t="n">
        <x:v>0.4</x:v>
      </x:c>
      <x:c r="K337" s="48" t="str">
        <x:v>Yes</x:v>
      </x:c>
      <x:c r="L337" s="48" t="str">
        <x:v>OCR</x:v>
      </x:c>
    </x:row>
    <x:row r="338">
      <x:c r="A338" s="48" t="str">
        <x:v>ORANGE-0337</x:v>
      </x:c>
      <x:c r="B338" s="48" t="str">
        <x:v>ORANGE</x:v>
      </x:c>
      <x:c r="C338" s="48" t="str">
        <x:v>English</x:v>
      </x:c>
      <x:c r="D338" s="48" t="n">
        <x:v>32</x:v>
      </x:c>
      <x:c r="E338" s="48" t="str"/>
      <x:c r="F338" s="48" t="str">
        <x:v>a ny misao Pn by Coir a ata a cia of taro ps8 We afer Compo o tte seem ene Cone Sal ae ‘SIUC Gp rena pot, cab ch ly.</x:v>
      </x:c>
      <x:c r="G338" s="48" t="str">
        <x:v>Obligation</x:v>
      </x:c>
      <x:c r="H338" s="48" t="str">
        <x:v>Shared</x:v>
      </x:c>
      <x:c r="I338" s="48" t="n">
        <x:v>0.45</x:v>
      </x:c>
      <x:c r="J338" s="48" t="n">
        <x:v>0.4</x:v>
      </x:c>
      <x:c r="K338" s="48" t="str">
        <x:v>Yes</x:v>
      </x:c>
      <x:c r="L338" s="48" t="str">
        <x:v>OCR</x:v>
      </x:c>
    </x:row>
    <x:row r="339">
      <x:c r="A339" s="48" t="str">
        <x:v>ORANGE-0338</x:v>
      </x:c>
      <x:c r="B339" s="48" t="str">
        <x:v>ORANGE</x:v>
      </x:c>
      <x:c r="C339" s="48" t="str">
        <x:v>English</x:v>
      </x:c>
      <x:c r="D339" s="48" t="n">
        <x:v>32</x:v>
      </x:c>
      <x:c r="E339" s="48" t="str">
        <x:v>12</x:v>
      </x:c>
      <x:c r="F339" s="48" t="str">
        <x:v>12 Defects Liability,</x:v>
      </x:c>
      <x:c r="G339" s="48" t="str">
        <x:v>Heading</x:v>
      </x:c>
      <x:c r="H339" s="48" t="str"/>
      <x:c r="I339" s="48" t="n">
        <x:v>0.9</x:v>
      </x:c>
      <x:c r="J339" s="48" t="n">
        <x:v>0.99</x:v>
      </x:c>
      <x:c r="K339" s="48" t="str">
        <x:v>No</x:v>
      </x:c>
      <x:c r="L339" s="48" t="str">
        <x:v>OCR</x:v>
      </x:c>
    </x:row>
    <x:row r="340">
      <x:c r="A340" s="48" t="str">
        <x:v>ORANGE-0339</x:v>
      </x:c>
      <x:c r="B340" s="48" t="str">
        <x:v>ORANGE</x:v>
      </x:c>
      <x:c r="C340" s="48" t="str">
        <x:v>English</x:v>
      </x:c>
      <x:c r="D340" s="48" t="n">
        <x:v>32</x:v>
      </x:c>
      <x:c r="E340" s="48" t="str"/>
      <x:c r="F340" s="48" t="str">
        <x:v>Compton 121 xe ht he Coma Doce a te Wh a en he owe tnea, "ce ry Be Co net on ip) oat sarin Werk Sea beep) Cent Pei he Conc a</x:v>
      </x:c>
      <x:c r="G340" s="48" t="str">
        <x:v>Obligation</x:v>
      </x:c>
      <x:c r="H340" s="48" t="str">
        <x:v>Shared</x:v>
      </x:c>
      <x:c r="I340" s="48" t="n">
        <x:v>0.45</x:v>
      </x:c>
      <x:c r="J340" s="48" t="n">
        <x:v>0.4</x:v>
      </x:c>
      <x:c r="K340" s="48" t="str">
        <x:v>Yes</x:v>
      </x:c>
      <x:c r="L340" s="48" t="str">
        <x:v>OCR</x:v>
      </x:c>
    </x:row>
    <x:row r="341">
      <x:c r="A341" s="48" t="str">
        <x:v>ORANGE-0340</x:v>
      </x:c>
      <x:c r="B341" s="48" t="str">
        <x:v>ORANGE</x:v>
      </x:c>
      <x:c r="C341" s="48" t="str">
        <x:v>English</x:v>
      </x:c>
      <x:c r="D341" s="48" t="n">
        <x:v>32</x:v>
      </x:c>
      <x:c r="E341" s="48" t="str"/>
      <x:c r="F341" s="48" t="str">
        <x:v>Deed a) came ay ork wich tango he dae nl i Taig</x:v>
      </x:c>
      <x:c r="G341" s="48" t="str">
        <x:v>Obligation</x:v>
      </x:c>
      <x:c r="H341" s="48" t="str">
        <x:v>Shared</x:v>
      </x:c>
      <x:c r="I341" s="48" t="n">
        <x:v>0.45</x:v>
      </x:c>
      <x:c r="J341" s="48" t="n">
        <x:v>0.4</x:v>
      </x:c>
      <x:c r="K341" s="48" t="str">
        <x:v>Yes</x:v>
      </x:c>
      <x:c r="L341" s="48" t="str">
        <x:v>OCR</x:v>
      </x:c>
    </x:row>
    <x:row r="342">
      <x:c r="A342" s="48" t="str">
        <x:v>ORANGE-0341</x:v>
      </x:c>
      <x:c r="B342" s="48" t="str">
        <x:v>ORANGE</x:v>
      </x:c>
      <x:c r="C342" s="48" t="str">
        <x:v>English</x:v>
      </x:c>
      <x:c r="D342" s="48" t="n">
        <x:v>32</x:v>
      </x:c>
      <x:c r="E342" s="48" t="str"/>
      <x:c r="F342" s="48" t="str">
        <x:v>(o) coco a wtf amen, seme ec</x:v>
      </x:c>
      <x:c r="G342" s="48" t="str">
        <x:v>Obligation</x:v>
      </x:c>
      <x:c r="H342" s="48" t="str">
        <x:v>Shared</x:v>
      </x:c>
      <x:c r="I342" s="48" t="n">
        <x:v>0.45</x:v>
      </x:c>
      <x:c r="J342" s="48" t="n">
        <x:v>0.4</x:v>
      </x:c>
      <x:c r="K342" s="48" t="str">
        <x:v>Yes</x:v>
      </x:c>
      <x:c r="L342" s="48" t="str">
        <x:v>OCR</x:v>
      </x:c>
    </x:row>
    <x:row r="343">
      <x:c r="A343" s="48" t="str">
        <x:v>ORANGE-0342</x:v>
      </x:c>
      <x:c r="B343" s="48" t="str">
        <x:v>ORANGE</x:v>
      </x:c>
      <x:c r="C343" s="48" t="str">
        <x:v>English</x:v>
      </x:c>
      <x:c r="D343" s="48" t="n">
        <x:v>32</x:v>
      </x:c>
      <x:c r="E343" s="48" t="str"/>
      <x:c r="F343" s="48" t="str">
        <x:v>Sem be immed byte yer we Be phe</x:v>
      </x:c>
      <x:c r="G343" s="48" t="str">
        <x:v>Obligation</x:v>
      </x:c>
      <x:c r="H343" s="48" t="str">
        <x:v>Shared</x:v>
      </x:c>
      <x:c r="I343" s="48" t="n">
        <x:v>0.45</x:v>
      </x:c>
      <x:c r="J343" s="48" t="n">
        <x:v>0.4</x:v>
      </x:c>
      <x:c r="K343" s="48" t="str">
        <x:v>Yes</x:v>
      </x:c>
      <x:c r="L343" s="48" t="str">
        <x:v>OCR</x:v>
      </x:c>
    </x:row>
    <x:row r="344">
      <x:c r="A344" s="48" t="str">
        <x:v>ORANGE-0343</x:v>
      </x:c>
      <x:c r="B344" s="48" t="str">
        <x:v>ORANGE</x:v>
      </x:c>
      <x:c r="C344" s="48" t="str">
        <x:v>English</x:v>
      </x:c>
      <x:c r="D344" s="48" t="n">
        <x:v>32</x:v>
      </x:c>
      <x:c r="E344" s="48" t="str"/>
      <x:c r="F344" s="48" t="str">
        <x:v>Fepsinivedghe Co Peod</x:v>
      </x:c>
      <x:c r="G344" s="48" t="str">
        <x:v>Obligation</x:v>
      </x:c>
      <x:c r="H344" s="48" t="str">
        <x:v>Shared</x:v>
      </x:c>
      <x:c r="I344" s="48" t="n">
        <x:v>0.45</x:v>
      </x:c>
      <x:c r="J344" s="48" t="n">
        <x:v>0.4</x:v>
      </x:c>
      <x:c r="K344" s="48" t="str">
        <x:v>Yes</x:v>
      </x:c>
      <x:c r="L344" s="48" t="str">
        <x:v>OCR</x:v>
      </x:c>
    </x:row>
    <x:row r="345">
      <x:c r="A345" s="48" t="str">
        <x:v>ORANGE-0344</x:v>
      </x:c>
      <x:c r="B345" s="48" t="str">
        <x:v>ORANGE</x:v>
      </x:c>
      <x:c r="C345" s="48" t="str">
        <x:v>English</x:v>
      </x:c>
      <x:c r="D345" s="48" t="n">
        <x:v>32</x:v>
      </x:c>
      <x:c r="E345" s="48" t="str"/>
      <x:c r="F345" s="48" t="str">
        <x:v>tay sh defen ppen or damage wes, Ele oe Emp genase ay he Cao wing Awe fol wn $b Cate 12.) le xs yt Coa ‘Sen cei he neces) ch nor i: (@) Be gn e Wes, (ta, Mews of weskmarhip ot big accortace wit Cost af Reeling 122 ihe (eae be Coc copy why of te ogo och cnt ary aber cae be ple epee Me eeepc serpy an sch seen 9 ns eo cones SubClane 163 Sallapyy eh wer</x:v>
      </x:c>
      <x:c r="G345" s="48" t="str">
        <x:v>Obligation</x:v>
      </x:c>
      <x:c r="H345" s="48" t="str">
        <x:v>Shared</x:v>
      </x:c>
      <x:c r="I345" s="48" t="n">
        <x:v>0.45</x:v>
      </x:c>
      <x:c r="J345" s="48" t="n">
        <x:v>0.4</x:v>
      </x:c>
      <x:c r="K345" s="48" t="str">
        <x:v>Yes</x:v>
      </x:c>
      <x:c r="L345" s="48" t="str">
        <x:v>OCR</x:v>
      </x:c>
    </x:row>
    <x:row r="346">
      <x:c r="A346" s="48" t="str">
        <x:v>ORANGE-0345</x:v>
      </x:c>
      <x:c r="B346" s="48" t="str">
        <x:v>ORANGE</x:v>
      </x:c>
      <x:c r="C346" s="48" t="str">
        <x:v>English</x:v>
      </x:c>
      <x:c r="D346" s="48" t="n">
        <x:v>33</x:v>
      </x:c>
      <x:c r="E346" s="48" t="str"/>
      <x:c r="F346" s="48" t="str">
        <x:v>Extension 123.</x:v>
      </x:c>
      <x:c r="G346" s="48" t="str">
        <x:v>Obligation</x:v>
      </x:c>
      <x:c r="H346" s="48" t="str">
        <x:v>Shared</x:v>
      </x:c>
      <x:c r="I346" s="48" t="n">
        <x:v>0.45</x:v>
      </x:c>
      <x:c r="J346" s="48" t="n">
        <x:v>0.4</x:v>
      </x:c>
      <x:c r="K346" s="48" t="str">
        <x:v>Yes</x:v>
      </x:c>
      <x:c r="L346" s="48" t="str">
        <x:v>OCR</x:v>
      </x:c>
    </x:row>
    <x:row r="347">
      <x:c r="A347" s="48" t="str">
        <x:v>ORANGE-0346</x:v>
      </x:c>
      <x:c r="B347" s="48" t="str">
        <x:v>ORANGE</x:v>
      </x:c>
      <x:c r="C347" s="48" t="str">
        <x:v>English</x:v>
      </x:c>
      <x:c r="D347" s="48" t="n">
        <x:v>33</x:v>
      </x:c>
      <x:c r="E347" s="48" t="str"/>
      <x:c r="F347" s="48" t="str">
        <x:v>Te Cot Pes sh e etn ty 4 elo oil the a of ane contrat Pod" gar te oan we uke ing whch be Was Seat em Pla cana ew eh oss ly eed</x:v>
      </x:c>
      <x:c r="G347" s="48" t="str">
        <x:v>Obligation</x:v>
      </x:c>
      <x:c r="H347" s="48" t="str">
        <x:v>Shared</x:v>
      </x:c>
      <x:c r="I347" s="48" t="n">
        <x:v>0.45</x:v>
      </x:c>
      <x:c r="J347" s="48" t="n">
        <x:v>0.4</x:v>
      </x:c>
      <x:c r="K347" s="48" t="str">
        <x:v>Yes</x:v>
      </x:c>
      <x:c r="L347" s="48" t="str">
        <x:v>OCR</x:v>
      </x:c>
    </x:row>
    <x:row r="348">
      <x:c r="A348" s="48" t="str">
        <x:v>ORANGE-0347</x:v>
      </x:c>
      <x:c r="B348" s="48" t="str">
        <x:v>ORANGE</x:v>
      </x:c>
      <x:c r="C348" s="48" t="str">
        <x:v>English</x:v>
      </x:c>
      <x:c r="D348" s="48" t="n">
        <x:v>33</x:v>
      </x:c>
      <x:c r="E348" s="48" t="str"/>
      <x:c r="F348" s="48" t="str">
        <x:v>Spice nace iarge epee Coun Pie sa oe</x:v>
      </x:c>
      <x:c r="G348" s="48" t="str">
        <x:v>Obligation</x:v>
      </x:c>
      <x:c r="H348" s="48" t="str">
        <x:v>Shared</x:v>
      </x:c>
      <x:c r="I348" s="48" t="n">
        <x:v>0.45</x:v>
      </x:c>
      <x:c r="J348" s="48" t="n">
        <x:v>0.4</x:v>
      </x:c>
      <x:c r="K348" s="48" t="str">
        <x:v>Yes</x:v>
      </x:c>
      <x:c r="L348" s="48" t="str">
        <x:v>OCR</x:v>
      </x:c>
    </x:row>
    <x:row r="349">
      <x:c r="A349" s="48" t="str">
        <x:v>ORANGE-0348</x:v>
      </x:c>
      <x:c r="B349" s="48" t="str">
        <x:v>ORANGE</x:v>
      </x:c>
      <x:c r="C349" s="48" t="str">
        <x:v>English</x:v>
      </x:c>
      <x:c r="D349" s="48" t="n">
        <x:v>33</x:v>
      </x:c>
      <x:c r="E349" s="48" t="str"/>
      <x:c r="F349" s="48" t="str">
        <x:v>‘hon mae sa</x:v>
      </x:c>
      <x:c r="G349" s="48" t="str">
        <x:v>Obligation</x:v>
      </x:c>
      <x:c r="H349" s="48" t="str">
        <x:v>Shared</x:v>
      </x:c>
      <x:c r="I349" s="48" t="n">
        <x:v>0.45</x:v>
      </x:c>
      <x:c r="J349" s="48" t="n">
        <x:v>0.4</x:v>
      </x:c>
      <x:c r="K349" s="48" t="str">
        <x:v>Yes</x:v>
      </x:c>
      <x:c r="L349" s="48" t="str">
        <x:v>OCR</x:v>
      </x:c>
    </x:row>
    <x:row r="350">
      <x:c r="A350" s="48" t="str">
        <x:v>ORANGE-0349</x:v>
      </x:c>
      <x:c r="B350" s="48" t="str">
        <x:v>ORANGE</x:v>
      </x:c>
      <x:c r="C350" s="48" t="str">
        <x:v>English</x:v>
      </x:c>
      <x:c r="D350" s="48" t="n">
        <x:v>33</x:v>
      </x:c>
      <x:c r="E350" s="48" t="str"/>
      <x:c r="F350" s="48" t="str">
        <x:v>We vey of Plat ner Maer fo of Pha onan of</x:v>
      </x:c>
      <x:c r="G350" s="48" t="str">
        <x:v>Obligation</x:v>
      </x:c>
      <x:c r="H350" s="48" t="str">
        <x:v>Shared</x:v>
      </x:c>
      <x:c r="I350" s="48" t="n">
        <x:v>0.45</x:v>
      </x:c>
      <x:c r="J350" s="48" t="n">
        <x:v>0.4</x:v>
      </x:c>
      <x:c r="K350" s="48" t="str">
        <x:v>Yes</x:v>
      </x:c>
      <x:c r="L350" s="48" t="str">
        <x:v>OCR</x:v>
      </x:c>
    </x:row>
    <x:row r="351">
      <x:c r="A351" s="48" t="str">
        <x:v>ORANGE-0350</x:v>
      </x:c>
      <x:c r="B351" s="48" t="str">
        <x:v>ORANGE</x:v>
      </x:c>
      <x:c r="C351" s="48" t="str">
        <x:v>English</x:v>
      </x:c>
      <x:c r="D351" s="48" t="n">
        <x:v>33</x:v>
      </x:c>
      <x:c r="E351" s="48" t="str"/>
      <x:c r="F351" s="48" t="str">
        <x:v>Mca Sar en supeded ser SunClane 87 he Conacor’s ‘pt ner hs SbCl al nt ap ay tects trap ‘Scum ore fee ear er te Pt lt Meals wks ‘Shere fave bn ele ected a kn oer Fate Remedy 124 he Contam dfx er dang ihn areas ee (remy edt ape pt Cnr ase ae a chase ie Gri i ey hee a yc a cuenyenecacce (a) cay ont nv af oye. rename an at he ‘Gidactrs van costs Concer tas hve no wpe {er wee con poe care ye Epler ner</x:v>
      </x:c>
      <x:c r="G351" s="48" t="str">
        <x:v>Obligation</x:v>
      </x:c>
      <x:c r="H351" s="48" t="str">
        <x:v>Shared</x:v>
      </x:c>
      <x:c r="I351" s="48" t="n">
        <x:v>0.45</x:v>
      </x:c>
      <x:c r="J351" s="48" t="n">
        <x:v>0.4</x:v>
      </x:c>
      <x:c r="K351" s="48" t="str">
        <x:v>Yes</x:v>
      </x:c>
      <x:c r="L351" s="48" t="str">
        <x:v>OCR</x:v>
      </x:c>
    </x:row>
    <x:row r="352">
      <x:c r="A352" s="48" t="str">
        <x:v>ORANGE-0351</x:v>
      </x:c>
      <x:c r="B352" s="48" t="str">
        <x:v>ORANGE</x:v>
      </x:c>
      <x:c r="C352" s="48" t="str">
        <x:v>English</x:v>
      </x:c>
      <x:c r="D352" s="48" t="n">
        <x:v>33</x:v>
      </x:c>
      <x:c r="E352" s="48" t="str"/>
      <x:c r="F352" s="48" t="str">
        <x:v>ns (©) seg te Engloers Repoematne 1 deemine aa cety © ‘Sombie reco the Conte reo (6) 9 detest samage a he Epes te epi ‘uniy be wa of be bare of he Worse parts of Be Wah ‘Smite Cent eect ef wh prof he Ws come bo</x:v>
      </x:c>
      <x:c r="G352" s="48" t="str">
        <x:v>Obligation</x:v>
      </x:c>
      <x:c r="H352" s="48" t="str">
        <x:v>Shared</x:v>
      </x:c>
      <x:c r="I352" s="48" t="n">
        <x:v>0.45</x:v>
      </x:c>
      <x:c r="J352" s="48" t="n">
        <x:v>0.4</x:v>
      </x:c>
      <x:c r="K352" s="48" t="str">
        <x:v>Yes</x:v>
      </x:c>
      <x:c r="L352" s="48" t="str">
        <x:v>OCR</x:v>
      </x:c>
    </x:row>
    <x:row r="353">
      <x:c r="A353" s="48" t="str">
        <x:v>ORANGE-0352</x:v>
      </x:c>
      <x:c r="B353" s="48" t="str">
        <x:v>ORANGE</x:v>
      </x:c>
      <x:c r="C353" s="48" t="str">
        <x:v>English</x:v>
      </x:c>
      <x:c r="D353" s="48" t="n">
        <x:v>33</x:v>
      </x:c>
      <x:c r="E353" s="48" t="str"/>
      <x:c r="F353" s="48" t="str">
        <x:v>Pott te ment Enya ten fe aie eve a</x:v>
      </x:c>
      <x:c r="G353" s="48" t="str">
        <x:v>Obligation</x:v>
      </x:c>
      <x:c r="H353" s="48" t="str">
        <x:v>Shared</x:v>
      </x:c>
      <x:c r="I353" s="48" t="n">
        <x:v>0.45</x:v>
      </x:c>
      <x:c r="J353" s="48" t="n">
        <x:v>0.4</x:v>
      </x:c>
      <x:c r="K353" s="48" t="str">
        <x:v>Yes</x:v>
      </x:c>
      <x:c r="L353" s="48" t="str">
        <x:v>OCR</x:v>
      </x:c>
    </x:row>
    <x:row r="354">
      <x:c r="A354" s="48" t="str">
        <x:v>ORANGE-0353</x:v>
      </x:c>
      <x:c r="B354" s="48" t="str">
        <x:v>ORANGE</x:v>
      </x:c>
      <x:c r="C354" s="48" t="str">
        <x:v>English</x:v>
      </x:c>
      <x:c r="D354" s="48" t="n">
        <x:v>33</x:v>
      </x:c>
      <x:c r="E354" s="48" t="str"/>
      <x:c r="F354" s="48" t="str">
        <x:v>‘Gi ian cs foe Works eee i cof sing</x:v>
      </x:c>
      <x:c r="G354" s="48" t="str">
        <x:v>Obligation</x:v>
      </x:c>
      <x:c r="H354" s="48" t="str">
        <x:v>Shared</x:v>
      </x:c>
      <x:c r="I354" s="48" t="n">
        <x:v>0.45</x:v>
      </x:c>
      <x:c r="J354" s="48" t="n">
        <x:v>0.4</x:v>
      </x:c>
      <x:c r="K354" s="48" t="str">
        <x:v>Yes</x:v>
      </x:c>
      <x:c r="L354" s="48" t="str">
        <x:v>OCR</x:v>
      </x:c>
    </x:row>
    <x:row r="355">
      <x:c r="A355" s="48" t="str">
        <x:v>ORANGE-0354</x:v>
      </x:c>
      <x:c r="B355" s="48" t="str">
        <x:v>ORANGE</x:v>
      </x:c>
      <x:c r="C355" s="48" t="str">
        <x:v>English</x:v>
      </x:c>
      <x:c r="D355" s="48" t="n">
        <x:v>33</x:v>
      </x:c>
      <x:c r="E355" s="48" t="str"/>
      <x:c r="F355" s="48" t="str">
        <x:v>SE LEne Siac he St an aad Meno</x:v>
      </x:c>
      <x:c r="G355" s="48" t="str">
        <x:v>Obligation</x:v>
      </x:c>
      <x:c r="H355" s="48" t="str">
        <x:v>Shared</x:v>
      </x:c>
      <x:c r="I355" s="48" t="n">
        <x:v>0.45</x:v>
      </x:c>
      <x:c r="J355" s="48" t="n">
        <x:v>0.4</x:v>
      </x:c>
      <x:c r="K355" s="48" t="str">
        <x:v>Yes</x:v>
      </x:c>
      <x:c r="L355" s="48" t="str">
        <x:v>OCR</x:v>
      </x:c>
    </x:row>
    <x:row r="356">
      <x:c r="A356" s="48" t="str">
        <x:v>ORANGE-0355</x:v>
      </x:c>
      <x:c r="B356" s="48" t="str">
        <x:v>ORANGE</x:v>
      </x:c>
      <x:c r="C356" s="48" t="str">
        <x:v>English</x:v>
      </x:c>
      <x:c r="D356" s="48" t="n">
        <x:v>33</x:v>
      </x:c>
      <x:c r="E356" s="48" t="str"/>
      <x:c r="F356" s="48" t="str">
        <x:v>(Cater So&gt;-Clase181 shal mo 8.</x:v>
      </x:c>
      <x:c r="G356" s="48" t="str">
        <x:v>Obligation</x:v>
      </x:c>
      <x:c r="H356" s="48" t="str">
        <x:v>Shared</x:v>
      </x:c>
      <x:c r="I356" s="48" t="n">
        <x:v>0.45</x:v>
      </x:c>
      <x:c r="J356" s="48" t="n">
        <x:v>0.4</x:v>
      </x:c>
      <x:c r="K356" s="48" t="str">
        <x:v>Yes</x:v>
      </x:c>
      <x:c r="L356" s="48" t="str">
        <x:v>OCR</x:v>
      </x:c>
    </x:row>
    <x:row r="357">
      <x:c r="A357" s="48" t="str">
        <x:v>ORANGE-0356</x:v>
      </x:c>
      <x:c r="B357" s="48" t="str">
        <x:v>ORANGE</x:v>
      </x:c>
      <x:c r="C357" s="48" t="str">
        <x:v>English</x:v>
      </x:c>
      <x:c r="D357" s="48" t="n">
        <x:v>33</x:v>
      </x:c>
      <x:c r="E357" s="48" t="str"/>
      <x:c r="F357" s="48" t="str">
        <x:v>Reminald 2S ie dfs dag ah ht itcaet be ened edo he Deve Work | Sete Cun aya ert of Employer Rye is impaer rane fmt Soe repro et ep By pn ‘Noe sh ic tose dame urbe Tet 126 he meng fay defect or damage sath a may alt te elena the Were Egoye year at Tess oom "Taher Capon oboe fe pu tothe vent ey Te ‘yuo ll be made sue nn 3 ys ae be deo ame {Steet ech Ta shalt ied out nce wit Case 98 (ase I ast ae my ight Ae 127 nt eran ain on Cnr hl he "goss ot pts ofthe Works a cso th orig ‘ean be Woks tet as ny emis ih es ‘Sty rare by epatatin spre fr orange Marks Contac y 128 The Contr sa ei byte Eglo Reese sec ‘Sera '7% sn ay sft ner te incon fe oes Reese nish ern oe fer we Corer ae th Cont of So) ‘ech pene por, sh te lo Cat Pcs, an ”</x:v>
      </x:c>
      <x:c r="G357" s="48" t="str">
        <x:v>Right</x:v>
      </x:c>
      <x:c r="H357" s="48" t="str">
        <x:v>Employer</x:v>
      </x:c>
      <x:c r="I357" s="48" t="n">
        <x:v>0.78</x:v>
      </x:c>
      <x:c r="J357" s="48" t="n">
        <x:v>0.68</x:v>
      </x:c>
      <x:c r="K357" s="48" t="str">
        <x:v>Yes</x:v>
      </x:c>
      <x:c r="L357" s="48" t="str">
        <x:v>OCR</x:v>
      </x:c>
    </x:row>
    <x:row r="358">
      <x:c r="A358" s="48" t="str">
        <x:v>ORANGE-0357</x:v>
      </x:c>
      <x:c r="B358" s="48" t="str">
        <x:v>ORANGE</x:v>
      </x:c>
      <x:c r="C358" s="48" t="str">
        <x:v>English</x:v>
      </x:c>
      <x:c r="D358" s="48" t="n">
        <x:v>34</x:v>
      </x:c>
      <x:c r="E358" s="48" t="str"/>
      <x:c r="F358" s="48" t="str">
        <x:v>strmnce 129° The Cott sa stb comico el he Prat “Counce |”?</x:v>
      </x:c>
      <x:c r="G358" s="48" t="str">
        <x:v>Obligation</x:v>
      </x:c>
      <x:c r="H358" s="48" t="str">
        <x:v>Shared</x:v>
      </x:c>
      <x:c r="I358" s="48" t="n">
        <x:v>0.45</x:v>
      </x:c>
      <x:c r="J358" s="48" t="n">
        <x:v>0.4</x:v>
      </x:c>
      <x:c r="K358" s="48" t="str">
        <x:v>Yes</x:v>
      </x:c>
      <x:c r="L358" s="48" t="str">
        <x:v>OCR</x:v>
      </x:c>
    </x:row>
    <x:row r="359">
      <x:c r="A359" s="48" t="str">
        <x:v>ORANGE-0358</x:v>
      </x:c>
      <x:c r="B359" s="48" t="str">
        <x:v>ORANGE</x:v>
      </x:c>
      <x:c r="C359" s="48" t="str">
        <x:v>English</x:v>
      </x:c>
      <x:c r="D359" s="48" t="n">
        <x:v>34</x:v>
      </x:c>
      <x:c r="E359" s="48" t="str"/>
      <x:c r="F359" s="48" t="str">
        <x:v>Crna ten pede Employes Rese a cle ©</x:v>
      </x:c>
      <x:c r="G359" s="48" t="str">
        <x:v>Obligation</x:v>
      </x:c>
      <x:c r="H359" s="48" t="str">
        <x:v>Shared</x:v>
      </x:c>
      <x:c r="I359" s="48" t="n">
        <x:v>0.45</x:v>
      </x:c>
      <x:c r="J359" s="48" t="n">
        <x:v>0.4</x:v>
      </x:c>
      <x:c r="K359" s="48" t="str">
        <x:v>Yes</x:v>
      </x:c>
      <x:c r="L359" s="48" t="str">
        <x:v>OCR</x:v>
      </x:c>
    </x:row>
    <x:row r="360">
      <x:c r="A360" s="48" t="str">
        <x:v>ORANGE-0359</x:v>
      </x:c>
      <x:c r="B360" s="48" t="str">
        <x:v>ORANGE</x:v>
      </x:c>
      <x:c r="C360" s="48" t="str">
        <x:v>English</x:v>
      </x:c>
      <x:c r="D360" s="48" t="n">
        <x:v>34</x:v>
      </x:c>
      <x:c r="E360" s="48" t="str"/>
      <x:c r="F360" s="48" t="str">
        <x:v>Sorte ae ce whee Comer compos</x:v>
      </x:c>
      <x:c r="G360" s="48" t="str">
        <x:v>Obligation</x:v>
      </x:c>
      <x:c r="H360" s="48" t="str">
        <x:v>Shared</x:v>
      </x:c>
      <x:c r="I360" s="48" t="n">
        <x:v>0.45</x:v>
      </x:c>
      <x:c r="J360" s="48" t="n">
        <x:v>0.4</x:v>
      </x:c>
      <x:c r="K360" s="48" t="str">
        <x:v>Yes</x:v>
      </x:c>
      <x:c r="L360" s="48" t="str">
        <x:v>OCR</x:v>
      </x:c>
    </x:row>
    <x:row r="361">
      <x:c r="A361" s="48" t="str">
        <x:v>ORANGE-0360</x:v>
      </x:c>
      <x:c r="B361" s="48" t="str">
        <x:v>ORANGE</x:v>
      </x:c>
      <x:c r="C361" s="48" t="str">
        <x:v>English</x:v>
      </x:c>
      <x:c r="D361" s="48" t="n">
        <x:v>34</x:v>
      </x:c>
      <x:c r="E361" s="48" t="str"/>
      <x:c r="F361" s="48" t="str">
        <x:v>‘Sicaton wth Empey’ st ‘The Pefrnace Cerf abe ne by he EnloersRepesate</x:v>
      </x:c>
      <x:c r="G361" s="48" t="str">
        <x:v>Obligation</x:v>
      </x:c>
      <x:c r="H361" s="48" t="str">
        <x:v>Shared</x:v>
      </x:c>
      <x:c r="I361" s="48" t="n">
        <x:v>0.45</x:v>
      </x:c>
      <x:c r="J361" s="48" t="n">
        <x:v>0.4</x:v>
      </x:c>
      <x:c r="K361" s="48" t="str">
        <x:v>Yes</x:v>
      </x:c>
      <x:c r="L361" s="48" t="str">
        <x:v>OCR</x:v>
      </x:c>
    </x:row>
    <x:row r="362">
      <x:c r="A362" s="48" t="str">
        <x:v>ORANGE-0361</x:v>
      </x:c>
      <x:c r="B362" s="48" t="str">
        <x:v>ORANGE</x:v>
      </x:c>
      <x:c r="C362" s="48" t="str">
        <x:v>English</x:v>
      </x:c>
      <x:c r="D362" s="48" t="n">
        <x:v>34</x:v>
      </x:c>
      <x:c r="E362" s="48" t="str"/>
      <x:c r="F362" s="48" t="str">
        <x:v>Tec SeC iets ater oft Cott endosomes</x:v>
      </x:c>
      <x:c r="G362" s="48" t="str">
        <x:v>Obligation</x:v>
      </x:c>
      <x:c r="H362" s="48" t="str">
        <x:v>Shared</x:v>
      </x:c>
      <x:c r="I362" s="48" t="n">
        <x:v>0.45</x:v>
      </x:c>
      <x:c r="J362" s="48" t="n">
        <x:v>0.4</x:v>
      </x:c>
      <x:c r="K362" s="48" t="str">
        <x:v>Yes</x:v>
      </x:c>
      <x:c r="L362" s="48" t="str">
        <x:v>OCR</x:v>
      </x:c>
    </x:row>
    <x:row r="363">
      <x:c r="A363" s="48" t="str">
        <x:v>ORANGE-0362</x:v>
      </x:c>
      <x:c r="B363" s="48" t="str">
        <x:v>ORANGE</x:v>
      </x:c>
      <x:c r="C363" s="48" t="str">
        <x:v>English</x:v>
      </x:c>
      <x:c r="D363" s="48" t="n">
        <x:v>34</x:v>
      </x:c>
      <x:c r="E363" s="48" t="str"/>
      <x:c r="F363" s="48" t="str">
        <x:v>SEED ‘Cetr hs pried ae Cera Doce a ‘Stew ae Woes sci eing a ee ‘nite Prfrmanse Creal dered consi pos oh ‘ic tc eo en ty aan schemas erm a a me: ore pron of emia ‘TES Tek aio i Ct a Seed oerain nfo, 13.</x:v>
      </x:c>
      <x:c r="G363" s="48" t="str">
        <x:v>Obligation</x:v>
      </x:c>
      <x:c r="H363" s="48" t="str">
        <x:v>Shared</x:v>
      </x:c>
      <x:c r="I363" s="48" t="n">
        <x:v>0.45</x:v>
      </x:c>
      <x:c r="J363" s="48" t="n">
        <x:v>0.4</x:v>
      </x:c>
      <x:c r="K363" s="48" t="str">
        <x:v>Yes</x:v>
      </x:c>
      <x:c r="L363" s="48" t="str">
        <x:v>OCR</x:v>
      </x:c>
    </x:row>
    <x:row r="364">
      <x:c r="A364" s="48" t="str">
        <x:v>ORANGE-0363</x:v>
      </x:c>
      <x:c r="B364" s="48" t="str">
        <x:v>ORANGE</x:v>
      </x:c>
      <x:c r="C364" s="48" t="str">
        <x:v>English</x:v>
      </x:c>
      <x:c r="D364" s="48" t="n">
        <x:v>34</x:v>
      </x:c>
      <x:c r="E364" s="48" t="str"/>
      <x:c r="F364" s="48" t="str">
        <x:v>Contract Price and Payment “The Contract Pree IAI Unsorted in Pa (a) pope one Wn sl ed ap atm te ©) th oma sil tba tangent cof 4, Son fa fe ate Cec sed (ertbeoss exe nbn 11 (a) any quis wich my be tot a Seed ony tied ‘Shain art green the al and cot gis oe</x:v>
      </x:c>
      <x:c r="G364" s="48" t="str">
        <x:v>Obligation</x:v>
      </x:c>
      <x:c r="H364" s="48" t="str">
        <x:v>Shared</x:v>
      </x:c>
      <x:c r="I364" s="48" t="n">
        <x:v>0.55</x:v>
      </x:c>
      <x:c r="J364" s="48" t="n">
        <x:v>0.4</x:v>
      </x:c>
      <x:c r="K364" s="48" t="str">
        <x:v>Yes</x:v>
      </x:c>
      <x:c r="L364" s="48" t="str">
        <x:v>OCR</x:v>
      </x:c>
    </x:row>
    <x:row r="365">
      <x:c r="A365" s="48" t="str">
        <x:v>ORANGE-0364</x:v>
      </x:c>
      <x:c r="B365" s="48" t="str">
        <x:v>ORANGE</x:v>
      </x:c>
      <x:c r="C365" s="48" t="str">
        <x:v>English</x:v>
      </x:c>
      <x:c r="D365" s="48" t="n">
        <x:v>34</x:v>
      </x:c>
      <x:c r="E365" s="48" t="str"/>
      <x:c r="F365" s="48" t="str">
        <x:v>Sets STS ees aie ees</x:v>
      </x:c>
      <x:c r="G365" s="48" t="str">
        <x:v>Obligation</x:v>
      </x:c>
      <x:c r="H365" s="48" t="str">
        <x:v>Shared</x:v>
      </x:c>
      <x:c r="I365" s="48" t="n">
        <x:v>0.45</x:v>
      </x:c>
      <x:c r="J365" s="48" t="n">
        <x:v>0.4</x:v>
      </x:c>
      <x:c r="K365" s="48" t="str">
        <x:v>Yes</x:v>
      </x:c>
      <x:c r="L365" s="48" t="str">
        <x:v>OCR</x:v>
      </x:c>
    </x:row>
    <x:row r="366">
      <x:c r="A366" s="48" t="str">
        <x:v>ORANGE-0365</x:v>
      </x:c>
      <x:c r="B366" s="48" t="str">
        <x:v>ORANGE</x:v>
      </x:c>
      <x:c r="C366" s="48" t="str">
        <x:v>English</x:v>
      </x:c>
      <x:c r="D366" s="48" t="n">
        <x:v>34</x:v>
      </x:c>
      <x:c r="E366" s="48" t="str"/>
      <x:c r="F366" s="48" t="str">
        <x:v>{ee Comoe (e) any quien, pcs oe yen pr wt quay wich may be en Sony el ee us te any pt oe Wins is oe ad cng oui spld crwrk ha kos rman aon sl 2 sae Pa Advance Payments 132 ‘The Epler wil meets fe aban pymen be Concer</x:v>
      </x:c>
      <x:c r="G366" s="48" t="str">
        <x:v>Right</x:v>
      </x:c>
      <x:c r="H366" s="48" t="str">
        <x:v>Shared</x:v>
      </x:c>
      <x:c r="I366" s="48" t="n">
        <x:v>0.78</x:v>
      </x:c>
      <x:c r="J366" s="48" t="n">
        <x:v>0.4</x:v>
      </x:c>
      <x:c r="K366" s="48" t="str">
        <x:v>Yes</x:v>
      </x:c>
      <x:c r="L366" s="48" t="str">
        <x:v>OCR</x:v>
      </x:c>
    </x:row>
    <x:row r="367">
      <x:c r="A367" s="48" t="str">
        <x:v>ORANGE-0366</x:v>
      </x:c>
      <x:c r="B367" s="48" t="str">
        <x:v>ORANGE</x:v>
      </x:c>
      <x:c r="C367" s="48" t="str">
        <x:v>English</x:v>
      </x:c>
      <x:c r="D367" s="48" t="n">
        <x:v>34</x:v>
      </x:c>
      <x:c r="E367" s="48" t="str"/>
      <x:c r="F367" s="48" t="str">
        <x:v>Me eos aden The tule mck ave pape a</x:v>
      </x:c>
      <x:c r="G367" s="48" t="str">
        <x:v>Obligation</x:v>
      </x:c>
      <x:c r="H367" s="48" t="str">
        <x:v>Shared</x:v>
      </x:c>
      <x:c r="I367" s="48" t="n">
        <x:v>0.45</x:v>
      </x:c>
      <x:c r="J367" s="48" t="n">
        <x:v>0.4</x:v>
      </x:c>
      <x:c r="K367" s="48" t="str">
        <x:v>Yes</x:v>
      </x:c>
      <x:c r="L367" s="48" t="str">
        <x:v>OCR</x:v>
      </x:c>
    </x:row>
    <x:row r="368">
      <x:c r="A368" s="48" t="str">
        <x:v>ORANGE-0367</x:v>
      </x:c>
      <x:c r="B368" s="48" t="str">
        <x:v>ORANGE</x:v>
      </x:c>
      <x:c r="C368" s="48" t="str">
        <x:v>English</x:v>
      </x:c>
      <x:c r="D368" s="48" t="n">
        <x:v>34</x:v>
      </x:c>
      <x:c r="E368" s="48" t="str"/>
      <x:c r="F368" s="48" t="str">
        <x:v>mean timing fic mc han oes ad 8 ‘pet Tener, uae ne peo of crea in hh</x:v>
      </x:c>
      <x:c r="G368" s="48" t="str">
        <x:v>Obligation</x:v>
      </x:c>
      <x:c r="H368" s="48" t="str">
        <x:v>Shared</x:v>
      </x:c>
      <x:c r="I368" s="48" t="n">
        <x:v>0.45</x:v>
      </x:c>
      <x:c r="J368" s="48" t="n">
        <x:v>0.4</x:v>
      </x:c>
      <x:c r="K368" s="48" t="str">
        <x:v>Yes</x:v>
      </x:c>
      <x:c r="L368" s="48" t="str">
        <x:v>OCR</x:v>
      </x:c>
    </x:row>
    <x:row r="369">
      <x:c r="A369" s="48" t="str">
        <x:v>ORANGE-0368</x:v>
      </x:c>
      <x:c r="B369" s="48" t="str">
        <x:v>ORANGE</x:v>
      </x:c>
      <x:c r="C369" s="48" t="str">
        <x:v>English</x:v>
      </x:c>
      <x:c r="D369" s="48" t="n">
        <x:v>34</x:v>
      </x:c>
      <x:c r="E369" s="48" t="str"/>
      <x:c r="F369" s="48" t="str">
        <x:v>Siertonecs pyle The apne Ree sal ac a</x:v>
      </x:c>
      <x:c r="G369" s="48" t="str">
        <x:v>Obligation</x:v>
      </x:c>
      <x:c r="H369" s="48" t="str">
        <x:v>Shared</x:v>
      </x:c>
      <x:c r="I369" s="48" t="n">
        <x:v>0.45</x:v>
      </x:c>
      <x:c r="J369" s="48" t="n">
        <x:v>0.4</x:v>
      </x:c>
      <x:c r="K369" s="48" t="str">
        <x:v>Yes</x:v>
      </x:c>
      <x:c r="L369" s="48" t="str">
        <x:v>OCR</x:v>
      </x:c>
    </x:row>
    <x:row r="370">
      <x:c r="A370" s="48" t="str">
        <x:v>ORANGE-0369</x:v>
      </x:c>
      <x:c r="B370" s="48" t="str">
        <x:v>ORANGE</x:v>
      </x:c>
      <x:c r="C370" s="48" t="str">
        <x:v>English</x:v>
      </x:c>
      <x:c r="D370" s="48" t="n">
        <x:v>35</x:v>
      </x:c>
      <x:c r="E370" s="48" t="str"/>
      <x:c r="F370" s="48" t="str">
        <x:v>“Te avn payment ale psd gh peep edt inci</x:v>
      </x:c>
      <x:c r="G370" s="48" t="str">
        <x:v>Obligation</x:v>
      </x:c>
      <x:c r="H370" s="48" t="str">
        <x:v>Shared</x:v>
      </x:c>
      <x:c r="I370" s="48" t="n">
        <x:v>0.55</x:v>
      </x:c>
      <x:c r="J370" s="48" t="n">
        <x:v>0.4</x:v>
      </x:c>
      <x:c r="K370" s="48" t="str">
        <x:v>Yes</x:v>
      </x:c>
      <x:c r="L370" s="48" t="str">
        <x:v>OCR</x:v>
      </x:c>
    </x:row>
    <x:row r="371">
      <x:c r="A371" s="48" t="str">
        <x:v>ORANGE-0370</x:v>
      </x:c>
      <x:c r="B371" s="48" t="str">
        <x:v>ORANGE</x:v>
      </x:c>
      <x:c r="C371" s="48" t="str">
        <x:v>English</x:v>
      </x:c>
      <x:c r="D371" s="48" t="n">
        <x:v>35</x:v>
      </x:c>
      <x:c r="E371" s="48" t="str"/>
      <x:c r="F371" s="48" t="str">
        <x:v>Pamet Coinc cenfeb e EmpyerReraceave a merce</x:v>
      </x:c>
      <x:c r="G371" s="48" t="str">
        <x:v>Obligation</x:v>
      </x:c>
      <x:c r="H371" s="48" t="str">
        <x:v>Shared</x:v>
      </x:c>
      <x:c r="I371" s="48" t="n">
        <x:v>0.45</x:v>
      </x:c>
      <x:c r="J371" s="48" t="n">
        <x:v>0.4</x:v>
      </x:c>
      <x:c r="K371" s="48" t="str">
        <x:v>Yes</x:v>
      </x:c>
      <x:c r="L371" s="48" t="str">
        <x:v>OCR</x:v>
      </x:c>
    </x:row>
    <x:row r="372">
      <x:c r="A372" s="48" t="str">
        <x:v>ORANGE-0371</x:v>
      </x:c>
      <x:c r="B372" s="48" t="str">
        <x:v>ORANGE</x:v>
      </x:c>
      <x:c r="C372" s="48" t="str">
        <x:v>English</x:v>
      </x:c>
      <x:c r="D372" s="48" t="n">
        <x:v>35</x:v>
      </x:c>
      <x:c r="E372" s="48" t="str"/>
      <x:c r="F372" s="48" t="str">
        <x:v>‘savan Ce Ulow thr penta astaedin e Apn Ten (Gd commence nthe Eee aye Ceahane ‘Seta ti pene be ron eh hee Coona cee rvs Sens ‘Sen icin PCs ening the nce ‘roma sd econ sf aye tenn ne pea</x:v>
      </x:c>
      <x:c r="G372" s="48" t="str">
        <x:v>Obligation</x:v>
      </x:c>
      <x:c r="H372" s="48" t="str">
        <x:v>Shared</x:v>
      </x:c>
      <x:c r="I372" s="48" t="n">
        <x:v>0.45</x:v>
      </x:c>
      <x:c r="J372" s="48" t="n">
        <x:v>0.4</x:v>
      </x:c>
      <x:c r="K372" s="48" t="str">
        <x:v>Yes</x:v>
      </x:c>
      <x:c r="L372" s="48" t="str">
        <x:v>OCR</x:v>
      </x:c>
    </x:row>
    <x:row r="373">
      <x:c r="A373" s="48" t="str">
        <x:v>ORANGE-0372</x:v>
      </x:c>
      <x:c r="B373" s="48" t="str">
        <x:v>ORANGE</x:v>
      </x:c>
      <x:c r="C373" s="48" t="str">
        <x:v>English</x:v>
      </x:c>
      <x:c r="D373" s="48" t="n">
        <x:v>35</x:v>
      </x:c>
      <x:c r="E373" s="48" t="str"/>
      <x:c r="F373" s="48" t="str">
        <x:v>Epes oe ea pc ee</x:v>
      </x:c>
      <x:c r="G373" s="48" t="str">
        <x:v>Obligation</x:v>
      </x:c>
      <x:c r="H373" s="48" t="str">
        <x:v>Shared</x:v>
      </x:c>
      <x:c r="I373" s="48" t="n">
        <x:v>0.45</x:v>
      </x:c>
      <x:c r="J373" s="48" t="n">
        <x:v>0.4</x:v>
      </x:c>
      <x:c r="K373" s="48" t="str">
        <x:v>Yes</x:v>
      </x:c>
      <x:c r="L373" s="48" t="str">
        <x:v>OCR</x:v>
      </x:c>
    </x:row>
    <x:row r="374">
      <x:c r="A374" s="48" t="str">
        <x:v>ORANGE-0373</x:v>
      </x:c>
      <x:c r="B374" s="48" t="str">
        <x:v>ORANGE</x:v>
      </x:c>
      <x:c r="C374" s="48" t="str">
        <x:v>English</x:v>
      </x:c>
      <x:c r="D374" s="48" t="n">
        <x:v>35</x:v>
      </x:c>
      <x:c r="E374" s="48" t="str"/>
      <x:c r="F374" s="48" t="str">
        <x:v>te advent an ten pa pore a fe Ting (ver Canoe fre Wa oy poem ser Cis 1.</x:v>
      </x:c>
      <x:c r="G374" s="48" t="str">
        <x:v>Obligation</x:v>
      </x:c>
      <x:c r="H374" s="48" t="str">
        <x:v>Shared</x:v>
      </x:c>
      <x:c r="I374" s="48" t="n">
        <x:v>0.45</x:v>
      </x:c>
      <x:c r="J374" s="48" t="n">
        <x:v>0.4</x:v>
      </x:c>
      <x:c r="K374" s="48" t="str">
        <x:v>Yes</x:v>
      </x:c>
      <x:c r="L374" s="48" t="str">
        <x:v>OCR</x:v>
      </x:c>
    </x:row>
    <x:row r="375">
      <x:c r="A375" s="48" t="str">
        <x:v>ORANGE-0374</x:v>
      </x:c>
      <x:c r="B375" s="48" t="str">
        <x:v>ORANGE</x:v>
      </x:c>
      <x:c r="C375" s="48" t="str">
        <x:v>English</x:v>
      </x:c>
      <x:c r="D375" s="48" t="n">
        <x:v>35</x:v>
      </x:c>
      <x:c r="E375" s="48" t="str"/>
      <x:c r="F375" s="48" t="str">
        <x:v>He (ecw may tl he we er nce es utig al notin toe eal py by he Cnc te Eno pein ie 123 The Cour ll st a saeet i copies to the Flyer eyrsetan are el of cash so tf spond the ‘Cerne ——_‘Enjuyers Repscuave showing ie oma to which fe Coat ‘Sse mi be pr tig een ‘Win Sub-Cinme LIS, The stmemeet allen the Taming so</x:v>
      </x:c>
      <x:c r="G375" s="48" t="str">
        <x:v>Right</x:v>
      </x:c>
      <x:c r="H375" s="48" t="str">
        <x:v>Shared</x:v>
      </x:c>
      <x:c r="I375" s="48" t="n">
        <x:v>0.78</x:v>
      </x:c>
      <x:c r="J375" s="48" t="n">
        <x:v>0.4</x:v>
      </x:c>
      <x:c r="K375" s="48" t="str">
        <x:v>Yes</x:v>
      </x:c>
      <x:c r="L375" s="48" t="str">
        <x:v>OCR</x:v>
      </x:c>
    </x:row>
    <x:row r="376">
      <x:c r="A376" s="48" t="str">
        <x:v>ORANGE-0375</x:v>
      </x:c>
      <x:c r="B376" s="48" t="str">
        <x:v>ORANGE</x:v>
      </x:c>
      <x:c r="C376" s="48" t="str">
        <x:v>English</x:v>
      </x:c>
      <x:c r="D376" s="48" t="n">
        <x:v>35</x:v>
      </x:c>
      <x:c r="E376" s="48" t="str"/>
      <x:c r="F376" s="48" t="str">
        <x:v>Upton wich sa egret oes in wach he</x:v>
      </x:c>
      <x:c r="G376" s="48" t="str">
        <x:v>Obligation</x:v>
      </x:c>
      <x:c r="H376" s="48" t="str">
        <x:v>Shared</x:v>
      </x:c>
      <x:c r="I376" s="48" t="n">
        <x:v>0.45</x:v>
      </x:c>
      <x:c r="J376" s="48" t="n">
        <x:v>0.4</x:v>
      </x:c>
      <x:c r="K376" s="48" t="str">
        <x:v>Yes</x:v>
      </x:c>
      <x:c r="L376" s="48" t="str">
        <x:v>OCR</x:v>
      </x:c>
    </x:row>
    <x:row r="377">
      <x:c r="A377" s="48" t="str">
        <x:v>ORANGE-0376</x:v>
      </x:c>
      <x:c r="B377" s="48" t="str">
        <x:v>ORANGE</x:v>
      </x:c>
      <x:c r="C377" s="48" t="str">
        <x:v>English</x:v>
      </x:c>
      <x:c r="D377" s="48" t="n">
        <x:v>35</x:v>
      </x:c>
      <x:c r="E377" s="48" t="str"/>
      <x:c r="F377" s="48" t="str">
        <x:v>‘Soa ies aie gee (0) teste coat al fe Conran Docent pried nd ‘Se Works esa pec th mon (xg ans et ‘etningsae dexed ab parappi Blo (0) any anos to be aed a Stic or ange i epaton ‘Sac ih Se Gave 18 (6) any amet o be Sled ft reo, eee oping the emigre aed in be pent Teer elf he ‘Rove am he monty te Enger aces te ie fain My) stent Apel Ted (4 any sous 0 be ned ddd for he aan payments ‘Spoon score win Sab-Case 133 (o) any amos oe ale and deel or Pat and Musial io ‘Sloe ur Su Choe 33 (© any eer sions eden ih may ane become ein ‘State hte Cent Ging det Case 3, ete ns sueChe Ao te tein of hae ceri al previ nein Pen</x:v>
      </x:c>
      <x:c r="G377" s="48" t="str">
        <x:v>Right</x:v>
      </x:c>
      <x:c r="H377" s="48" t="str">
        <x:v>Shared</x:v>
      </x:c>
      <x:c r="I377" s="48" t="n">
        <x:v>0.78</x:v>
      </x:c>
      <x:c r="J377" s="48" t="n">
        <x:v>0.4</x:v>
      </x:c>
      <x:c r="K377" s="48" t="str">
        <x:v>Yes</x:v>
      </x:c>
      <x:c r="L377" s="48" t="str">
        <x:v>OCR</x:v>
      </x:c>
    </x:row>
    <x:row r="378">
      <x:c r="A378" s="48" t="str">
        <x:v>ORANGE-0377</x:v>
      </x:c>
      <x:c r="B378" s="48" t="str">
        <x:v>ORANGE</x:v>
      </x:c>
      <x:c r="C378" s="48" t="str">
        <x:v>English</x:v>
      </x:c>
      <x:c r="D378" s="48" t="n">
        <x:v>35</x:v>
      </x:c>
      <x:c r="E378" s="48" t="str"/>
      <x:c r="F378" s="48" t="str">
        <x:v>Stade of BAe Cnc ince Sle of Pymets ching he ine</x:v>
      </x:c>
      <x:c r="G378" s="48" t="str">
        <x:v>Obligation</x:v>
      </x:c>
      <x:c r="H378" s="48" t="str">
        <x:v>Shared</x:v>
      </x:c>
      <x:c r="I378" s="48" t="n">
        <x:v>0.45</x:v>
      </x:c>
      <x:c r="J378" s="48" t="n">
        <x:v>0.4</x:v>
      </x:c>
      <x:c r="K378" s="48" t="str">
        <x:v>Yes</x:v>
      </x:c>
      <x:c r="L378" s="48" t="str">
        <x:v>OCR</x:v>
      </x:c>
    </x:row>
    <x:row r="379">
      <x:c r="A379" s="48" t="str">
        <x:v>ORANGE-0378</x:v>
      </x:c>
      <x:c r="B379" s="48" t="str">
        <x:v>ORANGE</x:v>
      </x:c>
      <x:c r="C379" s="48" t="str">
        <x:v>English</x:v>
      </x:c>
      <x:c r="D379" s="48" t="n">
        <x:v>35</x:v>
      </x:c>
      <x:c r="E379" s="48" t="str"/>
      <x:c r="F379" s="48" t="str">
        <x:v>‘Pamens the Cru Pc il eps esl ers Sed</x:v>
      </x:c>
      <x:c r="G379" s="48" t="str">
        <x:v>Obligation</x:v>
      </x:c>
      <x:c r="H379" s="48" t="str">
        <x:v>Shared</x:v>
      </x:c>
      <x:c r="I379" s="48" t="n">
        <x:v>0.45</x:v>
      </x:c>
      <x:c r="J379" s="48" t="n">
        <x:v>0.4</x:v>
      </x:c>
      <x:c r="K379" s="48" t="str">
        <x:v>Yes</x:v>
      </x:c>
      <x:c r="L379" s="48" t="str">
        <x:v>OCR</x:v>
      </x:c>
    </x:row>
    <x:row r="380">
      <x:c r="A380" s="48" t="str">
        <x:v>ORANGE-0379</x:v>
      </x:c>
      <x:c r="B380" s="48" t="str">
        <x:v>ORANGE</x:v>
      </x:c>
      <x:c r="C380" s="48" t="str">
        <x:v>English</x:v>
      </x:c>
      <x:c r="D380" s="48" t="n">
        <x:v>35</x:v>
      </x:c>
      <x:c r="E380" s="48" t="str"/>
      <x:c r="F380" s="48" t="str">
        <x:v>(a) the intinets ge in ch Seed hl be wo deen te ‘Simca fa pans apa) of Sb Cae 133 (6) Sicha 135 salt and</x:v>
      </x:c>
      <x:c r="G380" s="48" t="str">
        <x:v>Obligation</x:v>
      </x:c>
      <x:c r="H380" s="48" t="str">
        <x:v>Shared</x:v>
      </x:c>
      <x:c r="I380" s="48" t="n">
        <x:v>0.45</x:v>
      </x:c>
      <x:c r="J380" s="48" t="n">
        <x:v>0.4</x:v>
      </x:c>
      <x:c r="K380" s="48" t="str">
        <x:v>Yes</x:v>
      </x:c>
      <x:c r="L380" s="48" t="str">
        <x:v>OCR</x:v>
      </x:c>
    </x:row>
    <x:row r="381">
      <x:c r="A381" s="48" t="str">
        <x:v>ORANGE-0380</x:v>
      </x:c>
      <x:c r="B381" s="48" t="str">
        <x:v>ORANGE</x:v>
      </x:c>
      <x:c r="C381" s="48" t="str">
        <x:v>English</x:v>
      </x:c>
      <x:c r="D381" s="48" t="n">
        <x:v>36</x:v>
      </x:c>
      <x:c r="E381" s="48" t="str"/>
      <x:c r="F381" s="48" t="str">
        <x:v>(6) ie pment inne nt defied by reece tthe ate rope chcted renege Nahe bpoers Repeat {TOV ened ood ch Sd ch amen sl mae</x:v>
      </x:c>
      <x:c r="G381" s="48" t="str">
        <x:v>Obligation</x:v>
      </x:c>
      <x:c r="H381" s="48" t="str">
        <x:v>Shared</x:v>
      </x:c>
      <x:c r="I381" s="48" t="n">
        <x:v>0.45</x:v>
      </x:c>
      <x:c r="J381" s="48" t="n">
        <x:v>0.4</x:v>
      </x:c>
      <x:c r="K381" s="48" t="str">
        <x:v>Yes</x:v>
      </x:c>
      <x:c r="L381" s="48" t="str">
        <x:v>OCR</x:v>
      </x:c>
    </x:row>
    <x:row r="382">
      <x:c r="A382" s="48" t="str">
        <x:v>ORANGE-0381</x:v>
      </x:c>
      <x:c r="B382" s="48" t="str">
        <x:v>ORANGE</x:v>
      </x:c>
      <x:c r="C382" s="48" t="str">
        <x:v>English</x:v>
      </x:c>
      <x:c r="D382" s="48" t="n">
        <x:v>36</x:v>
      </x:c>
      <x:c r="E382" s="48" t="str"/>
      <x:c r="F382" s="48" t="str">
        <x:v>PLSSHE SG sno Sonne sn ye</x:v>
      </x:c>
      <x:c r="G382" s="48" t="str">
        <x:v>Obligation</x:v>
      </x:c>
      <x:c r="H382" s="48" t="str">
        <x:v>Shared</x:v>
      </x:c>
      <x:c r="I382" s="48" t="n">
        <x:v>0.45</x:v>
      </x:c>
      <x:c r="J382" s="48" t="n">
        <x:v>0.4</x:v>
      </x:c>
      <x:c r="K382" s="48" t="str">
        <x:v>Yes</x:v>
      </x:c>
      <x:c r="L382" s="48" t="str">
        <x:v>OCR</x:v>
      </x:c>
    </x:row>
    <x:row r="383">
      <x:c r="A383" s="48" t="str">
        <x:v>ORANGE-0382</x:v>
      </x:c>
      <x:c r="B383" s="48" t="str">
        <x:v>ORANGE</x:v>
      </x:c>
      <x:c r="C383" s="48" t="str">
        <x:v>English</x:v>
      </x:c>
      <x:c r="D383" s="48" t="n">
        <x:v>36</x:v>
      </x:c>
      <x:c r="E383" s="48" t="str"/>
      <x:c r="F383" s="48" t="str">
        <x:v>‘cSt curttchchthe uu prog send es nt</x:v>
      </x:c>
      <x:c r="G383" s="48" t="str">
        <x:v>Obligation</x:v>
      </x:c>
      <x:c r="H383" s="48" t="str">
        <x:v>Shared</x:v>
      </x:c>
      <x:c r="I383" s="48" t="n">
        <x:v>0.45</x:v>
      </x:c>
      <x:c r="J383" s="48" t="n">
        <x:v>0.4</x:v>
      </x:c>
      <x:c r="K383" s="48" t="str">
        <x:v>Yes</x:v>
      </x:c>
      <x:c r="L383" s="48" t="str">
        <x:v>OCR</x:v>
      </x:c>
    </x:row>
    <x:row r="384">
      <x:c r="A384" s="48" t="str">
        <x:v>ORANGE-0383</x:v>
      </x:c>
      <x:c r="B384" s="48" t="str">
        <x:v>ORANGE</x:v>
      </x:c>
      <x:c r="C384" s="48" t="str">
        <x:v>English</x:v>
      </x:c>
      <x:c r="D384" s="48" t="n">
        <x:v>36</x:v>
      </x:c>
      <x:c r="E384" s="48" t="str"/>
      <x:c r="F384" s="48" t="str">
        <x:v>Sch nse Be Sebel ner ed</x:v>
      </x:c>
      <x:c r="G384" s="48" t="str">
        <x:v>Obligation</x:v>
      </x:c>
      <x:c r="H384" s="48" t="str">
        <x:v>Shared</x:v>
      </x:c>
      <x:c r="I384" s="48" t="n">
        <x:v>0.45</x:v>
      </x:c>
      <x:c r="J384" s="48" t="n">
        <x:v>0.4</x:v>
      </x:c>
      <x:c r="K384" s="48" t="str">
        <x:v>Yes</x:v>
      </x:c>
      <x:c r="L384" s="48" t="str">
        <x:v>OCR</x:v>
      </x:c>
    </x:row>
    <x:row r="385">
      <x:c r="A385" s="48" t="str">
        <x:v>ORANGE-0384</x:v>
      </x:c>
      <x:c r="B385" s="48" t="str">
        <x:v>ORANGE</x:v>
      </x:c>
      <x:c r="C385" s="48" t="str">
        <x:v>English</x:v>
      </x:c>
      <x:c r="D385" s="48" t="n">
        <x:v>36</x:v>
      </x:c>
      <x:c r="E385" s="48" t="str"/>
      <x:c r="F385" s="48" t="str">
        <x:v>nt sn atria 185 Sth.</x:v>
      </x:c>
      <x:c r="G385" s="48" t="str">
        <x:v>Obligation</x:v>
      </x:c>
      <x:c r="H385" s="48" t="str">
        <x:v>Shared</x:v>
      </x:c>
      <x:c r="I385" s="48" t="n">
        <x:v>0.45</x:v>
      </x:c>
      <x:c r="J385" s="48" t="n">
        <x:v>0.4</x:v>
      </x:c>
      <x:c r="K385" s="48" t="str">
        <x:v>Yes</x:v>
      </x:c>
      <x:c r="L385" s="48" t="str">
        <x:v>OCR</x:v>
      </x:c>
    </x:row>
    <x:row r="386">
      <x:c r="A386" s="48" t="str">
        <x:v>ORANGE-0385</x:v>
      </x:c>
      <x:c r="B386" s="48" t="str">
        <x:v>ORANGE</x:v>
      </x:c>
      <x:c r="C386" s="48" t="str">
        <x:v>English</x:v>
      </x:c>
      <x:c r="D386" s="48" t="n">
        <x:v>36</x:v>
      </x:c>
      <x:c r="E386" s="48" t="str"/>
      <x:c r="F386" s="48" t="str">
        <x:v>Ce pi Ingen Pye Crit ain</x:v>
      </x:c>
      <x:c r="G386" s="48" t="str">
        <x:v>Obligation</x:v>
      </x:c>
      <x:c r="H386" s="48" t="str">
        <x:v>Shared</x:v>
      </x:c>
      <x:c r="I386" s="48" t="n">
        <x:v>0.45</x:v>
      </x:c>
      <x:c r="J386" s="48" t="n">
        <x:v>0.4</x:v>
      </x:c>
      <x:c r="K386" s="48" t="str">
        <x:v>Yes</x:v>
      </x:c>
      <x:c r="L386" s="48" t="str">
        <x:v>OCR</x:v>
      </x:c>
    </x:row>
    <x:row r="387">
      <x:c r="A387" s="48" t="str">
        <x:v>ORANGE-0386</x:v>
      </x:c>
      <x:c r="B387" s="48" t="str">
        <x:v>ORANGE</x:v>
      </x:c>
      <x:c r="C387" s="48" t="str">
        <x:v>English</x:v>
      </x:c>
      <x:c r="D387" s="48" t="n">
        <x:v>36</x:v>
      </x:c>
      <x:c r="E387" s="48" t="str"/>
      <x:c r="F387" s="48" t="str">
        <x:v>Me SETLaTeekmrtne mopar shen ty te</x:v>
      </x:c>
      <x:c r="G387" s="48" t="str">
        <x:v>Obligation</x:v>
      </x:c>
      <x:c r="H387" s="48" t="str">
        <x:v>Shared</x:v>
      </x:c>
      <x:c r="I387" s="48" t="n">
        <x:v>0.45</x:v>
      </x:c>
      <x:c r="J387" s="48" t="n">
        <x:v>0.4</x:v>
      </x:c>
      <x:c r="K387" s="48" t="str">
        <x:v>Yes</x:v>
      </x:c>
      <x:c r="L387" s="48" t="str">
        <x:v>OCR</x:v>
      </x:c>
    </x:row>
    <x:row r="388">
      <x:c r="A388" s="48" t="str">
        <x:v>ORANGE-0387</x:v>
      </x:c>
      <x:c r="B388" s="48" t="str">
        <x:v>ORANGE</x:v>
      </x:c>
      <x:c r="C388" s="48" t="str">
        <x:v>English</x:v>
      </x:c>
      <x:c r="D388" s="48" t="n">
        <x:v>36</x:v>
      </x:c>
      <x:c r="E388" s="48" t="str"/>
      <x:c r="F388" s="48" t="str">
        <x:v>‘Ser ioponted be Fema ons The Employer’ Repth | ‘Sol Sie cnc ita oon nas fling {2m hin hi te oe he nr Payment Cerin le</x:v>
      </x:c>
      <x:c r="G388" s="48" t="str">
        <x:v>Obligation</x:v>
      </x:c>
      <x:c r="H388" s="48" t="str">
        <x:v>Employer</x:v>
      </x:c>
      <x:c r="I388" s="48" t="n">
        <x:v>0.55</x:v>
      </x:c>
      <x:c r="J388" s="48" t="n">
        <x:v>0.68</x:v>
      </x:c>
      <x:c r="K388" s="48" t="str">
        <x:v>Yes</x:v>
      </x:c>
      <x:c r="L388" s="48" t="str">
        <x:v>OCR</x:v>
      </x:c>
    </x:row>
    <x:row r="389">
      <x:c r="A389" s="48" t="str">
        <x:v>ORANGE-0388</x:v>
      </x:c>
      <x:c r="B389" s="48" t="str">
        <x:v>ORANGE</x:v>
      </x:c>
      <x:c r="C389" s="48" t="str">
        <x:v>English</x:v>
      </x:c>
      <x:c r="D389" s="48" t="n">
        <x:v>36</x:v>
      </x:c>
      <x:c r="E389" s="48" t="str"/>
      <x:c r="F389" s="48" t="str">
        <x:v>Themon oe Employers Repesetane</x:v>
      </x:c>
      <x:c r="G389" s="48" t="str">
        <x:v>Obligation</x:v>
      </x:c>
      <x:c r="H389" s="48" t="str">
        <x:v>Shared</x:v>
      </x:c>
      <x:c r="I389" s="48" t="n">
        <x:v>0.45</x:v>
      </x:c>
      <x:c r="J389" s="48" t="n">
        <x:v>0.4</x:v>
      </x:c>
      <x:c r="K389" s="48" t="str">
        <x:v>Yes</x:v>
      </x:c>
      <x:c r="L389" s="48" t="str">
        <x:v>OCR</x:v>
      </x:c>
    </x:row>
    <x:row r="390">
      <x:c r="A390" s="48" t="str">
        <x:v>ORANGE-0389</x:v>
      </x:c>
      <x:c r="B390" s="48" t="str">
        <x:v>ORANGE</x:v>
      </x:c>
      <x:c r="C390" s="48" t="str">
        <x:v>English</x:v>
      </x:c>
      <x:c r="D390" s="48" t="n">
        <x:v>36</x:v>
      </x:c>
      <x:c r="E390" s="48" t="str"/>
      <x:c r="F390" s="48" t="str">
        <x:v>(@) he Pata Mas ae comico with na reer ned om She and poems ss age posates (6) he mre ee ements, eit ade</x:v>
      </x:c>
      <x:c r="G390" s="48" t="str">
        <x:v>Obligation</x:v>
      </x:c>
      <x:c r="H390" s="48" t="str">
        <x:v>Shared</x:v>
      </x:c>
      <x:c r="I390" s="48" t="n">
        <x:v>0.45</x:v>
      </x:c>
      <x:c r="J390" s="48" t="n">
        <x:v>0.4</x:v>
      </x:c>
      <x:c r="K390" s="48" t="str">
        <x:v>Yes</x:v>
      </x:c>
      <x:c r="L390" s="48" t="str">
        <x:v>OCR</x:v>
      </x:c>
    </x:row>
    <x:row r="391">
      <x:c r="A391" s="48" t="str">
        <x:v>ORANGE-0390</x:v>
      </x:c>
      <x:c r="B391" s="48" t="str">
        <x:v>ORANGE</x:v>
      </x:c>
      <x:c r="C391" s="48" t="str">
        <x:v>English</x:v>
      </x:c>
      <x:c r="D391" s="48" t="n">
        <x:v>36</x:v>
      </x:c>
      <x:c r="E391" s="48" t="str"/>
      <x:c r="F391" s="48" t="str">
        <x:v>Svein Sa we Lap nse apponed ye Emp</x:v>
      </x:c>
      <x:c r="G391" s="48" t="str">
        <x:v>Obligation</x:v>
      </x:c>
      <x:c r="H391" s="48" t="str">
        <x:v>Shared</x:v>
      </x:c>
      <x:c r="I391" s="48" t="n">
        <x:v>0.45</x:v>
      </x:c>
      <x:c r="J391" s="48" t="n">
        <x:v>0.4</x:v>
      </x:c>
      <x:c r="K391" s="48" t="str">
        <x:v>Yes</x:v>
      </x:c>
      <x:c r="L391" s="48" t="str">
        <x:v>OCR</x:v>
      </x:c>
    </x:row>
    <x:row r="392">
      <x:c r="A392" s="48" t="str">
        <x:v>ORANGE-0391</x:v>
      </x:c>
      <x:c r="B392" s="48" t="str">
        <x:v>ORANGE</x:v>
      </x:c>
      <x:c r="C392" s="48" t="str">
        <x:v>English</x:v>
      </x:c>
      <x:c r="D392" s="48" t="n">
        <x:v>36</x:v>
      </x:c>
      <x:c r="E392" s="48" t="str"/>
      <x:c r="F392" s="48" t="str">
        <x:v>eps sa sch cee seer pectin</x:v>
      </x:c>
      <x:c r="G392" s="48" t="str">
        <x:v>Obligation</x:v>
      </x:c>
      <x:c r="H392" s="48" t="str">
        <x:v>Shared</x:v>
      </x:c>
      <x:c r="I392" s="48" t="n">
        <x:v>0.45</x:v>
      </x:c>
      <x:c r="J392" s="48" t="n">
        <x:v>0.4</x:v>
      </x:c>
      <x:c r="K392" s="48" t="str">
        <x:v>Yes</x:v>
      </x:c>
      <x:c r="L392" s="48" t="str">
        <x:v>OCR</x:v>
      </x:c>
    </x:row>
    <x:row r="393">
      <x:c r="A393" s="48" t="str">
        <x:v>ORANGE-0392</x:v>
      </x:c>
      <x:c r="B393" s="48" t="str">
        <x:v>ORANGE</x:v>
      </x:c>
      <x:c r="C393" s="48" t="str">
        <x:v>English</x:v>
      </x:c>
      <x:c r="D393" s="48" t="n">
        <x:v>36</x:v>
      </x:c>
      <x:c r="E393" s="48" t="str"/>
      <x:c r="F393" s="48" t="str">
        <x:v>Else Reese</x:v>
      </x:c>
      <x:c r="G393" s="48" t="str">
        <x:v>Obligation</x:v>
      </x:c>
      <x:c r="H393" s="48" t="str">
        <x:v>Shared</x:v>
      </x:c>
      <x:c r="I393" s="48" t="n">
        <x:v>0.45</x:v>
      </x:c>
      <x:c r="J393" s="48" t="n">
        <x:v>0.4</x:v>
      </x:c>
      <x:c r="K393" s="48" t="str">
        <x:v>Yes</x:v>
      </x:c>
      <x:c r="L393" s="48" t="str">
        <x:v>OCR</x:v>
      </x:c>
    </x:row>
    <x:row r="394">
      <x:c r="A394" s="48" t="str">
        <x:v>ORANGE-0393</x:v>
      </x:c>
      <x:c r="B394" s="48" t="str">
        <x:v>ORANGE</x:v>
      </x:c>
      <x:c r="C394" s="48" t="str">
        <x:v>English</x:v>
      </x:c>
      <x:c r="D394" s="48" t="n">
        <x:v>36</x:v>
      </x:c>
      <x:c r="E394" s="48" t="str"/>
      <x:c r="F394" s="48" t="str">
        <x:v>Since the Pan an Maras eS, tpt th mach</x:v>
      </x:c>
      <x:c r="G394" s="48" t="str">
        <x:v>Obligation</x:v>
      </x:c>
      <x:c r="H394" s="48" t="str">
        <x:v>Shared</x:v>
      </x:c>
      <x:c r="I394" s="48" t="n">
        <x:v>0.45</x:v>
      </x:c>
      <x:c r="J394" s="48" t="n">
        <x:v>0.4</x:v>
      </x:c>
      <x:c r="K394" s="48" t="str">
        <x:v>Yes</x:v>
      </x:c>
      <x:c r="L394" s="48" t="str">
        <x:v>OCR</x:v>
      </x:c>
    </x:row>
    <x:row r="395">
      <x:c r="A395" s="48" t="str">
        <x:v>ORANGE-0394</x:v>
      </x:c>
      <x:c r="B395" s="48" t="str">
        <x:v>ORANGE</x:v>
      </x:c>
      <x:c r="C395" s="48" t="str">
        <x:v>English</x:v>
      </x:c>
      <x:c r="D395" s="48" t="n">
        <x:v>36</x:v>
      </x:c>
      <x:c r="E395" s="48" t="str"/>
      <x:c r="F395" s="48" t="str">
        <x:v>‘Soom a may be mga! er he ups of eening Sh (0) the Pat snd Mri eh tel te Ape Ted (0) te ton anon ceri al the equate ofc [rc of he cnt of he Pst a Maras dened to he Si</x:v>
      </x:c>
      <x:c r="G395" s="48" t="str">
        <x:v>Right</x:v>
      </x:c>
      <x:c r="H395" s="48" t="str">
        <x:v>Shared</x:v>
      </x:c>
      <x:c r="I395" s="48" t="n">
        <x:v>0.78</x:v>
      </x:c>
      <x:c r="J395" s="48" t="n">
        <x:v>0.4</x:v>
      </x:c>
      <x:c r="K395" s="48" t="str">
        <x:v>Yes</x:v>
      </x:c>
      <x:c r="L395" s="48" t="str">
        <x:v>OCR</x:v>
      </x:c>
    </x:row>
    <x:row r="396">
      <x:c r="A396" s="48" t="str">
        <x:v>ORANGE-0395</x:v>
      </x:c>
      <x:c r="B396" s="48" t="str">
        <x:v>ORANGE</x:v>
      </x:c>
      <x:c r="C396" s="48" t="str">
        <x:v>English</x:v>
      </x:c>
      <x:c r="D396" s="48" t="n">
        <x:v>36</x:v>
      </x:c>
      <x:c r="E396" s="48" t="str"/>
      <x:c r="F396" s="48" t="str">
        <x:v>Emcee Eopiers Repeat afer reve fe</x:v>
      </x:c>
      <x:c r="G396" s="48" t="str">
        <x:v>Obligation</x:v>
      </x:c>
      <x:c r="H396" s="48" t="str">
        <x:v>Shared</x:v>
      </x:c>
      <x:c r="I396" s="48" t="n">
        <x:v>0.45</x:v>
      </x:c>
      <x:c r="J396" s="48" t="n">
        <x:v>0.4</x:v>
      </x:c>
      <x:c r="K396" s="48" t="str">
        <x:v>Yes</x:v>
      </x:c>
      <x:c r="L396" s="48" t="str">
        <x:v>OCR</x:v>
      </x:c>
    </x:row>
    <x:row r="397">
      <x:c r="A397" s="48" t="str">
        <x:v>ORANGE-0396</x:v>
      </x:c>
      <x:c r="B397" s="48" t="str">
        <x:v>ORANGE</x:v>
      </x:c>
      <x:c r="C397" s="48" t="str">
        <x:v>English</x:v>
      </x:c>
      <x:c r="D397" s="48" t="n">
        <x:v>36</x:v>
      </x:c>
      <x:c r="E397" s="48" t="str"/>
      <x:c r="F397" s="48" t="str">
        <x:v>‘Score ed ra ten, ing cat of 8 Spore he Epp epnaie: (ete ama te Shion fy Pat Mer ncaa (earns fr ch anand eto se deem yh ‘ment sl evenly become du forthe wean en of Pa itera pn he certo he ema Wed inte cae oem th cress sal een whch he ‘iki tr te epecne uw o Pan Maura Ba ten nid</x:v>
      </x:c>
      <x:c r="G397" s="48" t="str">
        <x:v>Obligation</x:v>
      </x:c>
      <x:c r="H397" s="48" t="str">
        <x:v>Shared</x:v>
      </x:c>
      <x:c r="I397" s="48" t="n">
        <x:v>0.45</x:v>
      </x:c>
      <x:c r="J397" s="48" t="n">
        <x:v>0.4</x:v>
      </x:c>
      <x:c r="K397" s="48" t="str">
        <x:v>Yes</x:v>
      </x:c>
      <x:c r="L397" s="48" t="str">
        <x:v>OCR</x:v>
      </x:c>
    </x:row>
    <x:row r="398">
      <x:c r="A398" s="48" t="str">
        <x:v>ORANGE-0397</x:v>
      </x:c>
      <x:c r="B398" s="48" t="str">
        <x:v>ORANGE</x:v>
      </x:c>
      <x:c r="C398" s="48" t="str">
        <x:v>English</x:v>
      </x:c>
      <x:c r="D398" s="48" t="n">
        <x:v>38</x:v>
      </x:c>
      <x:c r="E398" s="48" t="str"/>
      <x:c r="F398" s="48" t="str">
        <x:v>penne ft Cora ne ca ote Ree Ney</x:v>
      </x:c>
      <x:c r="G398" s="48" t="str">
        <x:v>Obligation</x:v>
      </x:c>
      <x:c r="H398" s="48" t="str">
        <x:v>Shared</x:v>
      </x:c>
      <x:c r="I398" s="48" t="n">
        <x:v>0.45</x:v>
      </x:c>
      <x:c r="J398" s="48" t="n">
        <x:v>0.4</x:v>
      </x:c>
      <x:c r="K398" s="48" t="str">
        <x:v>Yes</x:v>
      </x:c>
      <x:c r="L398" s="48" t="str">
        <x:v>OCR</x:v>
      </x:c>
    </x:row>
    <x:row r="399">
      <x:c r="A399" s="48" t="str">
        <x:v>ORANGE-0398</x:v>
      </x:c>
      <x:c r="B399" s="48" t="str">
        <x:v>ORANGE</x:v>
      </x:c>
      <x:c r="C399" s="48" t="str">
        <x:v>English</x:v>
      </x:c>
      <x:c r="D399" s="48" t="n">
        <x:v>38</x:v>
      </x:c>
      <x:c r="E399" s="48" t="str"/>
      <x:c r="F399" s="48" t="str">
        <x:v>Se eer tuts eo mh ectd</x:v>
      </x:c>
      <x:c r="G399" s="48" t="str">
        <x:v>Obligation</x:v>
      </x:c>
      <x:c r="H399" s="48" t="str">
        <x:v>Shared</x:v>
      </x:c>
      <x:c r="I399" s="48" t="n">
        <x:v>0.45</x:v>
      </x:c>
      <x:c r="J399" s="48" t="n">
        <x:v>0.4</x:v>
      </x:c>
      <x:c r="K399" s="48" t="str">
        <x:v>Yes</x:v>
      </x:c>
      <x:c r="L399" s="48" t="str">
        <x:v>OCR</x:v>
      </x:c>
    </x:row>
    <x:row r="400">
      <x:c r="A400" s="48" t="str">
        <x:v>ORANGE-0399</x:v>
      </x:c>
      <x:c r="B400" s="48" t="str">
        <x:v>ORANGE</x:v>
      </x:c>
      <x:c r="C400" s="48" t="str">
        <x:v>English</x:v>
      </x:c>
      <x:c r="D400" s="48" t="n">
        <x:v>38</x:v>
      </x:c>
      <x:c r="E400" s="48" t="str"/>
      <x:c r="F400" s="48" t="str">
        <x:v>‘a enue plo ch wo of me</x:v>
      </x:c>
      <x:c r="G400" s="48" t="str">
        <x:v>Obligation</x:v>
      </x:c>
      <x:c r="H400" s="48" t="str">
        <x:v>Shared</x:v>
      </x:c>
      <x:c r="I400" s="48" t="n">
        <x:v>0.45</x:v>
      </x:c>
      <x:c r="J400" s="48" t="n">
        <x:v>0.4</x:v>
      </x:c>
      <x:c r="K400" s="48" t="str">
        <x:v>Yes</x:v>
      </x:c>
      <x:c r="L400" s="48" t="str">
        <x:v>OCR</x:v>
      </x:c>
    </x:row>
    <x:row r="401">
      <x:c r="A401" s="48" t="str">
        <x:v>ORANGE-0400</x:v>
      </x:c>
      <x:c r="B401" s="48" t="str">
        <x:v>ORANGE</x:v>
      </x:c>
      <x:c r="C401" s="48" t="str">
        <x:v>English</x:v>
      </x:c>
      <x:c r="D401" s="48" t="n">
        <x:v>38</x:v>
      </x:c>
      <x:c r="E401" s="48" t="str"/>
      <x:c r="F401" s="48" t="str">
        <x:v>SAE toy Muy rete sos oe</x:v>
      </x:c>
      <x:c r="G401" s="48" t="str">
        <x:v>Obligation</x:v>
      </x:c>
      <x:c r="H401" s="48" t="str">
        <x:v>Shared</x:v>
      </x:c>
      <x:c r="I401" s="48" t="n">
        <x:v>0.45</x:v>
      </x:c>
      <x:c r="J401" s="48" t="n">
        <x:v>0.4</x:v>
      </x:c>
      <x:c r="K401" s="48" t="str">
        <x:v>Yes</x:v>
      </x:c>
      <x:c r="L401" s="48" t="str">
        <x:v>OCR</x:v>
      </x:c>
    </x:row>
    <x:row r="402">
      <x:c r="A402" s="48" t="str">
        <x:v>ORANGE-0401</x:v>
      </x:c>
      <x:c r="B402" s="48" t="str">
        <x:v>ORANGE</x:v>
      </x:c>
      <x:c r="C402" s="48" t="str">
        <x:v>English</x:v>
      </x:c>
      <x:c r="D402" s="48" t="n">
        <x:v>38</x:v>
      </x:c>
      <x:c r="E402" s="48" t="str"/>
      <x:c r="F402" s="48" t="str">
        <x:v>‘msuag ite excel ‘Setment at 1840 Net rsh 4 aye afer he a of he Ting Over Cniee e “Coopetca ‘Nutt Conran shal ub oe pve Repent, ope os semen compan with seeing documents ig</x:v>
      </x:c>
      <x:c r="G402" s="48" t="str">
        <x:v>Obligation</x:v>
      </x:c>
      <x:c r="H402" s="48" t="str">
        <x:v>Shared</x:v>
      </x:c>
      <x:c r="I402" s="48" t="n">
        <x:v>0.45</x:v>
      </x:c>
      <x:c r="J402" s="48" t="n">
        <x:v>0.4</x:v>
      </x:c>
      <x:c r="K402" s="48" t="str">
        <x:v>Yes</x:v>
      </x:c>
      <x:c r="L402" s="48" t="str">
        <x:v>OCR</x:v>
      </x:c>
    </x:row>
    <x:row r="403">
      <x:c r="A403" s="48" t="str">
        <x:v>ORANGE-0402</x:v>
      </x:c>
      <x:c r="B403" s="48" t="str">
        <x:v>ORANGE</x:v>
      </x:c>
      <x:c r="C403" s="48" t="str">
        <x:v>English</x:v>
      </x:c>
      <x:c r="D403" s="48" t="n">
        <x:v>38</x:v>
      </x:c>
      <x:c r="E403" s="48" t="str"/>
      <x:c r="F403" s="48" t="str">
        <x:v>Sg Serpe Eines Ripon oe</x:v>
      </x:c>
      <x:c r="G403" s="48" t="str">
        <x:v>Obligation</x:v>
      </x:c>
      <x:c r="H403" s="48" t="str">
        <x:v>Shared</x:v>
      </x:c>
      <x:c r="I403" s="48" t="n">
        <x:v>0.45</x:v>
      </x:c>
      <x:c r="J403" s="48" t="n">
        <x:v>0.4</x:v>
      </x:c>
      <x:c r="K403" s="48" t="str">
        <x:v>Yes</x:v>
      </x:c>
      <x:c r="L403" s="48" t="str">
        <x:v>OCR</x:v>
      </x:c>
    </x:row>
    <x:row r="404">
      <x:c r="A404" s="48" t="str">
        <x:v>ORANGE-0403</x:v>
      </x:c>
      <x:c r="B404" s="48" t="str">
        <x:v>ORANGE</x:v>
      </x:c>
      <x:c r="C404" s="48" t="str">
        <x:v>English</x:v>
      </x:c>
      <x:c r="D404" s="48" t="n">
        <x:v>38</x:v>
      </x:c>
      <x:c r="E404" s="48" t="str"/>
      <x:c r="F404" s="48" t="str">
        <x:v>{a eal va of al wok den sconce wh he Cnt wp 0 (eae ath Tin Over Cee (0) any eer ss wih Be Comrce coi ad (©) mcainat of nouns ich be Coarse cases wil bce do ‘Shim ner Coc ‘The essed ans sll be showy Seay in ach seen {op he qn pect Sa pen Appleton for 1411 Nox Ir tn $6 yy te of te Pema Cee, "tPaymeat Conacrsal stothe Empyrs epsnae wc of sat "Ceamxe ——fal'aacoeat wa supprny canes showing i a He # Om rnc ye Empe Repose (a) tear fa er doe cena wie Coa at (0) se ter suns which he Conran ed hi we ‘Resor owoaerete</x:v>
      </x:c>
      <x:c r="G404" s="48" t="str">
        <x:v>Obligation</x:v>
      </x:c>
      <x:c r="H404" s="48" t="str">
        <x:v>Shared</x:v>
      </x:c>
      <x:c r="I404" s="48" t="n">
        <x:v>0.45</x:v>
      </x:c>
      <x:c r="J404" s="48" t="n">
        <x:v>0.4</x:v>
      </x:c>
      <x:c r="K404" s="48" t="str">
        <x:v>Yes</x:v>
      </x:c>
      <x:c r="L404" s="48" t="str">
        <x:v>OCR</x:v>
      </x:c>
    </x:row>
    <x:row r="405">
      <x:c r="A405" s="48" t="str">
        <x:v>ORANGE-0404</x:v>
      </x:c>
      <x:c r="B405" s="48" t="str">
        <x:v>ORANGE</x:v>
      </x:c>
      <x:c r="C405" s="48" t="str">
        <x:v>English</x:v>
      </x:c>
      <x:c r="D405" s="48" t="n">
        <x:v>38</x:v>
      </x:c>
      <x:c r="E405" s="48" t="str"/>
      <x:c r="F405" s="48" t="str">
        <x:v>AUGER tassios ai ah ta re ron</x:v>
      </x:c>
      <x:c r="G405" s="48" t="str">
        <x:v>Obligation</x:v>
      </x:c>
      <x:c r="H405" s="48" t="str">
        <x:v>Shared</x:v>
      </x:c>
      <x:c r="I405" s="48" t="n">
        <x:v>0.45</x:v>
      </x:c>
      <x:c r="J405" s="48" t="n">
        <x:v>0.4</x:v>
      </x:c>
      <x:c r="K405" s="48" t="str">
        <x:v>Yes</x:v>
      </x:c>
      <x:c r="L405" s="48" t="str">
        <x:v>OCR</x:v>
      </x:c>
    </x:row>
    <x:row r="406">
      <x:c r="A406" s="48" t="str">
        <x:v>ORANGE-0405</x:v>
      </x:c>
      <x:c r="B406" s="48" t="str">
        <x:v>ORANGE</x:v>
      </x:c>
      <x:c r="C406" s="48" t="str">
        <x:v>English</x:v>
      </x:c>
      <x:c r="D406" s="48" t="n">
        <x:v>38</x:v>
      </x:c>
      <x:c r="E406" s="48" t="str"/>
      <x:c r="F406" s="48" t="str">
        <x:v>ine Copter Ropes ay racy ree md sal make sh {hte a sma raged beeen heh Cone sl ‘menue sed aba othe er Reese he lato</x:v>
      </x:c>
      <x:c r="G406" s="48" t="str">
        <x:v>Obligation</x:v>
      </x:c>
      <x:c r="H406" s="48" t="str">
        <x:v>Shared</x:v>
      </x:c>
      <x:c r="I406" s="48" t="n">
        <x:v>0.45</x:v>
      </x:c>
      <x:c r="J406" s="48" t="n">
        <x:v>0.4</x:v>
      </x:c>
      <x:c r="K406" s="48" t="str">
        <x:v>Yes</x:v>
      </x:c>
      <x:c r="L406" s="48" t="str">
        <x:v>OCR</x:v>
      </x:c>
    </x:row>
    <x:row r="407">
      <x:c r="A407" s="48" t="str">
        <x:v>ORANGE-0406</x:v>
      </x:c>
      <x:c r="B407" s="48" t="str">
        <x:v>ORANGE</x:v>
      </x:c>
      <x:c r="C407" s="48" t="str">
        <x:v>English</x:v>
      </x:c>
      <x:c r="D407" s="48" t="n">
        <x:v>38</x:v>
      </x:c>
      <x:c r="E407" s="48" t="str"/>
      <x:c r="F407" s="48" t="str">
        <x:v>Sea id pnp face Coston ene fom we Pes)</x:v>
      </x:c>
      <x:c r="G407" s="48" t="str">
        <x:v>Obligation</x:v>
      </x:c>
      <x:c r="H407" s="48" t="str">
        <x:v>Shared</x:v>
      </x:c>
      <x:c r="I407" s="48" t="n">
        <x:v>0.45</x:v>
      </x:c>
      <x:c r="J407" s="48" t="n">
        <x:v>0.4</x:v>
      </x:c>
      <x:c r="K407" s="48" t="str">
        <x:v>Yes</x:v>
      </x:c>
      <x:c r="L407" s="48" t="str">
        <x:v>OCR</x:v>
      </x:c>
    </x:row>
    <x:row r="408">
      <x:c r="A408" s="48" t="str">
        <x:v>ORANGE-0407</x:v>
      </x:c>
      <x:c r="B408" s="48" t="str">
        <x:v>ORANGE</x:v>
      </x:c>
      <x:c r="C408" s="48" t="str">
        <x:v>English</x:v>
      </x:c>
      <x:c r="D408" s="48" t="n">
        <x:v>38</x:v>
      </x:c>
      <x:c r="E408" s="48" t="str"/>
      <x:c r="F408" s="48" t="str">
        <x:v>1, flowing Sicssons beveen te Employers Repescsive sa te ‘Case lt any gene de fa ere ach ey be ap ‘Site tem hsm eset ar dog es, he Ba eps sal ave she Empleo te Common ah</x:v>
      </x:c>
      <x:c r="G408" s="48" t="str">
        <x:v>Obligation</x:v>
      </x:c>
      <x:c r="H408" s="48" t="str">
        <x:v>Shared</x:v>
      </x:c>
      <x:c r="I408" s="48" t="n">
        <x:v>0.45</x:v>
      </x:c>
      <x:c r="J408" s="48" t="n">
        <x:v>0.4</x:v>
      </x:c>
      <x:c r="K408" s="48" t="str">
        <x:v>Yes</x:v>
      </x:c>
      <x:c r="L408" s="48" t="str">
        <x:v>OCR</x:v>
      </x:c>
    </x:row>
    <x:row r="409">
      <x:c r="A409" s="48" t="str">
        <x:v>ORANGE-0408</x:v>
      </x:c>
      <x:c r="B409" s="48" t="str">
        <x:v>ORANGE</x:v>
      </x:c>
      <x:c r="C409" s="48" t="str">
        <x:v>English</x:v>
      </x:c>
      <x:c r="D409" s="48" t="n">
        <x:v>38</x:v>
      </x:c>
      <x:c r="E409" s="48" t="str"/>
      <x:c r="F409" s="48" t="str">
        <x:v>Inman apm Cees or se are a al ste wich</x:v>
      </x:c>
      <x:c r="G409" s="48" t="str">
        <x:v>Obligation</x:v>
      </x:c>
      <x:c r="H409" s="48" t="str">
        <x:v>Shared</x:v>
      </x:c>
      <x:c r="I409" s="48" t="n">
        <x:v>0.45</x:v>
      </x:c>
      <x:c r="J409" s="48" t="n">
        <x:v>0.4</x:v>
      </x:c>
      <x:c r="K409" s="48" t="str">
        <x:v>Yes</x:v>
      </x:c>
      <x:c r="L409" s="48" t="str">
        <x:v>OCR</x:v>
      </x:c>
    </x:row>
    <x:row r="410">
      <x:c r="A410" s="48" t="str">
        <x:v>ORANGE-0409</x:v>
      </x:c>
      <x:c r="B410" s="48" t="str">
        <x:v>ORANGE</x:v>
      </x:c>
      <x:c r="C410" s="48" t="str">
        <x:v>English</x:v>
      </x:c>
      <x:c r="D410" s="48" t="n">
        <x:v>38</x:v>
      </x:c>
      <x:c r="E410" s="48" t="str"/>
      <x:c r="F410" s="48" t="str">
        <x:v>fein dpa.</x:v>
      </x:c>
      <x:c r="G410" s="48" t="str">
        <x:v>Obligation</x:v>
      </x:c>
      <x:c r="H410" s="48" t="str">
        <x:v>Shared</x:v>
      </x:c>
      <x:c r="I410" s="48" t="n">
        <x:v>0.45</x:v>
      </x:c>
      <x:c r="J410" s="48" t="n">
        <x:v>0.4</x:v>
      </x:c>
      <x:c r="K410" s="48" t="str">
        <x:v>Yes</x:v>
      </x:c>
      <x:c r="L410" s="48" t="str">
        <x:v>OCR</x:v>
      </x:c>
    </x:row>
    <x:row r="411">
      <x:c r="A411" s="48" t="str">
        <x:v>ORANGE-0410</x:v>
      </x:c>
      <x:c r="B411" s="48" t="str">
        <x:v>ORANGE</x:v>
      </x:c>
      <x:c r="C411" s="48" t="str">
        <x:v>English</x:v>
      </x:c>
      <x:c r="D411" s="48" t="n">
        <x:v>38</x:v>
      </x:c>
      <x:c r="E411" s="48" t="str"/>
      <x:c r="F411" s="48" t="str">
        <x:v>Te dupa ma hb ode Cane 20</x:v>
      </x:c>
      <x:c r="G411" s="48" t="str">
        <x:v>Obligation</x:v>
      </x:c>
      <x:c r="H411" s="48" t="str">
        <x:v>Shared</x:v>
      </x:c>
      <x:c r="I411" s="48" t="n">
        <x:v>0.45</x:v>
      </x:c>
      <x:c r="J411" s="48" t="n">
        <x:v>0.4</x:v>
      </x:c>
      <x:c r="K411" s="48" t="str">
        <x:v>Yes</x:v>
      </x:c>
      <x:c r="L411" s="48" t="str">
        <x:v>OCR</x:v>
      </x:c>
    </x:row>
    <x:row r="412">
      <x:c r="A412" s="48" t="str">
        <x:v>ORANGE-0411</x:v>
      </x:c>
      <x:c r="B412" s="48" t="str">
        <x:v>ORANGE</x:v>
      </x:c>
      <x:c r="C412" s="48" t="str">
        <x:v>English</x:v>
      </x:c>
      <x:c r="D412" s="48" t="n">
        <x:v>38</x:v>
      </x:c>
      <x:c r="E412" s="48" t="str"/>
      <x:c r="F412" s="48" t="str">
        <x:v>ELM al erp Eph i</x:v>
      </x:c>
      <x:c r="G412" s="48" t="str">
        <x:v>Obligation</x:v>
      </x:c>
      <x:c r="H412" s="48" t="str">
        <x:v>Shared</x:v>
      </x:c>
      <x:c r="I412" s="48" t="n">
        <x:v>0.45</x:v>
      </x:c>
      <x:c r="J412" s="48" t="n">
        <x:v>0.4</x:v>
      </x:c>
      <x:c r="K412" s="48" t="str">
        <x:v>Yes</x:v>
      </x:c>
      <x:c r="L412" s="48" t="str">
        <x:v>OCR</x:v>
      </x:c>
    </x:row>
    <x:row r="413">
      <x:c r="A413" s="48" t="str">
        <x:v>ORANGE-0412</x:v>
      </x:c>
      <x:c r="B413" s="48" t="str">
        <x:v>ORANGE</x:v>
      </x:c>
      <x:c r="C413" s="48" t="str">
        <x:v>English</x:v>
      </x:c>
      <x:c r="D413" s="48" t="n">
        <x:v>38</x:v>
      </x:c>
      <x:c r="E413" s="48" t="str"/>
      <x:c r="F413" s="48" t="str">
        <x:v>SDE’ Rec) il Sotonen ewer wa</x:v>
      </x:c>
      <x:c r="G413" s="48" t="str">
        <x:v>Obligation</x:v>
      </x:c>
      <x:c r="H413" s="48" t="str">
        <x:v>Shared</x:v>
      </x:c>
      <x:c r="I413" s="48" t="n">
        <x:v>0.45</x:v>
      </x:c>
      <x:c r="J413" s="48" t="n">
        <x:v>0.4</x:v>
      </x:c>
      <x:c r="K413" s="48" t="str">
        <x:v>Yes</x:v>
      </x:c>
      <x:c r="L413" s="48" t="str">
        <x:v>OCR</x:v>
      </x:c>
    </x:row>
    <x:row r="414">
      <x:c r="A414" s="48" t="str">
        <x:v>ORANGE-0413</x:v>
      </x:c>
      <x:c r="B414" s="48" t="str">
        <x:v>ORANGE</x:v>
      </x:c>
      <x:c r="C414" s="48" t="str">
        <x:v>English</x:v>
      </x:c>
      <x:c r="D414" s="48" t="n">
        <x:v>38</x:v>
      </x:c>
      <x:c r="E414" s="48" t="str"/>
      <x:c r="F414" s="48" t="str">
        <x:v>‘nace oe dopo Dicharge 1312 When stig the Fal Senet, he Comace labs wae |</x:v>
      </x:c>
      <x:c r="G414" s="48" t="str">
        <x:v>Obligation</x:v>
      </x:c>
      <x:c r="H414" s="48" t="str">
        <x:v>Shared</x:v>
      </x:c>
      <x:c r="I414" s="48" t="n">
        <x:v>0.45</x:v>
      </x:c>
      <x:c r="J414" s="48" t="n">
        <x:v>0.4</x:v>
      </x:c>
      <x:c r="K414" s="48" t="str">
        <x:v>Yes</x:v>
      </x:c>
      <x:c r="L414" s="48" t="str">
        <x:v>OCR</x:v>
      </x:c>
    </x:row>
    <x:row r="415">
      <x:c r="A415" s="48" t="str">
        <x:v>ORANGE-0414</x:v>
      </x:c>
      <x:c r="B415" s="48" t="str">
        <x:v>ORANGE</x:v>
      </x:c>
      <x:c r="C415" s="48" t="str">
        <x:v>English</x:v>
      </x:c>
      <x:c r="D415" s="48" t="n">
        <x:v>38</x:v>
      </x:c>
      <x:c r="E415" s="48" t="str"/>
      <x:c r="F415" s="48" t="str">
        <x:v>Shing ge lot in ele pes</x:v>
      </x:c>
      <x:c r="G415" s="48" t="str">
        <x:v>Obligation</x:v>
      </x:c>
      <x:c r="H415" s="48" t="str">
        <x:v>Shared</x:v>
      </x:c>
      <x:c r="I415" s="48" t="n">
        <x:v>0.45</x:v>
      </x:c>
      <x:c r="J415" s="48" t="n">
        <x:v>0.4</x:v>
      </x:c>
      <x:c r="K415" s="48" t="str">
        <x:v>Yes</x:v>
      </x:c>
      <x:c r="L415" s="48" t="str">
        <x:v>OCR</x:v>
      </x:c>
    </x:row>
    <x:row r="416">
      <x:c r="A416" s="48" t="str">
        <x:v>ORANGE-0415</x:v>
      </x:c>
      <x:c r="B416" s="48" t="str">
        <x:v>ORANGE</x:v>
      </x:c>
      <x:c r="C416" s="48" t="str">
        <x:v>English</x:v>
      </x:c>
      <x:c r="D416" s="48" t="n">
        <x:v>38</x:v>
      </x:c>
      <x:c r="E416" s="48" t="str"/>
      <x:c r="F416" s="48" t="str">
        <x:v>Seeger sc trl tc elect oer emer oe</x:v>
      </x:c>
      <x:c r="G416" s="48" t="str">
        <x:v>Obligation</x:v>
      </x:c>
      <x:c r="H416" s="48" t="str">
        <x:v>Shared</x:v>
      </x:c>
      <x:c r="I416" s="48" t="n">
        <x:v>0.45</x:v>
      </x:c>
      <x:c r="J416" s="48" t="n">
        <x:v>0.4</x:v>
      </x:c>
      <x:c r="K416" s="48" t="str">
        <x:v>Yes</x:v>
      </x:c>
      <x:c r="L416" s="48" t="str">
        <x:v>OCR</x:v>
      </x:c>
    </x:row>
    <x:row r="417">
      <x:c r="A417" s="48" t="str">
        <x:v>ORANGE-0416</x:v>
      </x:c>
      <x:c r="B417" s="48" t="str">
        <x:v>ORANGE</x:v>
      </x:c>
      <x:c r="C417" s="48" t="str">
        <x:v>English</x:v>
      </x:c>
      <x:c r="D417" s="48" t="n">
        <x:v>38</x:v>
      </x:c>
      <x:c r="E417" s="48" t="str"/>
      <x:c r="F417" s="48" t="str">
        <x:v>Phymest Corba os ten de aed the proce ‘Sy mew Suh Cme barb edo he Cnc</x:v>
      </x:c>
      <x:c r="G417" s="48" t="str">
        <x:v>Obligation</x:v>
      </x:c>
      <x:c r="H417" s="48" t="str">
        <x:v>Shared</x:v>
      </x:c>
      <x:c r="I417" s="48" t="n">
        <x:v>0.45</x:v>
      </x:c>
      <x:c r="J417" s="48" t="n">
        <x:v>0.4</x:v>
      </x:c>
      <x:c r="K417" s="48" t="str">
        <x:v>Yes</x:v>
      </x:c>
      <x:c r="L417" s="48" t="str">
        <x:v>OCR</x:v>
      </x:c>
    </x:row>
    <x:row r="418">
      <x:c r="A418" s="48" t="str">
        <x:v>ORANGE-0417</x:v>
      </x:c>
      <x:c r="B418" s="48" t="str">
        <x:v>ORANGE</x:v>
      </x:c>
      <x:c r="C418" s="48" t="str">
        <x:v>English</x:v>
      </x:c>
      <x:c r="D418" s="48" t="n">
        <x:v>39</x:v>
      </x:c>
      <x:c r="E418" s="48" t="str"/>
      <x:c r="F418" s="48" t="str">
        <x:v>ue onal 1813</x:v>
      </x:c>
      <x:c r="G418" s="48" t="str">
        <x:v>Obligation</x:v>
      </x:c>
      <x:c r="H418" s="48" t="str">
        <x:v>Shared</x:v>
      </x:c>
      <x:c r="I418" s="48" t="n">
        <x:v>0.45</x:v>
      </x:c>
      <x:c r="J418" s="48" t="n">
        <x:v>0.4</x:v>
      </x:c>
      <x:c r="K418" s="48" t="str">
        <x:v>Yes</x:v>
      </x:c>
      <x:c r="L418" s="48" t="str">
        <x:v>OCR</x:v>
      </x:c>
    </x:row>
    <x:row r="419">
      <x:c r="A419" s="48" t="str">
        <x:v>ORANGE-0418</x:v>
      </x:c>
      <x:c r="B419" s="48" t="str">
        <x:v>ORANGE</x:v>
      </x:c>
      <x:c r="C419" s="48" t="str">
        <x:v>English</x:v>
      </x:c>
      <x:c r="D419" s="48" t="n">
        <x:v>39</x:v>
      </x:c>
      <x:c r="E419" s="48" t="str"/>
      <x:c r="F419" s="48" t="str">
        <x:v>Payment Crone</x:v>
      </x:c>
      <x:c r="G419" s="48" t="str">
        <x:v>Obligation</x:v>
      </x:c>
      <x:c r="H419" s="48" t="str">
        <x:v>Shared</x:v>
      </x:c>
      <x:c r="I419" s="48" t="n">
        <x:v>0.55</x:v>
      </x:c>
      <x:c r="J419" s="48" t="n">
        <x:v>0.4</x:v>
      </x:c>
      <x:c r="K419" s="48" t="str">
        <x:v>Yes</x:v>
      </x:c>
      <x:c r="L419" s="48" t="str">
        <x:v>OCR</x:v>
      </x:c>
    </x:row>
    <x:row r="420">
      <x:c r="A420" s="48" t="str">
        <x:v>ORANGE-0419</x:v>
      </x:c>
      <x:c r="B420" s="48" t="str">
        <x:v>ORANGE</x:v>
      </x:c>
      <x:c r="C420" s="48" t="str">
        <x:v>English</x:v>
      </x:c>
      <x:c r="D420" s="48" t="n">
        <x:v>39</x:v>
      </x:c>
      <x:c r="E420" s="48" t="str"/>
      <x:c r="F420" s="48" t="str">
        <x:v>eatin a 18.8 mpi as Cott o 1818</x:v>
      </x:c>
      <x:c r="G420" s="48" t="str">
        <x:v>Obligation</x:v>
      </x:c>
      <x:c r="H420" s="48" t="str">
        <x:v>Shared</x:v>
      </x:c>
      <x:c r="I420" s="48" t="n">
        <x:v>0.45</x:v>
      </x:c>
      <x:c r="J420" s="48" t="n">
        <x:v>0.4</x:v>
      </x:c>
      <x:c r="K420" s="48" t="str">
        <x:v>Yes</x:v>
      </x:c>
      <x:c r="L420" s="48" t="str">
        <x:v>OCR</x:v>
      </x:c>
    </x:row>
    <x:row r="421">
      <x:c r="A421" s="48" t="str">
        <x:v>ORANGE-0420</x:v>
      </x:c>
      <x:c r="B421" s="48" t="str">
        <x:v>ORANGE</x:v>
      </x:c>
      <x:c r="C421" s="48" t="str">
        <x:v>English</x:v>
      </x:c>
      <x:c r="D421" s="48" t="n">
        <x:v>39</x:v>
      </x:c>
      <x:c r="E421" s="48" t="str"/>
      <x:c r="F421" s="48" t="str">
        <x:v>Paymentein Foren</x:v>
      </x:c>
      <x:c r="G421" s="48" t="str">
        <x:v>Obligation</x:v>
      </x:c>
      <x:c r="H421" s="48" t="str">
        <x:v>Shared</x:v>
      </x:c>
      <x:c r="I421" s="48" t="n">
        <x:v>0.45</x:v>
      </x:c>
      <x:c r="J421" s="48" t="n">
        <x:v>0.4</x:v>
      </x:c>
      <x:c r="K421" s="48" t="str">
        <x:v>Yes</x:v>
      </x:c>
      <x:c r="L421" s="48" t="str">
        <x:v>OCR</x:v>
      </x:c>
    </x:row>
    <x:row r="422">
      <x:c r="A422" s="48" t="str">
        <x:v>ORANGE-0421</x:v>
      </x:c>
      <x:c r="B422" s="48" t="str">
        <x:v>ORANGE</x:v>
      </x:c>
      <x:c r="C422" s="48" t="str">
        <x:v>English</x:v>
      </x:c>
      <x:c r="D422" s="48" t="n">
        <x:v>39</x:v>
      </x:c>
      <x:c r="E422" s="48" t="str"/>
      <x:c r="F422" s="48" t="str">
        <x:v>‘Coren Changes 16 "eine ‘Te Emer epee hl he pie ih py oe ‘Goch Pp Cente in ays stg</x:v>
      </x:c>
      <x:c r="G422" s="48" t="str">
        <x:v>Obligation</x:v>
      </x:c>
      <x:c r="H422" s="48" t="str">
        <x:v>Shared</x:v>
      </x:c>
      <x:c r="I422" s="48" t="n">
        <x:v>0.45</x:v>
      </x:c>
      <x:c r="J422" s="48" t="n">
        <x:v>0.4</x:v>
      </x:c>
      <x:c r="K422" s="48" t="str">
        <x:v>Yes</x:v>
      </x:c>
      <x:c r="L422" s="48" t="str">
        <x:v>OCR</x:v>
      </x:c>
    </x:row>
    <x:row r="423">
      <x:c r="A423" s="48" t="str">
        <x:v>ORANGE-0422</x:v>
      </x:c>
      <x:c r="B423" s="48" t="str">
        <x:v>ORANGE</x:v>
      </x:c>
      <x:c r="C423" s="48" t="str">
        <x:v>English</x:v>
      </x:c>
      <x:c r="D423" s="48" t="n">
        <x:v>39</x:v>
      </x:c>
      <x:c r="E423" s="48" t="str"/>
      <x:c r="F423" s="48" t="str">
        <x:v>Faucet Sh os -Goes</x:v>
      </x:c>
      <x:c r="G423" s="48" t="str">
        <x:v>Obligation</x:v>
      </x:c>
      <x:c r="H423" s="48" t="str">
        <x:v>Shared</x:v>
      </x:c>
      <x:c r="I423" s="48" t="n">
        <x:v>0.45</x:v>
      </x:c>
      <x:c r="J423" s="48" t="n">
        <x:v>0.4</x:v>
      </x:c>
      <x:c r="K423" s="48" t="str">
        <x:v>Yes</x:v>
      </x:c>
      <x:c r="L423" s="48" t="str">
        <x:v>OCR</x:v>
      </x:c>
    </x:row>
    <x:row r="424">
      <x:c r="A424" s="48" t="str">
        <x:v>ORANGE-0423</x:v>
      </x:c>
      <x:c r="B424" s="48" t="str">
        <x:v>ORANGE</x:v>
      </x:c>
      <x:c r="C424" s="48" t="str">
        <x:v>English</x:v>
      </x:c>
      <x:c r="D424" s="48" t="n">
        <x:v>39</x:v>
      </x:c>
      <x:c r="E424" s="48" t="str"/>
      <x:c r="F424" s="48" t="str">
        <x:v>(© ee chi yd (0 str rig cd te Eng smo vey ly</x:v>
      </x:c>
      <x:c r="G424" s="48" t="str">
        <x:v>Obligation</x:v>
      </x:c>
      <x:c r="H424" s="48" t="str">
        <x:v>Shared</x:v>
      </x:c>
      <x:c r="I424" s="48" t="n">
        <x:v>0.45</x:v>
      </x:c>
      <x:c r="J424" s="48" t="n">
        <x:v>0.4</x:v>
      </x:c>
      <x:c r="K424" s="48" t="str">
        <x:v>Yes</x:v>
      </x:c>
      <x:c r="L424" s="48" t="str">
        <x:v>OCR</x:v>
      </x:c>
    </x:row>
    <x:row r="425">
      <x:c r="A425" s="48" t="str">
        <x:v>ORANGE-0424</x:v>
      </x:c>
      <x:c r="B425" s="48" t="str">
        <x:v>ORANGE</x:v>
      </x:c>
      <x:c r="C425" s="48" t="str">
        <x:v>English</x:v>
      </x:c>
      <x:c r="D425" s="48" t="n">
        <x:v>39</x:v>
      </x:c>
      <x:c r="E425" s="48" t="str"/>
      <x:c r="F425" s="48" t="str">
        <x:v>Sepdpeta ase echt Bape ater oe</x:v>
      </x:c>
      <x:c r="G425" s="48" t="str">
        <x:v>Obligation</x:v>
      </x:c>
      <x:c r="H425" s="48" t="str">
        <x:v>Shared</x:v>
      </x:c>
      <x:c r="I425" s="48" t="n">
        <x:v>0.45</x:v>
      </x:c>
      <x:c r="J425" s="48" t="n">
        <x:v>0.4</x:v>
      </x:c>
      <x:c r="K425" s="48" t="str">
        <x:v>Yes</x:v>
      </x:c>
      <x:c r="L425" s="48" t="str">
        <x:v>OCR</x:v>
      </x:c>
    </x:row>
    <x:row r="426">
      <x:c r="A426" s="48" t="str">
        <x:v>ORANGE-0425</x:v>
      </x:c>
      <x:c r="B426" s="48" t="str">
        <x:v>ORANGE</x:v>
      </x:c>
      <x:c r="C426" s="48" t="str">
        <x:v>English</x:v>
      </x:c>
      <x:c r="D426" s="48" t="n">
        <x:v>39</x:v>
      </x:c>
      <x:c r="E426" s="48" t="str"/>
      <x:c r="F426" s="48" t="str">
        <x:v>Sarah Chas he sy Sr Emp</x:v>
      </x:c>
      <x:c r="G426" s="48" t="str">
        <x:v>Obligation</x:v>
      </x:c>
      <x:c r="H426" s="48" t="str">
        <x:v>Shared</x:v>
      </x:c>
      <x:c r="I426" s="48" t="n">
        <x:v>0.45</x:v>
      </x:c>
      <x:c r="J426" s="48" t="n">
        <x:v>0.4</x:v>
      </x:c>
      <x:c r="K426" s="48" t="str">
        <x:v>Yes</x:v>
      </x:c>
      <x:c r="L426" s="48" t="str">
        <x:v>OCR</x:v>
      </x:c>
    </x:row>
    <x:row r="427">
      <x:c r="A427" s="48" t="str">
        <x:v>ORANGE-0426</x:v>
      </x:c>
      <x:c r="B427" s="48" t="str">
        <x:v>ORANGE</x:v>
      </x:c>
      <x:c r="C427" s="48" t="str">
        <x:v>English</x:v>
      </x:c>
      <x:c r="D427" s="48" t="n">
        <x:v>39</x:v>
      </x:c>
      <x:c r="E427" s="48" t="str"/>
      <x:c r="F427" s="48" t="str">
        <x:v>Tit an te Crore Eyecare</x:v>
      </x:c>
      <x:c r="G427" s="48" t="str">
        <x:v>Obligation</x:v>
      </x:c>
      <x:c r="H427" s="48" t="str">
        <x:v>Shared</x:v>
      </x:c>
      <x:c r="I427" s="48" t="n">
        <x:v>0.45</x:v>
      </x:c>
      <x:c r="J427" s="48" t="n">
        <x:v>0.4</x:v>
      </x:c>
      <x:c r="K427" s="48" t="str">
        <x:v>Yes</x:v>
      </x:c>
      <x:c r="L427" s="48" t="str">
        <x:v>OCR</x:v>
      </x:c>
    </x:row>
    <x:row r="428">
      <x:c r="A428" s="48" t="str">
        <x:v>ORANGE-0427</x:v>
      </x:c>
      <x:c r="B428" s="48" t="str">
        <x:v>ORANGE</x:v>
      </x:c>
      <x:c r="C428" s="48" t="str">
        <x:v>English</x:v>
      </x:c>
      <x:c r="D428" s="48" t="n">
        <x:v>39</x:v>
      </x:c>
      <x:c r="E428" s="48" t="str"/>
      <x:c r="F428" s="48" t="str">
        <x:v>te Commer st oid rs Pye Ceca cere {tonne piers Reema al ees</x:v>
      </x:c>
      <x:c r="G428" s="48" t="str">
        <x:v>Obligation</x:v>
      </x:c>
      <x:c r="H428" s="48" t="str">
        <x:v>Shared</x:v>
      </x:c>
      <x:c r="I428" s="48" t="n">
        <x:v>0.45</x:v>
      </x:c>
      <x:c r="J428" s="48" t="n">
        <x:v>0.4</x:v>
      </x:c>
      <x:c r="K428" s="48" t="str">
        <x:v>Yes</x:v>
      </x:c>
      <x:c r="L428" s="48" t="str">
        <x:v>OCR</x:v>
      </x:c>
    </x:row>
    <x:row r="429">
      <x:c r="A429" s="48" t="str">
        <x:v>ORANGE-0428</x:v>
      </x:c>
      <x:c r="B429" s="48" t="str">
        <x:v>ORANGE</x:v>
      </x:c>
      <x:c r="C429" s="48" t="str">
        <x:v>English</x:v>
      </x:c>
      <x:c r="D429" s="48" t="n">
        <x:v>39</x:v>
      </x:c>
      <x:c r="E429" s="48" t="str"/>
      <x:c r="F429" s="48" t="str">
        <x:v>Se ee eres</x:v>
      </x:c>
      <x:c r="G429" s="48" t="str">
        <x:v>Obligation</x:v>
      </x:c>
      <x:c r="H429" s="48" t="str">
        <x:v>Shared</x:v>
      </x:c>
      <x:c r="I429" s="48" t="n">
        <x:v>0.45</x:v>
      </x:c>
      <x:c r="J429" s="48" t="n">
        <x:v>0.4</x:v>
      </x:c>
      <x:c r="K429" s="48" t="str">
        <x:v>Yes</x:v>
      </x:c>
      <x:c r="L429" s="48" t="str">
        <x:v>OCR</x:v>
      </x:c>
    </x:row>
    <x:row r="430">
      <x:c r="A430" s="48" t="str">
        <x:v>ORANGE-0429</x:v>
      </x:c>
      <x:c r="B430" s="48" t="str">
        <x:v>ORANGE</x:v>
      </x:c>
      <x:c r="C430" s="48" t="str">
        <x:v>English</x:v>
      </x:c>
      <x:c r="D430" s="48" t="n">
        <x:v>39</x:v>
      </x:c>
      <x:c r="E430" s="48" t="str"/>
      <x:c r="F430" s="48" t="str">
        <x:v>snp 3 dye rps Nena a a Pak</x:v>
      </x:c>
      <x:c r="G430" s="48" t="str">
        <x:v>Obligation</x:v>
      </x:c>
      <x:c r="H430" s="48" t="str">
        <x:v>Shared</x:v>
      </x:c>
      <x:c r="I430" s="48" t="n">
        <x:v>0.45</x:v>
      </x:c>
      <x:c r="J430" s="48" t="n">
        <x:v>0.4</x:v>
      </x:c>
      <x:c r="K430" s="48" t="str">
        <x:v>Yes</x:v>
      </x:c>
      <x:c r="L430" s="48" t="str">
        <x:v>OCR</x:v>
      </x:c>
    </x:row>
    <x:row r="431">
      <x:c r="A431" s="48" t="str">
        <x:v>ORANGE-0430</x:v>
      </x:c>
      <x:c r="B431" s="48" t="str">
        <x:v>ORANGE</x:v>
      </x:c>
      <x:c r="C431" s="48" t="str">
        <x:v>English</x:v>
      </x:c>
      <x:c r="D431" s="48" t="n">
        <x:v>39</x:v>
      </x:c>
      <x:c r="E431" s="48" t="str"/>
      <x:c r="F431" s="48" t="str">
        <x:v>Pome Coon roca anoet coon we</x:v>
      </x:c>
      <x:c r="G431" s="48" t="str">
        <x:v>Obligation</x:v>
      </x:c>
      <x:c r="H431" s="48" t="str">
        <x:v>Shared</x:v>
      </x:c>
      <x:c r="I431" s="48" t="n">
        <x:v>0.45</x:v>
      </x:c>
      <x:c r="J431" s="48" t="n">
        <x:v>0.4</x:v>
      </x:c>
      <x:c r="K431" s="48" t="str">
        <x:v>Yes</x:v>
      </x:c>
      <x:c r="L431" s="48" t="str">
        <x:v>OCR</x:v>
      </x:c>
    </x:row>
    <x:row r="432">
      <x:c r="A432" s="48" t="str">
        <x:v>ORANGE-0431</x:v>
      </x:c>
      <x:c r="B432" s="48" t="str">
        <x:v>ORANGE</x:v>
      </x:c>
      <x:c r="C432" s="48" t="str">
        <x:v>English</x:v>
      </x:c>
      <x:c r="D432" s="48" t="n">
        <x:v>39</x:v>
      </x:c>
      <x:c r="E432" s="48" t="str"/>
      <x:c r="F432" s="48" t="str">
        <x:v>“he Ele slate ie fe Cnc i ay ma ing</x:v>
      </x:c>
      <x:c r="G432" s="48" t="str">
        <x:v>Obligation</x:v>
      </x:c>
      <x:c r="H432" s="48" t="str">
        <x:v>Shared</x:v>
      </x:c>
      <x:c r="I432" s="48" t="n">
        <x:v>0.45</x:v>
      </x:c>
      <x:c r="J432" s="48" t="n">
        <x:v>0.4</x:v>
      </x:c>
      <x:c r="K432" s="48" t="str">
        <x:v>Yes</x:v>
      </x:c>
      <x:c r="L432" s="48" t="str">
        <x:v>OCR</x:v>
      </x:c>
    </x:row>
    <x:row r="433">
      <x:c r="A433" s="48" t="str">
        <x:v>ORANGE-0432</x:v>
      </x:c>
      <x:c r="B433" s="48" t="str">
        <x:v>ORANGE</x:v>
      </x:c>
      <x:c r="C433" s="48" t="str">
        <x:v>English</x:v>
      </x:c>
      <x:c r="D433" s="48" t="n">
        <x:v>39</x:v>
      </x:c>
      <x:c r="E433" s="48" t="str"/>
      <x:c r="F433" s="48" t="str">
        <x:v>The tie ett cmesae be Sener cmon We</x:v>
      </x:c>
      <x:c r="G433" s="48" t="str">
        <x:v>Obligation</x:v>
      </x:c>
      <x:c r="H433" s="48" t="str">
        <x:v>Shared</x:v>
      </x:c>
      <x:c r="I433" s="48" t="n">
        <x:v>0.45</x:v>
      </x:c>
      <x:c r="J433" s="48" t="n">
        <x:v>0.4</x:v>
      </x:c>
      <x:c r="K433" s="48" t="str">
        <x:v>Yes</x:v>
      </x:c>
      <x:c r="L433" s="48" t="str">
        <x:v>OCR</x:v>
      </x:c>
    </x:row>
    <x:row r="434">
      <x:c r="A434" s="48" t="str">
        <x:v>ORANGE-0433</x:v>
      </x:c>
      <x:c r="B434" s="48" t="str">
        <x:v>ORANGE</x:v>
      </x:c>
      <x:c r="C434" s="48" t="str">
        <x:v>English</x:v>
      </x:c>
      <x:c r="D434" s="48" t="n">
        <x:v>39</x:v>
      </x:c>
      <x:c r="E434" s="48" t="str"/>
      <x:c r="F434" s="48" t="str">
        <x:v>Sha Cnt in mt na Sie</x:v>
      </x:c>
      <x:c r="G434" s="48" t="str">
        <x:v>Obligation</x:v>
      </x:c>
      <x:c r="H434" s="48" t="str">
        <x:v>Shared</x:v>
      </x:c>
      <x:c r="I434" s="48" t="n">
        <x:v>0.45</x:v>
      </x:c>
      <x:c r="J434" s="48" t="n">
        <x:v>0.4</x:v>
      </x:c>
      <x:c r="K434" s="48" t="str">
        <x:v>Yes</x:v>
      </x:c>
      <x:c r="L434" s="48" t="str">
        <x:v>OCR</x:v>
      </x:c>
    </x:row>
    <x:row r="435">
      <x:c r="A435" s="48" t="str">
        <x:v>ORANGE-0434</x:v>
      </x:c>
      <x:c r="B435" s="48" t="str">
        <x:v>ORANGE</x:v>
      </x:c>
      <x:c r="C435" s="48" t="str">
        <x:v>English</x:v>
      </x:c>
      <x:c r="D435" s="48" t="n">
        <x:v>39</x:v>
      </x:c>
      <x:c r="E435" s="48" t="str"/>
      <x:c r="F435" s="48" t="str">
        <x:v>‘slut ne a oe ty rb of Tag Or Enka te ok) 8 nen a comp ced Seb tte Coes is expe a Coen nyt ne en ‘Sieben enn creme ots te Cand</x:v>
      </x:c>
      <x:c r="G435" s="48" t="str">
        <x:v>Obligation</x:v>
      </x:c>
      <x:c r="H435" s="48" t="str">
        <x:v>Shared</x:v>
      </x:c>
      <x:c r="I435" s="48" t="n">
        <x:v>0.45</x:v>
      </x:c>
      <x:c r="J435" s="48" t="n">
        <x:v>0.4</x:v>
      </x:c>
      <x:c r="K435" s="48" t="str">
        <x:v>Yes</x:v>
      </x:c>
      <x:c r="L435" s="48" t="str">
        <x:v>OCR</x:v>
      </x:c>
    </x:row>
    <x:row r="436">
      <x:c r="A436" s="48" t="str">
        <x:v>ORANGE-0435</x:v>
      </x:c>
      <x:c r="B436" s="48" t="str">
        <x:v>ORANGE</x:v>
      </x:c>
      <x:c r="C436" s="48" t="str">
        <x:v>English</x:v>
      </x:c>
      <x:c r="D436" s="48" t="n">
        <x:v>39</x:v>
      </x:c>
      <x:c r="E436" s="48" t="str"/>
      <x:c r="F436" s="48" t="str">
        <x:v>Fee Concer d eae cra chap oe ag</x:v>
      </x:c>
      <x:c r="G436" s="48" t="str">
        <x:v>Obligation</x:v>
      </x:c>
      <x:c r="H436" s="48" t="str">
        <x:v>Shared</x:v>
      </x:c>
      <x:c r="I436" s="48" t="n">
        <x:v>0.45</x:v>
      </x:c>
      <x:c r="J436" s="48" t="n">
        <x:v>0.4</x:v>
      </x:c>
      <x:c r="K436" s="48" t="str">
        <x:v>Yes</x:v>
      </x:c>
      <x:c r="L436" s="48" t="str">
        <x:v>OCR</x:v>
      </x:c>
    </x:row>
    <x:row r="437">
      <x:c r="A437" s="48" t="str">
        <x:v>ORANGE-0436</x:v>
      </x:c>
      <x:c r="B437" s="48" t="str">
        <x:v>ORANGE</x:v>
      </x:c>
      <x:c r="C437" s="48" t="str">
        <x:v>English</x:v>
      </x:c>
      <x:c r="D437" s="48" t="n">
        <x:v>39</x:v>
      </x:c>
      <x:c r="E437" s="48" t="str"/>
      <x:c r="F437" s="48" t="str">
        <x:v>A ppl tt he pen oT eo</x:v>
      </x:c>
      <x:c r="G437" s="48" t="str">
        <x:v>Obligation</x:v>
      </x:c>
      <x:c r="H437" s="48" t="str">
        <x:v>Shared</x:v>
      </x:c>
      <x:c r="I437" s="48" t="n">
        <x:v>0.45</x:v>
      </x:c>
      <x:c r="J437" s="48" t="n">
        <x:v>0.4</x:v>
      </x:c>
      <x:c r="K437" s="48" t="str">
        <x:v>Yes</x:v>
      </x:c>
      <x:c r="L437" s="48" t="str">
        <x:v>OCR</x:v>
      </x:c>
    </x:row>
    <x:row r="438">
      <x:c r="A438" s="48" t="str">
        <x:v>ORANGE-0437</x:v>
      </x:c>
      <x:c r="B438" s="48" t="str">
        <x:v>ORANGE</x:v>
      </x:c>
      <x:c r="C438" s="48" t="str">
        <x:v>English</x:v>
      </x:c>
      <x:c r="D438" s="48" t="n">
        <x:v>39</x:v>
      </x:c>
      <x:c r="E438" s="48" t="str"/>
      <x:c r="F438" s="48" t="str">
        <x:v>Soar el Say a eae aaa be</x:v>
      </x:c>
      <x:c r="G438" s="48" t="str">
        <x:v>Obligation</x:v>
      </x:c>
      <x:c r="H438" s="48" t="str">
        <x:v>Shared</x:v>
      </x:c>
      <x:c r="I438" s="48" t="n">
        <x:v>0.45</x:v>
      </x:c>
      <x:c r="J438" s="48" t="n">
        <x:v>0.4</x:v>
      </x:c>
      <x:c r="K438" s="48" t="str">
        <x:v>Yes</x:v>
      </x:c>
      <x:c r="L438" s="48" t="str">
        <x:v>OCR</x:v>
      </x:c>
    </x:row>
    <x:row r="439">
      <x:c r="A439" s="48" t="str">
        <x:v>ORANGE-0438</x:v>
      </x:c>
      <x:c r="B439" s="48" t="str">
        <x:v>ORANGE</x:v>
      </x:c>
      <x:c r="C439" s="48" t="str">
        <x:v>English</x:v>
      </x:c>
      <x:c r="D439" s="48" t="n">
        <x:v>39</x:v>
      </x:c>
      <x:c r="E439" s="48" t="str"/>
      <x:c r="F439" s="48" t="str">
        <x:v>Score Dr mio he con! he</x:v>
      </x:c>
      <x:c r="G439" s="48" t="str">
        <x:v>Obligation</x:v>
      </x:c>
      <x:c r="H439" s="48" t="str">
        <x:v>Shared</x:v>
      </x:c>
      <x:c r="I439" s="48" t="n">
        <x:v>0.45</x:v>
      </x:c>
      <x:c r="J439" s="48" t="n">
        <x:v>0.4</x:v>
      </x:c>
      <x:c r="K439" s="48" t="str">
        <x:v>Yes</x:v>
      </x:c>
      <x:c r="L439" s="48" t="str">
        <x:v>OCR</x:v>
      </x:c>
    </x:row>
    <x:row r="440">
      <x:c r="A440" s="48" t="str">
        <x:v>ORANGE-0439</x:v>
      </x:c>
      <x:c r="B440" s="48" t="str">
        <x:v>ORANGE</x:v>
      </x:c>
      <x:c r="C440" s="48" t="str">
        <x:v>English</x:v>
      </x:c>
      <x:c r="D440" s="48" t="n">
        <x:v>39</x:v>
      </x:c>
      <x:c r="E440" s="48" t="str"/>
      <x:c r="F440" s="48" t="str">
        <x:v>‘The Com ie salle ad te selene we</x:v>
      </x:c>
      <x:c r="G440" s="48" t="str">
        <x:v>Obligation</x:v>
      </x:c>
      <x:c r="H440" s="48" t="str">
        <x:v>Shared</x:v>
      </x:c>
      <x:c r="I440" s="48" t="n">
        <x:v>0.45</x:v>
      </x:c>
      <x:c r="J440" s="48" t="n">
        <x:v>0.4</x:v>
      </x:c>
      <x:c r="K440" s="48" t="str">
        <x:v>Yes</x:v>
      </x:c>
      <x:c r="L440" s="48" t="str">
        <x:v>OCR</x:v>
      </x:c>
    </x:row>
    <x:row r="441">
      <x:c r="A441" s="48" t="str">
        <x:v>ORANGE-0440</x:v>
      </x:c>
      <x:c r="B441" s="48" t="str">
        <x:v>ORANGE</x:v>
      </x:c>
      <x:c r="C441" s="48" t="str">
        <x:v>English</x:v>
      </x:c>
      <x:c r="D441" s="48" t="n">
        <x:v>39</x:v>
      </x:c>
      <x:c r="E441" s="48" t="str"/>
      <x:c r="F441" s="48" t="str">
        <x:v>Pepe hence eaapete Gah naires Be</x:v>
      </x:c>
      <x:c r="G441" s="48" t="str">
        <x:v>Obligation</x:v>
      </x:c>
      <x:c r="H441" s="48" t="str">
        <x:v>Shared</x:v>
      </x:c>
      <x:c r="I441" s="48" t="n">
        <x:v>0.45</x:v>
      </x:c>
      <x:c r="J441" s="48" t="n">
        <x:v>0.4</x:v>
      </x:c>
      <x:c r="K441" s="48" t="str">
        <x:v>Yes</x:v>
      </x:c>
      <x:c r="L441" s="48" t="str">
        <x:v>OCR</x:v>
      </x:c>
    </x:row>
    <x:row r="442">
      <x:c r="A442" s="48" t="str">
        <x:v>ORANGE-0441</x:v>
      </x:c>
      <x:c r="B442" s="48" t="str">
        <x:v>ORANGE</x:v>
      </x:c>
      <x:c r="C442" s="48" t="str">
        <x:v>English</x:v>
      </x:c>
      <x:c r="D442" s="48" t="n">
        <x:v>39</x:v>
      </x:c>
      <x:c r="E442" s="48" t="str"/>
      <x:c r="F442" s="48" t="str">
        <x:v>‘Bee Scoala y's epitroyiowhe ‘cela eg cre tC free hs gas</x:v>
      </x:c>
      <x:c r="G442" s="48" t="str">
        <x:v>Obligation</x:v>
      </x:c>
      <x:c r="H442" s="48" t="str">
        <x:v>Shared</x:v>
      </x:c>
      <x:c r="I442" s="48" t="n">
        <x:v>0.45</x:v>
      </x:c>
      <x:c r="J442" s="48" t="n">
        <x:v>0.4</x:v>
      </x:c>
      <x:c r="K442" s="48" t="str">
        <x:v>Yes</x:v>
      </x:c>
      <x:c r="L442" s="48" t="str">
        <x:v>OCR</x:v>
      </x:c>
    </x:row>
    <x:row r="443">
      <x:c r="A443" s="48" t="str">
        <x:v>ORANGE-0442</x:v>
      </x:c>
      <x:c r="B443" s="48" t="str">
        <x:v>ORANGE</x:v>
      </x:c>
      <x:c r="C443" s="48" t="str">
        <x:v>English</x:v>
      </x:c>
      <x:c r="D443" s="48" t="n">
        <x:v>39</x:v>
      </x:c>
      <x:c r="E443" s="48" t="str"/>
      <x:c r="F443" s="48" t="str">
        <x:v>Wie Comer f r wil ) iy sndt, ni)</x:v>
      </x:c>
      <x:c r="G443" s="48" t="str">
        <x:v>Obligation</x:v>
      </x:c>
      <x:c r="H443" s="48" t="str">
        <x:v>Shared</x:v>
      </x:c>
      <x:c r="I443" s="48" t="n">
        <x:v>0.45</x:v>
      </x:c>
      <x:c r="J443" s="48" t="n">
        <x:v>0.4</x:v>
      </x:c>
      <x:c r="K443" s="48" t="str">
        <x:v>Yes</x:v>
      </x:c>
      <x:c r="L443" s="48" t="str">
        <x:v>OCR</x:v>
      </x:c>
    </x:row>
    <x:row r="444">
      <x:c r="A444" s="48" t="str">
        <x:v>ORANGE-0443</x:v>
      </x:c>
      <x:c r="B444" s="48" t="str">
        <x:v>ORANGE</x:v>
      </x:c>
      <x:c r="C444" s="48" t="str">
        <x:v>English</x:v>
      </x:c>
      <x:c r="D444" s="48" t="n">
        <x:v>39</x:v>
      </x:c>
      <x:c r="E444" s="48" t="str"/>
      <x:c r="F444" s="48" t="str">
        <x:v>‘tic ng ng eto Bae ic Goes at pena he apne peste Aer fe, of aah mace A Ener Repecne a ed</x:v>
      </x:c>
      <x:c r="G444" s="48" t="str">
        <x:v>Obligation</x:v>
      </x:c>
      <x:c r="H444" s="48" t="str">
        <x:v>Shared</x:v>
      </x:c>
      <x:c r="I444" s="48" t="n">
        <x:v>0.45</x:v>
      </x:c>
      <x:c r="J444" s="48" t="n">
        <x:v>0.4</x:v>
      </x:c>
      <x:c r="K444" s="48" t="str">
        <x:v>Yes</x:v>
      </x:c>
      <x:c r="L444" s="48" t="str">
        <x:v>OCR</x:v>
      </x:c>
    </x:row>
    <x:row r="445">
      <x:c r="A445" s="48" t="str">
        <x:v>ORANGE-0444</x:v>
      </x:c>
      <x:c r="B445" s="48" t="str">
        <x:v>ORANGE</x:v>
      </x:c>
      <x:c r="C445" s="48" t="str">
        <x:v>English</x:v>
      </x:c>
      <x:c r="D445" s="48" t="n">
        <x:v>39</x:v>
      </x:c>
      <x:c r="E445" s="48" t="str"/>
      <x:c r="F445" s="48" t="str">
        <x:v>Siete svchae soaps orseemane</x:v>
      </x:c>
      <x:c r="G445" s="48" t="str">
        <x:v>Obligation</x:v>
      </x:c>
      <x:c r="H445" s="48" t="str">
        <x:v>Shared</x:v>
      </x:c>
      <x:c r="I445" s="48" t="n">
        <x:v>0.45</x:v>
      </x:c>
      <x:c r="J445" s="48" t="n">
        <x:v>0.4</x:v>
      </x:c>
      <x:c r="K445" s="48" t="str">
        <x:v>Yes</x:v>
      </x:c>
      <x:c r="L445" s="48" t="str">
        <x:v>OCR</x:v>
      </x:c>
    </x:row>
    <x:row r="446">
      <x:c r="A446" s="48" t="str">
        <x:v>ORANGE-0445</x:v>
      </x:c>
      <x:c r="B446" s="48" t="str">
        <x:v>ORANGE</x:v>
      </x:c>
      <x:c r="C446" s="48" t="str">
        <x:v>English</x:v>
      </x:c>
      <x:c r="D446" s="48" t="n">
        <x:v>39</x:v>
      </x:c>
      <x:c r="E446" s="48" t="str"/>
      <x:c r="F446" s="48" t="str">
        <x:v>(© ey coin fn he Coarr il krSautias (0 amo oh Ct ich sh ed te Coat Ps sn sh ity Come aor — s</x:v>
      </x:c>
      <x:c r="G446" s="48" t="str">
        <x:v>Obligation</x:v>
      </x:c>
      <x:c r="H446" s="48" t="str">
        <x:v>Shared</x:v>
      </x:c>
      <x:c r="I446" s="48" t="n">
        <x:v>0.45</x:v>
      </x:c>
      <x:c r="J446" s="48" t="n">
        <x:v>0.4</x:v>
      </x:c>
      <x:c r="K446" s="48" t="str">
        <x:v>Yes</x:v>
      </x:c>
      <x:c r="L446" s="48" t="str">
        <x:v>OCR</x:v>
      </x:c>
    </x:row>
    <x:row r="447">
      <x:c r="A447" s="48" t="str">
        <x:v>ORANGE-0446</x:v>
      </x:c>
      <x:c r="B447" s="48" t="str">
        <x:v>ORANGE</x:v>
      </x:c>
      <x:c r="C447" s="48" t="str">
        <x:v>English</x:v>
      </x:c>
      <x:c r="D447" s="48" t="n">
        <x:v>40</x:v>
      </x:c>
      <x:c r="E447" s="48" t="str">
        <x:v>14</x:v>
      </x:c>
      <x:c r="F447" s="48" t="str">
        <x:v>14 Variations</x:v>
      </x:c>
      <x:c r="G447" s="48" t="str">
        <x:v>Heading</x:v>
      </x:c>
      <x:c r="H447" s="48" t="str"/>
      <x:c r="I447" s="48" t="n">
        <x:v>0.9</x:v>
      </x:c>
      <x:c r="J447" s="48" t="n">
        <x:v>0.99</x:v>
      </x:c>
      <x:c r="K447" s="48" t="str">
        <x:v>No</x:v>
      </x:c>
      <x:c r="L447" s="48" t="str">
        <x:v>OCR</x:v>
      </x:c>
    </x:row>
    <x:row r="448">
      <x:c r="A448" s="48" t="str">
        <x:v>ORANGE-0447</x:v>
      </x:c>
      <x:c r="B448" s="48" t="str">
        <x:v>ORANGE</x:v>
      </x:c>
      <x:c r="C448" s="48" t="str">
        <x:v>English</x:v>
      </x:c>
      <x:c r="D448" s="48" t="n">
        <x:v>40</x:v>
      </x:c>
      <x:c r="E448" s="48" t="str"/>
      <x:c r="F448" s="48" t="str">
        <x:v>ight vary 141 Vrs nye i by he Employers Ree 2 my une</x:v>
      </x:c>
      <x:c r="G448" s="48" t="str">
        <x:v>Obligation</x:v>
      </x:c>
      <x:c r="H448" s="48" t="str">
        <x:v>Shared</x:v>
      </x:c>
      <x:c r="I448" s="48" t="n">
        <x:v>0.45</x:v>
      </x:c>
      <x:c r="J448" s="48" t="n">
        <x:v>0.4</x:v>
      </x:c>
      <x:c r="K448" s="48" t="str">
        <x:v>Yes</x:v>
      </x:c>
      <x:c r="L448" s="48" t="str">
        <x:v>OCR</x:v>
      </x:c>
    </x:row>
    <x:row r="449">
      <x:c r="A449" s="48" t="str">
        <x:v>ORANGE-0448</x:v>
      </x:c>
      <x:c r="B449" s="48" t="str">
        <x:v>ORANGE</x:v>
      </x:c>
      <x:c r="C449" s="48" t="str">
        <x:v>English</x:v>
      </x:c>
      <x:c r="D449" s="48" t="n">
        <x:v>40</x:v>
      </x:c>
      <x:c r="E449" s="48" t="str"/>
      <x:c r="F449" s="48" t="str">
        <x:v>SRC Za naacin or by aes or</x:v>
      </x:c>
      <x:c r="G449" s="48" t="str">
        <x:v>Obligation</x:v>
      </x:c>
      <x:c r="H449" s="48" t="str">
        <x:v>Shared</x:v>
      </x:c>
      <x:c r="I449" s="48" t="n">
        <x:v>0.45</x:v>
      </x:c>
      <x:c r="J449" s="48" t="n">
        <x:v>0.4</x:v>
      </x:c>
      <x:c r="K449" s="48" t="str">
        <x:v>Yes</x:v>
      </x:c>
      <x:c r="L449" s="48" t="str">
        <x:v>OCR</x:v>
      </x:c>
    </x:row>
    <x:row r="450">
      <x:c r="A450" s="48" t="str">
        <x:v>ORANGE-0449</x:v>
      </x:c>
      <x:c r="B450" s="48" t="str">
        <x:v>ORANGE</x:v>
      </x:c>
      <x:c r="C450" s="48" t="str">
        <x:v>English</x:v>
      </x:c>
      <x:c r="D450" s="48" t="n">
        <x:v>40</x:v>
      </x:c>
      <x:c r="E450" s="48" t="str"/>
      <x:c r="F450" s="48" t="str">
        <x:v>ne Cons cope he Eager Reporte eee (Stents onsen ese ac aed i</x:v>
      </x:c>
      <x:c r="G450" s="48" t="str">
        <x:v>Obligation</x:v>
      </x:c>
      <x:c r="H450" s="48" t="str">
        <x:v>Shared</x:v>
      </x:c>
      <x:c r="I450" s="48" t="n">
        <x:v>0.45</x:v>
      </x:c>
      <x:c r="J450" s="48" t="n">
        <x:v>0.4</x:v>
      </x:c>
      <x:c r="K450" s="48" t="str">
        <x:v>Yes</x:v>
      </x:c>
      <x:c r="L450" s="48" t="str">
        <x:v>OCR</x:v>
      </x:c>
    </x:row>
    <x:row r="451">
      <x:c r="A451" s="48" t="str">
        <x:v>ORANGE-0450</x:v>
      </x:c>
      <x:c r="B451" s="48" t="str">
        <x:v>ORANGE</x:v>
      </x:c>
      <x:c r="C451" s="48" t="str">
        <x:v>English</x:v>
      </x:c>
      <x:c r="D451" s="48" t="n">
        <x:v>40</x:v>
      </x:c>
      <x:c r="E451" s="48" t="str"/>
      <x:c r="F451" s="48" t="str">
        <x:v>Ca Rae intl fete Cos ce cig</x:v>
      </x:c>
      <x:c r="G451" s="48" t="str">
        <x:v>Obligation</x:v>
      </x:c>
      <x:c r="H451" s="48" t="str">
        <x:v>Shared</x:v>
      </x:c>
      <x:c r="I451" s="48" t="n">
        <x:v>0.45</x:v>
      </x:c>
      <x:c r="J451" s="48" t="n">
        <x:v>0.4</x:v>
      </x:c>
      <x:c r="K451" s="48" t="str">
        <x:v>Yes</x:v>
      </x:c>
      <x:c r="L451" s="48" t="str">
        <x:v>OCR</x:v>
      </x:c>
    </x:row>
    <x:row r="452">
      <x:c r="A452" s="48" t="str">
        <x:v>ORANGE-0451</x:v>
      </x:c>
      <x:c r="B452" s="48" t="str">
        <x:v>ORANGE</x:v>
      </x:c>
      <x:c r="C452" s="48" t="str">
        <x:v>English</x:v>
      </x:c>
      <x:c r="D452" s="48" t="n">
        <x:v>40</x:v>
      </x:c>
      <x:c r="E452" s="48" t="str"/>
      <x:c r="F452" s="48" t="str">
        <x:v>“he Conner sl nt aero aio mation oft Works cet woh he Empiers Repesnttne oxime aprons 2</x:v>
      </x:c>
      <x:c r="G452" s="48" t="str">
        <x:v>Obligation</x:v>
      </x:c>
      <x:c r="H452" s="48" t="str">
        <x:v>Shared</x:v>
      </x:c>
      <x:c r="I452" s="48" t="n">
        <x:v>0.45</x:v>
      </x:c>
      <x:c r="J452" s="48" t="n">
        <x:v>0.4</x:v>
      </x:c>
      <x:c r="K452" s="48" t="str">
        <x:v>Yes</x:v>
      </x:c>
      <x:c r="L452" s="48" t="str">
        <x:v>OCR</x:v>
      </x:c>
    </x:row>
    <x:row r="453">
      <x:c r="A453" s="48" t="str">
        <x:v>ORANGE-0452</x:v>
      </x:c>
      <x:c r="B453" s="48" t="str">
        <x:v>ORANGE</x:v>
      </x:c>
      <x:c r="C453" s="48" t="str">
        <x:v>English</x:v>
      </x:c>
      <x:c r="D453" s="48" t="n">
        <x:v>40</x:v>
      </x:c>
      <x:c r="E453" s="48" t="str"/>
      <x:c r="F453" s="48" t="str">
        <x:v>SMe Patera Gcamee ce Mons mt ce wa</x:v>
      </x:c>
      <x:c r="G453" s="48" t="str">
        <x:v>Obligation</x:v>
      </x:c>
      <x:c r="H453" s="48" t="str">
        <x:v>Shared</x:v>
      </x:c>
      <x:c r="I453" s="48" t="n">
        <x:v>0.45</x:v>
      </x:c>
      <x:c r="J453" s="48" t="n">
        <x:v>0.4</x:v>
      </x:c>
      <x:c r="K453" s="48" t="str">
        <x:v>Yes</x:v>
      </x:c>
      <x:c r="L453" s="48" t="str">
        <x:v>OCR</x:v>
      </x:c>
    </x:row>
    <x:row r="454">
      <x:c r="A454" s="48" t="str">
        <x:v>ORANGE-0453</x:v>
      </x:c>
      <x:c r="B454" s="48" t="str">
        <x:v>ORANGE</x:v>
      </x:c>
      <x:c r="C454" s="48" t="str">
        <x:v>English</x:v>
      </x:c>
      <x:c r="D454" s="48" t="n">
        <x:v>40</x:v>
      </x:c>
      <x:c r="E454" s="48" t="str"/>
      <x:c r="F454" s="48" t="str">
        <x:v>Scat tha toss roe</x:v>
      </x:c>
      <x:c r="G454" s="48" t="str">
        <x:v>Obligation</x:v>
      </x:c>
      <x:c r="H454" s="48" t="str">
        <x:v>Shared</x:v>
      </x:c>
      <x:c r="I454" s="48" t="n">
        <x:v>0.45</x:v>
      </x:c>
      <x:c r="J454" s="48" t="n">
        <x:v>0.4</x:v>
      </x:c>
      <x:c r="K454" s="48" t="str">
        <x:v>Yes</x:v>
      </x:c>
      <x:c r="L454" s="48" t="str">
        <x:v>OCR</x:v>
      </x:c>
    </x:row>
    <x:row r="455">
      <x:c r="A455" s="48" t="str">
        <x:v>ORANGE-0454</x:v>
      </x:c>
      <x:c r="B455" s="48" t="str">
        <x:v>ORANGE</x:v>
      </x:c>
      <x:c r="C455" s="48" t="str">
        <x:v>English</x:v>
      </x:c>
      <x:c r="D455" s="48" t="n">
        <x:v>40</x:v>
      </x:c>
      <x:c r="E455" s="48" t="str"/>
      <x:c r="F455" s="48" t="str">
        <x:v>“Te Conc ay aye si he se Represent</x:v>
      </x:c>
      <x:c r="G455" s="48" t="str">
        <x:v>Obligation</x:v>
      </x:c>
      <x:c r="H455" s="48" t="str">
        <x:v>Shared</x:v>
      </x:c>
      <x:c r="I455" s="48" t="n">
        <x:v>0.45</x:v>
      </x:c>
      <x:c r="J455" s="48" t="n">
        <x:v>0.4</x:v>
      </x:c>
      <x:c r="K455" s="48" t="str">
        <x:v>Yes</x:v>
      </x:c>
      <x:c r="L455" s="48" t="str">
        <x:v>OCR</x:v>
      </x:c>
    </x:row>
    <x:row r="456">
      <x:c r="A456" s="48" t="str">
        <x:v>ORANGE-0455</x:v>
      </x:c>
      <x:c r="B456" s="48" t="str">
        <x:v>ORANGE</x:v>
      </x:c>
      <x:c r="C456" s="48" t="str">
        <x:v>English</x:v>
      </x:c>
      <x:c r="D456" s="48" t="n">
        <x:v>40</x:v>
      </x:c>
      <x:c r="E456" s="48" t="str"/>
      <x:c r="F456" s="48" t="str">
        <x:v>TraSopa hich te Comms’ epic wal athe ot of</x:v>
      </x:c>
      <x:c r="G456" s="48" t="str">
        <x:v>Obligation</x:v>
      </x:c>
      <x:c r="H456" s="48" t="str">
        <x:v>Shared</x:v>
      </x:c>
      <x:c r="I456" s="48" t="n">
        <x:v>0.45</x:v>
      </x:c>
      <x:c r="J456" s="48" t="n">
        <x:v>0.4</x:v>
      </x:c>
      <x:c r="K456" s="48" t="str">
        <x:v>Yes</x:v>
      </x:c>
      <x:c r="L456" s="48" t="str">
        <x:v>OCR</x:v>
      </x:c>
    </x:row>
    <x:row r="457">
      <x:c r="A457" s="48" t="str">
        <x:v>ORANGE-0456</x:v>
      </x:c>
      <x:c r="B457" s="48" t="str">
        <x:v>ORANGE</x:v>
      </x:c>
      <x:c r="C457" s="48" t="str">
        <x:v>English</x:v>
      </x:c>
      <x:c r="D457" s="48" t="n">
        <x:v>40</x:v>
      </x:c>
      <x:c r="E457" s="48" t="str"/>
      <x:c r="F457" s="48" t="str">
        <x:v>TRE RP unig oeig Roms, ingen eo</x:v>
      </x:c>
      <x:c r="G457" s="48" t="str">
        <x:v>Obligation</x:v>
      </x:c>
      <x:c r="H457" s="48" t="str">
        <x:v>Shared</x:v>
      </x:c>
      <x:c r="I457" s="48" t="n">
        <x:v>0.45</x:v>
      </x:c>
      <x:c r="J457" s="48" t="n">
        <x:v>0.4</x:v>
      </x:c>
      <x:c r="K457" s="48" t="str">
        <x:v>Yes</x:v>
      </x:c>
      <x:c r="L457" s="48" t="str">
        <x:v>OCR</x:v>
      </x:c>
    </x:row>
    <x:row r="458">
      <x:c r="A458" s="48" t="str">
        <x:v>ORANGE-0457</x:v>
      </x:c>
      <x:c r="B458" s="48" t="str">
        <x:v>ORANGE</x:v>
      </x:c>
      <x:c r="C458" s="48" t="str">
        <x:v>English</x:v>
      </x:c>
      <x:c r="D458" s="48" t="n">
        <x:v>40</x:v>
      </x:c>
      <x:c r="E458" s="48" t="str"/>
      <x:c r="F458" s="48" t="str">
        <x:v>SESE Stoner ae Somes Wor rw bef fc</x:v>
      </x:c>
      <x:c r="G458" s="48" t="str">
        <x:v>Obligation</x:v>
      </x:c>
      <x:c r="H458" s="48" t="str">
        <x:v>Shared</x:v>
      </x:c>
      <x:c r="I458" s="48" t="n">
        <x:v>0.45</x:v>
      </x:c>
      <x:c r="J458" s="48" t="n">
        <x:v>0.4</x:v>
      </x:c>
      <x:c r="K458" s="48" t="str">
        <x:v>Yes</x:v>
      </x:c>
      <x:c r="L458" s="48" t="str">
        <x:v>OCR</x:v>
      </x:c>
    </x:row>
    <x:row r="459">
      <x:c r="A459" s="48" t="str">
        <x:v>ORANGE-0458</x:v>
      </x:c>
      <x:c r="B459" s="48" t="str">
        <x:v>ORANGE</x:v>
      </x:c>
      <x:c r="C459" s="48" t="str">
        <x:v>English</x:v>
      </x:c>
      <x:c r="D459" s="48" t="n">
        <x:v>40</x:v>
      </x:c>
      <x:c r="E459" s="48" t="str"/>
      <x:c r="F459" s="48" t="str">
        <x:v>Seager My ck pol ae presale con of he orc</x:v>
      </x:c>
      <x:c r="G459" s="48" t="str">
        <x:v>Obligation</x:v>
      </x:c>
      <x:c r="H459" s="48" t="str">
        <x:v>Shared</x:v>
      </x:c>
      <x:c r="I459" s="48" t="n">
        <x:v>0.45</x:v>
      </x:c>
      <x:c r="J459" s="48" t="n">
        <x:v>0.4</x:v>
      </x:c>
      <x:c r="K459" s="48" t="str">
        <x:v>Yes</x:v>
      </x:c>
      <x:c r="L459" s="48" t="str">
        <x:v>OCR</x:v>
      </x:c>
    </x:row>
    <x:row r="460">
      <x:c r="A460" s="48" t="str">
        <x:v>ORANGE-0459</x:v>
      </x:c>
      <x:c r="B460" s="48" t="str">
        <x:v>ORANGE</x:v>
      </x:c>
      <x:c r="C460" s="48" t="str">
        <x:v>English</x:v>
      </x:c>
      <x:c r="D460" s="48" t="n">
        <x:v>40</x:v>
      </x:c>
      <x:c r="E460" s="48" t="str"/>
      <x:c r="F460" s="48" t="str">
        <x:v>‘SAAR cht eo ain Sob Chse 183 iin Pde 143 ie lr Reems mt ener mtn» (a) a desriptin of poesia andor work te psemed a ogame tren, (oye Conran’ propel (ay teeny mations we ‘fopanme nant sw&gt;-Caee 418m (6) the Comacer’ yoo fr abjouet ob Cnt Pi Tine or</x:v>
      </x:c>
      <x:c r="G460" s="48" t="str">
        <x:v>Obligation</x:v>
      </x:c>
      <x:c r="H460" s="48" t="str">
        <x:v>Shared</x:v>
      </x:c>
      <x:c r="I460" s="48" t="n">
        <x:v>0.45</x:v>
      </x:c>
      <x:c r="J460" s="48" t="n">
        <x:v>0.4</x:v>
      </x:c>
      <x:c r="K460" s="48" t="str">
        <x:v>Yes</x:v>
      </x:c>
      <x:c r="L460" s="48" t="str">
        <x:v>OCR</x:v>
      </x:c>
    </x:row>
    <x:row r="461">
      <x:c r="A461" s="48" t="str">
        <x:v>ORANGE-0460</x:v>
      </x:c>
      <x:c r="B461" s="48" t="str">
        <x:v>ORANGE</x:v>
      </x:c>
      <x:c r="C461" s="48" t="str">
        <x:v>English</x:v>
      </x:c>
      <x:c r="D461" s="48" t="n">
        <x:v>40</x:v>
      </x:c>
      <x:c r="E461" s="48" t="str"/>
      <x:c r="F461" s="48" t="str">
        <x:v>ue Engrg 142 ne odie the Coa ‘tmnt’ Reoscttne hl tom pale ser et ‘Mente pc repr recone omen Tite Bopiners Repsratie israc ee appro 2 Von.</x:v>
      </x:c>
      <x:c r="G461" s="48" t="str">
        <x:v>Obligation</x:v>
      </x:c>
      <x:c r="H461" s="48" t="str">
        <x:v>Shared</x:v>
      </x:c>
      <x:c r="I461" s="48" t="n">
        <x:v>0.45</x:v>
      </x:c>
      <x:c r="J461" s="48" t="n">
        <x:v>0.4</x:v>
      </x:c>
      <x:c r="K461" s="48" t="str">
        <x:v>Yes</x:v>
      </x:c>
      <x:c r="L461" s="48" t="str">
        <x:v>OCR</x:v>
      </x:c>
    </x:row>
    <x:row r="462">
      <x:c r="A462" s="48" t="str">
        <x:v>ORANGE-0461</x:v>
      </x:c>
      <x:c r="B462" s="48" t="str">
        <x:v>ORANGE</x:v>
      </x:c>
      <x:c r="C462" s="48" t="str">
        <x:v>English</x:v>
      </x:c>
      <x:c r="D462" s="48" t="n">
        <x:v>40</x:v>
      </x:c>
      <x:c r="E462" s="48" t="str"/>
      <x:c r="F462" s="48" t="str">
        <x:v>Pett win Suh Cane wap dere ass</x:v>
      </x:c>
      <x:c r="G462" s="48" t="str">
        <x:v>Obligation</x:v>
      </x:c>
      <x:c r="H462" s="48" t="str">
        <x:v>Shared</x:v>
      </x:c>
      <x:c r="I462" s="48" t="n">
        <x:v>0.45</x:v>
      </x:c>
      <x:c r="J462" s="48" t="n">
        <x:v>0.4</x:v>
      </x:c>
      <x:c r="K462" s="48" t="str">
        <x:v>Yes</x:v>
      </x:c>
      <x:c r="L462" s="48" t="str">
        <x:v>OCR</x:v>
      </x:c>
    </x:row>
    <x:row r="463">
      <x:c r="A463" s="48" t="str">
        <x:v>ORANGE-0462</x:v>
      </x:c>
      <x:c r="B463" s="48" t="str">
        <x:v>ORANGE</x:v>
      </x:c>
      <x:c r="C463" s="48" t="str">
        <x:v>English</x:v>
      </x:c>
      <x:c r="D463" s="48" t="n">
        <x:v>40</x:v>
      </x:c>
      <x:c r="E463" s="48" t="str"/>
      <x:c r="F463" s="48" t="str">
        <x:v>in Gna ce Time fr Compton and Scelle of Faye, ‘Cate Cont tu seo eae se ae ne Conn cbos exer Sab Cane 142 ape tie Cone roves or pment Cott Pc mie tha te tin 4 ram 4 oe Com ape pes aed tc ss a</x:v>
      </x:c>
      <x:c r="G463" s="48" t="str">
        <x:v>Obligation</x:v>
      </x:c>
      <x:c r="H463" s="48" t="str">
        <x:v>Shared</x:v>
      </x:c>
      <x:c r="I463" s="48" t="n">
        <x:v>0.45</x:v>
      </x:c>
      <x:c r="J463" s="48" t="n">
        <x:v>0.4</x:v>
      </x:c>
      <x:c r="K463" s="48" t="str">
        <x:v>Yes</x:v>
      </x:c>
      <x:c r="L463" s="48" t="str">
        <x:v>OCR</x:v>
      </x:c>
    </x:row>
    <x:row r="464">
      <x:c r="A464" s="48" t="str">
        <x:v>ORANGE-0463</x:v>
      </x:c>
      <x:c r="B464" s="48" t="str">
        <x:v>ORANGE</x:v>
      </x:c>
      <x:c r="C464" s="48" t="str">
        <x:v>English</x:v>
      </x:c>
      <x:c r="D464" s="48" t="n">
        <x:v>40</x:v>
      </x:c>
      <x:c r="E464" s="48" t="str"/>
      <x:c r="F464" s="48" t="str">
        <x:v>Sr a cl as tet in</x:v>
      </x:c>
      <x:c r="G464" s="48" t="str">
        <x:v>Obligation</x:v>
      </x:c>
      <x:c r="H464" s="48" t="str">
        <x:v>Shared</x:v>
      </x:c>
      <x:c r="I464" s="48" t="n">
        <x:v>0.45</x:v>
      </x:c>
      <x:c r="J464" s="48" t="n">
        <x:v>0.4</x:v>
      </x:c>
      <x:c r="K464" s="48" t="str">
        <x:v>Yes</x:v>
      </x:c>
      <x:c r="L464" s="48" t="str">
        <x:v>OCR</x:v>
      </x:c>
    </x:row>
    <x:row r="465">
      <x:c r="A465" s="48" t="str">
        <x:v>ORANGE-0464</x:v>
      </x:c>
      <x:c r="B465" s="48" t="str">
        <x:v>ORANGE</x:v>
      </x:c>
      <x:c r="C465" s="48" t="str">
        <x:v>English</x:v>
      </x:c>
      <x:c r="D465" s="48" t="n">
        <x:v>40</x:v>
      </x:c>
      <x:c r="E465" s="48" t="str"/>
      <x:c r="F465" s="48" t="str">
        <x:v>‘men acl rt psn teat eh carer.</x:v>
      </x:c>
      <x:c r="G465" s="48" t="str">
        <x:v>Obligation</x:v>
      </x:c>
      <x:c r="H465" s="48" t="str">
        <x:v>Shared</x:v>
      </x:c>
      <x:c r="I465" s="48" t="n">
        <x:v>0.45</x:v>
      </x:c>
      <x:c r="J465" s="48" t="n">
        <x:v>0.4</x:v>
      </x:c>
      <x:c r="K465" s="48" t="str">
        <x:v>Yes</x:v>
      </x:c>
      <x:c r="L465" s="48" t="str">
        <x:v>OCR</x:v>
      </x:c>
    </x:row>
    <x:row r="466">
      <x:c r="A466" s="48" t="str">
        <x:v>ORANGE-0465</x:v>
      </x:c>
      <x:c r="B466" s="48" t="str">
        <x:v>ORANGE</x:v>
      </x:c>
      <x:c r="C466" s="48" t="str">
        <x:v>English</x:v>
      </x:c>
      <x:c r="D466" s="48" t="n">
        <x:v>40</x:v>
      </x:c>
      <x:c r="E466" s="48" t="str"/>
      <x:c r="F466" s="48" t="str">
        <x:v>Cee nde Engines Repeenae fag awe,</x:v>
      </x:c>
      <x:c r="G466" s="48" t="str">
        <x:v>Obligation</x:v>
      </x:c>
      <x:c r="H466" s="48" t="str">
        <x:v>Shared</x:v>
      </x:c>
      <x:c r="I466" s="48" t="n">
        <x:v>0.45</x:v>
      </x:c>
      <x:c r="J466" s="48" t="n">
        <x:v>0.4</x:v>
      </x:c>
      <x:c r="K466" s="48" t="str">
        <x:v>Yes</x:v>
      </x:c>
      <x:c r="L466" s="48" t="str">
        <x:v>OCR</x:v>
      </x:c>
    </x:row>
    <x:row r="467">
      <x:c r="A467" s="48" t="str">
        <x:v>ORANGE-0466</x:v>
      </x:c>
      <x:c r="B467" s="48" t="str">
        <x:v>ORANGE</x:v>
      </x:c>
      <x:c r="C467" s="48" t="str">
        <x:v>English</x:v>
      </x:c>
      <x:c r="D467" s="48" t="n">
        <x:v>40</x:v>
      </x:c>
      <x:c r="E467" s="48" t="str"/>
      <x:c r="F467" s="48" t="str">
        <x:v>SEI pesca) sll the sou of te ata or ene</x:v>
      </x:c>
      <x:c r="G467" s="48" t="str">
        <x:v>Obligation</x:v>
      </x:c>
      <x:c r="H467" s="48" t="str">
        <x:v>Shared</x:v>
      </x:c>
      <x:c r="I467" s="48" t="n">
        <x:v>0.45</x:v>
      </x:c>
      <x:c r="J467" s="48" t="n">
        <x:v>0.4</x:v>
      </x:c>
      <x:c r="K467" s="48" t="str">
        <x:v>Yes</x:v>
      </x:c>
      <x:c r="L467" s="48" t="str">
        <x:v>OCR</x:v>
      </x:c>
    </x:row>
    <x:row r="468">
      <x:c r="A468" s="48" t="str">
        <x:v>ORANGE-0467</x:v>
      </x:c>
      <x:c r="B468" s="48" t="str">
        <x:v>ORANGE</x:v>
      </x:c>
      <x:c r="C468" s="48" t="str">
        <x:v>English</x:v>
      </x:c>
      <x:c r="D468" s="48" t="n">
        <x:v>40</x:v>
      </x:c>
      <x:c r="E468" s="48" t="str"/>
      <x:c r="F468" s="48" t="str">
        <x:v>er tres of Cot hail wk, tho beige</x:v>
      </x:c>
      <x:c r="G468" s="48" t="str">
        <x:v>Obligation</x:v>
      </x:c>
      <x:c r="H468" s="48" t="str">
        <x:v>Shared</x:v>
      </x:c>
      <x:c r="I468" s="48" t="n">
        <x:v>0.45</x:v>
      </x:c>
      <x:c r="J468" s="48" t="n">
        <x:v>0.4</x:v>
      </x:c>
      <x:c r="K468" s="48" t="str">
        <x:v>Yes</x:v>
      </x:c>
      <x:c r="L468" s="48" t="str">
        <x:v>OCR</x:v>
      </x:c>
    </x:row>
    <x:row r="469">
      <x:c r="A469" s="48" t="str">
        <x:v>ORANGE-0468</x:v>
      </x:c>
      <x:c r="B469" s="48" t="str">
        <x:v>ORANGE</x:v>
      </x:c>
      <x:c r="C469" s="48" t="str">
        <x:v>English</x:v>
      </x:c>
      <x:c r="D469" s="48" t="n">
        <x:v>40</x:v>
      </x:c>
      <x:c r="E469" s="48" t="str"/>
      <x:c r="F469" s="48" t="str">
        <x:v>Sepa etal Sinenoer nee er ppm we nna</x:v>
      </x:c>
      <x:c r="G469" s="48" t="str">
        <x:v>Obligation</x:v>
      </x:c>
      <x:c r="H469" s="48" t="str">
        <x:v>Shared</x:v>
      </x:c>
      <x:c r="I469" s="48" t="n">
        <x:v>0.45</x:v>
      </x:c>
      <x:c r="J469" s="48" t="n">
        <x:v>0.4</x:v>
      </x:c>
      <x:c r="K469" s="48" t="str">
        <x:v>Yes</x:v>
      </x:c>
      <x:c r="L469" s="48" t="str">
        <x:v>OCR</x:v>
      </x:c>
    </x:row>
    <x:row r="470">
      <x:c r="A470" s="48" t="str">
        <x:v>ORANGE-0469</x:v>
      </x:c>
      <x:c r="B470" s="48" t="str">
        <x:v>ORANGE</x:v>
      </x:c>
      <x:c r="C470" s="48" t="str">
        <x:v>English</x:v>
      </x:c>
      <x:c r="D470" s="48" t="n">
        <x:v>40</x:v>
      </x:c>
      <x:c r="E470" s="48" t="str"/>
      <x:c r="F470" s="48" t="str">
        <x:v>te ‘rvisnalSoms 145 Fach Povo Sum al nyt ol awk in it Sake Empoyers Reps nts.</x:v>
      </x:c>
      <x:c r="G470" s="48" t="str">
        <x:v>Obligation</x:v>
      </x:c>
      <x:c r="H470" s="48" t="str">
        <x:v>Shared</x:v>
      </x:c>
      <x:c r="I470" s="48" t="n">
        <x:v>0.45</x:v>
      </x:c>
      <x:c r="J470" s="48" t="n">
        <x:v>0.4</x:v>
      </x:c>
      <x:c r="K470" s="48" t="str">
        <x:v>Yes</x:v>
      </x:c>
      <x:c r="L470" s="48" t="str">
        <x:v>OCR</x:v>
      </x:c>
    </x:row>
    <x:row r="471">
      <x:c r="A471" s="48" t="str">
        <x:v>ORANGE-0470</x:v>
      </x:c>
      <x:c r="B471" s="48" t="str">
        <x:v>ORANGE</x:v>
      </x:c>
      <x:c r="C471" s="48" t="str">
        <x:v>English</x:v>
      </x:c>
      <x:c r="D471" s="48" t="n">
        <x:v>40</x:v>
      </x:c>
      <x:c r="E471" s="48" t="str"/>
      <x:c r="F471" s="48" t="str">
        <x:v>Thee a abo ‘Coto at cin iy ch sons he were opin Sh</x:v>
      </x:c>
      <x:c r="G471" s="48" t="str">
        <x:v>Obligation</x:v>
      </x:c>
      <x:c r="H471" s="48" t="str">
        <x:v>Shared</x:v>
      </x:c>
      <x:c r="I471" s="48" t="n">
        <x:v>0.45</x:v>
      </x:c>
      <x:c r="J471" s="48" t="n">
        <x:v>0.4</x:v>
      </x:c>
      <x:c r="K471" s="48" t="str">
        <x:v>Yes</x:v>
      </x:c>
      <x:c r="L471" s="48" t="str">
        <x:v>OCR</x:v>
      </x:c>
    </x:row>
    <x:row r="472">
      <x:c r="A472" s="48" t="str">
        <x:v>ORANGE-0471</x:v>
      </x:c>
      <x:c r="B472" s="48" t="str">
        <x:v>ORANGE</x:v>
      </x:c>
      <x:c r="C472" s="48" t="str">
        <x:v>English</x:v>
      </x:c>
      <x:c r="D472" s="48" t="n">
        <x:v>40</x:v>
      </x:c>
      <x:c r="E472" s="48" t="str"/>
      <x:c r="F472" s="48" t="str">
        <x:v>Sth Preise Soom waa Enger Repost</x:v>
      </x:c>
      <x:c r="G472" s="48" t="str">
        <x:v>Obligation</x:v>
      </x:c>
      <x:c r="H472" s="48" t="str">
        <x:v>Shared</x:v>
      </x:c>
      <x:c r="I472" s="48" t="n">
        <x:v>0.45</x:v>
      </x:c>
      <x:c r="J472" s="48" t="n">
        <x:v>0.4</x:v>
      </x:c>
      <x:c r="K472" s="48" t="str">
        <x:v>Yes</x:v>
      </x:c>
      <x:c r="L472" s="48" t="str">
        <x:v>OCR</x:v>
      </x:c>
    </x:row>
    <x:row r="473">
      <x:c r="A473" s="48" t="str">
        <x:v>ORANGE-0472</x:v>
      </x:c>
      <x:c r="B473" s="48" t="str">
        <x:v>ORANGE</x:v>
      </x:c>
      <x:c r="C473" s="48" t="str">
        <x:v>English</x:v>
      </x:c>
      <x:c r="D473" s="48" t="n">
        <x:v>40</x:v>
      </x:c>
      <x:c r="E473" s="48" t="str"/>
      <x:c r="F473" s="48" t="str">
        <x:v>‘Bcc For exh Pevienl Sue Empoers Roe ‘sen</x:v>
      </x:c>
      <x:c r="G473" s="48" t="str">
        <x:v>Obligation</x:v>
      </x:c>
      <x:c r="H473" s="48" t="str">
        <x:v>Shared</x:v>
      </x:c>
      <x:c r="I473" s="48" t="n">
        <x:v>0.45</x:v>
      </x:c>
      <x:c r="J473" s="48" t="n">
        <x:v>0.4</x:v>
      </x:c>
      <x:c r="K473" s="48" t="str">
        <x:v>Yes</x:v>
      </x:c>
      <x:c r="L473" s="48" t="str">
        <x:v>OCR</x:v>
      </x:c>
    </x:row>
    <x:row r="474">
      <x:c r="A474" s="48" t="str">
        <x:v>ORANGE-0473</x:v>
      </x:c>
      <x:c r="B474" s="48" t="str">
        <x:v>ORANGE</x:v>
      </x:c>
      <x:c r="C474" s="48" t="str">
        <x:v>English</x:v>
      </x:c>
      <x:c r="D474" s="48" t="n">
        <x:v>41</x:v>
      </x:c>
      <x:c r="E474" s="48" t="str"/>
      <x:c r="F474" s="48" t="str">
        <x:v>(a) workto exe ang Pat Maer evista be saps) Tits Chnocoran ue tne Seb Case 143 (0) an Maris eri opti he Conc ich</x:v>
      </x:c>
      <x:c r="G474" s="48" t="str">
        <x:v>Obligation</x:v>
      </x:c>
      <x:c r="H474" s="48" t="str">
        <x:v>Shared</x:v>
      </x:c>
      <x:c r="I474" s="48" t="n">
        <x:v>0.45</x:v>
      </x:c>
      <x:c r="J474" s="48" t="n">
        <x:v>0.4</x:v>
      </x:c>
      <x:c r="K474" s="48" t="str">
        <x:v>Yes</x:v>
      </x:c>
      <x:c r="L474" s="48" t="str">
        <x:v>OCR</x:v>
      </x:c>
    </x:row>
    <x:row r="475">
      <x:c r="A475" s="48" t="str">
        <x:v>ORANGE-0474</x:v>
      </x:c>
      <x:c r="B475" s="48" t="str">
        <x:v>ORANGE</x:v>
      </x:c>
      <x:c r="C475" s="48" t="str">
        <x:v>English</x:v>
      </x:c>
      <x:c r="D475" s="48" t="n">
        <x:v>41</x:v>
      </x:c>
      <x:c r="E475" s="48" t="str"/>
      <x:c r="F475" s="48" t="str">
        <x:v>Pymcntwiite mat facet</x:v>
      </x:c>
      <x:c r="G475" s="48" t="str">
        <x:v>Obligation</x:v>
      </x:c>
      <x:c r="H475" s="48" t="str">
        <x:v>Shared</x:v>
      </x:c>
      <x:c r="I475" s="48" t="n">
        <x:v>0.45</x:v>
      </x:c>
      <x:c r="J475" s="48" t="n">
        <x:v>0.4</x:v>
      </x:c>
      <x:c r="K475" s="48" t="str">
        <x:v>Yes</x:v>
      </x:c>
      <x:c r="L475" s="48" t="str">
        <x:v>OCR</x:v>
      </x:c>
    </x:row>
    <x:row r="476">
      <x:c r="A476" s="48" t="str">
        <x:v>ORANGE-0475</x:v>
      </x:c>
      <x:c r="B476" s="48" t="str">
        <x:v>ORANGE</x:v>
      </x:c>
      <x:c r="C476" s="48" t="str">
        <x:v>English</x:v>
      </x:c>
      <x:c r="D476" s="48" t="n">
        <x:v>41</x:v>
      </x:c>
      <x:c r="E476" s="48" t="str"/>
      <x:c r="F476" s="48" t="str">
        <x:v>(0 thea pce pad (re ie id y the Coc, and (3 erenage ofthe acl poi (oe ih.</x:v>
      </x:c>
      <x:c r="G476" s="48" t="str">
        <x:v>Obligation</x:v>
      </x:c>
      <x:c r="H476" s="48" t="str">
        <x:v>Shared</x:v>
      </x:c>
      <x:c r="I476" s="48" t="n">
        <x:v>0.45</x:v>
      </x:c>
      <x:c r="J476" s="48" t="n">
        <x:v>0.4</x:v>
      </x:c>
      <x:c r="K476" s="48" t="str">
        <x:v>Yes</x:v>
      </x:c>
      <x:c r="L476" s="48" t="str">
        <x:v>OCR</x:v>
      </x:c>
    </x:row>
    <x:row r="477">
      <x:c r="A477" s="48" t="str">
        <x:v>ORANGE-0476</x:v>
      </x:c>
      <x:c r="B477" s="48" t="str">
        <x:v>ORANGE</x:v>
      </x:c>
      <x:c r="C477" s="48" t="str">
        <x:v>English</x:v>
      </x:c>
      <x:c r="D477" s="48" t="n">
        <x:v>41</x:v>
      </x:c>
      <x:c r="E477" s="48" t="str">
        <x:v>5</x:v>
      </x:c>
      <x:c r="F477" s="48" t="str">
        <x:v>5 sn ‘aE Agno Tener cove l oe Cons chaps ad tt, ‘he Contr sal sheeted ples Reps, re (yotstony vay ous tou or eepsinstiao.</x:v>
      </x:c>
      <x:c r="G477" s="48" t="str">
        <x:v>Obligation</x:v>
      </x:c>
      <x:c r="H477" s="48" t="str">
        <x:v>Shared</x:v>
      </x:c>
      <x:c r="I477" s="48" t="n">
        <x:v>0.45</x:v>
      </x:c>
      <x:c r="J477" s="48" t="n">
        <x:v>0.4</x:v>
      </x:c>
      <x:c r="K477" s="48" t="str">
        <x:v>Yes</x:v>
      </x:c>
      <x:c r="L477" s="48" t="str">
        <x:v>OCR</x:v>
      </x:c>
    </x:row>
    <x:row r="478">
      <x:c r="A478" s="48" t="str">
        <x:v>ORANGE-0477</x:v>
      </x:c>
      <x:c r="B478" s="48" t="str">
        <x:v>ORANGE</x:v>
      </x:c>
      <x:c r="C478" s="48" t="str">
        <x:v>English</x:v>
      </x:c>
      <x:c r="D478" s="48" t="n">
        <x:v>41</x:v>
      </x:c>
      <x:c r="E478" s="48" t="str">
        <x:v>15</x:v>
      </x:c>
      <x:c r="F478" s="48" t="str">
        <x:v>15 Default of Contractor</x:v>
      </x:c>
      <x:c r="G478" s="48" t="str">
        <x:v>Heading</x:v>
      </x:c>
      <x:c r="H478" s="48" t="str"/>
      <x:c r="I478" s="48" t="n">
        <x:v>0.9</x:v>
      </x:c>
      <x:c r="J478" s="48" t="n">
        <x:v>0.99</x:v>
      </x:c>
      <x:c r="K478" s="48" t="str">
        <x:v>No</x:v>
      </x:c>
      <x:c r="L478" s="48" t="str">
        <x:v>OCR</x:v>
      </x:c>
    </x:row>
    <x:row r="479">
      <x:c r="A479" s="48" t="str">
        <x:v>ORANGE-0478</x:v>
      </x:c>
      <x:c r="B479" s="48" t="str">
        <x:v>ORANGE</x:v>
      </x:c>
      <x:c r="C479" s="48" t="str">
        <x:v>English</x:v>
      </x:c>
      <x:c r="D479" s="48" t="n">
        <x:v>41</x:v>
      </x:c>
      <x:c r="E479" s="48" t="str"/>
      <x:c r="F479" s="48" t="str">
        <x:v>Note Correct ESA he Catamaran fs itn oi be Crcr</x:v>
      </x:c>
      <x:c r="G479" s="48" t="str">
        <x:v>Obligation</x:v>
      </x:c>
      <x:c r="H479" s="48" t="str">
        <x:v>Shared</x:v>
      </x:c>
      <x:c r="I479" s="48" t="n">
        <x:v>0.45</x:v>
      </x:c>
      <x:c r="J479" s="48" t="n">
        <x:v>0.4</x:v>
      </x:c>
      <x:c r="K479" s="48" t="str">
        <x:v>Yes</x:v>
      </x:c>
      <x:c r="L479" s="48" t="str">
        <x:v>OCR</x:v>
      </x:c>
    </x:row>
    <x:row r="480">
      <x:c r="A480" s="48" t="str">
        <x:v>ORANGE-0479</x:v>
      </x:c>
      <x:c r="B480" s="48" t="str">
        <x:v>ORANGE</x:v>
      </x:c>
      <x:c r="C480" s="48" t="str">
        <x:v>English</x:v>
      </x:c>
      <x:c r="D480" s="48" t="n">
        <x:v>41</x:v>
      </x:c>
      <x:c r="E480" s="48" t="str"/>
      <x:c r="F480" s="48" t="str">
        <x:v>[Nut eusang he Wks dae nih he Coat the Enger</x:v>
      </x:c>
      <x:c r="G480" s="48" t="str">
        <x:v>Obligation</x:v>
      </x:c>
      <x:c r="H480" s="48" t="str">
        <x:v>Shared</x:v>
      </x:c>
      <x:c r="I480" s="48" t="n">
        <x:v>0.45</x:v>
      </x:c>
      <x:c r="J480" s="48" t="n">
        <x:v>0.4</x:v>
      </x:c>
      <x:c r="K480" s="48" t="str">
        <x:v>Yes</x:v>
      </x:c>
      <x:c r="L480" s="48" t="str">
        <x:v>OCR</x:v>
      </x:c>
    </x:row>
    <x:row r="481">
      <x:c r="A481" s="48" t="str">
        <x:v>ORANGE-0480</x:v>
      </x:c>
      <x:c r="B481" s="48" t="str">
        <x:v>ORANGE</x:v>
      </x:c>
      <x:c r="C481" s="48" t="str">
        <x:v>English</x:v>
      </x:c>
      <x:c r="D481" s="48" t="n">
        <x:v>41</x:v>
      </x:c>
      <x:c r="E481" s="48" t="str"/>
      <x:c r="F481" s="48" t="str">
        <x:v>Reps ny pre ene he Catt reucng in male Pd</x:v>
      </x:c>
      <x:c r="G481" s="48" t="str">
        <x:v>Obligation</x:v>
      </x:c>
      <x:c r="H481" s="48" t="str">
        <x:v>Shared</x:v>
      </x:c>
      <x:c r="I481" s="48" t="n">
        <x:v>0.45</x:v>
      </x:c>
      <x:c r="J481" s="48" t="n">
        <x:v>0.4</x:v>
      </x:c>
      <x:c r="K481" s="48" t="str">
        <x:v>Yes</x:v>
      </x:c>
      <x:c r="L481" s="48" t="str">
        <x:v>OCR</x:v>
      </x:c>
    </x:row>
    <x:row r="482">
      <x:c r="A482" s="48" t="str">
        <x:v>ORANGE-0481</x:v>
      </x:c>
      <x:c r="B482" s="48" t="str">
        <x:v>ORANGE</x:v>
      </x:c>
      <x:c r="C482" s="48" t="str">
        <x:v>English</x:v>
      </x:c>
      <x:c r="D482" s="48" t="n">
        <x:v>41</x:v>
      </x:c>
      <x:c r="E482" s="48" t="str"/>
      <x:c r="F482" s="48" t="str">
        <x:v>‘Se ud renedy cme wis pid ese Teminion 182 ie Cotte (fsa comply haste nr Sb Clase 181 1) sn or paiesh Cr.</x:v>
      </x:c>
      <x:c r="G482" s="48" t="str">
        <x:v>Obligation</x:v>
      </x:c>
      <x:c r="H482" s="48" t="str">
        <x:v>Shared</x:v>
      </x:c>
      <x:c r="I482" s="48" t="n">
        <x:v>0.45</x:v>
      </x:c>
      <x:c r="J482" s="48" t="n">
        <x:v>0.4</x:v>
      </x:c>
      <x:c r="K482" s="48" t="str">
        <x:v>Yes</x:v>
      </x:c>
      <x:c r="L482" s="48" t="str">
        <x:v>OCR</x:v>
      </x:c>
    </x:row>
    <x:row r="483">
      <x:c r="A483" s="48" t="str">
        <x:v>ORANGE-0482</x:v>
      </x:c>
      <x:c r="B483" s="48" t="str">
        <x:v>ORANGE</x:v>
      </x:c>
      <x:c r="C483" s="48" t="str">
        <x:v>English</x:v>
      </x:c>
      <x:c r="D483" s="48" t="n">
        <x:v>41</x:v>
      </x:c>
      <x:c r="E483" s="48" t="str"/>
      <x:c r="F483" s="48" t="str">
        <x:v>(6) lout renee xe ais 0) sosommene be Wain aera i ub Ce 81 (Gi to prc whe Wak core eh Cae oF [id 6 donestnte dot itt dex api imple in te (Saige coc Wate ace Compt wit We Tine foe</x:v>
      </x:c>
      <x:c r="G483" s="48" t="str">
        <x:v>Obligation</x:v>
      </x:c>
      <x:c r="H483" s="48" t="str">
        <x:v>Shared</x:v>
      </x:c>
      <x:c r="I483" s="48" t="n">
        <x:v>0.45</x:v>
      </x:c>
      <x:c r="J483" s="48" t="n">
        <x:v>0.4</x:v>
      </x:c>
      <x:c r="K483" s="48" t="str">
        <x:v>Yes</x:v>
      </x:c>
      <x:c r="L483" s="48" t="str">
        <x:v>OCR</x:v>
      </x:c>
    </x:row>
    <x:row r="484">
      <x:c r="A484" s="48" t="str">
        <x:v>ORANGE-0483</x:v>
      </x:c>
      <x:c r="B484" s="48" t="str">
        <x:v>ORANGE</x:v>
      </x:c>
      <x:c r="C484" s="48" t="str">
        <x:v>English</x:v>
      </x:c>
      <x:c r="D484" s="48" t="n">
        <x:v>41</x:v>
      </x:c>
      <x:c r="E484" s="48" t="str">
        <x:v>4</x:v>
      </x:c>
      <x:c r="F484" s="48" t="str">
        <x:v>4 ecomes ag ve, es gion, to a igo ‘Stina os atest on compuni ih hs cdo ‘fcr anbn aner arc ote er mange ee "sels rif ym Sone nen or ih ede</x:v>
      </x:c>
      <x:c r="G484" s="48" t="str">
        <x:v>Obligation</x:v>
      </x:c>
      <x:c r="H484" s="48" t="str">
        <x:v>Shared</x:v>
      </x:c>
      <x:c r="I484" s="48" t="n">
        <x:v>0.45</x:v>
      </x:c>
      <x:c r="J484" s="48" t="n">
        <x:v>0.4</x:v>
      </x:c>
      <x:c r="K484" s="48" t="str">
        <x:v>Yes</x:v>
      </x:c>
      <x:c r="L484" s="48" t="str">
        <x:v>OCR</x:v>
      </x:c>
    </x:row>
    <x:row r="485">
      <x:c r="A485" s="48" t="str">
        <x:v>ORANGE-0484</x:v>
      </x:c>
      <x:c r="B485" s="48" t="str">
        <x:v>ORANGE</x:v>
      </x:c>
      <x:c r="C485" s="48" t="str">
        <x:v>English</x:v>
      </x:c>
      <x:c r="D485" s="48" t="n">
        <x:v>41</x:v>
      </x:c>
      <x:c r="E485" s="48" t="str"/>
      <x:c r="F485" s="48" t="str">
        <x:v>Ste SA SSS esp cfm</x:v>
      </x:c>
      <x:c r="G485" s="48" t="str">
        <x:v>Obligation</x:v>
      </x:c>
      <x:c r="H485" s="48" t="str">
        <x:v>Shared</x:v>
      </x:c>
      <x:c r="I485" s="48" t="n">
        <x:v>0.45</x:v>
      </x:c>
      <x:c r="J485" s="48" t="n">
        <x:v>0.4</x:v>
      </x:c>
      <x:c r="K485" s="48" t="str">
        <x:v>Yes</x:v>
      </x:c>
      <x:c r="L485" s="48" t="str">
        <x:v>OCR</x:v>
      </x:c>
    </x:row>
    <x:row r="486">
      <x:c r="A486" s="48" t="str">
        <x:v>ORANGE-0485</x:v>
      </x:c>
      <x:c r="B486" s="48" t="str">
        <x:v>ORANGE</x:v>
      </x:c>
      <x:c r="C486" s="48" t="str">
        <x:v>English</x:v>
      </x:c>
      <x:c r="D486" s="48" t="n">
        <x:v>41</x:v>
      </x:c>
      <x:c r="E486" s="48" t="str"/>
      <x:c r="F486" s="48" t="str">
        <x:v>(© ase comply ith nee ud unde Sub Case 7 within 28s</x:v>
      </x:c>
      <x:c r="G486" s="48" t="str">
        <x:v>Obligation</x:v>
      </x:c>
      <x:c r="H486" s="48" t="str">
        <x:v>Shared</x:v>
      </x:c>
      <x:c r="I486" s="48" t="n">
        <x:v>0.45</x:v>
      </x:c>
      <x:c r="J486" s="48" t="n">
        <x:v>0.4</x:v>
      </x:c>
      <x:c r="K486" s="48" t="str">
        <x:v>Yes</x:v>
      </x:c>
      <x:c r="L486" s="48" t="str">
        <x:v>OCR</x:v>
      </x:c>
    </x:row>
    <x:row r="487">
      <x:c r="A487" s="48" t="str">
        <x:v>ORANGE-0486</x:v>
      </x:c>
      <x:c r="B487" s="48" t="str">
        <x:v>ORANGE</x:v>
      </x:c>
      <x:c r="C487" s="48" t="str">
        <x:v>English</x:v>
      </x:c>
      <x:c r="D487" s="48" t="n">
        <x:v>41</x:v>
      </x:c>
      <x:c r="E487" s="48" t="str"/>
      <x:c r="F487" s="48" t="str">
        <x:v>Sr evn ced oe</x:v>
      </x:c>
      <x:c r="G487" s="48" t="str">
        <x:v>Obligation</x:v>
      </x:c>
      <x:c r="H487" s="48" t="str">
        <x:v>Shared</x:v>
      </x:c>
      <x:c r="I487" s="48" t="n">
        <x:v>0.45</x:v>
      </x:c>
      <x:c r="J487" s="48" t="n">
        <x:v>0.4</x:v>
      </x:c>
      <x:c r="K487" s="48" t="str">
        <x:v>Yes</x:v>
      </x:c>
      <x:c r="L487" s="48" t="str">
        <x:v>OCR</x:v>
      </x:c>
    </x:row>
    <x:row r="488">
      <x:c r="A488" s="48" t="str">
        <x:v>ORANGE-0487</x:v>
      </x:c>
      <x:c r="B488" s="48" t="str">
        <x:v>ORANGE</x:v>
      </x:c>
      <x:c r="C488" s="48" t="str">
        <x:v>English</x:v>
      </x:c>
      <x:c r="D488" s="48" t="n">
        <x:v>41</x:v>
      </x:c>
      <x:c r="E488" s="48" t="str"/>
      <x:c r="F488" s="48" t="str">
        <x:v>(© sans te Cort or whens te Waks widow he mud then te Employer mye having ge da’ ae e Conrci, (Sin Conn venue nde he oman epel on</x:v>
      </x:c>
      <x:c r="G488" s="48" t="str">
        <x:v>Obligation</x:v>
      </x:c>
      <x:c r="H488" s="48" t="str">
        <x:v>Employer</x:v>
      </x:c>
      <x:c r="I488" s="48" t="n">
        <x:v>0.45</x:v>
      </x:c>
      <x:c r="J488" s="48" t="n">
        <x:v>0.68</x:v>
      </x:c>
      <x:c r="K488" s="48" t="str">
        <x:v>Yes</x:v>
      </x:c>
      <x:c r="L488" s="48" t="str">
        <x:v>OCR</x:v>
      </x:c>
    </x:row>
    <x:row r="489">
      <x:c r="A489" s="48" t="str">
        <x:v>ORANGE-0488</x:v>
      </x:c>
      <x:c r="B489" s="48" t="str">
        <x:v>ORANGE</x:v>
      </x:c>
      <x:c r="C489" s="48" t="str">
        <x:v>English</x:v>
      </x:c>
      <x:c r="D489" s="48" t="n">
        <x:v>41</x:v>
      </x:c>
      <x:c r="E489" s="48" t="str"/>
      <x:c r="F489" s="48" t="str">
        <x:v>S'S The Cone al th er iin tl</x:v>
      </x:c>
      <x:c r="G489" s="48" t="str">
        <x:v>Obligation</x:v>
      </x:c>
      <x:c r="H489" s="48" t="str">
        <x:v>Shared</x:v>
      </x:c>
      <x:c r="I489" s="48" t="n">
        <x:v>0.45</x:v>
      </x:c>
      <x:c r="J489" s="48" t="n">
        <x:v>0.4</x:v>
      </x:c>
      <x:c r="K489" s="48" t="str">
        <x:v>Yes</x:v>
      </x:c>
      <x:c r="L489" s="48" t="str">
        <x:v>OCR</x:v>
      </x:c>
    </x:row>
    <x:row r="490">
      <x:c r="A490" s="48" t="str">
        <x:v>ORANGE-0489</x:v>
      </x:c>
      <x:c r="B490" s="48" t="str">
        <x:v>ORANGE</x:v>
      </x:c>
      <x:c r="C490" s="48" t="str">
        <x:v>English</x:v>
      </x:c>
      <x:c r="D490" s="48" t="n">
        <x:v>41</x:v>
      </x:c>
      <x:c r="E490" s="48" t="str"/>
      <x:c r="F490" s="48" t="str">
        <x:v>‘cht ac cd fom yf ogee abi ‘Die Com Te ps an nares ceed on he Eppa |B Employers Repeat te Cote!</x:v>
      </x:c>
      <x:c r="G490" s="48" t="str">
        <x:v>Obligation</x:v>
      </x:c>
      <x:c r="H490" s="48" t="str">
        <x:v>Shared</x:v>
      </x:c>
      <x:c r="I490" s="48" t="n">
        <x:v>0.45</x:v>
      </x:c>
      <x:c r="J490" s="48" t="n">
        <x:v>0.4</x:v>
      </x:c>
      <x:c r="K490" s="48" t="str">
        <x:v>Yes</x:v>
      </x:c>
      <x:c r="L490" s="48" t="str">
        <x:v>OCR</x:v>
      </x:c>
    </x:row>
    <x:row r="491">
      <x:c r="A491" s="48" t="str">
        <x:v>ORANGE-0490</x:v>
      </x:c>
      <x:c r="B491" s="48" t="str">
        <x:v>ORANGE</x:v>
      </x:c>
      <x:c r="C491" s="48" t="str">
        <x:v>English</x:v>
      </x:c>
      <x:c r="D491" s="48" t="n">
        <x:v>41</x:v>
      </x:c>
      <x:c r="E491" s="48" t="str"/>
      <x:c r="F491" s="48" t="str">
        <x:v>Sha tefl ‘Te Fpl my wpen sch mien cage he Wek his ane</x:v>
      </x:c>
      <x:c r="G491" s="48" t="str">
        <x:v>Obligation</x:v>
      </x:c>
      <x:c r="H491" s="48" t="str">
        <x:v>Shared</x:v>
      </x:c>
      <x:c r="I491" s="48" t="n">
        <x:v>0.45</x:v>
      </x:c>
      <x:c r="J491" s="48" t="n">
        <x:v>0.4</x:v>
      </x:c>
      <x:c r="K491" s="48" t="str">
        <x:v>Yes</x:v>
      </x:c>
      <x:c r="L491" s="48" t="str">
        <x:v>OCR</x:v>
      </x:c>
    </x:row>
    <x:row r="492">
      <x:c r="A492" s="48" t="str">
        <x:v>ORANGE-0491</x:v>
      </x:c>
      <x:c r="B492" s="48" t="str">
        <x:v>ORANGE</x:v>
      </x:c>
      <x:c r="C492" s="48" t="str">
        <x:v>English</x:v>
      </x:c>
      <x:c r="D492" s="48" t="n">
        <x:v>41</x:v>
      </x:c>
      <x:c r="E492" s="48" t="str"/>
      <x:c r="F492" s="48" t="str">
        <x:v>Wyner cunt Te Cpe ss ec ay fo</x:v>
      </x:c>
      <x:c r="G492" s="48" t="str">
        <x:v>Obligation</x:v>
      </x:c>
      <x:c r="H492" s="48" t="str">
        <x:v>Shared</x:v>
      </x:c>
      <x:c r="I492" s="48" t="n">
        <x:v>0.45</x:v>
      </x:c>
      <x:c r="J492" s="48" t="n">
        <x:v>0.4</x:v>
      </x:c>
      <x:c r="K492" s="48" t="str">
        <x:v>Yes</x:v>
      </x:c>
      <x:c r="L492" s="48" t="str">
        <x:v>OCR</x:v>
      </x:c>
    </x:row>
    <x:row r="493">
      <x:c r="A493" s="48" t="str">
        <x:v>ORANGE-0492</x:v>
      </x:c>
      <x:c r="B493" s="48" t="str">
        <x:v>ORANGE</x:v>
      </x:c>
      <x:c r="C493" s="48" t="str">
        <x:v>English</x:v>
      </x:c>
      <x:c r="D493" s="48" t="n">
        <x:v>41</x:v>
      </x:c>
      <x:c r="E493" s="48" t="str"/>
      <x:c r="F493" s="48" t="str">
        <x:v>‘eb omg tech ee Cenencton Decurentet i ‘SShoumt matey ron bl he Cams, Contr Eup ee s</x:v>
      </x:c>
      <x:c r="G493" s="48" t="str">
        <x:v>Obligation</x:v>
      </x:c>
      <x:c r="H493" s="48" t="str">
        <x:v>Shared</x:v>
      </x:c>
      <x:c r="I493" s="48" t="n">
        <x:v>0.45</x:v>
      </x:c>
      <x:c r="J493" s="48" t="n">
        <x:v>0.4</x:v>
      </x:c>
      <x:c r="K493" s="48" t="str">
        <x:v>Yes</x:v>
      </x:c>
      <x:c r="L493" s="48" t="str">
        <x:v>OCR</x:v>
      </x:c>
    </x:row>
    <x:row r="494">
      <x:c r="A494" s="48" t="str">
        <x:v>ORANGE-0493</x:v>
      </x:c>
      <x:c r="B494" s="48" t="str">
        <x:v>ORANGE</x:v>
      </x:c>
      <x:c r="C494" s="48" t="str">
        <x:v>English</x:v>
      </x:c>
      <x:c r="D494" s="48" t="n">
        <x:v>42</x:v>
      </x:c>
      <x:c r="E494" s="48" t="str"/>
      <x:c r="F494" s="48" t="str">
        <x:v>-engonry Wicks Pa ant Ne she oh ay tak paper ve eee at uc eet dae 2 the Empiots</x:v>
      </x:c>
      <x:c r="G494" s="48" t="str">
        <x:v>Obligation</x:v>
      </x:c>
      <x:c r="H494" s="48" t="str">
        <x:v>Shared</x:v>
      </x:c>
      <x:c r="I494" s="48" t="n">
        <x:v>0.45</x:v>
      </x:c>
      <x:c r="J494" s="48" t="n">
        <x:v>0.4</x:v>
      </x:c>
      <x:c r="K494" s="48" t="str">
        <x:v>Yes</x:v>
      </x:c>
      <x:c r="L494" s="48" t="str">
        <x:v>OCR</x:v>
      </x:c>
    </x:row>
    <x:row r="495">
      <x:c r="A495" s="48" t="str">
        <x:v>ORANGE-0494</x:v>
      </x:c>
      <x:c r="B495" s="48" t="str">
        <x:v>ORANGE</x:v>
      </x:c>
      <x:c r="C495" s="48" t="str">
        <x:v>English</x:v>
      </x:c>
      <x:c r="D495" s="48" t="n">
        <x:v>42</x:v>
      </x:c>
      <x:c r="E495" s="48" t="str"/>
      <x:c r="F495" s="48" t="str">
        <x:v>Specie de te emir Resins shall Be</x:v>
      </x:c>
      <x:c r="G495" s="48" t="str">
        <x:v>Obligation</x:v>
      </x:c>
      <x:c r="H495" s="48" t="str">
        <x:v>Shared</x:v>
      </x:c>
      <x:c r="I495" s="48" t="n">
        <x:v>0.88</x:v>
      </x:c>
      <x:c r="J495" s="48" t="n">
        <x:v>0.4</x:v>
      </x:c>
      <x:c r="K495" s="48" t="str">
        <x:v>Yes</x:v>
      </x:c>
      <x:c r="L495" s="48" t="str">
        <x:v>OCR</x:v>
      </x:c>
    </x:row>
    <x:row r="496">
      <x:c r="A496" s="48" t="str">
        <x:v>ORANGE-0495</x:v>
      </x:c>
      <x:c r="B496" s="48" t="str">
        <x:v>ORANGE</x:v>
      </x:c>
      <x:c r="C496" s="48" t="str">
        <x:v>English</x:v>
      </x:c>
      <x:c r="D496" s="48" t="n">
        <x:v>42</x:v>
      </x:c>
      <x:c r="E496" s="48" t="str"/>
      <x:c r="F496" s="48" t="str">
        <x:v>sees deans Eps so eens akan tats a et ear Sur The Conc sal veo ape vee eon th ae wit ty a 163. ‘Tne Epler Repos sa oe psi afer tein</x:v>
      </x:c>
      <x:c r="G496" s="48" t="str">
        <x:v>Obligation</x:v>
      </x:c>
      <x:c r="H496" s="48" t="str">
        <x:v>Shared</x:v>
      </x:c>
      <x:c r="I496" s="48" t="n">
        <x:v>0.45</x:v>
      </x:c>
      <x:c r="J496" s="48" t="n">
        <x:v>0.4</x:v>
      </x:c>
      <x:c r="K496" s="48" t="str">
        <x:v>Yes</x:v>
      </x:c>
      <x:c r="L496" s="48" t="str">
        <x:v>OCR</x:v>
      </x:c>
    </x:row>
    <x:row r="497">
      <x:c r="A497" s="48" t="str">
        <x:v>ORANGE-0496</x:v>
      </x:c>
      <x:c r="B497" s="48" t="str">
        <x:v>ORANGE</x:v>
      </x:c>
      <x:c r="C497" s="48" t="str">
        <x:v>English</x:v>
      </x:c>
      <x:c r="D497" s="48" t="n">
        <x:v>42</x:v>
      </x:c>
      <x:c r="E497" s="48" t="str"/>
      <x:c r="F497" s="48" t="str">
        <x:v>Ta Hee ToS Same and aac te Caco eae fe</x:v>
      </x:c>
      <x:c r="G497" s="48" t="str">
        <x:v>Obligation</x:v>
      </x:c>
      <x:c r="H497" s="48" t="str">
        <x:v>Shared</x:v>
      </x:c>
      <x:c r="I497" s="48" t="n">
        <x:v>0.45</x:v>
      </x:c>
      <x:c r="J497" s="48" t="n">
        <x:v>0.4</x:v>
      </x:c>
      <x:c r="K497" s="48" t="str">
        <x:v>Yes</x:v>
      </x:c>
      <x:c r="L497" s="48" t="str">
        <x:v>OCR</x:v>
      </x:c>
    </x:row>
    <x:row r="498">
      <x:c r="A498" s="48" t="str">
        <x:v>ORANGE-0497</x:v>
      </x:c>
      <x:c r="B498" s="48" t="str">
        <x:v>ORANGE</x:v>
      </x:c>
      <x:c r="C498" s="48" t="str">
        <x:v>English</x:v>
      </x:c>
      <x:c r="D498" s="48" t="n">
        <x:v>42</x:v>
      </x:c>
      <x:c r="E498" s="48" t="str"/>
      <x:c r="F498" s="48" t="str">
        <x:v>ae Fam Maia Comcor ue Ws epee hn ih Csr me ne of ri, rei 4M wr ne ai 13 Et ts ee a enigma fr Sey ‘Se hn on ro mad Se ns ren ‘The Bgl sabe ie eve mth Cora xn om</x:v>
      </x:c>
      <x:c r="G498" s="48" t="str">
        <x:v>Obligation</x:v>
      </x:c>
      <x:c r="H498" s="48" t="str">
        <x:v>Shared</x:v>
      </x:c>
      <x:c r="I498" s="48" t="n">
        <x:v>0.45</x:v>
      </x:c>
      <x:c r="J498" s="48" t="n">
        <x:v>0.4</x:v>
      </x:c>
      <x:c r="K498" s="48" t="str">
        <x:v>Yes</x:v>
      </x:c>
      <x:c r="L498" s="48" t="str">
        <x:v>OCR</x:v>
      </x:c>
    </x:row>
    <x:row r="499">
      <x:c r="A499" s="48" t="str">
        <x:v>ORANGE-0498</x:v>
      </x:c>
      <x:c r="B499" s="48" t="str">
        <x:v>ORANGE</x:v>
      </x:c>
      <x:c r="C499" s="48" t="str">
        <x:v>English</x:v>
      </x:c>
      <x:c r="D499" s="48" t="n">
        <x:v>42</x:v>
      </x:c>
      <x:c r="E499" s="48" t="str"/>
      <x:c r="F499" s="48" t="str">
        <x:v>Perea tr ater along ey dotcom</x:v>
      </x:c>
      <x:c r="G499" s="48" t="str">
        <x:v>Obligation</x:v>
      </x:c>
      <x:c r="H499" s="48" t="str">
        <x:v>Shared</x:v>
      </x:c>
      <x:c r="I499" s="48" t="n">
        <x:v>0.45</x:v>
      </x:c>
      <x:c r="J499" s="48" t="n">
        <x:v>0.4</x:v>
      </x:c>
      <x:c r="K499" s="48" t="str">
        <x:v>Yes</x:v>
      </x:c>
      <x:c r="L499" s="48" t="str">
        <x:v>OCR</x:v>
      </x:c>
    </x:row>
    <x:row r="500">
      <x:c r="A500" s="48" t="str">
        <x:v>ORANGE-0499</x:v>
      </x:c>
      <x:c r="B500" s="48" t="str">
        <x:v>ORANGE</x:v>
      </x:c>
      <x:c r="C500" s="48" t="str">
        <x:v>English</x:v>
      </x:c>
      <x:c r="D500" s="48" t="n">
        <x:v>42</x:v>
      </x:c>
      <x:c r="E500" s="48" t="str"/>
      <x:c r="F500" s="48" t="str">
        <x:v>eth Is aes we mo sochenen cou be Enpoe Sb ‘eign oe dingo een ay mtn ion oe Catrt a [SoScemn same tnpoer (ter sowing er eating ow few toe way en Meri lentes ter ont wine Ee. hen te Eghpr may. ae ing Ben dy tthe Cant sn Ee eect uae he Cont ah epi ‘Sean tna Cm tno eat en mde ner Su Cue 3</x:v>
      </x:c>
      <x:c r="G500" s="48" t="str">
        <x:v>Obligation</x:v>
      </x:c>
      <x:c r="H500" s="48" t="str">
        <x:v>Shared</x:v>
      </x:c>
      <x:c r="I500" s="48" t="n">
        <x:v>0.45</x:v>
      </x:c>
      <x:c r="J500" s="48" t="n">
        <x:v>0.4</x:v>
      </x:c>
      <x:c r="K500" s="48" t="str">
        <x:v>Yes</x:v>
      </x:c>
      <x:c r="L500" s="48" t="str">
        <x:v>OCR</x:v>
      </x:c>
    </x:row>
    <x:row r="501">
      <x:c r="A501" s="48" t="str">
        <x:v>ORANGE-0500</x:v>
      </x:c>
      <x:c r="B501" s="48" t="str">
        <x:v>ORANGE</x:v>
      </x:c>
      <x:c r="C501" s="48" t="str">
        <x:v>English</x:v>
      </x:c>
      <x:c r="D501" s="48" t="n">
        <x:v>42</x:v>
      </x:c>
      <x:c r="E501" s="48" t="str">
        <x:v>16</x:v>
      </x:c>
      <x:c r="F501" s="48" t="str">
        <x:v>16 Default of Employer</x:v>
      </x:c>
      <x:c r="G501" s="48" t="str">
        <x:v>Heading</x:v>
      </x:c>
      <x:c r="H501" s="48" t="str"/>
      <x:c r="I501" s="48" t="n">
        <x:v>0.9</x:v>
      </x:c>
      <x:c r="J501" s="48" t="n">
        <x:v>0.99</x:v>
      </x:c>
      <x:c r="K501" s="48" t="str">
        <x:v>No</x:v>
      </x:c>
      <x:c r="L501" s="48" t="str">
        <x:v>OCR</x:v>
      </x:c>
    </x:row>
    <x:row r="502">
      <x:c r="A502" s="48" t="str">
        <x:v>ORANGE-0501</x:v>
      </x:c>
      <x:c r="B502" s="48" t="str">
        <x:v>ORANGE</x:v>
      </x:c>
      <x:c r="C502" s="48" t="str">
        <x:v>English</x:v>
      </x:c>
      <x:c r="D502" s="48" t="n">
        <x:v>42</x:v>
      </x:c>
      <x:c r="E502" s="48" t="str"/>
      <x:c r="F502" s="48" t="str">
        <x:v>src gens ora ges rales ste amo oon ie Empl py Cnn he amon a iy ei contr Ente ‘ofthe Employer's Represent “itr cgay Conte | atest lh sn win dap se he ey f etn wd eee tain wich man ho ene, ce an 7 POE Sn ae tbs th Cnr ces nak Sob Cue 13 sls emo blr So-Clae 10</x:v>
      </x:c>
      <x:c r="G502" s="48" t="str">
        <x:v>Obligation</x:v>
      </x:c>
      <x:c r="H502" s="48" t="str">
        <x:v>Employer</x:v>
      </x:c>
      <x:c r="I502" s="48" t="n">
        <x:v>0.45</x:v>
      </x:c>
      <x:c r="J502" s="48" t="n">
        <x:v>0.68</x:v>
      </x:c>
      <x:c r="K502" s="48" t="str">
        <x:v>Yes</x:v>
      </x:c>
      <x:c r="L502" s="48" t="str">
        <x:v>OCR</x:v>
      </x:c>
    </x:row>
    <x:row r="503">
      <x:c r="A503" s="48" t="str">
        <x:v>ORANGE-0502</x:v>
      </x:c>
      <x:c r="B503" s="48" t="str">
        <x:v>ORANGE</x:v>
      </x:c>
      <x:c r="C503" s="48" t="str">
        <x:v>English</x:v>
      </x:c>
      <x:c r="D503" s="48" t="n">
        <x:v>42</x:v>
      </x:c>
      <x:c r="E503" s="48" t="str"/>
      <x:c r="F503" s="48" t="str">
        <x:v>Iie Concer pnt</x:v>
      </x:c>
      <x:c r="G503" s="48" t="str">
        <x:v>Obligation</x:v>
      </x:c>
      <x:c r="H503" s="48" t="str">
        <x:v>Shared</x:v>
      </x:c>
      <x:c r="I503" s="48" t="n">
        <x:v>0.45</x:v>
      </x:c>
      <x:c r="J503" s="48" t="n">
        <x:v>0.4</x:v>
      </x:c>
      <x:c r="K503" s="48" t="str">
        <x:v>Yes</x:v>
      </x:c>
      <x:c r="L503" s="48" t="str">
        <x:v>OCR</x:v>
      </x:c>
    </x:row>
    <x:row r="504">
      <x:c r="A504" s="48" t="str">
        <x:v>ORANGE-0503</x:v>
      </x:c>
      <x:c r="B504" s="48" t="str">
        <x:v>ORANGE</x:v>
      </x:c>
      <x:c r="C504" s="48" t="str">
        <x:v>English</x:v>
      </x:c>
      <x:c r="D504" s="48" t="n">
        <x:v>42</x:v>
      </x:c>
      <x:c r="E504" s="48" t="str"/>
      <x:c r="F504" s="48" t="str">
        <x:v>amy yt moa a cog ematnacorce wh Sy shri et 2 een ner Suh-Case 162 sal lane oad pgmet, eno rman on acat) ts re ee al ame mal wong SS</x:v>
      </x:c>
      <x:c r="G504" s="48" t="str">
        <x:v>Obligation</x:v>
      </x:c>
      <x:c r="H504" s="48" t="str">
        <x:v>Shared</x:v>
      </x:c>
      <x:c r="I504" s="48" t="n">
        <x:v>0.45</x:v>
      </x:c>
      <x:c r="J504" s="48" t="n">
        <x:v>0.4</x:v>
      </x:c>
      <x:c r="K504" s="48" t="str">
        <x:v>Yes</x:v>
      </x:c>
      <x:c r="L504" s="48" t="str">
        <x:v>OCR</x:v>
      </x:c>
    </x:row>
    <x:row r="505">
      <x:c r="A505" s="48" t="str">
        <x:v>ORANGE-0504</x:v>
      </x:c>
      <x:c r="B505" s="48" t="str">
        <x:v>ORANGE</x:v>
      </x:c>
      <x:c r="C505" s="48" t="str">
        <x:v>English</x:v>
      </x:c>
      <x:c r="D505" s="48" t="n">
        <x:v>43</x:v>
      </x:c>
      <x:c r="E505" s="48" t="str"/>
      <x:c r="F505" s="48" t="str">
        <x:v>We Cnet ee ey ser ts Costas resi of geig Wark</x:v>
      </x:c>
      <x:c r="G505" s="48" t="str">
        <x:v>Obligation</x:v>
      </x:c>
      <x:c r="H505" s="48" t="str">
        <x:v>Shared</x:v>
      </x:c>
      <x:c r="I505" s="48" t="n">
        <x:v>0.45</x:v>
      </x:c>
      <x:c r="J505" s="48" t="n">
        <x:v>0.4</x:v>
      </x:c>
      <x:c r="K505" s="48" t="str">
        <x:v>Yes</x:v>
      </x:c>
      <x:c r="L505" s="48" t="str">
        <x:v>OCR</x:v>
      </x:c>
    </x:row>
    <x:row r="506">
      <x:c r="A506" s="48" t="str">
        <x:v>ORANGE-0505</x:v>
      </x:c>
      <x:c r="B506" s="48" t="str">
        <x:v>ORANGE</x:v>
      </x:c>
      <x:c r="C506" s="48" t="str">
        <x:v>English</x:v>
      </x:c>
      <x:c r="D506" s="48" t="n">
        <x:v>43</x:v>
      </x:c>
      <x:c r="E506" s="48" t="str"/>
      <x:c r="F506" s="48" t="str">
        <x:v>teredcng i ef worn sae ws Sob Ca, be Cota ‘Ripe ei Expyers Repeat Aree ef ch ee SENG "nepectnte st pees aco i a Gace SS ser odin: (ny exw tie 10 Wh he Com el dr SubGat and (0 eam oth Co penis a sn shal maith Coma odn. ‘Termination 162 he Ep (ay Cae en ye he fe eon ty ere apy me Stony Se-Chnne 12) san tc pet to mie exe ot {yd Date Engler snd o me a Cot) 1 does trates into gion, enn</x:v>
      </x:c>
      <x:c r="G506" s="48" t="str">
        <x:v>Obligation</x:v>
      </x:c>
      <x:c r="H506" s="48" t="str">
        <x:v>Shared</x:v>
      </x:c>
      <x:c r="I506" s="48" t="n">
        <x:v>0.55</x:v>
      </x:c>
      <x:c r="J506" s="48" t="n">
        <x:v>0.4</x:v>
      </x:c>
      <x:c r="K506" s="48" t="str">
        <x:v>Yes</x:v>
      </x:c>
      <x:c r="L506" s="48" t="str">
        <x:v>OCR</x:v>
      </x:c>
    </x:row>
    <x:row r="507">
      <x:c r="A507" s="48" t="str">
        <x:v>ORANGE-0506</x:v>
      </x:c>
      <x:c r="B507" s="48" t="str">
        <x:v>ORANGE</x:v>
      </x:c>
      <x:c r="C507" s="48" t="str">
        <x:v>English</x:v>
      </x:c>
      <x:c r="D507" s="48" t="n">
        <x:v>43</x:v>
      </x:c>
      <x:c r="E507" s="48" t="str"/>
      <x:c r="F507" s="48" t="str">
        <x:v>Gite ks mae ith compunds hha cao</x:v>
      </x:c>
      <x:c r="G507" s="48" t="str">
        <x:v>Obligation</x:v>
      </x:c>
      <x:c r="H507" s="48" t="str">
        <x:v>Shared</x:v>
      </x:c>
      <x:c r="I507" s="48" t="n">
        <x:v>0.45</x:v>
      </x:c>
      <x:c r="J507" s="48" t="n">
        <x:v>0.4</x:v>
      </x:c>
      <x:c r="K507" s="48" t="str">
        <x:v>Yes</x:v>
      </x:c>
      <x:c r="L507" s="48" t="str">
        <x:v>OCR</x:v>
      </x:c>
    </x:row>
    <x:row r="508">
      <x:c r="A508" s="48" t="str">
        <x:v>ORANGE-0507</x:v>
      </x:c>
      <x:c r="B508" s="48" t="str">
        <x:v>ORANGE</x:v>
      </x:c>
      <x:c r="C508" s="48" t="str">
        <x:v>English</x:v>
      </x:c>
      <x:c r="D508" s="48" t="n">
        <x:v>43</x:v>
      </x:c>
      <x:c r="E508" s="48" t="str"/>
      <x:c r="F508" s="48" t="str">
        <x:v>‘tc on bss ners cme wotee sane eee ‘Streit = oe eet cn ch mr any</x:v>
      </x:c>
      <x:c r="G508" s="48" t="str">
        <x:v>Obligation</x:v>
      </x:c>
      <x:c r="H508" s="48" t="str">
        <x:v>Shared</x:v>
      </x:c>
      <x:c r="I508" s="48" t="n">
        <x:v>0.45</x:v>
      </x:c>
      <x:c r="J508" s="48" t="n">
        <x:v>0.4</x:v>
      </x:c>
      <x:c r="K508" s="48" t="str">
        <x:v>Yes</x:v>
      </x:c>
      <x:c r="L508" s="48" t="str">
        <x:v>OCR</x:v>
      </x:c>
    </x:row>
    <x:row r="509">
      <x:c r="A509" s="48" t="str">
        <x:v>ORANGE-0508</x:v>
      </x:c>
      <x:c r="B509" s="48" t="str">
        <x:v>ORANGE</x:v>
      </x:c>
      <x:c r="C509" s="48" t="str">
        <x:v>English</x:v>
      </x:c>
      <x:c r="D509" s="48" t="n">
        <x:v>43</x:v>
      </x:c>
      <x:c r="E509" s="48" t="str"/>
      <x:c r="F509" s="48" t="str">
        <x:v>MSSM SOLES Sat yarn meee</x:v>
      </x:c>
      <x:c r="G509" s="48" t="str">
        <x:v>Obligation</x:v>
      </x:c>
      <x:c r="H509" s="48" t="str">
        <x:v>Shared</x:v>
      </x:c>
      <x:c r="I509" s="48" t="n">
        <x:v>0.45</x:v>
      </x:c>
      <x:c r="J509" s="48" t="n">
        <x:v>0.4</x:v>
      </x:c>
      <x:c r="K509" s="48" t="str">
        <x:v>Yes</x:v>
      </x:c>
      <x:c r="L509" s="48" t="str">
        <x:v>OCR</x:v>
      </x:c>
    </x:row>
    <x:row r="510">
      <x:c r="A510" s="48" t="str">
        <x:v>ORANGE-0509</x:v>
      </x:c>
      <x:c r="B510" s="48" t="str">
        <x:v>ORANGE</x:v>
      </x:c>
      <x:c r="C510" s="48" t="str">
        <x:v>English</x:v>
      </x:c>
      <x:c r="D510" s="48" t="n">
        <x:v>43</x:v>
      </x:c>
      <x:c r="E510" s="48" t="str"/>
      <x:c r="F510" s="48" t="str">
        <x:v>(e) come a mec be Epler gatos une te Con.</x:v>
      </x:c>
      <x:c r="G510" s="48" t="str">
        <x:v>Obligation</x:v>
      </x:c>
      <x:c r="H510" s="48" t="str">
        <x:v>Shared</x:v>
      </x:c>
      <x:c r="I510" s="48" t="n">
        <x:v>0.45</x:v>
      </x:c>
      <x:c r="J510" s="48" t="n">
        <x:v>0.4</x:v>
      </x:c>
      <x:c r="K510" s="48" t="str">
        <x:v>Yes</x:v>
      </x:c>
      <x:c r="L510" s="48" t="str">
        <x:v>OCR</x:v>
      </x:c>
    </x:row>
    <x:row r="511">
      <x:c r="A511" s="48" t="str">
        <x:v>ORANGE-0510</x:v>
      </x:c>
      <x:c r="B511" s="48" t="str">
        <x:v>ORANGE</x:v>
      </x:c>
      <x:c r="C511" s="48" t="str">
        <x:v>English</x:v>
      </x:c>
      <x:c r="D511" s="48" t="n">
        <x:v>43</x:v>
      </x:c>
      <x:c r="E511" s="48" t="str"/>
      <x:c r="F511" s="48" t="str">
        <x:v>(4) sem be Cra ito Be Cnr’ come, 2 x ranged speson fs he wee of the Ws ibe</x:v>
      </x:c>
      <x:c r="G511" s="48" t="str">
        <x:v>Obligation</x:v>
      </x:c>
      <x:c r="H511" s="48" t="str">
        <x:v>Shared</x:v>
      </x:c>
      <x:c r="I511" s="48" t="n">
        <x:v>0.45</x:v>
      </x:c>
      <x:c r="J511" s="48" t="n">
        <x:v>0.4</x:v>
      </x:c>
      <x:c r="K511" s="48" t="str">
        <x:v>Yes</x:v>
      </x:c>
      <x:c r="L511" s="48" t="str">
        <x:v>OCR</x:v>
      </x:c>
    </x:row>
    <x:row r="512">
      <x:c r="A512" s="48" t="str">
        <x:v>ORANGE-0511</x:v>
      </x:c>
      <x:c r="B512" s="48" t="str">
        <x:v>ORANGE</x:v>
      </x:c>
      <x:c r="C512" s="48" t="str">
        <x:v>English</x:v>
      </x:c>
      <x:c r="D512" s="48" t="n">
        <x:v>43</x:v>
      </x:c>
      <x:c r="E512" s="48" t="str"/>
      <x:c r="F512" s="48" t="str">
        <x:v>Seimeria’</x:v>
      </x:c>
      <x:c r="G512" s="48" t="str">
        <x:v>Obligation</x:v>
      </x:c>
      <x:c r="H512" s="48" t="str">
        <x:v>Shared</x:v>
      </x:c>
      <x:c r="I512" s="48" t="n">
        <x:v>0.45</x:v>
      </x:c>
      <x:c r="J512" s="48" t="n">
        <x:v>0.4</x:v>
      </x:c>
      <x:c r="K512" s="48" t="str">
        <x:v>Yes</x:v>
      </x:c>
      <x:c r="L512" s="48" t="str">
        <x:v>OCR</x:v>
      </x:c>
    </x:row>
    <x:row r="513">
      <x:c r="A513" s="48" t="str">
        <x:v>ORANGE-0512</x:v>
      </x:c>
      <x:c r="B513" s="48" t="str">
        <x:v>ORANGE</x:v>
      </x:c>
      <x:c r="C513" s="48" t="str">
        <x:v>English</x:v>
      </x:c>
      <x:c r="D513" s="48" t="n">
        <x:v>43</x:v>
      </x:c>
      <x:c r="E513" s="48" t="str"/>
      <x:c r="F513" s="48" t="str">
        <x:v>then he Comer ay tint hi mplyment vr te Comat by ce he Enger wah sep wie Ege Resa</x:v>
      </x:c>
      <x:c r="G513" s="48" t="str">
        <x:v>Obligation</x:v>
      </x:c>
      <x:c r="H513" s="48" t="str">
        <x:v>Shared</x:v>
      </x:c>
      <x:c r="I513" s="48" t="n">
        <x:v>0.45</x:v>
      </x:c>
      <x:c r="J513" s="48" t="n">
        <x:v>0.4</x:v>
      </x:c>
      <x:c r="K513" s="48" t="str">
        <x:v>Yes</x:v>
      </x:c>
      <x:c r="L513" s="48" t="str">
        <x:v>OCR</x:v>
      </x:c>
    </x:row>
    <x:row r="514">
      <x:c r="A514" s="48" t="str">
        <x:v>ORANGE-0513</x:v>
      </x:c>
      <x:c r="B514" s="48" t="str">
        <x:v>ORANGE</x:v>
      </x:c>
      <x:c r="C514" s="48" t="str">
        <x:v>English</x:v>
      </x:c>
      <x:c r="D514" s="48" t="n">
        <x:v>43</x:v>
      </x:c>
      <x:c r="E514" s="48" t="str"/>
      <x:c r="F514" s="48" t="str">
        <x:v>Monae he sas ing ee</x:v>
      </x:c>
      <x:c r="G514" s="48" t="str">
        <x:v>Obligation</x:v>
      </x:c>
      <x:c r="H514" s="48" t="str">
        <x:v>Shared</x:v>
      </x:c>
      <x:c r="I514" s="48" t="n">
        <x:v>0.45</x:v>
      </x:c>
      <x:c r="J514" s="48" t="n">
        <x:v>0.4</x:v>
      </x:c>
      <x:c r="K514" s="48" t="str">
        <x:v>Yes</x:v>
      </x:c>
      <x:c r="L514" s="48" t="str">
        <x:v>OCR</x:v>
      </x:c>
    </x:row>
    <x:row r="515">
      <x:c r="A515" s="48" t="str">
        <x:v>ORANGE-0514</x:v>
      </x:c>
      <x:c r="B515" s="48" t="str">
        <x:v>ORANGE</x:v>
      </x:c>
      <x:c r="C515" s="48" t="str">
        <x:v>English</x:v>
      </x:c>
      <x:c r="D515" s="48" t="n">
        <x:v>43</x:v>
      </x:c>
      <x:c r="E515" s="48" t="str"/>
      <x:c r="F515" s="48" t="str">
        <x:v>Coston Work 163 Ac keminson une Sb Cmse 24 or Seb.Clane 162, Cetraer demon (a) cease alates wo xg sch wor a my be ey ad sine ‘Srey mpc Repeat for he pes tang ‘Storing one sof Wat ae econ oy ok {Sout ene Ste shan dle condi, (0) tn nr Cnn Dues Pan Meh for wich (Comcietas means e (6) fons oer par fe Works nected y the Cnmacor 90 edie of eminsin a seme ih on Se nd pie</x:v>
      </x:c>
      <x:c r="G515" s="48" t="str">
        <x:v>Obligation</x:v>
      </x:c>
      <x:c r="H515" s="48" t="str">
        <x:v>Shared</x:v>
      </x:c>
      <x:c r="I515" s="48" t="n">
        <x:v>0.45</x:v>
      </x:c>
      <x:c r="J515" s="48" t="n">
        <x:v>0.4</x:v>
      </x:c>
      <x:c r="K515" s="48" t="str">
        <x:v>Yes</x:v>
      </x:c>
      <x:c r="L515" s="48" t="str">
        <x:v>OCR</x:v>
      </x:c>
    </x:row>
    <x:row r="516">
      <x:c r="A516" s="48" t="str">
        <x:v>ORANGE-0515</x:v>
      </x:c>
      <x:c r="B516" s="48" t="str">
        <x:v>ORANGE</x:v>
      </x:c>
      <x:c r="C516" s="48" t="str">
        <x:v>English</x:v>
      </x:c>
      <x:c r="D516" s="48" t="n">
        <x:v>43</x:v>
      </x:c>
      <x:c r="E516" s="48" t="str"/>
      <x:c r="F516" s="48" t="str">
        <x:v>SSeS asf ete</x:v>
      </x:c>
      <x:c r="G516" s="48" t="str">
        <x:v>Obligation</x:v>
      </x:c>
      <x:c r="H516" s="48" t="str">
        <x:v>Shared</x:v>
      </x:c>
      <x:c r="I516" s="48" t="n">
        <x:v>0.45</x:v>
      </x:c>
      <x:c r="J516" s="48" t="n">
        <x:v>0.4</x:v>
      </x:c>
      <x:c r="K516" s="48" t="str">
        <x:v>Yes</x:v>
      </x:c>
      <x:c r="L516" s="48" t="str">
        <x:v>OCR</x:v>
      </x:c>
    </x:row>
    <x:row r="517">
      <x:c r="A517" s="48" t="str">
        <x:v>ORANGE-0516</x:v>
      </x:c>
      <x:c r="B517" s="48" t="str">
        <x:v>ORANGE</x:v>
      </x:c>
      <x:c r="C517" s="48" t="str">
        <x:v>English</x:v>
      </x:c>
      <x:c r="D517" s="48" t="n">
        <x:v>43</x:v>
      </x:c>
      <x:c r="E517" s="48" t="str"/>
      <x:c r="F517" s="48" t="str">
        <x:v>ny sch einai hl be wit patie ny er igh fe (Conc aner te Coase Paymentin 164 Air eminaion ander Sub Case 162. he Empey sal rem</x:v>
      </x:c>
      <x:c r="G517" s="48" t="str">
        <x:v>Obligation</x:v>
      </x:c>
      <x:c r="H517" s="48" t="str">
        <x:v>Shared</x:v>
      </x:c>
      <x:c r="I517" s="48" t="n">
        <x:v>0.45</x:v>
      </x:c>
      <x:c r="J517" s="48" t="n">
        <x:v>0.4</x:v>
      </x:c>
      <x:c r="K517" s="48" t="str">
        <x:v>Yes</x:v>
      </x:c>
      <x:c r="L517" s="48" t="str">
        <x:v>OCR</x:v>
      </x:c>
    </x:row>
    <x:row r="518">
      <x:c r="A518" s="48" t="str">
        <x:v>ORANGE-0517</x:v>
      </x:c>
      <x:c r="B518" s="48" t="str">
        <x:v>ORANGE</x:v>
      </x:c>
      <x:c r="C518" s="48" t="str">
        <x:v>English</x:v>
      </x:c>
      <x:c r="D518" s="48" t="n">
        <x:v>43</x:v>
      </x:c>
      <x:c r="E518" s="48" t="str"/>
      <x:c r="F518" s="48" t="str">
        <x:v>Termination rman earns hl ja he Conc meet ati a</x:v>
      </x:c>
      <x:c r="G518" s="48" t="str">
        <x:v>Obligation</x:v>
      </x:c>
      <x:c r="H518" s="48" t="str">
        <x:v>Shared</x:v>
      </x:c>
      <x:c r="I518" s="48" t="n">
        <x:v>0.55</x:v>
      </x:c>
      <x:c r="J518" s="48" t="n">
        <x:v>0.4</x:v>
      </x:c>
      <x:c r="K518" s="48" t="str">
        <x:v>Yes</x:v>
      </x:c>
      <x:c r="L518" s="48" t="str">
        <x:v>OCR</x:v>
      </x:c>
    </x:row>
    <x:row r="519">
      <x:c r="A519" s="48" t="str">
        <x:v>ORANGE-0518</x:v>
      </x:c>
      <x:c r="B519" s="48" t="str">
        <x:v>ORANGE</x:v>
      </x:c>
      <x:c r="C519" s="48" t="str">
        <x:v>English</x:v>
      </x:c>
      <x:c r="D519" s="48" t="n">
        <x:v>43</x:v>
      </x:c>
      <x:c r="E519" s="48" t="str"/>
      <x:c r="F519" s="48" t="str">
        <x:v>‘Ete scence wi SubClass ffs ot ‘Ste lng ov fps Wich te Conencor may hve sud ‘oncpene of mnaioe</x:v>
      </x:c>
      <x:c r="G519" s="48" t="str">
        <x:v>Right</x:v>
      </x:c>
      <x:c r="H519" s="48" t="str">
        <x:v>Shared</x:v>
      </x:c>
      <x:c r="I519" s="48" t="n">
        <x:v>0.78</x:v>
      </x:c>
      <x:c r="J519" s="48" t="n">
        <x:v>0.4</x:v>
      </x:c>
      <x:c r="K519" s="48" t="str">
        <x:v>Yes</x:v>
      </x:c>
      <x:c r="L519" s="48" t="str">
        <x:v>OCR</x:v>
      </x:c>
    </x:row>
    <x:row r="520">
      <x:c r="A520" s="48" t="str">
        <x:v>ORANGE-0519</x:v>
      </x:c>
      <x:c r="B520" s="48" t="str">
        <x:v>ORANGE</x:v>
      </x:c>
      <x:c r="C520" s="48" t="str">
        <x:v>English</x:v>
      </x:c>
      <x:c r="D520" s="48" t="n">
        <x:v>44</x:v>
      </x:c>
      <x:c r="E520" s="48" t="str">
        <x:v>7</x:v>
      </x:c>
      <x:c r="F520" s="48" t="str">
        <x:v>7 Risk and Responsibil</x:v>
      </x:c>
      <x:c r="G520" s="48" t="str">
        <x:v>Heading</x:v>
      </x:c>
      <x:c r="H520" s="48" t="str"/>
      <x:c r="I520" s="48" t="n">
        <x:v>0.9</x:v>
      </x:c>
      <x:c r="J520" s="48" t="n">
        <x:v>0.99</x:v>
      </x:c>
      <x:c r="K520" s="48" t="str">
        <x:v>No</x:v>
      </x:c>
      <x:c r="L520" s="48" t="str">
        <x:v>OCR</x:v>
      </x:c>
    </x:row>
    <x:row r="521">
      <x:c r="A521" s="48" t="str">
        <x:v>ORANGE-0520</x:v>
      </x:c>
      <x:c r="B521" s="48" t="str">
        <x:v>ORANGE</x:v>
      </x:c>
      <x:c r="C521" s="48" t="str">
        <x:v>English</x:v>
      </x:c>
      <x:c r="D521" s="48" t="n">
        <x:v>44</x:v>
      </x:c>
      <x:c r="E521" s="48" t="str"/>
      <x:c r="F521" s="48" t="str">
        <x:v>Employers Repent sens nese,</x:v>
      </x:c>
      <x:c r="G521" s="48" t="str">
        <x:v>Obligation</x:v>
      </x:c>
      <x:c r="H521" s="48" t="str">
        <x:v>Shared</x:v>
      </x:c>
      <x:c r="I521" s="48" t="n">
        <x:v>0.45</x:v>
      </x:c>
      <x:c r="J521" s="48" t="n">
        <x:v>0.4</x:v>
      </x:c>
      <x:c r="K521" s="48" t="str">
        <x:v>Yes</x:v>
      </x:c>
      <x:c r="L521" s="48" t="str">
        <x:v>OCR</x:v>
      </x:c>
    </x:row>
    <x:row r="522">
      <x:c r="A522" s="48" t="str">
        <x:v>ORANGE-0521</x:v>
      </x:c>
      <x:c r="B522" s="48" t="str">
        <x:v>ORANGE</x:v>
      </x:c>
      <x:c r="C522" s="48" t="str">
        <x:v>English</x:v>
      </x:c>
      <x:c r="D522" s="48" t="n">
        <x:v>44</x:v>
      </x:c>
      <x:c r="E522" s="48" t="str"/>
      <x:c r="F522" s="48" t="str">
        <x:v>‘he Works inclading professonal services provided By the Contraco.</x:v>
      </x:c>
      <x:c r="G522" s="48" t="str">
        <x:v>Obligation</x:v>
      </x:c>
      <x:c r="H522" s="48" t="str">
        <x:v>Shared</x:v>
      </x:c>
      <x:c r="I522" s="48" t="n">
        <x:v>0.45</x:v>
      </x:c>
      <x:c r="J522" s="48" t="n">
        <x:v>0.4</x:v>
      </x:c>
      <x:c r="K522" s="48" t="str">
        <x:v>Yes</x:v>
      </x:c>
      <x:c r="L522" s="48" t="str">
        <x:v>OCR</x:v>
      </x:c>
    </x:row>
    <x:row r="523">
      <x:c r="A523" s="48" t="str">
        <x:v>ORANGE-0522</x:v>
      </x:c>
      <x:c r="B523" s="48" t="str">
        <x:v>ORANGE</x:v>
      </x:c>
      <x:c r="C523" s="48" t="str">
        <x:v>English</x:v>
      </x:c>
      <x:c r="D523" s="48" t="n">
        <x:v>44</x:v>
      </x:c>
      <x:c r="E523" s="48" t="str"/>
      <x:c r="F523" s="48" t="str">
        <x:v>Laem remenrictnnnmemnten</x:v>
      </x:c>
      <x:c r="G523" s="48" t="str">
        <x:v>Obligation</x:v>
      </x:c>
      <x:c r="H523" s="48" t="str">
        <x:v>Shared</x:v>
      </x:c>
      <x:c r="I523" s="48" t="n">
        <x:v>0.45</x:v>
      </x:c>
      <x:c r="J523" s="48" t="n">
        <x:v>0.4</x:v>
      </x:c>
      <x:c r="K523" s="48" t="str">
        <x:v>Yes</x:v>
      </x:c>
      <x:c r="L523" s="48" t="str">
        <x:v>OCR</x:v>
      </x:c>
    </x:row>
    <x:row r="524">
      <x:c r="A524" s="48" t="str">
        <x:v>ORANGE-0523</x:v>
      </x:c>
      <x:c r="B524" s="48" t="str">
        <x:v>ORANGE</x:v>
      </x:c>
      <x:c r="C524" s="48" t="str">
        <x:v>English</x:v>
      </x:c>
      <x:c r="D524" s="48" t="n">
        <x:v>44</x:v>
      </x:c>
      <x:c r="E524" s="48" t="str"/>
      <x:c r="F524" s="48" t="str">
        <x:v>ciemecrmuaron lisa ca ancime</x:v>
      </x:c>
      <x:c r="G524" s="48" t="str">
        <x:v>Obligation</x:v>
      </x:c>
      <x:c r="H524" s="48" t="str">
        <x:v>Shared</x:v>
      </x:c>
      <x:c r="I524" s="48" t="n">
        <x:v>0.45</x:v>
      </x:c>
      <x:c r="J524" s="48" t="n">
        <x:v>0.4</x:v>
      </x:c>
      <x:c r="K524" s="48" t="str">
        <x:v>Yes</x:v>
      </x:c>
      <x:c r="L524" s="48" t="str">
        <x:v>OCR</x:v>
      </x:c>
    </x:row>
    <x:row r="525">
      <x:c r="A525" s="48" t="str">
        <x:v>ORANGE-0524</x:v>
      </x:c>
      <x:c r="B525" s="48" t="str">
        <x:v>ORANGE</x:v>
      </x:c>
      <x:c r="C525" s="48" t="str">
        <x:v>English</x:v>
      </x:c>
      <x:c r="D525" s="48" t="n">
        <x:v>44</x:v>
      </x:c>
      <x:c r="E525" s="48" t="str"/>
      <x:c r="F525" s="48" t="str">
        <x:v>Sango pao ny fon yh ose Come</x:v>
      </x:c>
      <x:c r="G525" s="48" t="str">
        <x:v>Obligation</x:v>
      </x:c>
      <x:c r="H525" s="48" t="str">
        <x:v>Shared</x:v>
      </x:c>
      <x:c r="I525" s="48" t="n">
        <x:v>0.45</x:v>
      </x:c>
      <x:c r="J525" s="48" t="n">
        <x:v>0.4</x:v>
      </x:c>
      <x:c r="K525" s="48" t="str">
        <x:v>Yes</x:v>
      </x:c>
      <x:c r="L525" s="48" t="str">
        <x:v>OCR</x:v>
      </x:c>
    </x:row>
    <x:row r="526">
      <x:c r="A526" s="48" t="str">
        <x:v>ORANGE-0525</x:v>
      </x:c>
      <x:c r="B526" s="48" t="str">
        <x:v>ORANGE</x:v>
      </x:c>
      <x:c r="C526" s="48" t="str">
        <x:v>English</x:v>
      </x:c>
      <x:c r="D526" s="48" t="n">
        <x:v>44</x:v>
      </x:c>
      <x:c r="E526" s="48" t="str"/>
      <x:c r="F526" s="48" t="str">
        <x:v>sabres ots</x:v>
      </x:c>
      <x:c r="G526" s="48" t="str">
        <x:v>Obligation</x:v>
      </x:c>
      <x:c r="H526" s="48" t="str">
        <x:v>Shared</x:v>
      </x:c>
      <x:c r="I526" s="48" t="n">
        <x:v>0.45</x:v>
      </x:c>
      <x:c r="J526" s="48" t="n">
        <x:v>0.4</x:v>
      </x:c>
      <x:c r="K526" s="48" t="str">
        <x:v>Yes</x:v>
      </x:c>
      <x:c r="L526" s="48" t="str">
        <x:v>OCR</x:v>
      </x:c>
    </x:row>
    <x:row r="527">
      <x:c r="A527" s="48" t="str">
        <x:v>ORANGE-0526</x:v>
      </x:c>
      <x:c r="B527" s="48" t="str">
        <x:v>ORANGE</x:v>
      </x:c>
      <x:c r="C527" s="48" t="str">
        <x:v>English</x:v>
      </x:c>
      <x:c r="D527" s="48" t="n">
        <x:v>44</x:v>
      </x:c>
      <x:c r="E527" s="48" t="str"/>
      <x:c r="F527" s="48" t="str">
        <x:v>Bas eeeet estamos</x:v>
      </x:c>
      <x:c r="G527" s="48" t="str">
        <x:v>Obligation</x:v>
      </x:c>
      <x:c r="H527" s="48" t="str">
        <x:v>Shared</x:v>
      </x:c>
      <x:c r="I527" s="48" t="n">
        <x:v>0.45</x:v>
      </x:c>
      <x:c r="J527" s="48" t="n">
        <x:v>0.4</x:v>
      </x:c>
      <x:c r="K527" s="48" t="str">
        <x:v>Yes</x:v>
      </x:c>
      <x:c r="L527" s="48" t="str">
        <x:v>OCR</x:v>
      </x:c>
    </x:row>
    <x:row r="528">
      <x:c r="A528" s="48" t="str">
        <x:v>ORANGE-0527</x:v>
      </x:c>
      <x:c r="B528" s="48" t="str">
        <x:v>ORANGE</x:v>
      </x:c>
      <x:c r="C528" s="48" t="str">
        <x:v>English</x:v>
      </x:c>
      <x:c r="D528" s="48" t="n">
        <x:v>44</x:v>
      </x:c>
      <x:c r="E528" s="48" t="str"/>
      <x:c r="F528" s="48" t="str">
        <x:v>peerpemniern come msc ntimeone</x:v>
      </x:c>
      <x:c r="G528" s="48" t="str">
        <x:v>Obligation</x:v>
      </x:c>
      <x:c r="H528" s="48" t="str">
        <x:v>Shared</x:v>
      </x:c>
      <x:c r="I528" s="48" t="n">
        <x:v>0.45</x:v>
      </x:c>
      <x:c r="J528" s="48" t="n">
        <x:v>0.4</x:v>
      </x:c>
      <x:c r="K528" s="48" t="str">
        <x:v>Yes</x:v>
      </x:c>
      <x:c r="L528" s="48" t="str">
        <x:v>OCR</x:v>
      </x:c>
    </x:row>
    <x:row r="529">
      <x:c r="A529" s="48" t="str">
        <x:v>ORANGE-0528</x:v>
      </x:c>
      <x:c r="B529" s="48" t="str">
        <x:v>ORANGE</x:v>
      </x:c>
      <x:c r="C529" s="48" t="str">
        <x:v>English</x:v>
      </x:c>
      <x:c r="D529" s="48" t="n">
        <x:v>44</x:v>
      </x:c>
      <x:c r="E529" s="48" t="str"/>
      <x:c r="F529" s="48" t="str">
        <x:v>Secasetamreaareet emg</x:v>
      </x:c>
      <x:c r="G529" s="48" t="str">
        <x:v>Obligation</x:v>
      </x:c>
      <x:c r="H529" s="48" t="str">
        <x:v>Shared</x:v>
      </x:c>
      <x:c r="I529" s="48" t="n">
        <x:v>0.45</x:v>
      </x:c>
      <x:c r="J529" s="48" t="n">
        <x:v>0.4</x:v>
      </x:c>
      <x:c r="K529" s="48" t="str">
        <x:v>Yes</x:v>
      </x:c>
      <x:c r="L529" s="48" t="str">
        <x:v>OCR</x:v>
      </x:c>
    </x:row>
    <x:row r="530">
      <x:c r="A530" s="48" t="str">
        <x:v>ORANGE-0529</x:v>
      </x:c>
      <x:c r="B530" s="48" t="str">
        <x:v>ORANGE</x:v>
      </x:c>
      <x:c r="C530" s="48" t="str">
        <x:v>English</x:v>
      </x:c>
      <x:c r="D530" s="48" t="n">
        <x:v>44</x:v>
      </x:c>
      <x:c r="E530" s="48" t="str"/>
      <x:c r="F530" s="48" t="str">
        <x:v>Su Soiewe cea</x:v>
      </x:c>
      <x:c r="G530" s="48" t="str">
        <x:v>Obligation</x:v>
      </x:c>
      <x:c r="H530" s="48" t="str">
        <x:v>Shared</x:v>
      </x:c>
      <x:c r="I530" s="48" t="n">
        <x:v>0.45</x:v>
      </x:c>
      <x:c r="J530" s="48" t="n">
        <x:v>0.4</x:v>
      </x:c>
      <x:c r="K530" s="48" t="str">
        <x:v>Yes</x:v>
      </x:c>
      <x:c r="L530" s="48" t="str">
        <x:v>OCR</x:v>
      </x:c>
    </x:row>
    <x:row r="531">
      <x:c r="A531" s="48" t="str">
        <x:v>ORANGE-0530</x:v>
      </x:c>
      <x:c r="B531" s="48" t="str">
        <x:v>ORANGE</x:v>
      </x:c>
      <x:c r="C531" s="48" t="str">
        <x:v>English</x:v>
      </x:c>
      <x:c r="D531" s="48" t="n">
        <x:v>44</x:v>
      </x:c>
      <x:c r="E531" s="48" t="str"/>
      <x:c r="F531" s="48" t="str">
        <x:v>emplpersRiks 112 The pers (2 ie ot a ed mini. a i otto, rv insane, mii or wp owe. hi mtg nations. entaninin y asity ranay cen ‘iS sty aie nase fo combo 6 mace ih eles a ‘apn, or ober haus prpeies t ‘pte mc sem once cnet of eh ae ay reve wendy i oer seal evs even 08 ‘Stages (e) con comma dab, ss Sly este empyes of SSSUST ESSE tng to Cott | (0) tone damage ue Se wor capt yt Epo ‘ct de ets cnegtsoma be oie rine Ct</x:v>
      </x:c>
      <x:c r="G531" s="48" t="str">
        <x:v>Obligation</x:v>
      </x:c>
      <x:c r="H531" s="48" t="str">
        <x:v>Shared</x:v>
      </x:c>
      <x:c r="I531" s="48" t="n">
        <x:v>0.45</x:v>
      </x:c>
      <x:c r="J531" s="48" t="n">
        <x:v>0.4</x:v>
      </x:c>
      <x:c r="K531" s="48" t="str">
        <x:v>Yes</x:v>
      </x:c>
      <x:c r="L531" s="48" t="str">
        <x:v>OCR</x:v>
      </x:c>
    </x:row>
    <x:row r="532">
      <x:c r="A532" s="48" t="str">
        <x:v>ORANGE-0531</x:v>
      </x:c>
      <x:c r="B532" s="48" t="str">
        <x:v>ORANGE</x:v>
      </x:c>
      <x:c r="C532" s="48" t="str">
        <x:v>English</x:v>
      </x:c>
      <x:c r="D532" s="48" t="n">
        <x:v>45</x:v>
      </x:c>
      <x:c r="E532" s="48" t="str"/>
      <x:c r="F532" s="48" t="str">
        <x:v>apenas st spn’ tg oroaea te teoming Karen the {Gai an Eye it rou ange Contr all eet ar oe ett eee</x:v>
      </x:c>
      <x:c r="G532" s="48" t="str">
        <x:v>Obligation</x:v>
      </x:c>
      <x:c r="H532" s="48" t="str">
        <x:v>Shared</x:v>
      </x:c>
      <x:c r="I532" s="48" t="n">
        <x:v>0.45</x:v>
      </x:c>
      <x:c r="J532" s="48" t="n">
        <x:v>0.4</x:v>
      </x:c>
      <x:c r="K532" s="48" t="str">
        <x:v>Yes</x:v>
      </x:c>
      <x:c r="L532" s="48" t="str">
        <x:v>OCR</x:v>
      </x:c>
    </x:row>
    <x:row r="533">
      <x:c r="A533" s="48" t="str">
        <x:v>ORANGE-0532</x:v>
      </x:c>
      <x:c r="B533" s="48" t="str">
        <x:v>ORANGE</x:v>
      </x:c>
      <x:c r="C533" s="48" t="str">
        <x:v>English</x:v>
      </x:c>
      <x:c r="D533" s="48" t="n">
        <x:v>45</x:v>
      </x:c>
      <x:c r="E533" s="48" t="str"/>
      <x:c r="F533" s="48" t="str">
        <x:v>Feyeinane he Curie ls ty andre Co as eo</x:v>
      </x:c>
      <x:c r="G533" s="48" t="str">
        <x:v>Obligation</x:v>
      </x:c>
      <x:c r="H533" s="48" t="str">
        <x:v>Shared</x:v>
      </x:c>
      <x:c r="I533" s="48" t="n">
        <x:v>0.45</x:v>
      </x:c>
      <x:c r="J533" s="48" t="n">
        <x:v>0.4</x:v>
      </x:c>
      <x:c r="K533" s="48" t="str">
        <x:v>Yes</x:v>
      </x:c>
      <x:c r="L533" s="48" t="str">
        <x:v>OCR</x:v>
      </x:c>
    </x:row>
    <x:row r="534">
      <x:c r="A534" s="48" t="str">
        <x:v>ORANGE-0533</x:v>
      </x:c>
      <x:c r="B534" s="48" t="str">
        <x:v>ORANGE</x:v>
      </x:c>
      <x:c r="C534" s="48" t="str">
        <x:v>English</x:v>
      </x:c>
      <x:c r="D534" s="48" t="n">
        <x:v>45</x:v>
      </x:c>
      <x:c r="E534" s="48" t="str"/>
      <x:c r="F534" s="48" t="str">
        <x:v>ts pest be Cor sl ge fare ie he Ener Reycenaine.</x:v>
      </x:c>
      <x:c r="G534" s="48" t="str">
        <x:v>Obligation</x:v>
      </x:c>
      <x:c r="H534" s="48" t="str">
        <x:v>Shared</x:v>
      </x:c>
      <x:c r="I534" s="48" t="n">
        <x:v>0.45</x:v>
      </x:c>
      <x:c r="J534" s="48" t="n">
        <x:v>0.4</x:v>
      </x:c>
      <x:c r="K534" s="48" t="str">
        <x:v>Yes</x:v>
      </x:c>
      <x:c r="L534" s="48" t="str">
        <x:v>OCR</x:v>
      </x:c>
    </x:row>
    <x:row r="535">
      <x:c r="A535" s="48" t="str">
        <x:v>ORANGE-0534</x:v>
      </x:c>
      <x:c r="B535" s="48" t="str">
        <x:v>ORANGE</x:v>
      </x:c>
      <x:c r="C535" s="48" t="str">
        <x:v>English</x:v>
      </x:c>
      <x:c r="D535" s="48" t="n">
        <x:v>45</x:v>
      </x:c>
      <x:c r="E535" s="48" t="str"/>
      <x:c r="F535" s="48" t="str">
        <x:v>Aer secape fsck hte te te.</x:v>
      </x:c>
      <x:c r="G535" s="48" t="str">
        <x:v>Obligation</x:v>
      </x:c>
      <x:c r="H535" s="48" t="str">
        <x:v>Shared</x:v>
      </x:c>
      <x:c r="I535" s="48" t="n">
        <x:v>0.45</x:v>
      </x:c>
      <x:c r="J535" s="48" t="n">
        <x:v>0.4</x:v>
      </x:c>
      <x:c r="K535" s="48" t="str">
        <x:v>Yes</x:v>
      </x:c>
      <x:c r="L535" s="48" t="str">
        <x:v>OCR</x:v>
      </x:c>
    </x:row>
    <x:row r="536">
      <x:c r="A536" s="48" t="str">
        <x:v>ORANGE-0535</x:v>
      </x:c>
      <x:c r="B536" s="48" t="str">
        <x:v>ORANGE</x:v>
      </x:c>
      <x:c r="C536" s="48" t="str">
        <x:v>English</x:v>
      </x:c>
      <x:c r="D536" s="48" t="n">
        <x:v>45</x:v>
      </x:c>
      <x:c r="E536" s="48" t="str"/>
      <x:c r="F536" s="48" t="str">
        <x:v>Kpelle Sap</x:v>
      </x:c>
      <x:c r="G536" s="48" t="str">
        <x:v>Obligation</x:v>
      </x:c>
      <x:c r="H536" s="48" t="str">
        <x:v>Shared</x:v>
      </x:c>
      <x:c r="I536" s="48" t="n">
        <x:v>0.45</x:v>
      </x:c>
      <x:c r="J536" s="48" t="n">
        <x:v>0.4</x:v>
      </x:c>
      <x:c r="K536" s="48" t="str">
        <x:v>Yes</x:v>
      </x:c>
      <x:c r="L536" s="48" t="str">
        <x:v>OCR</x:v>
      </x:c>
    </x:row>
    <x:row r="537">
      <x:c r="A537" s="48" t="str">
        <x:v>ORANGE-0536</x:v>
      </x:c>
      <x:c r="B537" s="48" t="str">
        <x:v>ORANGE</x:v>
      </x:c>
      <x:c r="C537" s="48" t="str">
        <x:v>English</x:v>
      </x:c>
      <x:c r="D537" s="48" t="n">
        <x:v>45</x:v>
      </x:c>
      <x:c r="E537" s="48" t="str"/>
      <x:c r="F537" s="48" t="str">
        <x:v>CComequaces of TA The Contactor sal ge ste. te Baplye'sRepesene f a0 py as (a) my everson f tne ih the Comme seed under Sub hse a ‘tn a nat the Cano or tracts ks 118.</x:v>
      </x:c>
      <x:c r="G537" s="48" t="str">
        <x:v>Obligation</x:v>
      </x:c>
      <x:c r="H537" s="48" t="str">
        <x:v>Shared</x:v>
      </x:c>
      <x:c r="I537" s="48" t="n">
        <x:v>0.45</x:v>
      </x:c>
      <x:c r="J537" s="48" t="n">
        <x:v>0.4</x:v>
      </x:c>
      <x:c r="K537" s="48" t="str">
        <x:v>Yes</x:v>
      </x:c>
      <x:c r="L537" s="48" t="str">
        <x:v>OCR</x:v>
      </x:c>
    </x:row>
    <x:row r="538">
      <x:c r="A538" s="48" t="str">
        <x:v>ORANGE-0537</x:v>
      </x:c>
      <x:c r="B538" s="48" t="str">
        <x:v>ORANGE</x:v>
      </x:c>
      <x:c r="C538" s="48" t="str">
        <x:v>English</x:v>
      </x:c>
      <x:c r="D538" s="48" t="n">
        <x:v>45</x:v>
      </x:c>
      <x:c r="E538" s="48" t="str"/>
      <x:c r="F538" s="48" t="str">
        <x:v>The Concord ego ied i Sbs inition 174 Te Contraco lin moe ihe Epes may nity iaimiy Gly sn ey eno be Court ra rare fos ef tie ey er lo he Weer ef cnn pth</x:v>
      </x:c>
      <x:c r="G538" s="48" t="str">
        <x:v>Right</x:v>
      </x:c>
      <x:c r="H538" s="48" t="str">
        <x:v>Shared</x:v>
      </x:c>
      <x:c r="I538" s="48" t="n">
        <x:v>0.78</x:v>
      </x:c>
      <x:c r="J538" s="48" t="n">
        <x:v>0.4</x:v>
      </x:c>
      <x:c r="K538" s="48" t="str">
        <x:v>Yes</x:v>
      </x:c>
      <x:c r="L538" s="48" t="str">
        <x:v>OCR</x:v>
      </x:c>
    </x:row>
    <x:row r="539">
      <x:c r="A539" s="48" t="str">
        <x:v>ORANGE-0538</x:v>
      </x:c>
      <x:c r="B539" s="48" t="str">
        <x:v>ORANGE</x:v>
      </x:c>
      <x:c r="C539" s="48" t="str">
        <x:v>English</x:v>
      </x:c>
      <x:c r="D539" s="48" t="n">
        <x:v>45</x:v>
      </x:c>
      <x:c r="E539" s="48" t="str"/>
      <x:c r="F539" s="48" t="str">
        <x:v>Ase ny Comm or any dee pec ercomequna sage</x:v>
      </x:c>
      <x:c r="G539" s="48" t="str">
        <x:v>Obligation</x:v>
      </x:c>
      <x:c r="H539" s="48" t="str">
        <x:v>Shared</x:v>
      </x:c>
      <x:c r="I539" s="48" t="n">
        <x:v>0.45</x:v>
      </x:c>
      <x:c r="J539" s="48" t="n">
        <x:v>0.4</x:v>
      </x:c>
      <x:c r="K539" s="48" t="str">
        <x:v>Yes</x:v>
      </x:c>
      <x:c r="L539" s="48" t="str">
        <x:v>OCR</x:v>
      </x:c>
    </x:row>
    <x:row r="540">
      <x:c r="A540" s="48" t="str">
        <x:v>ORANGE-0539</x:v>
      </x:c>
      <x:c r="B540" s="48" t="str">
        <x:v>ORANGE</x:v>
      </x:c>
      <x:c r="C540" s="48" t="str">
        <x:v>English</x:v>
      </x:c>
      <x:c r="D540" s="48" t="n">
        <x:v>45</x:v>
      </x:c>
      <x:c r="E540" s="48" t="str"/>
      <x:c r="F540" s="48" t="str">
        <x:v>‘ih ny hers by bc Enooaf in grmecin wah he Cnr The ‘alt Choraccr othe Employer nee Coc sai ‘See e Counc Pree Except ath SbCl sal nt ei the Ty of be Corer: (a) str Sb Caen 419, 42,89, 86 wl 1, (0) snr any eer pio oe Comat ch exes igo 2 ‘poser (6) incase find, wt mite or ig ose oF ‘hon Gamenay uso dig which onsets comctar Weth ‘ie feted esi esc.</x:v>
      </x:c>
      <x:c r="G540" s="48" t="str">
        <x:v>Obligation</x:v>
      </x:c>
      <x:c r="H540" s="48" t="str">
        <x:v>Employer</x:v>
      </x:c>
      <x:c r="I540" s="48" t="n">
        <x:v>0.45</x:v>
      </x:c>
      <x:c r="J540" s="48" t="n">
        <x:v>0.68</x:v>
      </x:c>
      <x:c r="K540" s="48" t="str">
        <x:v>Yes</x:v>
      </x:c>
      <x:c r="L540" s="48" t="str">
        <x:v>OCR</x:v>
      </x:c>
    </x:row>
    <x:row r="541">
      <x:c r="A541" s="48" t="str">
        <x:v>ORANGE-0540</x:v>
      </x:c>
      <x:c r="B541" s="48" t="str">
        <x:v>ORANGE</x:v>
      </x:c>
      <x:c r="C541" s="48" t="str">
        <x:v>English</x:v>
      </x:c>
      <x:c r="D541" s="48" t="n">
        <x:v>46</x:v>
      </x:c>
      <x:c r="E541" s="48" t="str"/>
      <x:c r="F541" s="48" t="str">
        <x:v>Insane Works</x:v>
      </x:c>
      <x:c r="G541" s="48" t="str">
        <x:v>Obligation</x:v>
      </x:c>
      <x:c r="H541" s="48" t="str">
        <x:v>Shared</x:v>
      </x:c>
      <x:c r="I541" s="48" t="n">
        <x:v>0.45</x:v>
      </x:c>
      <x:c r="J541" s="48" t="n">
        <x:v>0.4</x:v>
      </x:c>
      <x:c r="K541" s="48" t="str">
        <x:v>Yes</x:v>
      </x:c>
      <x:c r="L541" s="48" t="str">
        <x:v>OCR</x:v>
      </x:c>
    </x:row>
    <x:row r="542">
      <x:c r="A542" s="48" t="str">
        <x:v>ORANGE-0541</x:v>
      </x:c>
      <x:c r="B542" s="48" t="str">
        <x:v>ORANGE</x:v>
      </x:c>
      <x:c r="C542" s="48" t="str">
        <x:v>English</x:v>
      </x:c>
      <x:c r="D542" s="48" t="n">
        <x:v>46</x:v>
      </x:c>
      <x:c r="E542" s="48" t="str"/>
      <x:c r="F542" s="48" t="str">
        <x:v>Insurance</x:v>
      </x:c>
      <x:c r="G542" s="48" t="str">
        <x:v>Obligation</x:v>
      </x:c>
      <x:c r="H542" s="48" t="str">
        <x:v>Shared</x:v>
      </x:c>
      <x:c r="I542" s="48" t="n">
        <x:v>0.45</x:v>
      </x:c>
      <x:c r="J542" s="48" t="n">
        <x:v>0.4</x:v>
      </x:c>
      <x:c r="K542" s="48" t="str">
        <x:v>Yes</x:v>
      </x:c>
      <x:c r="L542" s="48" t="str">
        <x:v>OCR</x:v>
      </x:c>
    </x:row>
    <x:row r="543">
      <x:c r="A543" s="48" t="str">
        <x:v>ORANGE-0542</x:v>
      </x:c>
      <x:c r="B543" s="48" t="str">
        <x:v>ORANGE</x:v>
      </x:c>
      <x:c r="C543" s="48" t="str">
        <x:v>English</x:v>
      </x:c>
      <x:c r="D543" s="48" t="n">
        <x:v>46</x:v>
      </x:c>
      <x:c r="E543" s="48" t="str"/>
      <x:c r="F543" s="48" t="str">
        <x:v>ct at i pit ey so</x:v>
      </x:c>
      <x:c r="G543" s="48" t="str">
        <x:v>Obligation</x:v>
      </x:c>
      <x:c r="H543" s="48" t="str">
        <x:v>Shared</x:v>
      </x:c>
      <x:c r="I543" s="48" t="n">
        <x:v>0.45</x:v>
      </x:c>
      <x:c r="J543" s="48" t="n">
        <x:v>0.4</x:v>
      </x:c>
      <x:c r="K543" s="48" t="str">
        <x:v>Yes</x:v>
      </x:c>
      <x:c r="L543" s="48" t="str">
        <x:v>OCR</x:v>
      </x:c>
    </x:row>
    <x:row r="544">
      <x:c r="A544" s="48" t="str">
        <x:v>ORANGE-0543</x:v>
      </x:c>
      <x:c r="B544" s="48" t="str">
        <x:v>ORANGE</x:v>
      </x:c>
      <x:c r="C544" s="48" t="str">
        <x:v>English</x:v>
      </x:c>
      <x:c r="D544" s="48" t="n">
        <x:v>46</x:v>
      </x:c>
      <x:c r="E544" s="48" t="str"/>
      <x:c r="F544" s="48" t="str">
        <x:v>Dicom te urea emia</x:v>
      </x:c>
      <x:c r="G544" s="48" t="str">
        <x:v>Obligation</x:v>
      </x:c>
      <x:c r="H544" s="48" t="str">
        <x:v>Shared</x:v>
      </x:c>
      <x:c r="I544" s="48" t="n">
        <x:v>0.45</x:v>
      </x:c>
      <x:c r="J544" s="48" t="n">
        <x:v>0.4</x:v>
      </x:c>
      <x:c r="K544" s="48" t="str">
        <x:v>Yes</x:v>
      </x:c>
      <x:c r="L544" s="48" t="str">
        <x:v>OCR</x:v>
      </x:c>
    </x:row>
    <x:row r="545">
      <x:c r="A545" s="48" t="str">
        <x:v>ORANGE-0544</x:v>
      </x:c>
      <x:c r="B545" s="48" t="str">
        <x:v>ORANGE</x:v>
      </x:c>
      <x:c r="C545" s="48" t="str">
        <x:v>English</x:v>
      </x:c>
      <x:c r="D545" s="48" t="n">
        <x:v>46</x:v>
      </x:c>
      <x:c r="E545" s="48" t="str"/>
      <x:c r="F545" s="48" t="str">
        <x:v>Peer heretics</x:v>
      </x:c>
      <x:c r="G545" s="48" t="str">
        <x:v>Obligation</x:v>
      </x:c>
      <x:c r="H545" s="48" t="str">
        <x:v>Shared</x:v>
      </x:c>
      <x:c r="I545" s="48" t="n">
        <x:v>0.45</x:v>
      </x:c>
      <x:c r="J545" s="48" t="n">
        <x:v>0.4</x:v>
      </x:c>
      <x:c r="K545" s="48" t="str">
        <x:v>Yes</x:v>
      </x:c>
      <x:c r="L545" s="48" t="str">
        <x:v>OCR</x:v>
      </x:c>
    </x:row>
    <x:row r="546">
      <x:c r="A546" s="48" t="str">
        <x:v>ORANGE-0545</x:v>
      </x:c>
      <x:c r="B546" s="48" t="str">
        <x:v>ORANGE</x:v>
      </x:c>
      <x:c r="C546" s="48" t="str">
        <x:v>English</x:v>
      </x:c>
      <x:c r="D546" s="48" t="n">
        <x:v>46</x:v>
      </x:c>
      <x:c r="E546" s="48" t="str"/>
      <x:c r="F546" s="48" t="str">
        <x:v>SEetiar ape</x:v>
      </x:c>
      <x:c r="G546" s="48" t="str">
        <x:v>Obligation</x:v>
      </x:c>
      <x:c r="H546" s="48" t="str">
        <x:v>Shared</x:v>
      </x:c>
      <x:c r="I546" s="48" t="n">
        <x:v>0.45</x:v>
      </x:c>
      <x:c r="J546" s="48" t="n">
        <x:v>0.4</x:v>
      </x:c>
      <x:c r="K546" s="48" t="str">
        <x:v>Yes</x:v>
      </x:c>
      <x:c r="L546" s="48" t="str">
        <x:v>OCR</x:v>
      </x:c>
    </x:row>
    <x:row r="547">
      <x:c r="A547" s="48" t="str">
        <x:v>ORANGE-0546</x:v>
      </x:c>
      <x:c r="B547" s="48" t="str">
        <x:v>ORANGE</x:v>
      </x:c>
      <x:c r="C547" s="48" t="str">
        <x:v>English</x:v>
      </x:c>
      <x:c r="D547" s="48" t="n">
        <x:v>46</x:v>
      </x:c>
      <x:c r="E547" s="48" t="str"/>
      <x:c r="F547" s="48" t="str">
        <x:v>Foca at ere ra</x:v>
      </x:c>
      <x:c r="G547" s="48" t="str">
        <x:v>Obligation</x:v>
      </x:c>
      <x:c r="H547" s="48" t="str">
        <x:v>Shared</x:v>
      </x:c>
      <x:c r="I547" s="48" t="n">
        <x:v>0.45</x:v>
      </x:c>
      <x:c r="J547" s="48" t="n">
        <x:v>0.4</x:v>
      </x:c>
      <x:c r="K547" s="48" t="str">
        <x:v>Yes</x:v>
      </x:c>
      <x:c r="L547" s="48" t="str">
        <x:v>OCR</x:v>
      </x:c>
    </x:row>
    <x:row r="548">
      <x:c r="A548" s="48" t="str">
        <x:v>ORANGE-0547</x:v>
      </x:c>
      <x:c r="B548" s="48" t="str">
        <x:v>ORANGE</x:v>
      </x:c>
      <x:c r="C548" s="48" t="str">
        <x:v>English</x:v>
      </x:c>
      <x:c r="D548" s="48" t="n">
        <x:v>46</x:v>
      </x:c>
      <x:c r="E548" s="48" t="str"/>
      <x:c r="F548" s="48" t="str">
        <x:v>SLs eeeaec tans</x:v>
      </x:c>
      <x:c r="G548" s="48" t="str">
        <x:v>Obligation</x:v>
      </x:c>
      <x:c r="H548" s="48" t="str">
        <x:v>Shared</x:v>
      </x:c>
      <x:c r="I548" s="48" t="n">
        <x:v>0.45</x:v>
      </x:c>
      <x:c r="J548" s="48" t="n">
        <x:v>0.4</x:v>
      </x:c>
      <x:c r="K548" s="48" t="str">
        <x:v>Yes</x:v>
      </x:c>
      <x:c r="L548" s="48" t="str">
        <x:v>OCR</x:v>
      </x:c>
    </x:row>
    <x:row r="549">
      <x:c r="A549" s="48" t="str">
        <x:v>ORANGE-0548</x:v>
      </x:c>
      <x:c r="B549" s="48" t="str">
        <x:v>ORANGE</x:v>
      </x:c>
      <x:c r="C549" s="48" t="str">
        <x:v>English</x:v>
      </x:c>
      <x:c r="D549" s="48" t="n">
        <x:v>46</x:v>
      </x:c>
      <x:c r="E549" s="48" t="str"/>
      <x:c r="F549" s="48" t="str">
        <x:v>Ronen a gestae eee,</x:v>
      </x:c>
      <x:c r="G549" s="48" t="str">
        <x:v>Obligation</x:v>
      </x:c>
      <x:c r="H549" s="48" t="str">
        <x:v>Shared</x:v>
      </x:c>
      <x:c r="I549" s="48" t="n">
        <x:v>0.45</x:v>
      </x:c>
      <x:c r="J549" s="48" t="n">
        <x:v>0.4</x:v>
      </x:c>
      <x:c r="K549" s="48" t="str">
        <x:v>Yes</x:v>
      </x:c>
      <x:c r="L549" s="48" t="str">
        <x:v>OCR</x:v>
      </x:c>
    </x:row>
    <x:row r="550">
      <x:c r="A550" s="48" t="str">
        <x:v>ORANGE-0549</x:v>
      </x:c>
      <x:c r="B550" s="48" t="str">
        <x:v>ORANGE</x:v>
      </x:c>
      <x:c r="C550" s="48" t="str">
        <x:v>English</x:v>
      </x:c>
      <x:c r="D550" s="48" t="n">
        <x:v>46</x:v>
      </x:c>
      <x:c r="E550" s="48" t="str"/>
      <x:c r="F550" s="48" t="str">
        <x:v>Sen eer soccmea</x:v>
      </x:c>
      <x:c r="G550" s="48" t="str">
        <x:v>Obligation</x:v>
      </x:c>
      <x:c r="H550" s="48" t="str">
        <x:v>Shared</x:v>
      </x:c>
      <x:c r="I550" s="48" t="n">
        <x:v>0.45</x:v>
      </x:c>
      <x:c r="J550" s="48" t="n">
        <x:v>0.4</x:v>
      </x:c>
      <x:c r="K550" s="48" t="str">
        <x:v>Yes</x:v>
      </x:c>
      <x:c r="L550" s="48" t="str">
        <x:v>OCR</x:v>
      </x:c>
    </x:row>
    <x:row r="551">
      <x:c r="A551" s="48" t="str">
        <x:v>ORANGE-0550</x:v>
      </x:c>
      <x:c r="B551" s="48" t="str">
        <x:v>ORANGE</x:v>
      </x:c>
      <x:c r="C551" s="48" t="str">
        <x:v>English</x:v>
      </x:c>
      <x:c r="D551" s="48" t="n">
        <x:v>46</x:v>
      </x:c>
      <x:c r="E551" s="48" t="str"/>
      <x:c r="F551" s="48" t="str">
        <x:v>Sigel Reta</x:v>
      </x:c>
      <x:c r="G551" s="48" t="str">
        <x:v>Obligation</x:v>
      </x:c>
      <x:c r="H551" s="48" t="str">
        <x:v>Shared</x:v>
      </x:c>
      <x:c r="I551" s="48" t="n">
        <x:v>0.45</x:v>
      </x:c>
      <x:c r="J551" s="48" t="n">
        <x:v>0.4</x:v>
      </x:c>
      <x:c r="K551" s="48" t="str">
        <x:v>Yes</x:v>
      </x:c>
      <x:c r="L551" s="48" t="str">
        <x:v>OCR</x:v>
      </x:c>
    </x:row>
    <x:row r="552">
      <x:c r="A552" s="48" t="str">
        <x:v>ORANGE-0551</x:v>
      </x:c>
      <x:c r="B552" s="48" t="str">
        <x:v>ORANGE</x:v>
      </x:c>
      <x:c r="C552" s="48" t="str">
        <x:v>English</x:v>
      </x:c>
      <x:c r="D552" s="48" t="n">
        <x:v>46</x:v>
      </x:c>
      <x:c r="E552" s="48" t="str"/>
      <x:c r="F552" s="48" t="str">
        <x:v>Seen inet ig eg alec</x:v>
      </x:c>
      <x:c r="G552" s="48" t="str">
        <x:v>Obligation</x:v>
      </x:c>
      <x:c r="H552" s="48" t="str">
        <x:v>Shared</x:v>
      </x:c>
      <x:c r="I552" s="48" t="n">
        <x:v>0.45</x:v>
      </x:c>
      <x:c r="J552" s="48" t="n">
        <x:v>0.4</x:v>
      </x:c>
      <x:c r="K552" s="48" t="str">
        <x:v>Yes</x:v>
      </x:c>
      <x:c r="L552" s="48" t="str">
        <x:v>OCR</x:v>
      </x:c>
    </x:row>
    <x:row r="553">
      <x:c r="A553" s="48" t="str">
        <x:v>ORANGE-0552</x:v>
      </x:c>
      <x:c r="B553" s="48" t="str">
        <x:v>ORANGE</x:v>
      </x:c>
      <x:c r="C553" s="48" t="str">
        <x:v>English</x:v>
      </x:c>
      <x:c r="D553" s="48" t="n">
        <x:v>46</x:v>
      </x:c>
      <x:c r="E553" s="48" t="str"/>
      <x:c r="F553" s="48" t="str">
        <x:v>SSeS ocnetec mame</x:v>
      </x:c>
      <x:c r="G553" s="48" t="str">
        <x:v>Obligation</x:v>
      </x:c>
      <x:c r="H553" s="48" t="str">
        <x:v>Shared</x:v>
      </x:c>
      <x:c r="I553" s="48" t="n">
        <x:v>0.45</x:v>
      </x:c>
      <x:c r="J553" s="48" t="n">
        <x:v>0.4</x:v>
      </x:c>
      <x:c r="K553" s="48" t="str">
        <x:v>Yes</x:v>
      </x:c>
      <x:c r="L553" s="48" t="str">
        <x:v>OCR</x:v>
      </x:c>
    </x:row>
    <x:row r="554">
      <x:c r="A554" s="48" t="str">
        <x:v>ORANGE-0553</x:v>
      </x:c>
      <x:c r="B554" s="48" t="str">
        <x:v>ORANGE</x:v>
      </x:c>
      <x:c r="C554" s="48" t="str">
        <x:v>English</x:v>
      </x:c>
      <x:c r="D554" s="48" t="n">
        <x:v>46</x:v>
      </x:c>
      <x:c r="E554" s="48" t="str"/>
      <x:c r="F554" s="48" t="str">
        <x:v>Sarita east ee</x:v>
      </x:c>
      <x:c r="G554" s="48" t="str">
        <x:v>Obligation</x:v>
      </x:c>
      <x:c r="H554" s="48" t="str">
        <x:v>Shared</x:v>
      </x:c>
      <x:c r="I554" s="48" t="n">
        <x:v>0.45</x:v>
      </x:c>
      <x:c r="J554" s="48" t="n">
        <x:v>0.4</x:v>
      </x:c>
      <x:c r="K554" s="48" t="str">
        <x:v>Yes</x:v>
      </x:c>
      <x:c r="L554" s="48" t="str">
        <x:v>OCR</x:v>
      </x:c>
    </x:row>
    <x:row r="555">
      <x:c r="A555" s="48" t="str">
        <x:v>ORANGE-0554</x:v>
      </x:c>
      <x:c r="B555" s="48" t="str">
        <x:v>ORANGE</x:v>
      </x:c>
      <x:c r="C555" s="48" t="str">
        <x:v>English</x:v>
      </x:c>
      <x:c r="D555" s="48" t="n">
        <x:v>46</x:v>
      </x:c>
      <x:c r="E555" s="48" t="str"/>
      <x:c r="F555" s="48" t="str">
        <x:v>Soe Ream cs eet reseencnl</x:v>
      </x:c>
      <x:c r="G555" s="48" t="str">
        <x:v>Obligation</x:v>
      </x:c>
      <x:c r="H555" s="48" t="str">
        <x:v>Shared</x:v>
      </x:c>
      <x:c r="I555" s="48" t="n">
        <x:v>0.45</x:v>
      </x:c>
      <x:c r="J555" s="48" t="n">
        <x:v>0.4</x:v>
      </x:c>
      <x:c r="K555" s="48" t="str">
        <x:v>Yes</x:v>
      </x:c>
      <x:c r="L555" s="48" t="str">
        <x:v>OCR</x:v>
      </x:c>
    </x:row>
    <x:row r="556">
      <x:c r="A556" s="48" t="str">
        <x:v>ORANGE-0555</x:v>
      </x:c>
      <x:c r="B556" s="48" t="str">
        <x:v>ORANGE</x:v>
      </x:c>
      <x:c r="C556" s="48" t="str">
        <x:v>English</x:v>
      </x:c>
      <x:c r="D556" s="48" t="n">
        <x:v>46</x:v>
      </x:c>
      <x:c r="E556" s="48" t="str"/>
      <x:c r="F556" s="48" t="str">
        <x:v>SS Roreaiesesrewom mae</x:v>
      </x:c>
      <x:c r="G556" s="48" t="str">
        <x:v>Obligation</x:v>
      </x:c>
      <x:c r="H556" s="48" t="str">
        <x:v>Shared</x:v>
      </x:c>
      <x:c r="I556" s="48" t="n">
        <x:v>0.45</x:v>
      </x:c>
      <x:c r="J556" s="48" t="n">
        <x:v>0.4</x:v>
      </x:c>
      <x:c r="K556" s="48" t="str">
        <x:v>Yes</x:v>
      </x:c>
      <x:c r="L556" s="48" t="str">
        <x:v>OCR</x:v>
      </x:c>
    </x:row>
    <x:row r="557">
      <x:c r="A557" s="48" t="str">
        <x:v>ORANGE-0556</x:v>
      </x:c>
      <x:c r="B557" s="48" t="str">
        <x:v>ORANGE</x:v>
      </x:c>
      <x:c r="C557" s="48" t="str">
        <x:v>English</x:v>
      </x:c>
      <x:c r="D557" s="48" t="n">
        <x:v>46</x:v>
      </x:c>
      <x:c r="E557" s="48" t="str"/>
      <x:c r="F557" s="48" t="str">
        <x:v>Sesccneencieo oo</x:v>
      </x:c>
      <x:c r="G557" s="48" t="str">
        <x:v>Obligation</x:v>
      </x:c>
      <x:c r="H557" s="48" t="str">
        <x:v>Shared</x:v>
      </x:c>
      <x:c r="I557" s="48" t="n">
        <x:v>0.45</x:v>
      </x:c>
      <x:c r="J557" s="48" t="n">
        <x:v>0.4</x:v>
      </x:c>
      <x:c r="K557" s="48" t="str">
        <x:v>Yes</x:v>
      </x:c>
      <x:c r="L557" s="48" t="str">
        <x:v>OCR</x:v>
      </x:c>
    </x:row>
    <x:row r="558">
      <x:c r="A558" s="48" t="str">
        <x:v>ORANGE-0557</x:v>
      </x:c>
      <x:c r="B558" s="48" t="str">
        <x:v>ORANGE</x:v>
      </x:c>
      <x:c r="C558" s="48" t="str">
        <x:v>English</x:v>
      </x:c>
      <x:c r="D558" s="48" t="n">
        <x:v>46</x:v>
      </x:c>
      <x:c r="E558" s="48" t="str"/>
      <x:c r="F558" s="48" t="str">
        <x:v>eee anes</x:v>
      </x:c>
      <x:c r="G558" s="48" t="str">
        <x:v>Obligation</x:v>
      </x:c>
      <x:c r="H558" s="48" t="str">
        <x:v>Shared</x:v>
      </x:c>
      <x:c r="I558" s="48" t="n">
        <x:v>0.45</x:v>
      </x:c>
      <x:c r="J558" s="48" t="n">
        <x:v>0.4</x:v>
      </x:c>
      <x:c r="K558" s="48" t="str">
        <x:v>Yes</x:v>
      </x:c>
      <x:c r="L558" s="48" t="str">
        <x:v>OCR</x:v>
      </x:c>
    </x:row>
    <x:row r="559">
      <x:c r="A559" s="48" t="str">
        <x:v>ORANGE-0558</x:v>
      </x:c>
      <x:c r="B559" s="48" t="str">
        <x:v>ORANGE</x:v>
      </x:c>
      <x:c r="C559" s="48" t="str">
        <x:v>English</x:v>
      </x:c>
      <x:c r="D559" s="48" t="n">
        <x:v>46</x:v>
      </x:c>
      <x:c r="E559" s="48" t="str"/>
      <x:c r="F559" s="48" t="str">
        <x:v>Sm ne te etn se</x:v>
      </x:c>
      <x:c r="G559" s="48" t="str">
        <x:v>Obligation</x:v>
      </x:c>
      <x:c r="H559" s="48" t="str">
        <x:v>Shared</x:v>
      </x:c>
      <x:c r="I559" s="48" t="n">
        <x:v>0.45</x:v>
      </x:c>
      <x:c r="J559" s="48" t="n">
        <x:v>0.4</x:v>
      </x:c>
      <x:c r="K559" s="48" t="str">
        <x:v>Yes</x:v>
      </x:c>
      <x:c r="L559" s="48" t="str">
        <x:v>OCR</x:v>
      </x:c>
    </x:row>
    <x:row r="560">
      <x:c r="A560" s="48" t="str">
        <x:v>ORANGE-0559</x:v>
      </x:c>
      <x:c r="B560" s="48" t="str">
        <x:v>ORANGE</x:v>
      </x:c>
      <x:c r="C560" s="48" t="str">
        <x:v>English</x:v>
      </x:c>
      <x:c r="D560" s="48" t="n">
        <x:v>46</x:v>
      </x:c>
      <x:c r="E560" s="48" t="str"/>
      <x:c r="F560" s="48" t="str">
        <x:v>emer aenhceeen terme acai ee eecmtitibncemtaeemn oat</x:v>
      </x:c>
      <x:c r="G560" s="48" t="str">
        <x:v>Obligation</x:v>
      </x:c>
      <x:c r="H560" s="48" t="str">
        <x:v>Shared</x:v>
      </x:c>
      <x:c r="I560" s="48" t="n">
        <x:v>0.45</x:v>
      </x:c>
      <x:c r="J560" s="48" t="n">
        <x:v>0.4</x:v>
      </x:c>
      <x:c r="K560" s="48" t="str">
        <x:v>Yes</x:v>
      </x:c>
      <x:c r="L560" s="48" t="str">
        <x:v>OCR</x:v>
      </x:c>
    </x:row>
    <x:row r="561">
      <x:c r="A561" s="48" t="str">
        <x:v>ORANGE-0560</x:v>
      </x:c>
      <x:c r="B561" s="48" t="str">
        <x:v>ORANGE</x:v>
      </x:c>
      <x:c r="C561" s="48" t="str">
        <x:v>English</x:v>
      </x:c>
      <x:c r="D561" s="48" t="n">
        <x:v>46</x:v>
      </x:c>
      <x:c r="E561" s="48" t="str"/>
      <x:c r="F561" s="48" t="str">
        <x:v>Sriraah instr anaheim cit</x:v>
      </x:c>
      <x:c r="G561" s="48" t="str">
        <x:v>Obligation</x:v>
      </x:c>
      <x:c r="H561" s="48" t="str">
        <x:v>Shared</x:v>
      </x:c>
      <x:c r="I561" s="48" t="n">
        <x:v>0.45</x:v>
      </x:c>
      <x:c r="J561" s="48" t="n">
        <x:v>0.4</x:v>
      </x:c>
      <x:c r="K561" s="48" t="str">
        <x:v>Yes</x:v>
      </x:c>
      <x:c r="L561" s="48" t="str">
        <x:v>OCR</x:v>
      </x:c>
    </x:row>
    <x:row r="562">
      <x:c r="A562" s="48" t="str">
        <x:v>ORANGE-0561</x:v>
      </x:c>
      <x:c r="B562" s="48" t="str">
        <x:v>ORANGE</x:v>
      </x:c>
      <x:c r="C562" s="48" t="str">
        <x:v>English</x:v>
      </x:c>
      <x:c r="D562" s="48" t="n">
        <x:v>46</x:v>
      </x:c>
      <x:c r="E562" s="48" t="str"/>
      <x:c r="F562" s="48" t="str">
        <x:v>SSE Sewanee mes aie oe,</x:v>
      </x:c>
      <x:c r="G562" s="48" t="str">
        <x:v>Obligation</x:v>
      </x:c>
      <x:c r="H562" s="48" t="str">
        <x:v>Shared</x:v>
      </x:c>
      <x:c r="I562" s="48" t="n">
        <x:v>0.45</x:v>
      </x:c>
      <x:c r="J562" s="48" t="n">
        <x:v>0.4</x:v>
      </x:c>
      <x:c r="K562" s="48" t="str">
        <x:v>Yes</x:v>
      </x:c>
      <x:c r="L562" s="48" t="str">
        <x:v>OCR</x:v>
      </x:c>
    </x:row>
    <x:row r="563">
      <x:c r="A563" s="48" t="str">
        <x:v>ORANGE-0562</x:v>
      </x:c>
      <x:c r="B563" s="48" t="str">
        <x:v>ORANGE</x:v>
      </x:c>
      <x:c r="C563" s="48" t="str">
        <x:v>English</x:v>
      </x:c>
      <x:c r="D563" s="48" t="n">
        <x:v>46</x:v>
      </x:c>
      <x:c r="E563" s="48" t="str"/>
      <x:c r="F563" s="48" t="str">
        <x:v>SUIT tig sumone oh Sic ul gis pad Heo</x:v>
      </x:c>
      <x:c r="G563" s="48" t="str">
        <x:v>Obligation</x:v>
      </x:c>
      <x:c r="H563" s="48" t="str">
        <x:v>Shared</x:v>
      </x:c>
      <x:c r="I563" s="48" t="n">
        <x:v>0.45</x:v>
      </x:c>
      <x:c r="J563" s="48" t="n">
        <x:v>0.4</x:v>
      </x:c>
      <x:c r="K563" s="48" t="str">
        <x:v>Yes</x:v>
      </x:c>
      <x:c r="L563" s="48" t="str">
        <x:v>OCR</x:v>
      </x:c>
    </x:row>
    <x:row r="564">
      <x:c r="A564" s="48" t="str">
        <x:v>ORANGE-0563</x:v>
      </x:c>
      <x:c r="B564" s="48" t="str">
        <x:v>ORANGE</x:v>
      </x:c>
      <x:c r="C564" s="48" t="str">
        <x:v>English</x:v>
      </x:c>
      <x:c r="D564" s="48" t="n">
        <x:v>46</x:v>
      </x:c>
      <x:c r="E564" s="48" t="str"/>
      <x:c r="F564" s="48" t="str">
        <x:v>epee i itn rip tes</x:v>
      </x:c>
      <x:c r="G564" s="48" t="str">
        <x:v>Obligation</x:v>
      </x:c>
      <x:c r="H564" s="48" t="str">
        <x:v>Shared</x:v>
      </x:c>
      <x:c r="I564" s="48" t="n">
        <x:v>0.45</x:v>
      </x:c>
      <x:c r="J564" s="48" t="n">
        <x:v>0.4</x:v>
      </x:c>
      <x:c r="K564" s="48" t="str">
        <x:v>Yes</x:v>
      </x:c>
      <x:c r="L564" s="48" t="str">
        <x:v>OCR</x:v>
      </x:c>
    </x:row>
    <x:row r="565">
      <x:c r="A565" s="48" t="str">
        <x:v>ORANGE-0564</x:v>
      </x:c>
      <x:c r="B565" s="48" t="str">
        <x:v>ORANGE</x:v>
      </x:c>
      <x:c r="C565" s="48" t="str">
        <x:v>English</x:v>
      </x:c>
      <x:c r="D565" s="48" t="n">
        <x:v>46</x:v>
      </x:c>
      <x:c r="E565" s="48" t="str"/>
      <x:c r="F565" s="48" t="str">
        <x:v>Tooter ae</x:v>
      </x:c>
      <x:c r="G565" s="48" t="str">
        <x:v>Obligation</x:v>
      </x:c>
      <x:c r="H565" s="48" t="str">
        <x:v>Shared</x:v>
      </x:c>
      <x:c r="I565" s="48" t="n">
        <x:v>0.45</x:v>
      </x:c>
      <x:c r="J565" s="48" t="n">
        <x:v>0.4</x:v>
      </x:c>
      <x:c r="K565" s="48" t="str">
        <x:v>Yes</x:v>
      </x:c>
      <x:c r="L565" s="48" t="str">
        <x:v>OCR</x:v>
      </x:c>
    </x:row>
    <x:row r="566">
      <x:c r="A566" s="48" t="str">
        <x:v>ORANGE-0565</x:v>
      </x:c>
      <x:c r="B566" s="48" t="str">
        <x:v>ORANGE</x:v>
      </x:c>
      <x:c r="C566" s="48" t="str">
        <x:v>English</x:v>
      </x:c>
      <x:c r="D566" s="48" t="n">
        <x:v>46</x:v>
      </x:c>
      <x:c r="E566" s="48" t="str"/>
      <x:c r="F566" s="48" t="str">
        <x:v>SREug nore sae en</x:v>
      </x:c>
      <x:c r="G566" s="48" t="str">
        <x:v>Obligation</x:v>
      </x:c>
      <x:c r="H566" s="48" t="str">
        <x:v>Shared</x:v>
      </x:c>
      <x:c r="I566" s="48" t="n">
        <x:v>0.45</x:v>
      </x:c>
      <x:c r="J566" s="48" t="n">
        <x:v>0.4</x:v>
      </x:c>
      <x:c r="K566" s="48" t="str">
        <x:v>Yes</x:v>
      </x:c>
      <x:c r="L566" s="48" t="str">
        <x:v>OCR</x:v>
      </x:c>
    </x:row>
    <x:row r="567">
      <x:c r="A567" s="48" t="str">
        <x:v>ORANGE-0566</x:v>
      </x:c>
      <x:c r="B567" s="48" t="str">
        <x:v>ORANGE</x:v>
      </x:c>
      <x:c r="C567" s="48" t="str">
        <x:v>English</x:v>
      </x:c>
      <x:c r="D567" s="48" t="n">
        <x:v>46</x:v>
      </x:c>
      <x:c r="E567" s="48" t="str"/>
      <x:c r="F567" s="48" t="str">
        <x:v>sect asec te</x:v>
      </x:c>
      <x:c r="G567" s="48" t="str">
        <x:v>Obligation</x:v>
      </x:c>
      <x:c r="H567" s="48" t="str">
        <x:v>Shared</x:v>
      </x:c>
      <x:c r="I567" s="48" t="n">
        <x:v>0.45</x:v>
      </x:c>
      <x:c r="J567" s="48" t="n">
        <x:v>0.4</x:v>
      </x:c>
      <x:c r="K567" s="48" t="str">
        <x:v>Yes</x:v>
      </x:c>
      <x:c r="L567" s="48" t="str">
        <x:v>OCR</x:v>
      </x:c>
    </x:row>
    <x:row r="568">
      <x:c r="A568" s="48" t="str">
        <x:v>ORANGE-0567</x:v>
      </x:c>
      <x:c r="B568" s="48" t="str">
        <x:v>ORANGE</x:v>
      </x:c>
      <x:c r="C568" s="48" t="str">
        <x:v>English</x:v>
      </x:c>
      <x:c r="D568" s="48" t="n">
        <x:v>46</x:v>
      </x:c>
      <x:c r="E568" s="48" t="str"/>
      <x:c r="F568" s="48" t="str">
        <x:v>Seas oa erage</x:v>
      </x:c>
      <x:c r="G568" s="48" t="str">
        <x:v>Obligation</x:v>
      </x:c>
      <x:c r="H568" s="48" t="str">
        <x:v>Shared</x:v>
      </x:c>
      <x:c r="I568" s="48" t="n">
        <x:v>0.45</x:v>
      </x:c>
      <x:c r="J568" s="48" t="n">
        <x:v>0.4</x:v>
      </x:c>
      <x:c r="K568" s="48" t="str">
        <x:v>Yes</x:v>
      </x:c>
      <x:c r="L568" s="48" t="str">
        <x:v>OCR</x:v>
      </x:c>
    </x:row>
    <x:row r="569">
      <x:c r="A569" s="48" t="str">
        <x:v>ORANGE-0568</x:v>
      </x:c>
      <x:c r="B569" s="48" t="str">
        <x:v>ORANGE</x:v>
      </x:c>
      <x:c r="C569" s="48" t="str">
        <x:v>English</x:v>
      </x:c>
      <x:c r="D569" s="48" t="n">
        <x:v>47</x:v>
      </x:c>
      <x:c r="E569" s="48" t="str"/>
      <x:c r="F569" s="48" t="str">
        <x:v>General IRS Fach insane ply sal be eset wih he nel terms are</x:v>
      </x:c>
      <x:c r="G569" s="48" t="str">
        <x:v>Obligation</x:v>
      </x:c>
      <x:c r="H569" s="48" t="str">
        <x:v>Shared</x:v>
      </x:c>
      <x:c r="I569" s="48" t="n">
        <x:v>0.45</x:v>
      </x:c>
      <x:c r="J569" s="48" t="n">
        <x:v>0.4</x:v>
      </x:c>
      <x:c r="K569" s="48" t="str">
        <x:v>Yes</x:v>
      </x:c>
      <x:c r="L569" s="48" t="str">
        <x:v>OCR</x:v>
      </x:c>
    </x:row>
    <x:row r="570">
      <x:c r="A570" s="48" t="str">
        <x:v>ORANGE-0569</x:v>
      </x:c>
      <x:c r="B570" s="48" t="str">
        <x:v>ORANGE</x:v>
      </x:c>
      <x:c r="C570" s="48" t="str">
        <x:v>English</x:v>
      </x:c>
      <x:c r="D570" s="48" t="n">
        <x:v>47</x:v>
      </x:c>
      <x:c r="E570" s="48" t="str"/>
      <x:c r="F570" s="48" t="str">
        <x:v>arm, SNS ea on apo a ‘The Conacher pera std ne pent 10 ‘Tee ana in Caeser Dac) the Empey (a) evince at nuces dese in is Clase hn ee ced (0 coe of te poe fre irc eee Sab Clases 12a ‘When ech prio tas i th Comacor shal sii copy ects</x:v>
      </x:c>
      <x:c r="G570" s="48" t="str">
        <x:v>Obligation</x:v>
      </x:c>
      <x:c r="H570" s="48" t="str">
        <x:v>Shared</x:v>
      </x:c>
      <x:c r="I570" s="48" t="n">
        <x:v>0.45</x:v>
      </x:c>
      <x:c r="J570" s="48" t="n">
        <x:v>0.4</x:v>
      </x:c>
      <x:c r="K570" s="48" t="str">
        <x:v>Yes</x:v>
      </x:c>
      <x:c r="L570" s="48" t="str">
        <x:v>OCR</x:v>
      </x:c>
    </x:row>
    <x:row r="571">
      <x:c r="A571" s="48" t="str">
        <x:v>ORANGE-0570</x:v>
      </x:c>
      <x:c r="B571" s="48" t="str">
        <x:v>ORANGE</x:v>
      </x:c>
      <x:c r="C571" s="48" t="str">
        <x:v>English</x:v>
      </x:c>
      <x:c r="D571" s="48" t="n">
        <x:v>47</x:v>
      </x:c>
      <x:c r="E571" s="48" t="str"/>
      <x:c r="F571" s="48" t="str">
        <x:v>Wise Empl The Gece seen pov sah ee</x:v>
      </x:c>
      <x:c r="G571" s="48" t="str">
        <x:v>Obligation</x:v>
      </x:c>
      <x:c r="H571" s="48" t="str">
        <x:v>Shared</x:v>
      </x:c>
      <x:c r="I571" s="48" t="n">
        <x:v>0.45</x:v>
      </x:c>
      <x:c r="J571" s="48" t="n">
        <x:v>0.4</x:v>
      </x:c>
      <x:c r="K571" s="48" t="str">
        <x:v>Yes</x:v>
      </x:c>
      <x:c r="L571" s="48" t="str">
        <x:v>OCR</x:v>
      </x:c>
    </x:row>
    <x:row r="572">
      <x:c r="A572" s="48" t="str">
        <x:v>ORANGE-0571</x:v>
      </x:c>
      <x:c r="B572" s="48" t="str">
        <x:v>ORANGE</x:v>
      </x:c>
      <x:c r="C572" s="48" t="str">
        <x:v>English</x:v>
      </x:c>
      <x:c r="D572" s="48" t="n">
        <x:v>47</x:v>
      </x:c>
      <x:c r="E572" s="48" t="str"/>
      <x:c r="F572" s="48" t="str">
        <x:v>aa pln Empey ic empers Repose ‘eae. ‘he Coach espe with re inom pond by he ployer Eh oy ing a fuser damage ocr pms oe mae ithe (Srey nas ange ans edo on le fete mete hor doa “The Corte i ager the Epo) sal comply wth he</x:v>
      </x:c>
      <x:c r="G572" s="48" t="str">
        <x:v>Obligation</x:v>
      </x:c>
      <x:c r="H572" s="48" t="str">
        <x:v>Shared</x:v>
      </x:c>
      <x:c r="I572" s="48" t="n">
        <x:v>0.45</x:v>
      </x:c>
      <x:c r="J572" s="48" t="n">
        <x:v>0.4</x:v>
      </x:c>
      <x:c r="K572" s="48" t="str">
        <x:v>Yes</x:v>
      </x:c>
      <x:c r="L572" s="48" t="str">
        <x:v>OCR</x:v>
      </x:c>
    </x:row>
    <x:row r="573">
      <x:c r="A573" s="48" t="str">
        <x:v>ORANGE-0572</x:v>
      </x:c>
      <x:c r="B573" s="48" t="str">
        <x:v>ORANGE</x:v>
      </x:c>
      <x:c r="C573" s="48" t="str">
        <x:v>English</x:v>
      </x:c>
      <x:c r="D573" s="48" t="n">
        <x:v>47</x:v>
      </x:c>
      <x:c r="E573" s="48" t="str"/>
      <x:c r="F573" s="48" t="str">
        <x:v>Desert eee ee ree eae</x:v>
      </x:c>
      <x:c r="G573" s="48" t="str">
        <x:v>Obligation</x:v>
      </x:c>
      <x:c r="H573" s="48" t="str">
        <x:v>Shared</x:v>
      </x:c>
      <x:c r="I573" s="48" t="n">
        <x:v>0.45</x:v>
      </x:c>
      <x:c r="J573" s="48" t="n">
        <x:v>0.4</x:v>
      </x:c>
      <x:c r="K573" s="48" t="str">
        <x:v>Yes</x:v>
      </x:c>
      <x:c r="L573" s="48" t="str">
        <x:v>OCR</x:v>
      </x:c>
    </x:row>
    <x:row r="574">
      <x:c r="A574" s="48" t="str">
        <x:v>ORANGE-0573</x:v>
      </x:c>
      <x:c r="B574" s="48" t="str">
        <x:v>ORANGE</x:v>
      </x:c>
      <x:c r="C574" s="48" t="str">
        <x:v>English</x:v>
      </x:c>
      <x:c r="D574" s="48" t="n">
        <x:v>47</x:v>
      </x:c>
      <x:c r="E574" s="48" t="str"/>
      <x:c r="F574" s="48" t="str">
        <x:v>‘sakes it seas a once sit ep</x:v>
      </x:c>
      <x:c r="G574" s="48" t="str">
        <x:v>Obligation</x:v>
      </x:c>
      <x:c r="H574" s="48" t="str">
        <x:v>Shared</x:v>
      </x:c>
      <x:c r="I574" s="48" t="n">
        <x:v>0.45</x:v>
      </x:c>
      <x:c r="J574" s="48" t="n">
        <x:v>0.4</x:v>
      </x:c>
      <x:c r="K574" s="48" t="str">
        <x:v>Yes</x:v>
      </x:c>
      <x:c r="L574" s="48" t="str">
        <x:v>OCR</x:v>
      </x:c>
    </x:row>
    <x:row r="575">
      <x:c r="A575" s="48" t="str">
        <x:v>ORANGE-0574</x:v>
      </x:c>
      <x:c r="B575" s="48" t="str">
        <x:v>ORANGE</x:v>
      </x:c>
      <x:c r="C575" s="48" t="str">
        <x:v>English</x:v>
      </x:c>
      <x:c r="D575" s="48" t="n">
        <x:v>47</x:v>
      </x:c>
      <x:c r="E575" s="48" t="str"/>
      <x:c r="F575" s="48" t="str">
        <x:v>Iv tthe Eger ian a mae ers ab)</x:v>
      </x:c>
      <x:c r="G575" s="48" t="str">
        <x:v>Obligation</x:v>
      </x:c>
      <x:c r="H575" s="48" t="str">
        <x:v>Shared</x:v>
      </x:c>
      <x:c r="I575" s="48" t="n">
        <x:v>0.45</x:v>
      </x:c>
      <x:c r="J575" s="48" t="n">
        <x:v>0.4</x:v>
      </x:c>
      <x:c r="K575" s="48" t="str">
        <x:v>Yes</x:v>
      </x:c>
      <x:c r="L575" s="48" t="str">
        <x:v>OCR</x:v>
      </x:c>
    </x:row>
    <x:row r="576">
      <x:c r="A576" s="48" t="str">
        <x:v>ORANGE-0575</x:v>
      </x:c>
      <x:c r="B576" s="48" t="str">
        <x:v>ORANGE</x:v>
      </x:c>
      <x:c r="C576" s="48" t="str">
        <x:v>English</x:v>
      </x:c>
      <x:c r="D576" s="48" t="n">
        <x:v>47</x:v>
      </x:c>
      <x:c r="E576" s="48" t="str"/>
      <x:c r="F576" s="48" t="str">
        <x:v>‘Meine he chatacrsal soly he ply nme he Cnc al ea ay of ian ‘le oe Cha of pve tne prs and ey in ncorlant wi i SbCl te Ener oy. ibout meat ee el py pene Suh pay alk {oat am Cnr yyy eres he iar tom ty mes dro bn Coie ‘Noting in his Chav ii hips, aii opens oth ‘Connor oe mle ner oer ers fh Coma or oer</x:v>
      </x:c>
      <x:c r="G576" s="48" t="str">
        <x:v>Obligation</x:v>
      </x:c>
      <x:c r="H576" s="48" t="str">
        <x:v>Shared</x:v>
      </x:c>
      <x:c r="I576" s="48" t="n">
        <x:v>0.45</x:v>
      </x:c>
      <x:c r="J576" s="48" t="n">
        <x:v>0.4</x:v>
      </x:c>
      <x:c r="K576" s="48" t="str">
        <x:v>Yes</x:v>
      </x:c>
      <x:c r="L576" s="48" t="str">
        <x:v>OCR</x:v>
      </x:c>
    </x:row>
    <x:row r="577">
      <x:c r="A577" s="48" t="str">
        <x:v>ORANGE-0576</x:v>
      </x:c>
      <x:c r="B577" s="48" t="str">
        <x:v>ORANGE</x:v>
      </x:c>
      <x:c r="C577" s="48" t="str">
        <x:v>English</x:v>
      </x:c>
      <x:c r="D577" s="48" t="n">
        <x:v>47</x:v>
      </x:c>
      <x:c r="E577" s="48" t="str"/>
      <x:c r="F577" s="48" t="str">
        <x:v>Sopcast th aes be ae</x:v>
      </x:c>
      <x:c r="G577" s="48" t="str">
        <x:v>Obligation</x:v>
      </x:c>
      <x:c r="H577" s="48" t="str">
        <x:v>Shared</x:v>
      </x:c>
      <x:c r="I577" s="48" t="n">
        <x:v>0.45</x:v>
      </x:c>
      <x:c r="J577" s="48" t="n">
        <x:v>0.4</x:v>
      </x:c>
      <x:c r="K577" s="48" t="str">
        <x:v>Yes</x:v>
      </x:c>
      <x:c r="L577" s="48" t="str">
        <x:v>OCR</x:v>
      </x:c>
    </x:row>
    <x:row r="578">
      <x:c r="A578" s="48" t="str">
        <x:v>ORANGE-0577</x:v>
      </x:c>
      <x:c r="B578" s="48" t="str">
        <x:v>ORANGE</x:v>
      </x:c>
      <x:c r="C578" s="48" t="str">
        <x:v>English</x:v>
      </x:c>
      <x:c r="D578" s="48" t="n">
        <x:v>47</x:v>
      </x:c>
      <x:c r="E578" s="48" t="str"/>
      <x:c r="F578" s="48" t="str">
        <x:v>‘80 Gaon andthe Epon set</x:v>
      </x:c>
      <x:c r="G578" s="48" t="str">
        <x:v>Obligation</x:v>
      </x:c>
      <x:c r="H578" s="48" t="str">
        <x:v>Shared</x:v>
      </x:c>
      <x:c r="I578" s="48" t="n">
        <x:v>0.45</x:v>
      </x:c>
      <x:c r="J578" s="48" t="n">
        <x:v>0.4</x:v>
      </x:c>
      <x:c r="K578" s="48" t="str">
        <x:v>Yes</x:v>
      </x:c>
      <x:c r="L578" s="48" t="str">
        <x:v>OCR</x:v>
      </x:c>
    </x:row>
    <x:row r="579">
      <x:c r="A579" s="48" t="str">
        <x:v>ORANGE-0578</x:v>
      </x:c>
      <x:c r="B579" s="48" t="str">
        <x:v>ORANGE</x:v>
      </x:c>
      <x:c r="C579" s="48" t="str">
        <x:v>English</x:v>
      </x:c>
      <x:c r="D579" s="48" t="n">
        <x:v>47</x:v>
      </x:c>
      <x:c r="E579" s="48" t="str">
        <x:v>19</x:v>
      </x:c>
      <x:c r="F579" s="48" t="str">
        <x:v>19 Force Majeure</x:v>
      </x:c>
      <x:c r="G579" s="48" t="str">
        <x:v>Heading</x:v>
      </x:c>
      <x:c r="H579" s="48" t="str"/>
      <x:c r="I579" s="48" t="n">
        <x:v>0.9</x:v>
      </x:c>
      <x:c r="J579" s="48" t="n">
        <x:v>0.99</x:v>
      </x:c>
      <x:c r="K579" s="48" t="str">
        <x:v>No</x:v>
      </x:c>
      <x:c r="L579" s="48" t="str">
        <x:v>OCR</x:v>
      </x:c>
    </x:row>
    <x:row r="580">
      <x:c r="A580" s="48" t="str">
        <x:v>ORANGE-0579</x:v>
      </x:c>
      <x:c r="B580" s="48" t="str">
        <x:v>ORANGE</x:v>
      </x:c>
      <x:c r="C580" s="48" t="str">
        <x:v>English</x:v>
      </x:c>
      <x:c r="D580" s="48" t="n">
        <x:v>47</x:v>
      </x:c>
      <x:c r="E580" s="48" t="str"/>
      <x:c r="F580" s="48" t="str">
        <x:v>Deition of Farce 181 os Cle,“ mae” eas an vet atte ce fe ‘Sigecre |"!</x:v>
      </x:c>
      <x:c r="G580" s="48" t="str">
        <x:v>Obligation</x:v>
      </x:c>
      <x:c r="H580" s="48" t="str">
        <x:v>Shared</x:v>
      </x:c>
      <x:c r="I580" s="48" t="n">
        <x:v>0.45</x:v>
      </x:c>
      <x:c r="J580" s="48" t="n">
        <x:v>0.4</x:v>
      </x:c>
      <x:c r="K580" s="48" t="str">
        <x:v>Yes</x:v>
      </x:c>
      <x:c r="L580" s="48" t="str">
        <x:v>OCR</x:v>
      </x:c>
    </x:row>
    <x:row r="581">
      <x:c r="A581" s="48" t="str">
        <x:v>ORANGE-0580</x:v>
      </x:c>
      <x:c r="B581" s="48" t="str">
        <x:v>ORANGE</x:v>
      </x:c>
      <x:c r="C581" s="48" t="str">
        <x:v>English</x:v>
      </x:c>
      <x:c r="D581" s="48" t="n">
        <x:v>47</x:v>
      </x:c>
      <x:c r="E581" s="48" t="str"/>
      <x:c r="F581" s="48" t="str">
        <x:v>Epler anit Counc, chaste ay tepevtrninlng ba mt ied () aot os, (0) mu sis what wa be decd rt) oan a of on ‘Senescing (© ttn, lak, seo, mayo wap owe, of (a) entation by ctv om ay rc ee any ae.</x:v>
      </x:c>
      <x:c r="G581" s="48" t="str">
        <x:v>Obligation</x:v>
      </x:c>
      <x:c r="H581" s="48" t="str">
        <x:v>Shared</x:v>
      </x:c>
      <x:c r="I581" s="48" t="n">
        <x:v>0.45</x:v>
      </x:c>
      <x:c r="J581" s="48" t="n">
        <x:v>0.4</x:v>
      </x:c>
      <x:c r="K581" s="48" t="str">
        <x:v>Yes</x:v>
      </x:c>
      <x:c r="L581" s="48" t="str">
        <x:v>OCR</x:v>
      </x:c>
    </x:row>
    <x:row r="582">
      <x:c r="A582" s="48" t="str">
        <x:v>ORANGE-0581</x:v>
      </x:c>
      <x:c r="B582" s="48" t="str">
        <x:v>ORANGE</x:v>
      </x:c>
      <x:c r="C582" s="48" t="str">
        <x:v>English</x:v>
      </x:c>
      <x:c r="D582" s="48" t="n">
        <x:v>47</x:v>
      </x:c>
      <x:c r="E582" s="48" t="str"/>
      <x:c r="F582" s="48" t="str">
        <x:v>Sinan enn cece eo tee eape ot</x:v>
      </x:c>
      <x:c r="G582" s="48" t="str">
        <x:v>Obligation</x:v>
      </x:c>
      <x:c r="H582" s="48" t="str">
        <x:v>Shared</x:v>
      </x:c>
      <x:c r="I582" s="48" t="n">
        <x:v>0.45</x:v>
      </x:c>
      <x:c r="J582" s="48" t="n">
        <x:v>0.4</x:v>
      </x:c>
      <x:c r="K582" s="48" t="str">
        <x:v>Yes</x:v>
      </x:c>
      <x:c r="L582" s="48" t="str">
        <x:v>OCR</x:v>
      </x:c>
    </x:row>
    <x:row r="583">
      <x:c r="A583" s="48" t="str">
        <x:v>ORANGE-0582</x:v>
      </x:c>
      <x:c r="B583" s="48" t="str">
        <x:v>ORANGE</x:v>
      </x:c>
      <x:c r="C583" s="48" t="str">
        <x:v>English</x:v>
      </x:c>
      <x:c r="D583" s="48" t="n">
        <x:v>47</x:v>
      </x:c>
      <x:c r="E583" s="48" t="str"/>
      <x:c r="F583" s="48" t="str">
        <x:v>‘er haous peer ny env mcr aero mile ‘ponte le or</x:v>
      </x:c>
      <x:c r="G583" s="48" t="str">
        <x:v>Obligation</x:v>
      </x:c>
      <x:c r="H583" s="48" t="str">
        <x:v>Shared</x:v>
      </x:c>
      <x:c r="I583" s="48" t="n">
        <x:v>0.45</x:v>
      </x:c>
      <x:c r="J583" s="48" t="n">
        <x:v>0.4</x:v>
      </x:c>
      <x:c r="K583" s="48" t="str">
        <x:v>Yes</x:v>
      </x:c>
      <x:c r="L583" s="48" t="str">
        <x:v>OCR</x:v>
      </x:c>
    </x:row>
    <x:row r="584">
      <x:c r="A584" s="48" t="str">
        <x:v>ORANGE-0583</x:v>
      </x:c>
      <x:c r="B584" s="48" t="str">
        <x:v>ORANGE</x:v>
      </x:c>
      <x:c r="C584" s="48" t="str">
        <x:v>English</x:v>
      </x:c>
      <x:c r="D584" s="48" t="n">
        <x:v>48</x:v>
      </x:c>
      <x:c r="E584" s="48" t="str"/>
      <x:c r="F584" s="48" t="str">
        <x:v>ey et commotion ets, le sey esc empayes fe</x:v>
      </x:c>
      <x:c r="G584" s="48" t="str">
        <x:v>Obligation</x:v>
      </x:c>
      <x:c r="H584" s="48" t="str">
        <x:v>Shared</x:v>
      </x:c>
      <x:c r="I584" s="48" t="n">
        <x:v>0.45</x:v>
      </x:c>
      <x:c r="J584" s="48" t="n">
        <x:v>0.4</x:v>
      </x:c>
      <x:c r="K584" s="48" t="str">
        <x:v>Yes</x:v>
      </x:c>
      <x:c r="L584" s="48" t="str">
        <x:v>OCR</x:v>
      </x:c>
    </x:row>
    <x:row r="585">
      <x:c r="A585" s="48" t="str">
        <x:v>ORANGE-0584</x:v>
      </x:c>
      <x:c r="B585" s="48" t="str">
        <x:v>ORANGE</x:v>
      </x:c>
      <x:c r="C585" s="48" t="str">
        <x:v>English</x:v>
      </x:c>
      <x:c r="D585" s="48" t="n">
        <x:v>48</x:v>
      </x:c>
      <x:c r="E585" s="48" t="str"/>
      <x:c r="F585" s="48" t="str">
        <x:v>Shona orate Sahoo</x:v>
      </x:c>
      <x:c r="G585" s="48" t="str">
        <x:v>Obligation</x:v>
      </x:c>
      <x:c r="H585" s="48" t="str">
        <x:v>Shared</x:v>
      </x:c>
      <x:c r="I585" s="48" t="n">
        <x:v>0.45</x:v>
      </x:c>
      <x:c r="J585" s="48" t="n">
        <x:v>0.4</x:v>
      </x:c>
      <x:c r="K585" s="48" t="str">
        <x:v>Yes</x:v>
      </x:c>
      <x:c r="L585" s="48" t="str">
        <x:v>OCR</x:v>
      </x:c>
    </x:row>
    <x:row r="586">
      <x:c r="A586" s="48" t="str">
        <x:v>ORANGE-0585</x:v>
      </x:c>
      <x:c r="B586" s="48" t="str">
        <x:v>ORANGE</x:v>
      </x:c>
      <x:c r="C586" s="48" t="str">
        <x:v>English</x:v>
      </x:c>
      <x:c r="D586" s="48" t="n">
        <x:v>48</x:v>
      </x:c>
      <x:c r="E586" s="48" t="str"/>
      <x:c r="F586" s="48" t="str">
        <x:v>meat ace 192.</x:v>
      </x:c>
      <x:c r="G586" s="48" t="str">
        <x:v>Obligation</x:v>
      </x:c>
      <x:c r="H586" s="48" t="str">
        <x:v>Shared</x:v>
      </x:c>
      <x:c r="I586" s="48" t="n">
        <x:v>0.45</x:v>
      </x:c>
      <x:c r="J586" s="48" t="n">
        <x:v>0.4</x:v>
      </x:c>
      <x:c r="K586" s="48" t="str">
        <x:v>Yes</x:v>
      </x:c>
      <x:c r="L586" s="48" t="str">
        <x:v>OCR</x:v>
      </x:c>
    </x:row>
    <x:row r="587">
      <x:c r="A587" s="48" t="str">
        <x:v>ORANGE-0586</x:v>
      </x:c>
      <x:c r="B587" s="48" t="str">
        <x:v>ORANGE</x:v>
      </x:c>
      <x:c r="C587" s="48" t="str">
        <x:v>English</x:v>
      </x:c>
      <x:c r="D587" s="48" t="n">
        <x:v>48</x:v>
      </x:c>
      <x:c r="E587" s="48" t="str"/>
      <x:c r="F587" s="48" t="str">
        <x:v>Nether be Ene fr me Crm sl oun al matters 92 ep ween ee ar pom of tam ray</x:v>
      </x:c>
      <x:c r="G587" s="48" t="str">
        <x:v>Obligation</x:v>
      </x:c>
      <x:c r="H587" s="48" t="str">
        <x:v>Shared</x:v>
      </x:c>
      <x:c r="I587" s="48" t="n">
        <x:v>0.45</x:v>
      </x:c>
      <x:c r="J587" s="48" t="n">
        <x:v>0.4</x:v>
      </x:c>
      <x:c r="K587" s="48" t="str">
        <x:v>Yes</x:v>
      </x:c>
      <x:c r="L587" s="48" t="str">
        <x:v>OCR</x:v>
      </x:c>
    </x:row>
    <x:row r="588">
      <x:c r="A588" s="48" t="str">
        <x:v>ORANGE-0587</x:v>
      </x:c>
      <x:c r="B588" s="48" t="str">
        <x:v>ORANGE</x:v>
      </x:c>
      <x:c r="C588" s="48" t="str">
        <x:v>English</x:v>
      </x:c>
      <x:c r="D588" s="48" t="n">
        <x:v>48</x:v>
      </x:c>
      <x:c r="E588" s="48" t="str"/>
      <x:c r="F588" s="48" t="str">
        <x:v>Satu whch arn sr eh De</x:v>
      </x:c>
      <x:c r="G588" s="48" t="str">
        <x:v>Obligation</x:v>
      </x:c>
      <x:c r="H588" s="48" t="str">
        <x:v>Shared</x:v>
      </x:c>
      <x:c r="I588" s="48" t="n">
        <x:v>0.45</x:v>
      </x:c>
      <x:c r="J588" s="48" t="n">
        <x:v>0.4</x:v>
      </x:c>
      <x:c r="K588" s="48" t="str">
        <x:v>Yes</x:v>
      </x:c>
      <x:c r="L588" s="48" t="str">
        <x:v>OCR</x:v>
      </x:c>
    </x:row>
    <x:row r="589">
      <x:c r="A589" s="48" t="str">
        <x:v>ORANGE-0588</x:v>
      </x:c>
      <x:c r="B589" s="48" t="str">
        <x:v>ORANGE</x:v>
      </x:c>
      <x:c r="C589" s="48" t="str">
        <x:v>English</x:v>
      </x:c>
      <x:c r="D589" s="48" t="n">
        <x:v>48</x:v>
      </x:c>
      <x:c r="E589" s="48" t="str"/>
      <x:c r="F589" s="48" t="str">
        <x:v>contrat 193 Upon occ fm et mploers 194 Up comes ofan eet nied yh pin cai os agency se earanc thse sl ot epnsnaty mee ape Cocina he yer Reprenae and sal ender ‘snl pce.</x:v>
      </x:c>
      <x:c r="G589" s="48" t="str">
        <x:v>Obligation</x:v>
      </x:c>
      <x:c r="H589" s="48" t="str">
        <x:v>Shared</x:v>
      </x:c>
      <x:c r="I589" s="48" t="n">
        <x:v>0.45</x:v>
      </x:c>
      <x:c r="J589" s="48" t="n">
        <x:v>0.4</x:v>
      </x:c>
      <x:c r="K589" s="48" t="str">
        <x:v>Yes</x:v>
      </x:c>
      <x:c r="L589" s="48" t="str">
        <x:v>OCR</x:v>
      </x:c>
    </x:row>
    <x:row r="590">
      <x:c r="A590" s="48" t="str">
        <x:v>ORANGE-0589</x:v>
      </x:c>
      <x:c r="B590" s="48" t="str">
        <x:v>ORANGE</x:v>
      </x:c>
      <x:c r="C590" s="48" t="str">
        <x:v>English</x:v>
      </x:c>
      <x:c r="D590" s="48" t="n">
        <x:v>48</x:v>
      </x:c>
      <x:c r="E590" s="48" t="str"/>
      <x:c r="F590" s="48" t="str">
        <x:v>Te epee be Empat Conn. ayment to 195. te lsconmpne ts map Nea alt a Tamu 5 Goscarhalt eed iobnelaouan anim mere cea,</x:v>
      </x:c>
      <x:c r="G590" s="48" t="str">
        <x:v>Obligation</x:v>
      </x:c>
      <x:c r="H590" s="48" t="str">
        <x:v>Shared</x:v>
      </x:c>
      <x:c r="I590" s="48" t="n">
        <x:v>0.45</x:v>
      </x:c>
      <x:c r="J590" s="48" t="n">
        <x:v>0.4</x:v>
      </x:c>
      <x:c r="K590" s="48" t="str">
        <x:v>Yes</x:v>
      </x:c>
      <x:c r="L590" s="48" t="str">
        <x:v>OCR</x:v>
      </x:c>
    </x:row>
    <x:row r="591">
      <x:c r="A591" s="48" t="str">
        <x:v>ORANGE-0590</x:v>
      </x:c>
      <x:c r="B591" s="48" t="str">
        <x:v>ORANGE</x:v>
      </x:c>
      <x:c r="C591" s="48" t="str">
        <x:v>English</x:v>
      </x:c>
      <x:c r="D591" s="48" t="n">
        <x:v>48</x:v>
      </x:c>
      <x:c r="E591" s="48" t="str"/>
      <x:c r="F591" s="48" t="str">
        <x:v>Serena eh curondn cone wih te Coc poy ee</x:v>
      </x:c>
      <x:c r="G591" s="48" t="str">
        <x:v>Obligation</x:v>
      </x:c>
      <x:c r="H591" s="48" t="str">
        <x:v>Shared</x:v>
      </x:c>
      <x:c r="I591" s="48" t="n">
        <x:v>0.45</x:v>
      </x:c>
      <x:c r="J591" s="48" t="n">
        <x:v>0.4</x:v>
      </x:c>
      <x:c r="K591" s="48" t="str">
        <x:v>Yes</x:v>
      </x:c>
      <x:c r="L591" s="48" t="str">
        <x:v>OCR</x:v>
      </x:c>
    </x:row>
    <x:row r="592">
      <x:c r="A592" s="48" t="str">
        <x:v>ORANGE-0591</x:v>
      </x:c>
      <x:c r="B592" s="48" t="str">
        <x:v>ORANGE</x:v>
      </x:c>
      <x:c r="C592" s="48" t="str">
        <x:v>English</x:v>
      </x:c>
      <x:c r="D592" s="48" t="n">
        <x:v>48</x:v>
      </x:c>
      <x:c r="E592" s="48" t="str"/>
      <x:c r="F592" s="48" t="str">
        <x:v>Cn ie Conner acu Cou coma wi,</x:v>
      </x:c>
      <x:c r="G592" s="48" t="str">
        <x:v>Obligation</x:v>
      </x:c>
      <x:c r="H592" s="48" t="str">
        <x:v>Shared</x:v>
      </x:c>
      <x:c r="I592" s="48" t="n">
        <x:v>0.45</x:v>
      </x:c>
      <x:c r="J592" s="48" t="n">
        <x:v>0.4</x:v>
      </x:c>
      <x:c r="K592" s="48" t="str">
        <x:v>Yes</x:v>
      </x:c>
      <x:c r="L592" s="48" t="str">
        <x:v>OCR</x:v>
      </x:c>
    </x:row>
    <x:row r="593">
      <x:c r="A593" s="48" t="str">
        <x:v>ORANGE-0592</x:v>
      </x:c>
      <x:c r="B593" s="48" t="str">
        <x:v>ORANGE</x:v>
      </x:c>
      <x:c r="C593" s="48" t="str">
        <x:v>English</x:v>
      </x:c>
      <x:c r="D593" s="48" t="n">
        <x:v>48</x:v>
      </x:c>
      <x:c r="E593" s="48" t="str"/>
      <x:c r="F593" s="48" t="str">
        <x:v>Se i itn Com alte deerined by the Empl</x:v>
      </x:c>
      <x:c r="G593" s="48" t="str">
        <x:v>Obligation</x:v>
      </x:c>
      <x:c r="H593" s="48" t="str">
        <x:v>Shared</x:v>
      </x:c>
      <x:c r="I593" s="48" t="n">
        <x:v>0.45</x:v>
      </x:c>
      <x:c r="J593" s="48" t="n">
        <x:v>0.4</x:v>
      </x:c>
      <x:c r="K593" s="48" t="str">
        <x:v>Yes</x:v>
      </x:c>
      <x:c r="L593" s="48" t="str">
        <x:v>OCR</x:v>
      </x:c>
    </x:row>
    <x:row r="594">
      <x:c r="A594" s="48" t="str">
        <x:v>ORANGE-0593</x:v>
      </x:c>
      <x:c r="B594" s="48" t="str">
        <x:v>ORANGE</x:v>
      </x:c>
      <x:c r="C594" s="48" t="str">
        <x:v>English</x:v>
      </x:c>
      <x:c r="D594" s="48" t="n">
        <x:v>48</x:v>
      </x:c>
      <x:c r="E594" s="48" t="str"/>
      <x:c r="F594" s="48" t="str">
        <x:v>Sean age ie oven of ohh 3 a hall</x:v>
      </x:c>
      <x:c r="G594" s="48" t="str">
        <x:v>Obligation</x:v>
      </x:c>
      <x:c r="H594" s="48" t="str">
        <x:v>Shared</x:v>
      </x:c>
      <x:c r="I594" s="48" t="n">
        <x:v>0.45</x:v>
      </x:c>
      <x:c r="J594" s="48" t="n">
        <x:v>0.4</x:v>
      </x:c>
      <x:c r="K594" s="48" t="str">
        <x:v>Yes</x:v>
      </x:c>
      <x:c r="L594" s="48" t="str">
        <x:v>OCR</x:v>
      </x:c>
    </x:row>
    <x:row r="595">
      <x:c r="A595" s="48" t="str">
        <x:v>ORANGE-0594</x:v>
      </x:c>
      <x:c r="B595" s="48" t="str">
        <x:v>ORANGE</x:v>
      </x:c>
      <x:c r="C595" s="48" t="str">
        <x:v>English</x:v>
      </x:c>
      <x:c r="D595" s="48" t="n">
        <x:v>48</x:v>
      </x:c>
      <x:c r="E595" s="48" t="str"/>
      <x:c r="F595" s="48" t="str">
        <x:v>Nia se Comat ice</x:v>
      </x:c>
      <x:c r="G595" s="48" t="str">
        <x:v>Obligation</x:v>
      </x:c>
      <x:c r="H595" s="48" t="str">
        <x:v>Shared</x:v>
      </x:c>
      <x:c r="I595" s="48" t="n">
        <x:v>0.45</x:v>
      </x:c>
      <x:c r="J595" s="48" t="n">
        <x:v>0.4</x:v>
      </x:c>
      <x:c r="K595" s="48" t="str">
        <x:v>Yes</x:v>
      </x:c>
      <x:c r="L595" s="48" t="str">
        <x:v>OCR</x:v>
      </x:c>
    </x:row>
    <x:row r="596">
      <x:c r="A596" s="48" t="str">
        <x:v>ORANGE-0595</x:v>
      </x:c>
      <x:c r="B596" s="48" t="str">
        <x:v>ORANGE</x:v>
      </x:c>
      <x:c r="C596" s="48" t="str">
        <x:v>English</x:v>
      </x:c>
      <x:c r="D596" s="48" t="n">
        <x:v>48</x:v>
      </x:c>
      <x:c r="E596" s="48" t="str"/>
      <x:c r="F596" s="48" t="str">
        <x:v>COplot 126 traps ny xenon foe mr ee rn Ghnn 1 ress pil ef 5 yc he Ene the Cas ca suc al eft ay yet aed wwe a ee ac wc i wie By pein thee?</x:v>
      </x:c>
      <x:c r="G596" s="48" t="str">
        <x:v>Obligation</x:v>
      </x:c>
      <x:c r="H596" s="48" t="str">
        <x:v>Shared</x:v>
      </x:c>
      <x:c r="I596" s="48" t="n">
        <x:v>0.45</x:v>
      </x:c>
      <x:c r="J596" s="48" t="n">
        <x:v>0.4</x:v>
      </x:c>
      <x:c r="K596" s="48" t="str">
        <x:v>Yes</x:v>
      </x:c>
      <x:c r="L596" s="48" t="str">
        <x:v>OCR</x:v>
      </x:c>
    </x:row>
    <x:row r="597">
      <x:c r="A597" s="48" t="str">
        <x:v>ORANGE-0596</x:v>
      </x:c>
      <x:c r="B597" s="48" t="str">
        <x:v>ORANGE</x:v>
      </x:c>
      <x:c r="C597" s="48" t="str">
        <x:v>English</x:v>
      </x:c>
      <x:c r="D597" s="48" t="n">
        <x:v>48</x:v>
      </x:c>
      <x:c r="E597" s="48" t="str"/>
      <x:c r="F597" s="48" t="str">
        <x:v>SEE ESShes comes he Ore all rina the Cet</x:v>
      </x:c>
      <x:c r="G597" s="48" t="str">
        <x:v>Obligation</x:v>
      </x:c>
      <x:c r="H597" s="48" t="str">
        <x:v>Shared</x:v>
      </x:c>
      <x:c r="I597" s="48" t="n">
        <x:v>0.45</x:v>
      </x:c>
      <x:c r="J597" s="48" t="n">
        <x:v>0.4</x:v>
      </x:c>
      <x:c r="K597" s="48" t="str">
        <x:v>Yes</x:v>
      </x:c>
      <x:c r="L597" s="48" t="str">
        <x:v>OCR</x:v>
      </x:c>
    </x:row>
    <x:row r="598">
      <x:c r="A598" s="48" t="str">
        <x:v>ORANGE-0597</x:v>
      </x:c>
      <x:c r="B598" s="48" t="str">
        <x:v>ORANGE</x:v>
      </x:c>
      <x:c r="C598" s="48" t="str">
        <x:v>English</x:v>
      </x:c>
      <x:c r="D598" s="48" t="n">
        <x:v>48</x:v>
      </x:c>
      <x:c r="E598" s="48" t="str"/>
      <x:c r="F598" s="48" t="str">
        <x:v>I ee uC, Suche 2 or Sb-Cl 163, ‘ct cea all rman the wae ote wk dos 2 tenant le ray work ai wR PE ee ‘seco (o) oe Cov of Pant ant Maine ort Wars hich ave He</x:v>
      </x:c>
      <x:c r="G598" s="48" t="str">
        <x:v>Obligation</x:v>
      </x:c>
      <x:c r="H598" s="48" t="str">
        <x:v>Shared</x:v>
      </x:c>
      <x:c r="I598" s="48" t="n">
        <x:v>0.45</x:v>
      </x:c>
      <x:c r="J598" s="48" t="n">
        <x:v>0.4</x:v>
      </x:c>
      <x:c r="K598" s="48" t="str">
        <x:v>Yes</x:v>
      </x:c>
      <x:c r="L598" s="48" t="str">
        <x:v>OCR</x:v>
      </x:c>
    </x:row>
    <x:row r="599">
      <x:c r="A599" s="48" t="str">
        <x:v>ORANGE-0598</x:v>
      </x:c>
      <x:c r="B599" s="48" t="str">
        <x:v>ORANGE</x:v>
      </x:c>
      <x:c r="C599" s="48" t="str">
        <x:v>English</x:v>
      </x:c>
      <x:c r="D599" s="48" t="n">
        <x:v>48</x:v>
      </x:c>
      <x:c r="E599" s="48" t="str"/>
      <x:c r="F599" s="48" t="str">
        <x:v>CoS Ear oro atc he Cetra abi a</x:v>
      </x:c>
      <x:c r="G599" s="48" t="str">
        <x:v>Obligation</x:v>
      </x:c>
      <x:c r="H599" s="48" t="str">
        <x:v>Shared</x:v>
      </x:c>
      <x:c r="I599" s="48" t="n">
        <x:v>0.45</x:v>
      </x:c>
      <x:c r="J599" s="48" t="n">
        <x:v>0.4</x:v>
      </x:c>
      <x:c r="K599" s="48" t="str">
        <x:v>Yes</x:v>
      </x:c>
      <x:c r="L599" s="48" t="str">
        <x:v>OCR</x:v>
      </x:c>
    </x:row>
    <x:row r="600">
      <x:c r="A600" s="48" t="str">
        <x:v>ORANGE-0599</x:v>
      </x:c>
      <x:c r="B600" s="48" t="str">
        <x:v>ORANGE</x:v>
      </x:c>
      <x:c r="C600" s="48" t="str">
        <x:v>English</x:v>
      </x:c>
      <x:c r="D600" s="48" t="n">
        <x:v>48</x:v>
      </x:c>
      <x:c r="E600" s="48" t="str"/>
      <x:c r="F600" s="48" t="str">
        <x:v>sence nt Mca eth opty of an</x:v>
      </x:c>
      <x:c r="G600" s="48" t="str">
        <x:v>Obligation</x:v>
      </x:c>
      <x:c r="H600" s="48" t="str">
        <x:v>Shared</x:v>
      </x:c>
      <x:c r="I600" s="48" t="n">
        <x:v>0.45</x:v>
      </x:c>
      <x:c r="J600" s="48" t="n">
        <x:v>0.4</x:v>
      </x:c>
      <x:c r="K600" s="48" t="str">
        <x:v>Yes</x:v>
      </x:c>
      <x:c r="L600" s="48" t="str">
        <x:v>OCR</x:v>
      </x:c>
    </x:row>
    <x:row r="601">
      <x:c r="A601" s="48" t="str">
        <x:v>ORANGE-0600</x:v>
      </x:c>
      <x:c r="B601" s="48" t="str">
        <x:v>ORANGE</x:v>
      </x:c>
      <x:c r="C601" s="48" t="str">
        <x:v>English</x:v>
      </x:c>
      <x:c r="D601" s="48" t="n">
        <x:v>48</x:v>
      </x:c>
      <x:c r="E601" s="48" t="str"/>
      <x:c r="F601" s="48" t="str">
        <x:v>SUSE ie Epler een pad fry Oe Epes</x:v>
      </x:c>
      <x:c r="G601" s="48" t="str">
        <x:v>Obligation</x:v>
      </x:c>
      <x:c r="H601" s="48" t="str">
        <x:v>Shared</x:v>
      </x:c>
      <x:c r="I601" s="48" t="n">
        <x:v>0.45</x:v>
      </x:c>
      <x:c r="J601" s="48" t="n">
        <x:v>0.4</x:v>
      </x:c>
      <x:c r="K601" s="48" t="str">
        <x:v>Yes</x:v>
      </x:c>
      <x:c r="L601" s="48" t="str">
        <x:v>OCR</x:v>
      </x:c>
    </x:row>
    <x:row r="602">
      <x:c r="A602" s="48" t="str">
        <x:v>ORANGE-0601</x:v>
      </x:c>
      <x:c r="B602" s="48" t="str">
        <x:v>ORANGE</x:v>
      </x:c>
      <x:c r="C602" s="48" t="str">
        <x:v>English</x:v>
      </x:c>
      <x:c r="D602" s="48" t="n">
        <x:v>48</x:v>
      </x:c>
      <x:c r="E602" s="48" t="str"/>
      <x:c r="F602" s="48" t="str">
        <x:v>aa pn a ane he Epes io: (oy ay et Cot x tat wih in th cewmatares was res i ana sh tan simi We on eon Cos of ena of Tenprary Wor and Conn ce een a ch he te COTO eae omy ty ee desi tm BEAT ON oy bereuwnsie Con tin of te Canc tl ad</x:v>
      </x:c>
      <x:c r="G602" s="48" t="str">
        <x:v>Obligation</x:v>
      </x:c>
      <x:c r="H602" s="48" t="str">
        <x:v>Shared</x:v>
      </x:c>
      <x:c r="I602" s="48" t="n">
        <x:v>0.45</x:v>
      </x:c>
      <x:c r="J602" s="48" t="n">
        <x:v>0.4</x:v>
      </x:c>
      <x:c r="K602" s="48" t="str">
        <x:v>Yes</x:v>
      </x:c>
      <x:c r="L602" s="48" t="str">
        <x:v>OCR</x:v>
      </x:c>
    </x:row>
    <x:row r="603">
      <x:c r="A603" s="48" t="str">
        <x:v>ORANGE-0602</x:v>
      </x:c>
      <x:c r="B603" s="48" t="str">
        <x:v>ORANGE</x:v>
      </x:c>
      <x:c r="C603" s="48" t="str">
        <x:v>English</x:v>
      </x:c>
      <x:c r="D603" s="48" t="n">
        <x:v>48</x:v>
      </x:c>
      <x:c r="E603" s="48" t="str"/>
      <x:c r="F603" s="48" t="str">
        <x:v>Sele eh enh ea a</x:v>
      </x:c>
      <x:c r="G603" s="48" t="str">
        <x:v>Obligation</x:v>
      </x:c>
      <x:c r="H603" s="48" t="str">
        <x:v>Shared</x:v>
      </x:c>
      <x:c r="I603" s="48" t="n">
        <x:v>0.45</x:v>
      </x:c>
      <x:c r="J603" s="48" t="n">
        <x:v>0.4</x:v>
      </x:c>
      <x:c r="K603" s="48" t="str">
        <x:v>Yes</x:v>
      </x:c>
      <x:c r="L603" s="48" t="str">
        <x:v>OCR</x:v>
      </x:c>
    </x:row>
    <x:row r="604">
      <x:c r="A604" s="48" t="str">
        <x:v>ORANGE-0603</x:v>
      </x:c>
      <x:c r="B604" s="48" t="str">
        <x:v>ORANGE</x:v>
      </x:c>
      <x:c r="C604" s="48" t="str">
        <x:v>English</x:v>
      </x:c>
      <x:c r="D604" s="48" t="n">
        <x:v>48</x:v>
      </x:c>
      <x:c r="E604" s="48" t="str"/>
      <x:c r="F604" s="48" t="str">
        <x:v>nde sn tein Pye Cente in acne with Clas 1.</x:v>
      </x:c>
      <x:c r="G604" s="48" t="str">
        <x:v>Obligation</x:v>
      </x:c>
      <x:c r="H604" s="48" t="str">
        <x:v>Shared</x:v>
      </x:c>
      <x:c r="I604" s="48" t="n">
        <x:v>0.45</x:v>
      </x:c>
      <x:c r="J604" s="48" t="n">
        <x:v>0.4</x:v>
      </x:c>
      <x:c r="K604" s="48" t="str">
        <x:v>Yes</x:v>
      </x:c>
      <x:c r="L604" s="48" t="str">
        <x:v>OCR</x:v>
      </x:c>
    </x:row>
    <x:row r="605">
      <x:c r="A605" s="48" t="str">
        <x:v>ORANGE-0604</x:v>
      </x:c>
      <x:c r="B605" s="48" t="str">
        <x:v>ORANGE</x:v>
      </x:c>
      <x:c r="C605" s="48" t="str">
        <x:v>English</x:v>
      </x:c>
      <x:c r="D605" s="48" t="n">
        <x:v>49</x:v>
      </x:c>
      <x:c r="E605" s="48" t="str"/>
      <x:c r="F605" s="48" t="str">
        <x:v>eka rom 187 funder hn ofthe Canc h yer ne Conc ae net evtrmance unde” on rte ema he sm nae Epa oe Cnt The taw sll beh ane mnt hne ten pape ser Sub-Cause 1 he</x:v>
      </x:c>
      <x:c r="G605" s="48" t="str">
        <x:v>Obligation</x:v>
      </x:c>
      <x:c r="H605" s="48" t="str">
        <x:v>Shared</x:v>
      </x:c>
      <x:c r="I605" s="48" t="n">
        <x:v>0.45</x:v>
      </x:c>
      <x:c r="J605" s="48" t="n">
        <x:v>0.4</x:v>
      </x:c>
      <x:c r="K605" s="48" t="str">
        <x:v>Yes</x:v>
      </x:c>
      <x:c r="L605" s="48" t="str">
        <x:v>OCR</x:v>
      </x:c>
    </x:row>
    <x:row r="606">
      <x:c r="A606" s="48" t="str">
        <x:v>ORANGE-0605</x:v>
      </x:c>
      <x:c r="B606" s="48" t="str">
        <x:v>ORANGE</x:v>
      </x:c>
      <x:c r="C606" s="48" t="str">
        <x:v>English</x:v>
      </x:c>
      <x:c r="D606" s="48" t="n">
        <x:v>49</x:v>
      </x:c>
      <x:c r="E606" s="48" t="str">
        <x:v>20</x:v>
      </x:c>
      <x:c r="F606" s="48" t="str">
        <x:v>20 Claims, Disputes and Arbitration</x:v>
      </x:c>
      <x:c r="G606" s="48" t="str">
        <x:v>Heading</x:v>
      </x:c>
      <x:c r="H606" s="48" t="str"/>
      <x:c r="I606" s="48" t="n">
        <x:v>0.9</x:v>
      </x:c>
      <x:c r="J606" s="48" t="n">
        <x:v>0.99</x:v>
      </x:c>
      <x:c r="K606" s="48" t="str">
        <x:v>No</x:v>
      </x:c>
      <x:c r="L606" s="48" t="str">
        <x:v>OCR</x:v>
      </x:c>
    </x:row>
    <x:row r="607">
      <x:c r="A607" s="48" t="str">
        <x:v>ORANGE-0606</x:v>
      </x:c>
      <x:c r="B607" s="48" t="str">
        <x:v>ORANGE</x:v>
      </x:c>
      <x:c r="C607" s="48" t="str">
        <x:v>English</x:v>
      </x:c>
      <x:c r="D607" s="48" t="n">
        <x:v>49</x:v>
      </x:c>
      <x:c r="E607" s="48" t="str"/>
      <x:c r="F607" s="48" t="str">
        <x:v>ocean for 2841 Ceca ne ci ny tn pe under any Cao ‘Cnim "exe ‘Con or caer, te Cenacle the</x:v>
      </x:c>
      <x:c r="G607" s="48" t="str">
        <x:v>Obligation</x:v>
      </x:c>
      <x:c r="H607" s="48" t="str">
        <x:v>Shared</x:v>
      </x:c>
      <x:c r="I607" s="48" t="n">
        <x:v>0.45</x:v>
      </x:c>
      <x:c r="J607" s="48" t="n">
        <x:v>0.4</x:v>
      </x:c>
      <x:c r="K607" s="48" t="str">
        <x:v>Yes</x:v>
      </x:c>
      <x:c r="L607" s="48" t="str">
        <x:v>OCR</x:v>
      </x:c>
    </x:row>
    <x:row r="608">
      <x:c r="A608" s="48" t="str">
        <x:v>ORANGE-0607</x:v>
      </x:c>
      <x:c r="B608" s="48" t="str">
        <x:v>ORANGE</x:v>
      </x:c>
      <x:c r="C608" s="48" t="str">
        <x:v>English</x:v>
      </x:c>
      <x:c r="D608" s="48" t="n">
        <x:v>49</x:v>
      </x:c>
      <x:c r="E608" s="48" t="str"/>
      <x:c r="F608" s="48" t="str">
        <x:v>Eni eps ty yt tha</x:v>
      </x:c>
      <x:c r="G608" s="48" t="str">
        <x:v>Obligation</x:v>
      </x:c>
      <x:c r="H608" s="48" t="str">
        <x:v>Shared</x:v>
      </x:c>
      <x:c r="I608" s="48" t="n">
        <x:v>0.45</x:v>
      </x:c>
      <x:c r="J608" s="48" t="n">
        <x:v>0.4</x:v>
      </x:c>
      <x:c r="K608" s="48" t="str">
        <x:v>Yes</x:v>
      </x:c>
      <x:c r="L608" s="48" t="str">
        <x:v>OCR</x:v>
      </x:c>
    </x:row>
    <x:row r="609">
      <x:c r="A609" s="48" t="str">
        <x:v>ORANGE-0608</x:v>
      </x:c>
      <x:c r="B609" s="48" t="str">
        <x:v>ORANGE</x:v>
      </x:c>
      <x:c r="C609" s="48" t="str">
        <x:v>English</x:v>
      </x:c>
      <x:c r="D609" s="48" t="n">
        <x:v>49</x:v>
      </x:c>
      <x:c r="E609" s="48" t="str"/>
      <x:c r="F609" s="48" t="str">
        <x:v>‘Te Canasta hep seh center ces may fe ees fo ‘Shes ay chi ete eae Stoo nade eon sepa ‘se npoyers Recatne Neen simaing e Enpoe ay th</x:v>
      </x:c>
      <x:c r="G609" s="48" t="str">
        <x:v>Right</x:v>
      </x:c>
      <x:c r="H609" s="48" t="str">
        <x:v>Shared</x:v>
      </x:c>
      <x:c r="I609" s="48" t="n">
        <x:v>0.78</x:v>
      </x:c>
      <x:c r="J609" s="48" t="n">
        <x:v>0.4</x:v>
      </x:c>
      <x:c r="K609" s="48" t="str">
        <x:v>Yes</x:v>
      </x:c>
      <x:c r="L609" s="48" t="str">
        <x:v>OCR</x:v>
      </x:c>
    </x:row>
    <x:row r="610">
      <x:c r="A610" s="48" t="str">
        <x:v>ORANGE-0609</x:v>
      </x:c>
      <x:c r="B610" s="48" t="str">
        <x:v>ORANGE</x:v>
      </x:c>
      <x:c r="C610" s="48" t="str">
        <x:v>English</x:v>
      </x:c>
      <x:c r="D610" s="48" t="n">
        <x:v>49</x:v>
      </x:c>
      <x:c r="E610" s="48" t="str"/>
      <x:c r="F610" s="48" t="str">
        <x:v>Employers Repesemaie tien ret eshte, pet ch ee</x:v>
      </x:c>
      <x:c r="G610" s="48" t="str">
        <x:v>Obligation</x:v>
      </x:c>
      <x:c r="H610" s="48" t="str">
        <x:v>Shared</x:v>
      </x:c>
      <x:c r="I610" s="48" t="n">
        <x:v>0.45</x:v>
      </x:c>
      <x:c r="J610" s="48" t="n">
        <x:v>0.4</x:v>
      </x:c>
      <x:c r="K610" s="48" t="str">
        <x:v>Yes</x:v>
      </x:c>
      <x:c r="L610" s="48" t="str">
        <x:v>OCR</x:v>
      </x:c>
    </x:row>
    <x:row r="611">
      <x:c r="A611" s="48" t="str">
        <x:v>ORANGE-0610</x:v>
      </x:c>
      <x:c r="B611" s="48" t="str">
        <x:v>ORANGE</x:v>
      </x:c>
      <x:c r="C611" s="48" t="str">
        <x:v>English</x:v>
      </x:c>
      <x:c r="D611" s="48" t="n">
        <x:v>49</x:v>
      </x:c>
      <x:c r="E611" s="48" t="str"/>
      <x:c r="F611" s="48" t="str">
        <x:v>‘ay ian tu Cnc ep foe omen vecos The ‘Cacia shal peo te Employer Resse wget a ude sad shall Wf eno) saben copes the Employers epee ‘he “Cora stall send to the players epoznsve nnn fv ep o are st ‘Se cam Whee evan ping ie Wie lam baa comaning ele</x:v>
      </x:c>
      <x:c r="G611" s="48" t="str">
        <x:v>Obligation</x:v>
      </x:c>
      <x:c r="H611" s="48" t="str">
        <x:v>Employer</x:v>
      </x:c>
      <x:c r="I611" s="48" t="n">
        <x:v>0.88</x:v>
      </x:c>
      <x:c r="J611" s="48" t="n">
        <x:v>0.68</x:v>
      </x:c>
      <x:c r="K611" s="48" t="str">
        <x:v>Yes</x:v>
      </x:c>
      <x:c r="L611" s="48" t="str">
        <x:v>OCR</x:v>
      </x:c>
    </x:row>
    <x:row r="612">
      <x:c r="A612" s="48" t="str">
        <x:v>ORANGE-0611</x:v>
      </x:c>
      <x:c r="B612" s="48" t="str">
        <x:v>ORANGE</x:v>
      </x:c>
      <x:c r="C612" s="48" t="str">
        <x:v>English</x:v>
      </x:c>
      <x:c r="D612" s="48" t="n">
        <x:v>49</x:v>
      </x:c>
      <x:c r="E612" s="48" t="str"/>
      <x:c r="F612" s="48" t="str">
        <x:v>Schacht conser ori The Cnt hal hth</x:v>
      </x:c>
      <x:c r="G612" s="48" t="str">
        <x:v>Obligation</x:v>
      </x:c>
      <x:c r="H612" s="48" t="str">
        <x:v>Shared</x:v>
      </x:c>
      <x:c r="I612" s="48" t="n">
        <x:v>0.45</x:v>
      </x:c>
      <x:c r="J612" s="48" t="n">
        <x:v>0.4</x:v>
      </x:c>
      <x:c r="K612" s="48" t="str">
        <x:v>Yes</x:v>
      </x:c>
      <x:c r="L612" s="48" t="str">
        <x:v>OCR</x:v>
      </x:c>
    </x:row>
    <x:row r="613">
      <x:c r="A613" s="48" t="str">
        <x:v>ORANGE-0612</x:v>
      </x:c>
      <x:c r="B613" s="48" t="str">
        <x:v>ORANGE</x:v>
      </x:c>
      <x:c r="C613" s="48" t="str">
        <x:v>English</x:v>
      </x:c>
      <x:c r="D613" s="48" t="n">
        <x:v>49</x:v>
      </x:c>
      <x:c r="E613" s="48" t="str"/>
      <x:c r="F613" s="48" t="str">
        <x:v>See Aen Raman may ese</x:v>
      </x:c>
      <x:c r="G613" s="48" t="str">
        <x:v>Right</x:v>
      </x:c>
      <x:c r="H613" s="48" t="str">
        <x:v>Shared</x:v>
      </x:c>
      <x:c r="I613" s="48" t="n">
        <x:v>0.78</x:v>
      </x:c>
      <x:c r="J613" s="48" t="n">
        <x:v>0.4</x:v>
      </x:c>
      <x:c r="K613" s="48" t="str">
        <x:v>Yes</x:v>
      </x:c>
      <x:c r="L613" s="48" t="str">
        <x:v>OCR</x:v>
      </x:c>
    </x:row>
    <x:row r="614">
      <x:c r="A614" s="48" t="str">
        <x:v>ORANGE-0613</x:v>
      </x:c>
      <x:c r="B614" s="48" t="str">
        <x:v>ORANGE</x:v>
      </x:c>
      <x:c r="C614" s="48" t="str">
        <x:v>English</x:v>
      </x:c>
      <x:c r="D614" s="48" t="n">
        <x:v>49</x:v>
      </x:c>
      <x:c r="E614" s="48" t="str"/>
      <x:c r="F614" s="48" t="str">
        <x:v>{er tim aos png sumac moe oe nt fr prise ‘Whre erin seu ae et To the Egor th Cas lcd ast wit 2 he Ine Cac aso omy with he Se.Cnwe he al tei tossteonal me Payment of Chim 202 The Corrs al Ye etl Save cae any ti Payment (Coc ch nut fra cla a Emon Reon ‘Souder ae the patesen pte ese Ye borate he ‘Shoot hci Comracor be cid men fer sch po Plpane 203s e mem mbes te Dt Adon Hore Hes Adjuaicason Beard" peso manly grt oe ye fc nae ne Cac he ‘Therm opines be Dp Addon Ba sal: (a) cept eel sey he Fan nanan des</x:v>
      </x:c>
      <x:c r="G614" s="48" t="str">
        <x:v>Obligation</x:v>
      </x:c>
      <x:c r="H614" s="48" t="str">
        <x:v>Shared</x:v>
      </x:c>
      <x:c r="I614" s="48" t="n">
        <x:v>0.55</x:v>
      </x:c>
      <x:c r="J614" s="48" t="n">
        <x:v>0.4</x:v>
      </x:c>
      <x:c r="K614" s="48" t="str">
        <x:v>Yes</x:v>
      </x:c>
      <x:c r="L614" s="48" t="str">
        <x:v>OCR</x:v>
      </x:c>
    </x:row>
    <x:row r="615">
      <x:c r="A615" s="48" t="str">
        <x:v>ORANGE-0614</x:v>
      </x:c>
      <x:c r="B615" s="48" t="str">
        <x:v>ORANGE</x:v>
      </x:c>
      <x:c r="C615" s="48" t="str">
        <x:v>English</x:v>
      </x:c>
      <x:c r="D615" s="48" t="n">
        <x:v>49</x:v>
      </x:c>
      <x:c r="E615" s="48" t="str"/>
      <x:c r="F615" s="48" t="str">
        <x:v>Inger Cons FDIC,</x:v>
      </x:c>
      <x:c r="G615" s="48" t="str">
        <x:v>Obligation</x:v>
      </x:c>
      <x:c r="H615" s="48" t="str">
        <x:v>Shared</x:v>
      </x:c>
      <x:c r="I615" s="48" t="n">
        <x:v>0.45</x:v>
      </x:c>
      <x:c r="J615" s="48" t="n">
        <x:v>0.4</x:v>
      </x:c>
      <x:c r="K615" s="48" t="str">
        <x:v>Yes</x:v>
      </x:c>
      <x:c r="L615" s="48" t="str">
        <x:v>OCR</x:v>
      </x:c>
    </x:row>
    <x:row r="616">
      <x:c r="A616" s="48" t="str">
        <x:v>ORANGE-0615</x:v>
      </x:c>
      <x:c r="B616" s="48" t="str">
        <x:v>ORANGE</x:v>
      </x:c>
      <x:c r="C616" s="48" t="str">
        <x:v>English</x:v>
      </x:c>
      <x:c r="D616" s="48" t="n">
        <x:v>49</x:v>
      </x:c>
      <x:c r="E616" s="48" t="str"/>
      <x:c r="F616" s="48" t="str">
        <x:v>(© rei cach memo he Dipte Adan Bod 1 be ant ‘Sia nage espe apd he es</x:v>
      </x:c>
      <x:c r="G616" s="48" t="str">
        <x:v>Obligation</x:v>
      </x:c>
      <x:c r="H616" s="48" t="str">
        <x:v>Shared</x:v>
      </x:c>
      <x:c r="I616" s="48" t="n">
        <x:v>0.45</x:v>
      </x:c>
      <x:c r="J616" s="48" t="n">
        <x:v>0.4</x:v>
      </x:c>
      <x:c r="K616" s="48" t="str">
        <x:v>Yes</x:v>
      </x:c>
      <x:c r="L616" s="48" t="str">
        <x:v>OCR</x:v>
      </x:c>
    </x:row>
    <x:row r="617">
      <x:c r="A617" s="48" t="str">
        <x:v>ORANGE-0616</x:v>
      </x:c>
      <x:c r="B617" s="48" t="str">
        <x:v>ORANGE</x:v>
      </x:c>
      <x:c r="C617" s="48" t="str">
        <x:v>English</x:v>
      </x:c>
      <x:c r="D617" s="48" t="n">
        <x:v>50</x:v>
      </x:c>
      <x:c r="E617" s="48" t="str"/>
      <x:c r="F617" s="48" t="str">
        <x:v>(6) ogi te Digue Adtitinn Bord Yo at ingly ant in (Soins wine co an cate aeralings by he eas (ee te an te a ‘ifr ol Et Be Dostum Be ‘Rite ccumance te able beady foc rng (Stet ee sypntnce bp al need) he ene pa ‘seven ‘he ems fe emtnern of he Dupe Adeteon Boar ing ‘Rrguamtn cf cheb nd ofa) spat tow when be Dp ‘Rist Ror may rege one esl ty aged eo {Emer ne Ci ach Bt aon {he emma of ch rr sal de mare renee ‘esessdaly einen wae ty ee ses fn i {Ske een wu ne sina cial elon he nro Cre Sexe of Imesnat tes te ered och suse See oe cha ‘he Empl and Ca a och ipsa oe Doe Mijas tourna sordie.wit A tome ‘eto at eer al py td operon tel male poe</x:v>
      </x:c>
      <x:c r="G617" s="48" t="str">
        <x:v>Right</x:v>
      </x:c>
      <x:c r="H617" s="48" t="str">
        <x:v>Shared</x:v>
      </x:c>
      <x:c r="I617" s="48" t="n">
        <x:v>0.78</x:v>
      </x:c>
      <x:c r="J617" s="48" t="n">
        <x:v>0.4</x:v>
      </x:c>
      <x:c r="K617" s="48" t="str">
        <x:v>Yes</x:v>
      </x:c>
      <x:c r="L617" s="48" t="str">
        <x:v>OCR</x:v>
      </x:c>
    </x:row>
    <x:row r="618">
      <x:c r="A618" s="48" t="str">
        <x:v>ORANGE-0617</x:v>
      </x:c>
      <x:c r="B618" s="48" t="str">
        <x:v>ORANGE</x:v>
      </x:c>
      <x:c r="C618" s="48" t="str">
        <x:v>English</x:v>
      </x:c>
      <x:c r="D618" s="48" t="n">
        <x:v>50</x:v>
      </x:c>
      <x:c r="E618" s="48" t="str"/>
      <x:c r="F618" s="48" t="str">
        <x:v>The Dips Adjatiation Ra's ppeinent may Be emia ony by</x:v>
      </x:c>
      <x:c r="G618" s="48" t="str">
        <x:v>Right</x:v>
      </x:c>
      <x:c r="H618" s="48" t="str">
        <x:v>Shared</x:v>
      </x:c>
      <x:c r="I618" s="48" t="n">
        <x:v>0.78</x:v>
      </x:c>
      <x:c r="J618" s="48" t="n">
        <x:v>0.4</x:v>
      </x:c>
      <x:c r="K618" s="48" t="str">
        <x:v>Yes</x:v>
      </x:c>
      <x:c r="L618" s="48" t="str">
        <x:v>OCR</x:v>
      </x:c>
    </x:row>
    <x:row r="619">
      <x:c r="A619" s="48" t="str">
        <x:v>ORANGE-0618</x:v>
      </x:c>
      <x:c r="B619" s="48" t="str">
        <x:v>ORANGE</x:v>
      </x:c>
      <x:c r="C619" s="48" t="str">
        <x:v>English</x:v>
      </x:c>
      <x:c r="D619" s="48" t="n">
        <x:v>50</x:v>
      </x:c>
      <x:c r="E619" s="48" t="str"/>
      <x:c r="F619" s="48" t="str">
        <x:v>‘eal Socom of the Emp and te Cnc The ipa ‘Rietlaton Hom! aye al expe nen he sicher</x:v>
      </x:c>
      <x:c r="G619" s="48" t="str">
        <x:v>Obligation</x:v>
      </x:c>
      <x:c r="H619" s="48" t="str">
        <x:v>Shared</x:v>
      </x:c>
      <x:c r="I619" s="48" t="n">
        <x:v>0.45</x:v>
      </x:c>
      <x:c r="J619" s="48" t="n">
        <x:v>0.4</x:v>
      </x:c>
      <x:c r="K619" s="48" t="str">
        <x:v>Yes</x:v>
      </x:c>
      <x:c r="L619" s="48" t="str">
        <x:v>OCR</x:v>
      </x:c>
    </x:row>
    <x:row r="620">
      <x:c r="A620" s="48" t="str">
        <x:v>ORANGE-0619</x:v>
      </x:c>
      <x:c r="B620" s="48" t="str">
        <x:v>ORANGE</x:v>
      </x:c>
      <x:c r="C620" s="48" t="str">
        <x:v>English</x:v>
      </x:c>
      <x:c r="D620" s="48" t="n">
        <x:v>50</x:v>
      </x:c>
      <x:c r="E620" s="48" t="str"/>
      <x:c r="F620" s="48" t="str">
        <x:v>Shem anne sme tn sch oe me te</x:v>
      </x:c>
      <x:c r="G620" s="48" t="str">
        <x:v>Obligation</x:v>
      </x:c>
      <x:c r="H620" s="48" t="str">
        <x:v>Shared</x:v>
      </x:c>
      <x:c r="I620" s="48" t="n">
        <x:v>0.45</x:v>
      </x:c>
      <x:c r="J620" s="48" t="n">
        <x:v>0.4</x:v>
      </x:c>
      <x:c r="K620" s="48" t="str">
        <x:v>Yes</x:v>
      </x:c>
      <x:c r="L620" s="48" t="str">
        <x:v>OCR</x:v>
      </x:c>
    </x:row>
    <x:row r="621">
      <x:c r="A621" s="48" t="str">
        <x:v>ORANGE-0620</x:v>
      </x:c>
      <x:c r="B621" s="48" t="str">
        <x:v>ORANGE</x:v>
      </x:c>
      <x:c r="C621" s="48" t="str">
        <x:v>English</x:v>
      </x:c>
      <x:c r="D621" s="48" t="n">
        <x:v>50</x:v>
      </x:c>
      <x:c r="E621" s="48" t="str"/>
      <x:c r="F621" s="48" t="str">
        <x:v>cay ay Tatar tine, be pri soa. hey may poi saa quai pen see nem ce) mya mene of Se Dre ‘jut Ajtai ins oa or ante oa ata ‘ey wupmaee we msnio faptme 8 tebe ‘Suns ren oa sods ch epee walle ae any of elon anions apy: ames (a) thepati fa o apc pe ppm ele mente oe ‘ovo put dn Bar ii 3 as ec Dat, (0) cir pty fab sone an scepuble member. fore Dine ‘tn Bu oe mee, wt 3 fe ee © Sharman wahis Bdgrot te Eiteie ae (the pre agen aol of relat meer o Me "Duye Aduscsoe Bard akin 3 dys of be ae coh nent ft Dap Adusaton Dat rns tw ‘elu aes wut uh day, rept mn as sic te pron or dir ame eth Appt oth ede stl fr dc coin ite are, rat ch ee fhe spe ‘Nina arnt cr ion sw lan</x:v>
      </x:c>
      <x:c r="G621" s="48" t="str">
        <x:v>Right</x:v>
      </x:c>
      <x:c r="H621" s="48" t="str">
        <x:v>Shared</x:v>
      </x:c>
      <x:c r="I621" s="48" t="n">
        <x:v>0.78</x:v>
      </x:c>
      <x:c r="J621" s="48" t="n">
        <x:v>0.4</x:v>
      </x:c>
      <x:c r="K621" s="48" t="str">
        <x:v>Yes</x:v>
      </x:c>
      <x:c r="L621" s="48" t="str">
        <x:v>OCR</x:v>
      </x:c>
    </x:row>
  </x:sheetData>
  <x:conditionalFormatting sqref="K2:K621">
    <x:cfRule type="expression" dxfId="6" priority="1">
      <x:formula>K2="Yes"</x:formula>
    </x:cfRule>
  </x:conditionalFormatting>
  <x:conditionalFormatting sqref="G2:G621">
    <x:cfRule type="expression" dxfId="7" priority="2">
      <x:formula>G2="Risk"</x:formula>
    </x:cfRule>
  </x:conditionalFormatting>
  <x:dataValidations count="3">
    <x:dataValidation type="list" sqref="G2:G621">
      <x:formula1>"Heading,Definition,Obligation,Risk,Right"</x:formula1>
    </x:dataValidation>
    <x:dataValidation type="list" sqref="H2:H621">
      <x:formula1>",Contractor,Employer,Shared"</x:formula1>
    </x:dataValidation>
    <x:dataValidation type="list" sqref="K2:K621">
      <x:formula1>"Yes,No"</x:formula1>
    </x:dataValidation>
  </x:dataValidations>
  <x:pageMargins left="0.7" right="0.7" top="0.75" bottom="0.75" header="0.3" footer="0.3"/>
  <x:tableParts count="1">
    <x:tablePart xmlns:r="http://schemas.openxmlformats.org/officeDocument/2006/relationships" r:id="Rdd8c23b1f3694ea4"/>
  </x:tableParts>
</x:worksheet>
</file>

<file path=xl/worksheets/sheet8.xml><?xml version="1.0" encoding="utf-8"?>
<x:worksheet xmlns:x="http://schemas.openxmlformats.org/spreadsheetml/2006/main">
  <x:sheetFormatPr defaultRowHeight="15"/>
  <x:cols>
    <x:col min="1" max="1" width="14" hidden="0" customWidth="1"/>
    <x:col min="2" max="2" width="10" hidden="0" customWidth="1"/>
    <x:col min="3" max="3" width="12" hidden="0" customWidth="1"/>
    <x:col min="4" max="4" width="8" hidden="0" customWidth="1"/>
    <x:col min="5" max="5" width="12" hidden="0" customWidth="1"/>
    <x:col min="6" max="6" width="58" hidden="0" customWidth="1"/>
    <x:col min="7" max="7" width="16" hidden="0" customWidth="1"/>
    <x:col min="8" max="8" width="16" hidden="0" customWidth="1"/>
    <x:col min="9" max="9" width="15" hidden="0" customWidth="1"/>
    <x:col min="10" max="10" width="16" hidden="0" customWidth="1"/>
    <x:col min="11" max="11" width="14" hidden="0" customWidth="1"/>
    <x:col min="12" max="12" width="18" hidden="0" customWidth="1"/>
  </x:cols>
  <x:sheetData>
    <x:row r="1">
      <x:c r="A1" s="18" t="str">
        <x:v>Sentence_ID</x:v>
      </x:c>
      <x:c r="B1" s="35" t="str">
        <x:v>Book</x:v>
      </x:c>
      <x:c r="C1" s="35" t="str">
        <x:v>Language</x:v>
      </x:c>
      <x:c r="D1" s="50" t="str">
        <x:v>Page</x:v>
      </x:c>
      <x:c r="E1" s="35" t="str">
        <x:v>Clause</x:v>
      </x:c>
      <x:c r="F1" s="35" t="str">
        <x:v>Sentence</x:v>
      </x:c>
      <x:c r="G1" s="35" t="str">
        <x:v>Sentence_Type</x:v>
      </x:c>
      <x:c r="H1" s="35" t="str">
        <x:v>Related_Party</x:v>
      </x:c>
      <x:c r="I1" s="52" t="str">
        <x:v>Type_Confidence</x:v>
      </x:c>
      <x:c r="J1" s="52" t="str">
        <x:v>Party_Confidence</x:v>
      </x:c>
      <x:c r="K1" s="35" t="str">
        <x:v>Needs_Review</x:v>
      </x:c>
      <x:c r="L1" s="19" t="str">
        <x:v>Extraction_Method</x:v>
      </x:c>
    </x:row>
    <x:row r="2">
      <x:c r="A2" s="48" t="str">
        <x:v>SILVER-0001</x:v>
      </x:c>
      <x:c r="B2" s="48" t="str">
        <x:v>SILVER</x:v>
      </x:c>
      <x:c r="C2" s="48" t="str">
        <x:v>Indonesian</x:v>
      </x:c>
      <x:c r="D2" s="48" t="n">
        <x:v>18</x:v>
      </x:c>
      <x:c r="E2" s="48" t="str"/>
      <x:c r="F2" s="48" t="str">
        <x:v>tan Umum. jan Umum Kemana pe Om es en |</x:v>
      </x:c>
      <x:c r="G2" s="48" t="str">
        <x:v>Obligation</x:v>
      </x:c>
      <x:c r="H2" s="48" t="str">
        <x:v>Shared</x:v>
      </x:c>
      <x:c r="I2" s="48" t="n">
        <x:v>0.45</x:v>
      </x:c>
      <x:c r="J2" s="48" t="n">
        <x:v>0.4</x:v>
      </x:c>
      <x:c r="K2" s="48" t="str">
        <x:v>Yes</x:v>
      </x:c>
      <x:c r="L2" s="48" t="str">
        <x:v>OCR</x:v>
      </x:c>
    </x:row>
    <x:row r="3">
      <x:c r="A3" s="48" t="str">
        <x:v>SILVER-0002</x:v>
      </x:c>
      <x:c r="B3" s="48" t="str">
        <x:v>SILVER</x:v>
      </x:c>
      <x:c r="C3" s="48" t="str">
        <x:v>Indonesian</x:v>
      </x:c>
      <x:c r="D3" s="48" t="n">
        <x:v>18</x:v>
      </x:c>
      <x:c r="E3" s="48" t="str"/>
      <x:c r="F3" s="48" t="str">
        <x:v>Penteek it taattentaren</x:v>
      </x:c>
      <x:c r="G3" s="48" t="str">
        <x:v>Obligation</x:v>
      </x:c>
      <x:c r="H3" s="48" t="str">
        <x:v>Shared</x:v>
      </x:c>
      <x:c r="I3" s="48" t="n">
        <x:v>0.45</x:v>
      </x:c>
      <x:c r="J3" s="48" t="n">
        <x:v>0.4</x:v>
      </x:c>
      <x:c r="K3" s="48" t="str">
        <x:v>Yes</x:v>
      </x:c>
      <x:c r="L3" s="48" t="str">
        <x:v>OCR</x:v>
      </x:c>
    </x:row>
    <x:row r="4">
      <x:c r="A4" s="48" t="str">
        <x:v>SILVER-0003</x:v>
      </x:c>
      <x:c r="B4" s="48" t="str">
        <x:v>SILVER</x:v>
      </x:c>
      <x:c r="C4" s="48" t="str">
        <x:v>Indonesian</x:v>
      </x:c>
      <x:c r="D4" s="48" t="n">
        <x:v>18</x:v>
      </x:c>
      <x:c r="E4" s="48" t="str"/>
      <x:c r="F4" s="48" t="str">
        <x:v>MA aenganaderlan Kanan mena Sa aga Tangan</x:v>
      </x:c>
      <x:c r="G4" s="48" t="str">
        <x:v>Obligation</x:v>
      </x:c>
      <x:c r="H4" s="48" t="str">
        <x:v>Shared</x:v>
      </x:c>
      <x:c r="I4" s="48" t="n">
        <x:v>0.45</x:v>
      </x:c>
      <x:c r="J4" s="48" t="n">
        <x:v>0.4</x:v>
      </x:c>
      <x:c r="K4" s="48" t="str">
        <x:v>Yes</x:v>
      </x:c>
      <x:c r="L4" s="48" t="str">
        <x:v>OCR</x:v>
      </x:c>
    </x:row>
    <x:row r="5">
      <x:c r="A5" s="48" t="str">
        <x:v>SILVER-0004</x:v>
      </x:c>
      <x:c r="B5" s="48" t="str">
        <x:v>SILVER</x:v>
      </x:c>
      <x:c r="C5" s="48" t="str">
        <x:v>Indonesian</x:v>
      </x:c>
      <x:c r="D5" s="48" t="n">
        <x:v>18</x:v>
      </x:c>
      <x:c r="E5" s="48" t="str"/>
      <x:c r="F5" s="48" t="str">
        <x:v>Aa aan an MB en ea Ga !</x:v>
      </x:c>
      <x:c r="G5" s="48" t="str">
        <x:v>Obligation</x:v>
      </x:c>
      <x:c r="H5" s="48" t="str">
        <x:v>Shared</x:v>
      </x:c>
      <x:c r="I5" s="48" t="n">
        <x:v>0.45</x:v>
      </x:c>
      <x:c r="J5" s="48" t="n">
        <x:v>0.4</x:v>
      </x:c>
      <x:c r="K5" s="48" t="str">
        <x:v>Yes</x:v>
      </x:c>
      <x:c r="L5" s="48" t="str">
        <x:v>OCR</x:v>
      </x:c>
    </x:row>
    <x:row r="6">
      <x:c r="A6" s="48" t="str">
        <x:v>SILVER-0005</x:v>
      </x:c>
      <x:c r="B6" s="48" t="str">
        <x:v>SILVER</x:v>
      </x:c>
      <x:c r="C6" s="48" t="str">
        <x:v>Indonesian</x:v>
      </x:c>
      <x:c r="D6" s="48" t="n">
        <x:v>18</x:v>
      </x:c>
      <x:c r="E6" s="48" t="str"/>
      <x:c r="F6" s="48" t="str">
        <x:v>AAN Maket Pebrn Kor erat Agen Pempan</x:v>
      </x:c>
      <x:c r="G6" s="48" t="str">
        <x:v>Obligation</x:v>
      </x:c>
      <x:c r="H6" s="48" t="str">
        <x:v>Shared</x:v>
      </x:c>
      <x:c r="I6" s="48" t="n">
        <x:v>0.45</x:v>
      </x:c>
      <x:c r="J6" s="48" t="n">
        <x:v>0.4</x:v>
      </x:c>
      <x:c r="K6" s="48" t="str">
        <x:v>Yes</x:v>
      </x:c>
      <x:c r="L6" s="48" t="str">
        <x:v>OCR</x:v>
      </x:c>
    </x:row>
    <x:row r="7">
      <x:c r="A7" s="48" t="str">
        <x:v>SILVER-0006</x:v>
      </x:c>
      <x:c r="B7" s="48" t="str">
        <x:v>SILVER</x:v>
      </x:c>
      <x:c r="C7" s="48" t="str">
        <x:v>Indonesian</x:v>
      </x:c>
      <x:c r="D7" s="48" t="n">
        <x:v>18</x:v>
      </x:c>
      <x:c r="E7" s="48" t="str"/>
      <x:c r="F7" s="48" t="str">
        <x:v>Pegagunkama entpaekeertaprggu ena 138. tra Pengguna dn Dang Os era mem hewran 414.</x:v>
      </x:c>
      <x:c r="G7" s="48" t="str">
        <x:v>Obligation</x:v>
      </x:c>
      <x:c r="H7" s="48" t="str">
        <x:v>Shared</x:v>
      </x:c>
      <x:c r="I7" s="48" t="n">
        <x:v>0.45</x:v>
      </x:c>
      <x:c r="J7" s="48" t="n">
        <x:v>0.4</x:v>
      </x:c>
      <x:c r="K7" s="48" t="str">
        <x:v>Yes</x:v>
      </x:c>
      <x:c r="L7" s="48" t="str">
        <x:v>OCR</x:v>
      </x:c>
    </x:row>
    <x:row r="8">
      <x:c r="A8" s="48" t="str">
        <x:v>SILVER-0007</x:v>
      </x:c>
      <x:c r="B8" s="48" t="str">
        <x:v>SILVER</x:v>
      </x:c>
      <x:c r="C8" s="48" t="str">
        <x:v>Indonesian</x:v>
      </x:c>
      <x:c r="D8" s="48" t="n">
        <x:v>18</x:v>
      </x:c>
      <x:c r="E8" s="48" t="str"/>
      <x:c r="F8" s="48" t="str">
        <x:v>"Penmuar be pemarah knpa or Bsungaidan 348.</x:v>
      </x:c>
      <x:c r="G8" s="48" t="str">
        <x:v>Obligation</x:v>
      </x:c>
      <x:c r="H8" s="48" t="str">
        <x:v>Shared</x:v>
      </x:c>
      <x:c r="I8" s="48" t="n">
        <x:v>0.45</x:v>
      </x:c>
      <x:c r="J8" s="48" t="n">
        <x:v>0.4</x:v>
      </x:c>
      <x:c r="K8" s="48" t="str">
        <x:v>Yes</x:v>
      </x:c>
      <x:c r="L8" s="48" t="str">
        <x:v>OCR</x:v>
      </x:c>
    </x:row>
    <x:row r="9">
      <x:c r="A9" s="48" t="str">
        <x:v>SILVER-0008</x:v>
      </x:c>
      <x:c r="B9" s="48" t="str">
        <x:v>SILVER</x:v>
      </x:c>
      <x:c r="C9" s="48" t="str">
        <x:v>Indonesian</x:v>
      </x:c>
      <x:c r="D9" s="48" t="n">
        <x:v>18</x:v>
      </x:c>
      <x:c r="E9" s="48" t="str"/>
      <x:c r="F9" s="48" t="str">
        <x:v>“daan Para "It Pembayaran emo (rn yr Gran ena Gaon tengaran eng</x:v>
      </x:c>
      <x:c r="G9" s="48" t="str">
        <x:v>Obligation</x:v>
      </x:c>
      <x:c r="H9" s="48" t="str">
        <x:v>Shared</x:v>
      </x:c>
      <x:c r="I9" s="48" t="n">
        <x:v>0.55</x:v>
      </x:c>
      <x:c r="J9" s="48" t="n">
        <x:v>0.4</x:v>
      </x:c>
      <x:c r="K9" s="48" t="str">
        <x:v>Yes</x:v>
      </x:c>
      <x:c r="L9" s="48" t="str">
        <x:v>OCR</x:v>
      </x:c>
    </x:row>
    <x:row r="10">
      <x:c r="A10" s="48" t="str">
        <x:v>SILVER-0009</x:v>
      </x:c>
      <x:c r="B10" s="48" t="str">
        <x:v>SILVER</x:v>
      </x:c>
      <x:c r="C10" s="48" t="str">
        <x:v>Indonesian</x:v>
      </x:c>
      <x:c r="D10" s="48" t="n">
        <x:v>18</x:v>
      </x:c>
      <x:c r="E10" s="48" t="str"/>
      <x:c r="F10" s="48" t="str">
        <x:v>DARI AMI BE PUT Jemaat Be rusa</x:v>
      </x:c>
      <x:c r="G10" s="48" t="str">
        <x:v>Obligation</x:v>
      </x:c>
      <x:c r="H10" s="48" t="str">
        <x:v>Shared</x:v>
      </x:c>
      <x:c r="I10" s="48" t="n">
        <x:v>0.45</x:v>
      </x:c>
      <x:c r="J10" s="48" t="n">
        <x:v>0.4</x:v>
      </x:c>
      <x:c r="K10" s="48" t="str">
        <x:v>Yes</x:v>
      </x:c>
      <x:c r="L10" s="48" t="str">
        <x:v>OCR</x:v>
      </x:c>
    </x:row>
    <x:row r="11">
      <x:c r="A11" s="48" t="str">
        <x:v>SILVER-0010</x:v>
      </x:c>
      <x:c r="B11" s="48" t="str">
        <x:v>SILVER</x:v>
      </x:c>
      <x:c r="C11" s="48" t="str">
        <x:v>Indonesian</x:v>
      </x:c>
      <x:c r="D11" s="48" t="n">
        <x:v>18</x:v>
      </x:c>
      <x:c r="E11" s="48" t="str"/>
      <x:c r="F11" s="48" t="str">
        <x:v>“Penggiat uwuserganttan ag rgarahuaa aa Pe AN ah Lgu 1123 Monata Desi Cg Karo yo dutitan msi</x:v>
      </x:c>
      <x:c r="G11" s="48" t="str">
        <x:v>Obligation</x:v>
      </x:c>
      <x:c r="H11" s="48" t="str">
        <x:v>Shared</x:v>
      </x:c>
      <x:c r="I11" s="48" t="n">
        <x:v>0.45</x:v>
      </x:c>
      <x:c r="J11" s="48" t="n">
        <x:v>0.4</x:v>
      </x:c>
      <x:c r="K11" s="48" t="str">
        <x:v>Yes</x:v>
      </x:c>
      <x:c r="L11" s="48" t="str">
        <x:v>OCR</x:v>
      </x:c>
    </x:row>
    <x:row r="12">
      <x:c r="A12" s="48" t="str">
        <x:v>SILVER-0011</x:v>
      </x:c>
      <x:c r="B12" s="48" t="str">
        <x:v>SILVER</x:v>
      </x:c>
      <x:c r="C12" s="48" t="str">
        <x:v>Indonesian</x:v>
      </x:c>
      <x:c r="D12" s="48" t="n">
        <x:v>18</x:v>
      </x:c>
      <x:c r="E12" s="48" t="str"/>
      <x:c r="F12" s="48" t="str">
        <x:v>Pena Mam Pe Kek Pe KOR HN Pap ng</x:v>
      </x:c>
      <x:c r="G12" s="48" t="str">
        <x:v>Obligation</x:v>
      </x:c>
      <x:c r="H12" s="48" t="str">
        <x:v>Shared</x:v>
      </x:c>
      <x:c r="I12" s="48" t="n">
        <x:v>0.45</x:v>
      </x:c>
      <x:c r="J12" s="48" t="n">
        <x:v>0.4</x:v>
      </x:c>
      <x:c r="K12" s="48" t="str">
        <x:v>Yes</x:v>
      </x:c>
      <x:c r="L12" s="48" t="str">
        <x:v>OCR</x:v>
      </x:c>
    </x:row>
    <x:row r="13">
      <x:c r="A13" s="48" t="str">
        <x:v>SILVER-0012</x:v>
      </x:c>
      <x:c r="B13" s="48" t="str">
        <x:v>SILVER</x:v>
      </x:c>
      <x:c r="C13" s="48" t="str">
        <x:v>Indonesian</x:v>
      </x:c>
      <x:c r="D13" s="48" t="n">
        <x:v>18</x:v>
      </x:c>
      <x:c r="E13" s="48" t="str"/>
      <x:c r="F13" s="48" t="str">
        <x:v>penegakan 9124.</x:v>
      </x:c>
      <x:c r="G13" s="48" t="str">
        <x:v>Obligation</x:v>
      </x:c>
      <x:c r="H13" s="48" t="str">
        <x:v>Shared</x:v>
      </x:c>
      <x:c r="I13" s="48" t="n">
        <x:v>0.45</x:v>
      </x:c>
      <x:c r="J13" s="48" t="n">
        <x:v>0.4</x:v>
      </x:c>
      <x:c r="K13" s="48" t="str">
        <x:v>Yes</x:v>
      </x:c>
      <x:c r="L13" s="48" t="str">
        <x:v>OCR</x:v>
      </x:c>
    </x:row>
    <x:row r="14">
      <x:c r="A14" s="48" t="str">
        <x:v>SILVER-0013</x:v>
      </x:c>
      <x:c r="B14" s="48" t="str">
        <x:v>SILVER</x:v>
      </x:c>
      <x:c r="C14" s="48" t="str">
        <x:v>Indonesian</x:v>
      </x:c>
      <x:c r="D14" s="48" t="n">
        <x:v>18</x:v>
      </x:c>
      <x:c r="E14" s="48" t="str"/>
      <x:c r="F14" s="48" t="str">
        <x:v>Mk Peraga ae bri cg yg MA on Pras ana</x:v>
      </x:c>
      <x:c r="G14" s="48" t="str">
        <x:v>Obligation</x:v>
      </x:c>
      <x:c r="H14" s="48" t="str">
        <x:v>Shared</x:v>
      </x:c>
      <x:c r="I14" s="48" t="n">
        <x:v>0.45</x:v>
      </x:c>
      <x:c r="J14" s="48" t="n">
        <x:v>0.4</x:v>
      </x:c>
      <x:c r="K14" s="48" t="str">
        <x:v>Yes</x:v>
      </x:c>
      <x:c r="L14" s="48" t="str">
        <x:v>OCR</x:v>
      </x:c>
    </x:row>
    <x:row r="15">
      <x:c r="A15" s="48" t="str">
        <x:v>SILVER-0014</x:v>
      </x:c>
      <x:c r="B15" s="48" t="str">
        <x:v>SILVER</x:v>
      </x:c>
      <x:c r="C15" s="48" t="str">
        <x:v>Indonesian</x:v>
      </x:c>
      <x:c r="D15" s="48" t="n">
        <x:v>18</x:v>
      </x:c>
      <x:c r="E15" s="48" t="str"/>
      <x:c r="F15" s="48" t="str">
        <x:v>LL DA Ka GL Ls SPM</x:v>
      </x:c>
      <x:c r="G15" s="48" t="str">
        <x:v>Obligation</x:v>
      </x:c>
      <x:c r="H15" s="48" t="str">
        <x:v>Shared</x:v>
      </x:c>
      <x:c r="I15" s="48" t="n">
        <x:v>0.45</x:v>
      </x:c>
      <x:c r="J15" s="48" t="n">
        <x:v>0.4</x:v>
      </x:c>
      <x:c r="K15" s="48" t="str">
        <x:v>Yes</x:v>
      </x:c>
      <x:c r="L15" s="48" t="str">
        <x:v>OCR</x:v>
      </x:c>
    </x:row>
    <x:row r="16">
      <x:c r="A16" s="48" t="str">
        <x:v>SILVER-0015</x:v>
      </x:c>
      <x:c r="B16" s="48" t="str">
        <x:v>SILVER</x:v>
      </x:c>
      <x:c r="C16" s="48" t="str">
        <x:v>Indonesian</x:v>
      </x:c>
      <x:c r="D16" s="48" t="n">
        <x:v>18</x:v>
      </x:c>
      <x:c r="E16" s="48" t="str"/>
      <x:c r="F16" s="48" t="str">
        <x:v>enbemantan Ona se Pwupru ha megan saran Puma</x:v>
      </x:c>
      <x:c r="G16" s="48" t="str">
        <x:v>Obligation</x:v>
      </x:c>
      <x:c r="H16" s="48" t="str">
        <x:v>Shared</x:v>
      </x:c>
      <x:c r="I16" s="48" t="n">
        <x:v>0.45</x:v>
      </x:c>
      <x:c r="J16" s="48" t="n">
        <x:v>0.4</x:v>
      </x:c>
      <x:c r="K16" s="48" t="str">
        <x:v>Yes</x:v>
      </x:c>
      <x:c r="L16" s="48" t="str">
        <x:v>OCR</x:v>
      </x:c>
    </x:row>
    <x:row r="17">
      <x:c r="A17" s="48" t="str">
        <x:v>SILVER-0016</x:v>
      </x:c>
      <x:c r="B17" s="48" t="str">
        <x:v>SILVER</x:v>
      </x:c>
      <x:c r="C17" s="48" t="str">
        <x:v>Indonesian</x:v>
      </x:c>
      <x:c r="D17" s="48" t="n">
        <x:v>19</x:v>
      </x:c>
      <x:c r="E17" s="48" t="str"/>
      <x:c r="F17" s="48" t="str">
        <x:v>Me A MK ja or Berak</x:v>
      </x:c>
      <x:c r="G17" s="48" t="str">
        <x:v>Obligation</x:v>
      </x:c>
      <x:c r="H17" s="48" t="str">
        <x:v>Shared</x:v>
      </x:c>
      <x:c r="I17" s="48" t="n">
        <x:v>0.45</x:v>
      </x:c>
      <x:c r="J17" s="48" t="n">
        <x:v>0.4</x:v>
      </x:c>
      <x:c r="K17" s="48" t="str">
        <x:v>Yes</x:v>
      </x:c>
      <x:c r="L17" s="48" t="str">
        <x:v>OCR</x:v>
      </x:c>
    </x:row>
    <x:row r="18">
      <x:c r="A18" s="48" t="str">
        <x:v>SILVER-0017</x:v>
      </x:c>
      <x:c r="B18" s="48" t="str">
        <x:v>SILVER</x:v>
      </x:c>
      <x:c r="C18" s="48" t="str">
        <x:v>Indonesian</x:v>
      </x:c>
      <x:c r="D18" s="48" t="n">
        <x:v>19</x:v>
      </x:c>
      <x:c r="E18" s="48" t="str"/>
      <x:c r="F18" s="48" t="str">
        <x:v>1128 “PenoniPenggnn aa been PngaraSa sakn-asan Ig ngk Gam Saman 32 Pon Penyaji 1120 MATBNUKNgHANwOeNAmKBKenLeTN mang 11210 “TO tai Float nas ds tam Coat bri naa Mean arnn Tang Pengin, NI.</x:v>
      </x:c>
      <x:c r="G18" s="48" t="str">
        <x:v>Obligation</x:v>
      </x:c>
      <x:c r="H18" s="48" t="str">
        <x:v>Shared</x:v>
      </x:c>
      <x:c r="I18" s="48" t="n">
        <x:v>0.45</x:v>
      </x:c>
      <x:c r="J18" s="48" t="n">
        <x:v>0.4</x:v>
      </x:c>
      <x:c r="K18" s="48" t="str">
        <x:v>Yes</x:v>
      </x:c>
      <x:c r="L18" s="48" t="str">
        <x:v>OCR</x:v>
      </x:c>
    </x:row>
    <x:row r="19">
      <x:c r="A19" s="48" t="str">
        <x:v>SILVER-0018</x:v>
      </x:c>
      <x:c r="B19" s="48" t="str">
        <x:v>SILVER</x:v>
      </x:c>
      <x:c r="C19" s="48" t="str">
        <x:v>Indonesian</x:v>
      </x:c>
      <x:c r="D19" s="48" t="n">
        <x:v>19</x:v>
      </x:c>
      <x:c r="E19" s="48" t="str"/>
      <x:c r="F19" s="48" t="str">
        <x:v>“Tngal Dia bei nga, 28 hi seba ara Wr 1122.</x:v>
      </x:c>
      <x:c r="G19" s="48" t="str">
        <x:v>Obligation</x:v>
      </x:c>
      <x:c r="H19" s="48" t="str">
        <x:v>Shared</x:v>
      </x:c>
      <x:c r="I19" s="48" t="n">
        <x:v>0.45</x:v>
      </x:c>
      <x:c r="J19" s="48" t="n">
        <x:v>0.4</x:v>
      </x:c>
      <x:c r="K19" s="48" t="str">
        <x:v>Yes</x:v>
      </x:c>
      <x:c r="L19" s="48" t="str">
        <x:v>OCR</x:v>
      </x:c>
    </x:row>
    <x:row r="20">
      <x:c r="A20" s="48" t="str">
        <x:v>SILVER-0019</x:v>
      </x:c>
      <x:c r="B20" s="48" t="str">
        <x:v>SILVER</x:v>
      </x:c>
      <x:c r="C20" s="48" t="str">
        <x:v>Indonesian</x:v>
      </x:c>
      <x:c r="D20" s="48" t="n">
        <x:v>19</x:v>
      </x:c>
      <x:c r="E20" s="48" t="str"/>
      <x:c r="F20" s="48" t="str">
        <x:v>“nga Mi Plat ro yr Guan tren 2029 Mak Peyaa btKeti Tak menua Psp mi</x:v>
      </x:c>
      <x:c r="G20" s="48" t="str">
        <x:v>Obligation</x:v>
      </x:c>
      <x:c r="H20" s="48" t="str">
        <x:v>Shared</x:v>
      </x:c>
      <x:c r="I20" s="48" t="n">
        <x:v>0.45</x:v>
      </x:c>
      <x:c r="J20" s="48" t="n">
        <x:v>0.4</x:v>
      </x:c>
      <x:c r="K20" s="48" t="str">
        <x:v>Yes</x:v>
      </x:c>
      <x:c r="L20" s="48" t="str">
        <x:v>OCR</x:v>
      </x:c>
    </x:row>
    <x:row r="21">
      <x:c r="A21" s="48" t="str">
        <x:v>SILVER-0020</x:v>
      </x:c>
      <x:c r="B21" s="48" t="str">
        <x:v>SILVER</x:v>
      </x:c>
      <x:c r="C21" s="48" t="str">
        <x:v>Indonesian</x:v>
      </x:c>
      <x:c r="D21" s="48" t="n">
        <x:v>19</x:v>
      </x:c>
      <x:c r="E21" s="48" t="str"/>
      <x:c r="F21" s="48" t="str">
        <x:v>Penamaan arang at opa Pan</x:v>
      </x:c>
      <x:c r="G21" s="48" t="str">
        <x:v>Obligation</x:v>
      </x:c>
      <x:c r="H21" s="48" t="str">
        <x:v>Shared</x:v>
      </x:c>
      <x:c r="I21" s="48" t="n">
        <x:v>0.45</x:v>
      </x:c>
      <x:c r="J21" s="48" t="n">
        <x:v>0.4</x:v>
      </x:c>
      <x:c r="K21" s="48" t="str">
        <x:v>Yes</x:v>
      </x:c>
      <x:c r="L21" s="48" t="str">
        <x:v>OCR</x:v>
      </x:c>
    </x:row>
    <x:row r="22">
      <x:c r="A22" s="48" t="str">
        <x:v>SILVER-0021</x:v>
      </x:c>
      <x:c r="B22" s="48" t="str">
        <x:v>SILVER</x:v>
      </x:c>
      <x:c r="C22" s="48" t="str">
        <x:v>Indonesian</x:v>
      </x:c>
      <x:c r="D22" s="48" t="n">
        <x:v>19</x:v>
      </x:c>
      <x:c r="E22" s="48" t="str"/>
      <x:c r="F22" s="48" t="str">
        <x:v>I134 “Pungdan pada Air Poor brt ren yg Guan</x:v>
      </x:c>
      <x:c r="G22" s="48" t="str">
        <x:v>Obligation</x:v>
      </x:c>
      <x:c r="H22" s="48" t="str">
        <x:v>Shared</x:v>
      </x:c>
      <x:c r="I22" s="48" t="n">
        <x:v>0.45</x:v>
      </x:c>
      <x:c r="J22" s="48" t="n">
        <x:v>0.4</x:v>
      </x:c>
      <x:c r="K22" s="48" t="str">
        <x:v>Yes</x:v>
      </x:c>
      <x:c r="L22" s="48" t="str">
        <x:v>OCR</x:v>
      </x:c>
    </x:row>
    <x:row r="23">
      <x:c r="A23" s="48" t="str">
        <x:v>SILVER-0022</x:v>
      </x:c>
      <x:c r="B23" s="48" t="str">
        <x:v>SILVER</x:v>
      </x:c>
      <x:c r="C23" s="48" t="str">
        <x:v>Indonesian</x:v>
      </x:c>
      <x:c r="D23" s="48" t="n">
        <x:v>19</x:v>
      </x:c>
      <x:c r="E23" s="48" t="str"/>
      <x:c r="F23" s="48" t="str">
        <x:v>Wan rbu ag Op Sana ot Pr Gee</x:v>
      </x:c>
      <x:c r="G23" s="48" t="str">
        <x:v>Obligation</x:v>
      </x:c>
      <x:c r="H23" s="48" t="str">
        <x:v>Shared</x:v>
      </x:c>
      <x:c r="I23" s="48" t="n">
        <x:v>0.45</x:v>
      </x:c>
      <x:c r="J23" s="48" t="n">
        <x:v>0.4</x:v>
      </x:c>
      <x:c r="K23" s="48" t="str">
        <x:v>Yes</x:v>
      </x:c>
      <x:c r="L23" s="48" t="str">
        <x:v>OCR</x:v>
      </x:c>
    </x:row>
    <x:row r="24">
      <x:c r="A24" s="48" t="str">
        <x:v>SILVER-0023</x:v>
      </x:c>
      <x:c r="B24" s="48" t="str">
        <x:v>SILVER</x:v>
      </x:c>
      <x:c r="C24" s="48" t="str">
        <x:v>Indonesian</x:v>
      </x:c>
      <x:c r="D24" s="48" t="n">
        <x:v>19</x:v>
      </x:c>
      <x:c r="E24" s="48" t="str"/>
      <x:c r="F24" s="48" t="str">
        <x:v>Sega Si Ao, an pro dncarman roman kan 9</x:v>
      </x:c>
      <x:c r="G24" s="48" t="str">
        <x:v>Obligation</x:v>
      </x:c>
      <x:c r="H24" s="48" t="str">
        <x:v>Shared</x:v>
      </x:c>
      <x:c r="I24" s="48" t="n">
        <x:v>0.45</x:v>
      </x:c>
      <x:c r="J24" s="48" t="n">
        <x:v>0.4</x:v>
      </x:c>
      <x:c r="K24" s="48" t="str">
        <x:v>Yes</x:v>
      </x:c>
      <x:c r="L24" s="48" t="str">
        <x:v>OCR</x:v>
      </x:c>
    </x:row>
    <x:row r="25">
      <x:c r="A25" s="48" t="str">
        <x:v>SILVER-0024</x:v>
      </x:c>
      <x:c r="B25" s="48" t="str">
        <x:v>SILVER</x:v>
      </x:c>
      <x:c r="C25" s="48" t="str">
        <x:v>Indonesian</x:v>
      </x:c>
      <x:c r="D25" s="48" t="n">
        <x:v>19</x:v>
      </x:c>
      <x:c r="E25" s="48" t="str"/>
      <x:c r="F25" s="48" t="str">
        <x:v>Dota ga Ae ran Dea en Pan</x:v>
      </x:c>
      <x:c r="G25" s="48" t="str">
        <x:v>Obligation</x:v>
      </x:c>
      <x:c r="H25" s="48" t="str">
        <x:v>Shared</x:v>
      </x:c>
      <x:c r="I25" s="48" t="n">
        <x:v>0.45</x:v>
      </x:c>
      <x:c r="J25" s="48" t="n">
        <x:v>0.4</x:v>
      </x:c>
      <x:c r="K25" s="48" t="str">
        <x:v>Yes</x:v>
      </x:c>
      <x:c r="L25" s="48" t="str">
        <x:v>OCR</x:v>
      </x:c>
    </x:row>
    <x:row r="26">
      <x:c r="A26" s="48" t="str">
        <x:v>SILVER-0025</x:v>
      </x:c>
      <x:c r="B26" s="48" t="str">
        <x:v>SILVER</x:v>
      </x:c>
      <x:c r="C26" s="48" t="str">
        <x:v>Indonesian</x:v>
      </x:c>
      <x:c r="D26" s="48" t="n">
        <x:v>19</x:v>
      </x:c>
      <x:c r="E26" s="48" t="str"/>
      <x:c r="F26" s="48" t="str">
        <x:v>ata le Geram Mp garam tan TO Sma ap Pa</x:v>
      </x:c>
      <x:c r="G26" s="48" t="str">
        <x:v>Obligation</x:v>
      </x:c>
      <x:c r="H26" s="48" t="str">
        <x:v>Shared</x:v>
      </x:c>
      <x:c r="I26" s="48" t="n">
        <x:v>0.45</x:v>
      </x:c>
      <x:c r="J26" s="48" t="n">
        <x:v>0.4</x:v>
      </x:c>
      <x:c r="K26" s="48" t="str">
        <x:v>Yes</x:v>
      </x:c>
      <x:c r="L26" s="48" t="str">
        <x:v>OCR</x:v>
      </x:c>
    </x:row>
    <x:row r="27">
      <x:c r="A27" s="48" t="str">
        <x:v>SILVER-0026</x:v>
      </x:c>
      <x:c r="B27" s="48" t="str">
        <x:v>SILVER</x:v>
      </x:c>
      <x:c r="C27" s="48" t="str">
        <x:v>Indonesian</x:v>
      </x:c>
      <x:c r="D27" s="48" t="n">
        <x:v>21</x:v>
      </x:c>
      <x:c r="E27" s="48" t="str"/>
      <x:c r="F27" s="48" t="str">
        <x:v>1148. magma tewttaganyrgSkamosan res nk tan at (eka Dat Kan eren bedaan KAA "4 Ya Kat</x:v>
      </x:c>
      <x:c r="G27" s="48" t="str">
        <x:v>Obligation</x:v>
      </x:c>
      <x:c r="H27" s="48" t="str">
        <x:v>Shared</x:v>
      </x:c>
      <x:c r="I27" s="48" t="n">
        <x:v>0.45</x:v>
      </x:c>
      <x:c r="J27" s="48" t="n">
        <x:v>0.4</x:v>
      </x:c>
      <x:c r="K27" s="48" t="str">
        <x:v>Yes</x:v>
      </x:c>
      <x:c r="L27" s="48" t="str">
        <x:v>OCR</x:v>
      </x:c>
    </x:row>
    <x:row r="28">
      <x:c r="A28" s="48" t="str">
        <x:v>SILVER-0027</x:v>
      </x:c>
      <x:c r="B28" s="48" t="str">
        <x:v>SILVER</x:v>
      </x:c>
      <x:c r="C28" s="48" t="str">
        <x:v>Indonesian</x:v>
      </x:c>
      <x:c r="D28" s="48" t="n">
        <x:v>21</x:v>
      </x:c>
      <x:c r="E28" s="48" t="str"/>
      <x:c r="F28" s="48" t="str">
        <x:v>Pekan din IAI “Peran Kanker De SAK pet md era aa MEDAN Agan dampesurananpayakn Pangan (ingatan mu Mn Pan KK trem</x:v>
      </x:c>
      <x:c r="G28" s="48" t="str">
        <x:v>Obligation</x:v>
      </x:c>
      <x:c r="H28" s="48" t="str">
        <x:v>Shared</x:v>
      </x:c>
      <x:c r="I28" s="48" t="n">
        <x:v>0.45</x:v>
      </x:c>
      <x:c r="J28" s="48" t="n">
        <x:v>0.4</x:v>
      </x:c>
      <x:c r="K28" s="48" t="str">
        <x:v>Yes</x:v>
      </x:c>
      <x:c r="L28" s="48" t="str">
        <x:v>OCR</x:v>
      </x:c>
    </x:row>
    <x:row r="29">
      <x:c r="A29" s="48" t="str">
        <x:v>SILVER-0028</x:v>
      </x:c>
      <x:c r="B29" s="48" t="str">
        <x:v>SILVER</x:v>
      </x:c>
      <x:c r="C29" s="48" t="str">
        <x:v>Indonesian</x:v>
      </x:c>
      <x:c r="D29" s="48" t="n">
        <x:v>21</x:v>
      </x:c>
      <x:c r="E29" s="48" t="str"/>
      <x:c r="F29" s="48" t="str">
        <x:v>Pan Sera Peka Pr Ja Bs Pa Maa</x:v>
      </x:c>
      <x:c r="G29" s="48" t="str">
        <x:v>Obligation</x:v>
      </x:c>
      <x:c r="H29" s="48" t="str">
        <x:v>Shared</x:v>
      </x:c>
      <x:c r="I29" s="48" t="n">
        <x:v>0.45</x:v>
      </x:c>
      <x:c r="J29" s="48" t="n">
        <x:v>0.4</x:v>
      </x:c>
      <x:c r="K29" s="48" t="str">
        <x:v>Yes</x:v>
      </x:c>
      <x:c r="L29" s="48" t="str">
        <x:v>OCR</x:v>
      </x:c>
    </x:row>
    <x:row r="30">
      <x:c r="A30" s="48" t="str">
        <x:v>SILVER-0029</x:v>
      </x:c>
      <x:c r="B30" s="48" t="str">
        <x:v>SILVER</x:v>
      </x:c>
      <x:c r="C30" s="48" t="str">
        <x:v>Indonesian</x:v>
      </x:c>
      <x:c r="D30" s="48" t="n">
        <x:v>21</x:v>
      </x:c>
      <x:c r="E30" s="48" t="str"/>
      <x:c r="F30" s="48" t="str">
        <x:v>Mementegunegandagan yu mentenhanmesan</x:v>
      </x:c>
      <x:c r="G30" s="48" t="str">
        <x:v>Obligation</x:v>
      </x:c>
      <x:c r="H30" s="48" t="str">
        <x:v>Shared</x:v>
      </x:c>
      <x:c r="I30" s="48" t="n">
        <x:v>0.45</x:v>
      </x:c>
      <x:c r="J30" s="48" t="n">
        <x:v>0.4</x:v>
      </x:c>
      <x:c r="K30" s="48" t="str">
        <x:v>Yes</x:v>
      </x:c>
      <x:c r="L30" s="48" t="str">
        <x:v>OCR</x:v>
      </x:c>
    </x:row>
    <x:row r="31">
      <x:c r="A31" s="48" t="str">
        <x:v>SILVER-0030</x:v>
      </x:c>
      <x:c r="B31" s="48" t="str">
        <x:v>SILVER</x:v>
      </x:c>
      <x:c r="C31" s="48" t="str">
        <x:v>Indonesian</x:v>
      </x:c>
      <x:c r="D31" s="48" t="n">
        <x:v>21</x:v>
      </x:c>
      <x:c r="E31" s="48" t="str"/>
      <x:c r="F31" s="48" t="str">
        <x:v>(ee da aan 2152.</x:v>
      </x:c>
      <x:c r="G31" s="48" t="str">
        <x:v>Obligation</x:v>
      </x:c>
      <x:c r="H31" s="48" t="str">
        <x:v>Shared</x:v>
      </x:c>
      <x:c r="I31" s="48" t="n">
        <x:v>0.45</x:v>
      </x:c>
      <x:c r="J31" s="48" t="n">
        <x:v>0.4</x:v>
      </x:c>
      <x:c r="K31" s="48" t="str">
        <x:v>Yes</x:v>
      </x:c>
      <x:c r="L31" s="48" t="str">
        <x:v>OCR</x:v>
      </x:c>
    </x:row>
    <x:row r="32">
      <x:c r="A32" s="48" t="str">
        <x:v>SILVER-0031</x:v>
      </x:c>
      <x:c r="B32" s="48" t="str">
        <x:v>SILVER</x:v>
      </x:c>
      <x:c r="C32" s="48" t="str">
        <x:v>Indonesian</x:v>
      </x:c>
      <x:c r="D32" s="48" t="n">
        <x:v>21</x:v>
      </x:c>
      <x:c r="E32" s="48" t="str"/>
      <x:c r="F32" s="48" t="str">
        <x:v>"wang dateng ewe Kr aan Kn Mn ci IMA.</x:v>
      </x:c>
      <x:c r="G32" s="48" t="str">
        <x:v>Obligation</x:v>
      </x:c>
      <x:c r="H32" s="48" t="str">
        <x:v>Shared</x:v>
      </x:c>
      <x:c r="I32" s="48" t="n">
        <x:v>0.45</x:v>
      </x:c>
      <x:c r="J32" s="48" t="n">
        <x:v>0.4</x:v>
      </x:c>
      <x:c r="K32" s="48" t="str">
        <x:v>Yes</x:v>
      </x:c>
      <x:c r="L32" s="48" t="str">
        <x:v>OCR</x:v>
      </x:c>
    </x:row>
    <x:row r="33">
      <x:c r="A33" s="48" t="str">
        <x:v>SILVER-0032</x:v>
      </x:c>
      <x:c r="B33" s="48" t="str">
        <x:v>SILVER</x:v>
      </x:c>
      <x:c r="C33" s="48" t="str">
        <x:v>Indonesian</x:v>
      </x:c>
      <x:c r="D33" s="48" t="n">
        <x:v>21</x:v>
      </x:c>
      <x:c r="E33" s="48" t="str"/>
      <x:c r="F33" s="48" t="str">
        <x:v>“Ban In gn macan ane ea bts Mr yg DIA “Paetan Permen mt pan pemaran pra den Gan 1120.</x:v>
      </x:c>
      <x:c r="G33" s="48" t="str">
        <x:v>Obligation</x:v>
      </x:c>
      <x:c r="H33" s="48" t="str">
        <x:v>Shared</x:v>
      </x:c>
      <x:c r="I33" s="48" t="n">
        <x:v>0.45</x:v>
      </x:c>
      <x:c r="J33" s="48" t="n">
        <x:v>0.4</x:v>
      </x:c>
      <x:c r="K33" s="48" t="str">
        <x:v>Yes</x:v>
      </x:c>
      <x:c r="L33" s="48" t="str">
        <x:v>OCR</x:v>
      </x:c>
    </x:row>
    <x:row r="34">
      <x:c r="A34" s="48" t="str">
        <x:v>SILVER-0033</x:v>
      </x:c>
      <x:c r="B34" s="48" t="str">
        <x:v>SILVER</x:v>
      </x:c>
      <x:c r="C34" s="48" t="str">
        <x:v>Indonesian</x:v>
      </x:c>
      <x:c r="D34" s="48" t="n">
        <x:v>21</x:v>
      </x:c>
      <x:c r="E34" s="48" t="str"/>
      <x:c r="F34" s="48" t="str">
        <x:v>“Magarbennayngan kun er denda Penpen 1987 “Pekan temenan nu canoseanseraentoai asep bum Peujan Peran an Ptntan eren ai 2983 “OotumanKoraktor bo gernrOn rana Gn gore 1102. gen Demirepslur benang Lara ba near 1189.</x:v>
      </x:c>
      <x:c r="G34" s="48" t="str">
        <x:v>Obligation</x:v>
      </x:c>
      <x:c r="H34" s="48" t="str">
        <x:v>Shared</x:v>
      </x:c>
      <x:c r="I34" s="48" t="n">
        <x:v>0.45</x:v>
      </x:c>
      <x:c r="J34" s="48" t="n">
        <x:v>0.4</x:v>
      </x:c>
      <x:c r="K34" s="48" t="str">
        <x:v>Yes</x:v>
      </x:c>
      <x:c r="L34" s="48" t="str">
        <x:v>OCR</x:v>
      </x:c>
    </x:row>
    <x:row r="35">
      <x:c r="A35" s="48" t="str">
        <x:v>SILVER-0034</x:v>
      </x:c>
      <x:c r="B35" s="48" t="str">
        <x:v>SILVER</x:v>
      </x:c>
      <x:c r="C35" s="48" t="str">
        <x:v>Indonesian</x:v>
      </x:c>
      <x:c r="D35" s="48" t="n">
        <x:v>21</x:v>
      </x:c>
      <x:c r="E35" s="48" t="str"/>
      <x:c r="F35" s="48" t="str">
        <x:v>“pena Penggun at poktin mann rn aa</x:v>
      </x:c>
      <x:c r="G35" s="48" t="str">
        <x:v>Obligation</x:v>
      </x:c>
      <x:c r="H35" s="48" t="str">
        <x:v>Shared</x:v>
      </x:c>
      <x:c r="I35" s="48" t="n">
        <x:v>0.45</x:v>
      </x:c>
      <x:c r="J35" s="48" t="n">
        <x:v>0.4</x:v>
      </x:c>
      <x:c r="K35" s="48" t="str">
        <x:v>Yes</x:v>
      </x:c>
      <x:c r="L35" s="48" t="str">
        <x:v>OCR</x:v>
      </x:c>
    </x:row>
    <x:row r="36">
      <x:c r="A36" s="48" t="str">
        <x:v>SILVER-0035</x:v>
      </x:c>
      <x:c r="B36" s="48" t="str">
        <x:v>SILVER</x:v>
      </x:c>
      <x:c r="C36" s="48" t="str">
        <x:v>Indonesian</x:v>
      </x:c>
      <x:c r="D36" s="48" t="n">
        <x:v>22</x:v>
      </x:c>
      <x:c r="E36" s="48" t="str"/>
      <x:c r="F36" s="48" t="str">
        <x:v>IMA Manan Ktu Bks kn aan Yan Kp Ko</x:v>
      </x:c>
      <x:c r="G36" s="48" t="str">
        <x:v>Obligation</x:v>
      </x:c>
      <x:c r="H36" s="48" t="str">
        <x:v>Shared</x:v>
      </x:c>
      <x:c r="I36" s="48" t="n">
        <x:v>0.45</x:v>
      </x:c>
      <x:c r="J36" s="48" t="n">
        <x:v>0.4</x:v>
      </x:c>
      <x:c r="K36" s="48" t="str">
        <x:v>Yes</x:v>
      </x:c>
      <x:c r="L36" s="48" t="str">
        <x:v>OCR</x:v>
      </x:c>
    </x:row>
    <x:row r="37">
      <x:c r="A37" s="48" t="str">
        <x:v>SILVER-0036</x:v>
      </x:c>
      <x:c r="B37" s="48" t="str">
        <x:v>SILVER</x:v>
      </x:c>
      <x:c r="C37" s="48" t="str">
        <x:v>Indonesian</x:v>
      </x:c>
      <x:c r="D37" s="48" t="n">
        <x:v>22</x:v>
      </x:c>
      <x:c r="E37" s="48" t="str"/>
      <x:c r="F37" s="48" t="str">
        <x:v>1188 Mau eri 26 ena pnrergan Noer Ji regu.</x:v>
      </x:c>
      <x:c r="G37" s="48" t="str">
        <x:v>Obligation</x:v>
      </x:c>
      <x:c r="H37" s="48" t="str">
        <x:v>Shared</x:v>
      </x:c>
      <x:c r="I37" s="48" t="n">
        <x:v>0.45</x:v>
      </x:c>
      <x:c r="J37" s="48" t="n">
        <x:v>0.4</x:v>
      </x:c>
      <x:c r="K37" s="48" t="str">
        <x:v>Yes</x:v>
      </x:c>
      <x:c r="L37" s="48" t="str">
        <x:v>OCR</x:v>
      </x:c>
    </x:row>
    <x:row r="38">
      <x:c r="A38" s="48" t="str">
        <x:v>SILVER-0037</x:v>
      </x:c>
      <x:c r="B38" s="48" t="str">
        <x:v>SILVER</x:v>
      </x:c>
      <x:c r="C38" s="48" t="str">
        <x:v>Indonesian</x:v>
      </x:c>
      <x:c r="D38" s="48" t="n">
        <x:v>22</x:v>
      </x:c>
      <x:c r="E38" s="48" t="str"/>
      <x:c r="F38" s="48" t="str">
        <x:v>PE Ser an man an te</x:v>
      </x:c>
      <x:c r="G38" s="48" t="str">
        <x:v>Obligation</x:v>
      </x:c>
      <x:c r="H38" s="48" t="str">
        <x:v>Shared</x:v>
      </x:c>
      <x:c r="I38" s="48" t="n">
        <x:v>0.45</x:v>
      </x:c>
      <x:c r="J38" s="48" t="n">
        <x:v>0.4</x:v>
      </x:c>
      <x:c r="K38" s="48" t="str">
        <x:v>Yes</x:v>
      </x:c>
      <x:c r="L38" s="48" t="str">
        <x:v>OCR</x:v>
      </x:c>
    </x:row>
    <x:row r="39">
      <x:c r="A39" s="48" t="str">
        <x:v>SILVER-0038</x:v>
      </x:c>
      <x:c r="B39" s="48" t="str">
        <x:v>SILVER</x:v>
      </x:c>
      <x:c r="C39" s="48" t="str">
        <x:v>Indonesian</x:v>
      </x:c>
      <x:c r="D39" s="48" t="n">
        <x:v>22</x:v>
      </x:c>
      <x:c r="E39" s="48" t="str"/>
      <x:c r="F39" s="48" t="str">
        <x:v>D1B0 “damnan Pass? brt nan bnantan SK A2 ema fesarari DA87 "uga bewturcala ma engan emaran ancaman aa aa ra Dn Gn ar dan ar Ga ha edan dark nga menang 2160.</x:v>
      </x:c>
      <x:c r="G39" s="48" t="str">
        <x:v>Obligation</x:v>
      </x:c>
      <x:c r="H39" s="48" t="str">
        <x:v>Shared</x:v>
      </x:c>
      <x:c r="I39" s="48" t="n">
        <x:v>0.45</x:v>
      </x:c>
      <x:c r="J39" s="48" t="n">
        <x:v>0.4</x:v>
      </x:c>
      <x:c r="K39" s="48" t="str">
        <x:v>Yes</x:v>
      </x:c>
      <x:c r="L39" s="48" t="str">
        <x:v>OCR</x:v>
      </x:c>
    </x:row>
    <x:row r="40">
      <x:c r="A40" s="48" t="str">
        <x:v>SILVER-0039</x:v>
      </x:c>
      <x:c r="B40" s="48" t="str">
        <x:v>SILVER</x:v>
      </x:c>
      <x:c r="C40" s="48" t="str">
        <x:v>Indonesian</x:v>
      </x:c>
      <x:c r="D40" s="48" t="n">
        <x:v>22</x:v>
      </x:c>
      <x:c r="E40" s="48" t="str"/>
      <x:c r="F40" s="48" t="str">
        <x:v>“Mat tri son pstaan tetap Karan Pergara sun</x:v>
      </x:c>
      <x:c r="G40" s="48" t="str">
        <x:v>Obligation</x:v>
      </x:c>
      <x:c r="H40" s="48" t="str">
        <x:v>Shared</x:v>
      </x:c>
      <x:c r="I40" s="48" t="n">
        <x:v>0.45</x:v>
      </x:c>
      <x:c r="J40" s="48" t="n">
        <x:v>0.4</x:v>
      </x:c>
      <x:c r="K40" s="48" t="str">
        <x:v>Yes</x:v>
      </x:c>
      <x:c r="L40" s="48" t="str">
        <x:v>OCR</x:v>
      </x:c>
    </x:row>
    <x:row r="41">
      <x:c r="A41" s="48" t="str">
        <x:v>SILVER-0040</x:v>
      </x:c>
      <x:c r="B41" s="48" t="str">
        <x:v>SILVER</x:v>
      </x:c>
      <x:c r="C41" s="48" t="str">
        <x:v>Indonesian</x:v>
      </x:c>
      <x:c r="D41" s="48" t="n">
        <x:v>22</x:v>
      </x:c>
      <x:c r="E41" s="48" t="str"/>
      <x:c r="F41" s="48" t="str">
        <x:v>Waka PG Opa dn Gn sa KP</x:v>
      </x:c>
      <x:c r="G41" s="48" t="str">
        <x:v>Obligation</x:v>
      </x:c>
      <x:c r="H41" s="48" t="str">
        <x:v>Shared</x:v>
      </x:c>
      <x:c r="I41" s="48" t="n">
        <x:v>0.45</x:v>
      </x:c>
      <x:c r="J41" s="48" t="n">
        <x:v>0.4</x:v>
      </x:c>
      <x:c r="K41" s="48" t="str">
        <x:v>Yes</x:v>
      </x:c>
      <x:c r="L41" s="48" t="str">
        <x:v>OCR</x:v>
      </x:c>
    </x:row>
    <x:row r="42">
      <x:c r="A42" s="48" t="str">
        <x:v>SILVER-0041</x:v>
      </x:c>
      <x:c r="B42" s="48" t="str">
        <x:v>SILVER</x:v>
      </x:c>
      <x:c r="C42" s="48" t="str">
        <x:v>Indonesian</x:v>
      </x:c>
      <x:c r="D42" s="48" t="n">
        <x:v>22</x:v>
      </x:c>
      <x:c r="E42" s="48" t="str"/>
      <x:c r="F42" s="48" t="str">
        <x:v>Sean (an Payana</x:v>
      </x:c>
      <x:c r="G42" s="48" t="str">
        <x:v>Obligation</x:v>
      </x:c>
      <x:c r="H42" s="48" t="str">
        <x:v>Shared</x:v>
      </x:c>
      <x:c r="I42" s="48" t="n">
        <x:v>0.45</x:v>
      </x:c>
      <x:c r="J42" s="48" t="n">
        <x:v>0.4</x:v>
      </x:c>
      <x:c r="K42" s="48" t="str">
        <x:v>Yes</x:v>
      </x:c>
      <x:c r="L42" s="48" t="str">
        <x:v>OCR</x:v>
      </x:c>
    </x:row>
    <x:row r="43">
      <x:c r="A43" s="48" t="str">
        <x:v>SILVER-0042</x:v>
      </x:c>
      <x:c r="B43" s="48" t="str">
        <x:v>SILVER</x:v>
      </x:c>
      <x:c r="C43" s="48" t="str">
        <x:v>Indonesian</x:v>
      </x:c>
      <x:c r="D43" s="48" t="n">
        <x:v>22</x:v>
      </x:c>
      <x:c r="E43" s="48" t="str"/>
      <x:c r="F43" s="48" t="str">
        <x:v>IN MMR Mean LG LA Da</x:v>
      </x:c>
      <x:c r="G43" s="48" t="str">
        <x:v>Obligation</x:v>
      </x:c>
      <x:c r="H43" s="48" t="str">
        <x:v>Shared</x:v>
      </x:c>
      <x:c r="I43" s="48" t="n">
        <x:v>0.45</x:v>
      </x:c>
      <x:c r="J43" s="48" t="n">
        <x:v>0.4</x:v>
      </x:c>
      <x:c r="K43" s="48" t="str">
        <x:v>Yes</x:v>
      </x:c>
      <x:c r="L43" s="48" t="str">
        <x:v>OCR</x:v>
      </x:c>
    </x:row>
    <x:row r="44">
      <x:c r="A44" s="48" t="str">
        <x:v>SILVER-0043</x:v>
      </x:c>
      <x:c r="B44" s="48" t="str">
        <x:v>SILVER</x:v>
      </x:c>
      <x:c r="C44" s="48" t="str">
        <x:v>Indonesian</x:v>
      </x:c>
      <x:c r="D44" s="48" t="n">
        <x:v>22</x:v>
      </x:c>
      <x:c r="E44" s="48" t="str"/>
      <x:c r="F44" s="48" t="str">
        <x:v>(anang mean tea Bt LA pr Gi aa yng</x:v>
      </x:c>
      <x:c r="G44" s="48" t="str">
        <x:v>Obligation</x:v>
      </x:c>
      <x:c r="H44" s="48" t="str">
        <x:v>Shared</x:v>
      </x:c>
      <x:c r="I44" s="48" t="n">
        <x:v>0.45</x:v>
      </x:c>
      <x:c r="J44" s="48" t="n">
        <x:v>0.4</x:v>
      </x:c>
      <x:c r="K44" s="48" t="str">
        <x:v>Yes</x:v>
      </x:c>
      <x:c r="L44" s="48" t="str">
        <x:v>OCR</x:v>
      </x:c>
    </x:row>
    <x:row r="45">
      <x:c r="A45" s="48" t="str">
        <x:v>SILVER-0044</x:v>
      </x:c>
      <x:c r="B45" s="48" t="str">
        <x:v>SILVER</x:v>
      </x:c>
      <x:c r="C45" s="48" t="str">
        <x:v>Indonesian</x:v>
      </x:c>
      <x:c r="D45" s="48" t="n">
        <x:v>22</x:v>
      </x:c>
      <x:c r="E45" s="48" t="str"/>
      <x:c r="F45" s="48" t="str">
        <x:v>Senam na an pa</x:v>
      </x:c>
      <x:c r="G45" s="48" t="str">
        <x:v>Obligation</x:v>
      </x:c>
      <x:c r="H45" s="48" t="str">
        <x:v>Shared</x:v>
      </x:c>
      <x:c r="I45" s="48" t="n">
        <x:v>0.45</x:v>
      </x:c>
      <x:c r="J45" s="48" t="n">
        <x:v>0.4</x:v>
      </x:c>
      <x:c r="K45" s="48" t="str">
        <x:v>Yes</x:v>
      </x:c>
      <x:c r="L45" s="48" t="str">
        <x:v>OCR</x:v>
      </x:c>
    </x:row>
    <x:row r="46">
      <x:c r="A46" s="48" t="str">
        <x:v>SILVER-0045</x:v>
      </x:c>
      <x:c r="B46" s="48" t="str">
        <x:v>SILVER</x:v>
      </x:c>
      <x:c r="C46" s="48" t="str">
        <x:v>Indonesian</x:v>
      </x:c>
      <x:c r="D46" s="48" t="n">
        <x:v>22</x:v>
      </x:c>
      <x:c r="E46" s="48" t="str"/>
      <x:c r="F46" s="48" t="str">
        <x:v>an prg meramu ka Meng, dam mi Dena</x:v>
      </x:c>
      <x:c r="G46" s="48" t="str">
        <x:v>Obligation</x:v>
      </x:c>
      <x:c r="H46" s="48" t="str">
        <x:v>Shared</x:v>
      </x:c>
      <x:c r="I46" s="48" t="n">
        <x:v>0.45</x:v>
      </x:c>
      <x:c r="J46" s="48" t="n">
        <x:v>0.4</x:v>
      </x:c>
      <x:c r="K46" s="48" t="str">
        <x:v>Yes</x:v>
      </x:c>
      <x:c r="L46" s="48" t="str">
        <x:v>OCR</x:v>
      </x:c>
    </x:row>
    <x:row r="47">
      <x:c r="A47" s="48" t="str">
        <x:v>SILVER-0046</x:v>
      </x:c>
      <x:c r="B47" s="48" t="str">
        <x:v>SILVER</x:v>
      </x:c>
      <x:c r="C47" s="48" t="str">
        <x:v>Indonesian</x:v>
      </x:c>
      <x:c r="D47" s="48" t="n">
        <x:v>22</x:v>
      </x:c>
      <x:c r="E47" s="48" t="str"/>
      <x:c r="F47" s="48" t="str">
        <x:v>Memang naa anna</x:v>
      </x:c>
      <x:c r="G47" s="48" t="str">
        <x:v>Obligation</x:v>
      </x:c>
      <x:c r="H47" s="48" t="str">
        <x:v>Shared</x:v>
      </x:c>
      <x:c r="I47" s="48" t="n">
        <x:v>0.45</x:v>
      </x:c>
      <x:c r="J47" s="48" t="n">
        <x:v>0.4</x:v>
      </x:c>
      <x:c r="K47" s="48" t="str">
        <x:v>Yes</x:v>
      </x:c>
      <x:c r="L47" s="48" t="str">
        <x:v>OCR</x:v>
      </x:c>
    </x:row>
    <x:row r="48">
      <x:c r="A48" s="48" t="str">
        <x:v>SILVER-0047</x:v>
      </x:c>
      <x:c r="B48" s="48" t="str">
        <x:v>SILVER</x:v>
      </x:c>
      <x:c r="C48" s="48" t="str">
        <x:v>Indonesian</x:v>
      </x:c>
      <x:c r="D48" s="48" t="n">
        <x:v>22</x:v>
      </x:c>
      <x:c r="E48" s="48" t="str"/>
      <x:c r="F48" s="48" t="str">
        <x:v>ar An Ws Si Ka re tar cmn au</x:v>
      </x:c>
      <x:c r="G48" s="48" t="str">
        <x:v>Obligation</x:v>
      </x:c>
      <x:c r="H48" s="48" t="str">
        <x:v>Shared</x:v>
      </x:c>
      <x:c r="I48" s="48" t="n">
        <x:v>0.45</x:v>
      </x:c>
      <x:c r="J48" s="48" t="n">
        <x:v>0.4</x:v>
      </x:c>
      <x:c r="K48" s="48" t="str">
        <x:v>Yes</x:v>
      </x:c>
      <x:c r="L48" s="48" t="str">
        <x:v>OCR</x:v>
      </x:c>
    </x:row>
    <x:row r="49">
      <x:c r="A49" s="48" t="str">
        <x:v>SILVER-0048</x:v>
      </x:c>
      <x:c r="B49" s="48" t="str">
        <x:v>SILVER</x:v>
      </x:c>
      <x:c r="C49" s="48" t="str">
        <x:v>Indonesian</x:v>
      </x:c>
      <x:c r="D49" s="48" t="n">
        <x:v>22</x:v>
      </x:c>
      <x:c r="E49" s="48" t="str"/>
      <x:c r="F49" s="48" t="str">
        <x:v>Aan Sman aa Sara</x:v>
      </x:c>
      <x:c r="G49" s="48" t="str">
        <x:v>Obligation</x:v>
      </x:c>
      <x:c r="H49" s="48" t="str">
        <x:v>Shared</x:v>
      </x:c>
      <x:c r="I49" s="48" t="n">
        <x:v>0.45</x:v>
      </x:c>
      <x:c r="J49" s="48" t="n">
        <x:v>0.4</x:v>
      </x:c>
      <x:c r="K49" s="48" t="str">
        <x:v>Yes</x:v>
      </x:c>
      <x:c r="L49" s="48" t="str">
        <x:v>OCR</x:v>
      </x:c>
    </x:row>
    <x:row r="50">
      <x:c r="A50" s="48" t="str">
        <x:v>SILVER-0049</x:v>
      </x:c>
      <x:c r="B50" s="48" t="str">
        <x:v>SILVER</x:v>
      </x:c>
      <x:c r="C50" s="48" t="str">
        <x:v>Indonesian</x:v>
      </x:c>
      <x:c r="D50" s="48" t="n">
        <x:v>22</x:v>
      </x:c>
      <x:c r="E50" s="48" t="str"/>
      <x:c r="F50" s="48" t="str">
        <x:v>Aa BLANK era dr ea Pena</x:v>
      </x:c>
      <x:c r="G50" s="48" t="str">
        <x:v>Obligation</x:v>
      </x:c>
      <x:c r="H50" s="48" t="str">
        <x:v>Shared</x:v>
      </x:c>
      <x:c r="I50" s="48" t="n">
        <x:v>0.45</x:v>
      </x:c>
      <x:c r="J50" s="48" t="n">
        <x:v>0.4</x:v>
      </x:c>
      <x:c r="K50" s="48" t="str">
        <x:v>Yes</x:v>
      </x:c>
      <x:c r="L50" s="48" t="str">
        <x:v>OCR</x:v>
      </x:c>
    </x:row>
    <x:row r="51">
      <x:c r="A51" s="48" t="str">
        <x:v>SILVER-0050</x:v>
      </x:c>
      <x:c r="B51" s="48" t="str">
        <x:v>SILVER</x:v>
      </x:c>
      <x:c r="C51" s="48" t="str">
        <x:v>Indonesian</x:v>
      </x:c>
      <x:c r="D51" s="48" t="n">
        <x:v>22</x:v>
      </x:c>
      <x:c r="E51" s="48" t="str"/>
      <x:c r="F51" s="48" t="str">
        <x:v>Paksa Dompet Pi mera pertanian prana ema</x:v>
      </x:c>
      <x:c r="G51" s="48" t="str">
        <x:v>Obligation</x:v>
      </x:c>
      <x:c r="H51" s="48" t="str">
        <x:v>Shared</x:v>
      </x:c>
      <x:c r="I51" s="48" t="n">
        <x:v>0.45</x:v>
      </x:c>
      <x:c r="J51" s="48" t="n">
        <x:v>0.4</x:v>
      </x:c>
      <x:c r="K51" s="48" t="str">
        <x:v>Yes</x:v>
      </x:c>
      <x:c r="L51" s="48" t="str">
        <x:v>OCR</x:v>
      </x:c>
    </x:row>
    <x:row r="52">
      <x:c r="A52" s="48" t="str">
        <x:v>SILVER-0051</x:v>
      </x:c>
      <x:c r="B52" s="48" t="str">
        <x:v>SILVER</x:v>
      </x:c>
      <x:c r="C52" s="48" t="str">
        <x:v>Indonesian</x:v>
      </x:c>
      <x:c r="D52" s="48" t="n">
        <x:v>22</x:v>
      </x:c>
      <x:c r="E52" s="48" t="str"/>
      <x:c r="F52" s="48" t="str">
        <x:v>Sean pa Gn Bem AN Er Pa</x:v>
      </x:c>
      <x:c r="G52" s="48" t="str">
        <x:v>Obligation</x:v>
      </x:c>
      <x:c r="H52" s="48" t="str">
        <x:v>Shared</x:v>
      </x:c>
      <x:c r="I52" s="48" t="n">
        <x:v>0.45</x:v>
      </x:c>
      <x:c r="J52" s="48" t="n">
        <x:v>0.4</x:v>
      </x:c>
      <x:c r="K52" s="48" t="str">
        <x:v>Yes</x:v>
      </x:c>
      <x:c r="L52" s="48" t="str">
        <x:v>OCR</x:v>
      </x:c>
    </x:row>
    <x:row r="53">
      <x:c r="A53" s="48" t="str">
        <x:v>SILVER-0052</x:v>
      </x:c>
      <x:c r="B53" s="48" t="str">
        <x:v>SILVER</x:v>
      </x:c>
      <x:c r="C53" s="48" t="str">
        <x:v>Indonesian</x:v>
      </x:c>
      <x:c r="D53" s="48" t="n">
        <x:v>22</x:v>
      </x:c>
      <x:c r="E53" s="48" t="str"/>
      <x:c r="F53" s="48" t="str">
        <x:v>W BEMINANGUT NYAMAN Kemas</x:v>
      </x:c>
      <x:c r="G53" s="48" t="str">
        <x:v>Obligation</x:v>
      </x:c>
      <x:c r="H53" s="48" t="str">
        <x:v>Shared</x:v>
      </x:c>
      <x:c r="I53" s="48" t="n">
        <x:v>0.45</x:v>
      </x:c>
      <x:c r="J53" s="48" t="n">
        <x:v>0.4</x:v>
      </x:c>
      <x:c r="K53" s="48" t="str">
        <x:v>Yes</x:v>
      </x:c>
      <x:c r="L53" s="48" t="str">
        <x:v>OCR</x:v>
      </x:c>
    </x:row>
    <x:row r="54">
      <x:c r="A54" s="48" t="str">
        <x:v>SILVER-0053</x:v>
      </x:c>
      <x:c r="B54" s="48" t="str">
        <x:v>SILVER</x:v>
      </x:c>
      <x:c r="C54" s="48" t="str">
        <x:v>Indonesian</x:v>
      </x:c>
      <x:c r="D54" s="48" t="n">
        <x:v>22</x:v>
      </x:c>
      <x:c r="E54" s="48" t="str"/>
      <x:c r="F54" s="48" t="str">
        <x:v>(EM Sai Karakn TAM sn peran ane moga</x:v>
      </x:c>
      <x:c r="G54" s="48" t="str">
        <x:v>Obligation</x:v>
      </x:c>
      <x:c r="H54" s="48" t="str">
        <x:v>Shared</x:v>
      </x:c>
      <x:c r="I54" s="48" t="n">
        <x:v>0.45</x:v>
      </x:c>
      <x:c r="J54" s="48" t="n">
        <x:v>0.4</x:v>
      </x:c>
      <x:c r="K54" s="48" t="str">
        <x:v>Yes</x:v>
      </x:c>
      <x:c r="L54" s="48" t="str">
        <x:v>OCR</x:v>
      </x:c>
    </x:row>
    <x:row r="55">
      <x:c r="A55" s="48" t="str">
        <x:v>SILVER-0054</x:v>
      </x:c>
      <x:c r="B55" s="48" t="str">
        <x:v>SILVER</x:v>
      </x:c>
      <x:c r="C55" s="48" t="str">
        <x:v>Indonesian</x:v>
      </x:c>
      <x:c r="D55" s="48" t="n">
        <x:v>22</x:v>
      </x:c>
      <x:c r="E55" s="48" t="str"/>
      <x:c r="F55" s="48" t="str">
        <x:v>Sahanaya gn Dn or Kn</x:v>
      </x:c>
      <x:c r="G55" s="48" t="str">
        <x:v>Obligation</x:v>
      </x:c>
      <x:c r="H55" s="48" t="str">
        <x:v>Shared</x:v>
      </x:c>
      <x:c r="I55" s="48" t="n">
        <x:v>0.45</x:v>
      </x:c>
      <x:c r="J55" s="48" t="n">
        <x:v>0.4</x:v>
      </x:c>
      <x:c r="K55" s="48" t="str">
        <x:v>Yes</x:v>
      </x:c>
      <x:c r="L55" s="48" t="str">
        <x:v>OCR</x:v>
      </x:c>
    </x:row>
    <x:row r="56">
      <x:c r="A56" s="48" t="str">
        <x:v>SILVER-0055</x:v>
      </x:c>
      <x:c r="B56" s="48" t="str">
        <x:v>SILVER</x:v>
      </x:c>
      <x:c r="C56" s="48" t="str">
        <x:v>Indonesian</x:v>
      </x:c>
      <x:c r="D56" s="48" t="n">
        <x:v>22</x:v>
      </x:c>
      <x:c r="E56" s="48" t="str"/>
      <x:c r="F56" s="48" t="str">
        <x:v>Saran Sai Gangaa lm pera mara aan da Dn erna Ka ma 9 mem orerarenaesan PeteMruNMeDEN an ra na pa Sae me ane ra ur</x:v>
      </x:c>
      <x:c r="G56" s="48" t="str">
        <x:v>Obligation</x:v>
      </x:c>
      <x:c r="H56" s="48" t="str">
        <x:v>Shared</x:v>
      </x:c>
      <x:c r="I56" s="48" t="n">
        <x:v>0.45</x:v>
      </x:c>
      <x:c r="J56" s="48" t="n">
        <x:v>0.4</x:v>
      </x:c>
      <x:c r="K56" s="48" t="str">
        <x:v>Yes</x:v>
      </x:c>
      <x:c r="L56" s="48" t="str">
        <x:v>OCR</x:v>
      </x:c>
    </x:row>
    <x:row r="57">
      <x:c r="A57" s="48" t="str">
        <x:v>SILVER-0056</x:v>
      </x:c>
      <x:c r="B57" s="48" t="str">
        <x:v>SILVER</x:v>
      </x:c>
      <x:c r="C57" s="48" t="str">
        <x:v>Indonesian</x:v>
      </x:c>
      <x:c r="D57" s="48" t="n">
        <x:v>22</x:v>
      </x:c>
      <x:c r="E57" s="48" t="str"/>
      <x:c r="F57" s="48" t="str">
        <x:v>Ah KE mera La mengakar aa ergasan prsaran</x:v>
      </x:c>
      <x:c r="G57" s="48" t="str">
        <x:v>Obligation</x:v>
      </x:c>
      <x:c r="H57" s="48" t="str">
        <x:v>Shared</x:v>
      </x:c>
      <x:c r="I57" s="48" t="n">
        <x:v>0.45</x:v>
      </x:c>
      <x:c r="J57" s="48" t="n">
        <x:v>0.4</x:v>
      </x:c>
      <x:c r="K57" s="48" t="str">
        <x:v>Yes</x:v>
      </x:c>
      <x:c r="L57" s="48" t="str">
        <x:v>OCR</x:v>
      </x:c>
    </x:row>
    <x:row r="58">
      <x:c r="A58" s="48" t="str">
        <x:v>SILVER-0057</x:v>
      </x:c>
      <x:c r="B58" s="48" t="str">
        <x:v>SILVER</x:v>
      </x:c>
      <x:c r="C58" s="48" t="str">
        <x:v>Indonesian</x:v>
      </x:c>
      <x:c r="D58" s="48" t="n">
        <x:v>22</x:v>
      </x:c>
      <x:c r="E58" s="48" t="str"/>
      <x:c r="F58" s="48" t="str">
        <x:v>Pemakan peranan ban Kk esa Wr</x:v>
      </x:c>
      <x:c r="G58" s="48" t="str">
        <x:v>Obligation</x:v>
      </x:c>
      <x:c r="H58" s="48" t="str">
        <x:v>Shared</x:v>
      </x:c>
      <x:c r="I58" s="48" t="n">
        <x:v>0.45</x:v>
      </x:c>
      <x:c r="J58" s="48" t="n">
        <x:v>0.4</x:v>
      </x:c>
      <x:c r="K58" s="48" t="str">
        <x:v>Yes</x:v>
      </x:c>
      <x:c r="L58" s="48" t="str">
        <x:v>OCR</x:v>
      </x:c>
    </x:row>
    <x:row r="59">
      <x:c r="A59" s="48" t="str">
        <x:v>SILVER-0058</x:v>
      </x:c>
      <x:c r="B59" s="48" t="str">
        <x:v>SILVER</x:v>
      </x:c>
      <x:c r="C59" s="48" t="str">
        <x:v>Indonesian</x:v>
      </x:c>
      <x:c r="D59" s="48" t="n">
        <x:v>23</x:v>
      </x:c>
      <x:c r="E59" s="48" t="str"/>
      <x:c r="F59" s="48" t="str">
        <x:v>emktata KOK sa bun mg au ear ham yayasan</x:v>
      </x:c>
      <x:c r="G59" s="48" t="str">
        <x:v>Obligation</x:v>
      </x:c>
      <x:c r="H59" s="48" t="str">
        <x:v>Shared</x:v>
      </x:c>
      <x:c r="I59" s="48" t="n">
        <x:v>0.45</x:v>
      </x:c>
      <x:c r="J59" s="48" t="n">
        <x:v>0.4</x:v>
      </x:c>
      <x:c r="K59" s="48" t="str">
        <x:v>Yes</x:v>
      </x:c>
      <x:c r="L59" s="48" t="str">
        <x:v>OCR</x:v>
      </x:c>
    </x:row>
    <x:row r="60">
      <x:c r="A60" s="48" t="str">
        <x:v>SILVER-0059</x:v>
      </x:c>
      <x:c r="B60" s="48" t="str">
        <x:v>SILVER</x:v>
      </x:c>
      <x:c r="C60" s="48" t="str">
        <x:v>Indonesian</x:v>
      </x:c>
      <x:c r="D60" s="48" t="n">
        <x:v>23</x:v>
      </x:c>
      <x:c r="E60" s="48" t="str"/>
      <x:c r="F60" s="48" t="str">
        <x:v>Pt esa rar an peran Kok gl kak at</x:v>
      </x:c>
      <x:c r="G60" s="48" t="str">
        <x:v>Obligation</x:v>
      </x:c>
      <x:c r="H60" s="48" t="str">
        <x:v>Shared</x:v>
      </x:c>
      <x:c r="I60" s="48" t="n">
        <x:v>0.45</x:v>
      </x:c>
      <x:c r="J60" s="48" t="n">
        <x:v>0.4</x:v>
      </x:c>
      <x:c r="K60" s="48" t="str">
        <x:v>Yes</x:v>
      </x:c>
      <x:c r="L60" s="48" t="str">
        <x:v>OCR</x:v>
      </x:c>
    </x:row>
    <x:row r="61">
      <x:c r="A61" s="48" t="str">
        <x:v>SILVER-0060</x:v>
      </x:c>
      <x:c r="B61" s="48" t="str">
        <x:v>SILVER</x:v>
      </x:c>
      <x:c r="C61" s="48" t="str">
        <x:v>Indonesian</x:v>
      </x:c>
      <x:c r="D61" s="48" t="n">
        <x:v>23</x:v>
      </x:c>
      <x:c r="E61" s="48" t="str"/>
      <x:c r="F61" s="48" t="str">
        <x:v>Muba aa wara megasuan ran yncnman mat</x:v>
      </x:c>
      <x:c r="G61" s="48" t="str">
        <x:v>Obligation</x:v>
      </x:c>
      <x:c r="H61" s="48" t="str">
        <x:v>Shared</x:v>
      </x:c>
      <x:c r="I61" s="48" t="n">
        <x:v>0.45</x:v>
      </x:c>
      <x:c r="J61" s="48" t="n">
        <x:v>0.4</x:v>
      </x:c>
      <x:c r="K61" s="48" t="str">
        <x:v>Yes</x:v>
      </x:c>
      <x:c r="L61" s="48" t="str">
        <x:v>OCR</x:v>
      </x:c>
    </x:row>
    <x:row r="62">
      <x:c r="A62" s="48" t="str">
        <x:v>SILVER-0061</x:v>
      </x:c>
      <x:c r="B62" s="48" t="str">
        <x:v>SILVER</x:v>
      </x:c>
      <x:c r="C62" s="48" t="str">
        <x:v>Indonesian</x:v>
      </x:c>
      <x:c r="D62" s="48" t="n">
        <x:v>23</x:v>
      </x:c>
      <x:c r="E62" s="48" t="str"/>
      <x:c r="F62" s="48" t="str">
        <x:v>adan cam Mena Meta yr daan (aramvaktemikad ara yergangasan or Pesan Dua Aeon</x:v>
      </x:c>
      <x:c r="G62" s="48" t="str">
        <x:v>Obligation</x:v>
      </x:c>
      <x:c r="H62" s="48" t="str">
        <x:v>Shared</x:v>
      </x:c>
      <x:c r="I62" s="48" t="n">
        <x:v>0.45</x:v>
      </x:c>
      <x:c r="J62" s="48" t="n">
        <x:v>0.4</x:v>
      </x:c>
      <x:c r="K62" s="48" t="str">
        <x:v>Yes</x:v>
      </x:c>
      <x:c r="L62" s="48" t="str">
        <x:v>OCR</x:v>
      </x:c>
    </x:row>
    <x:row r="63">
      <x:c r="A63" s="48" t="str">
        <x:v>SILVER-0062</x:v>
      </x:c>
      <x:c r="B63" s="48" t="str">
        <x:v>SILVER</x:v>
      </x:c>
      <x:c r="C63" s="48" t="str">
        <x:v>Indonesian</x:v>
      </x:c>
      <x:c r="D63" s="48" t="n">
        <x:v>23</x:v>
      </x:c>
      <x:c r="E63" s="48" t="str"/>
      <x:c r="F63" s="48" t="str">
        <x:v>Daan Ar Dan In Sem ea aa yag tan</x:v>
      </x:c>
      <x:c r="G63" s="48" t="str">
        <x:v>Obligation</x:v>
      </x:c>
      <x:c r="H63" s="48" t="str">
        <x:v>Shared</x:v>
      </x:c>
      <x:c r="I63" s="48" t="n">
        <x:v>0.45</x:v>
      </x:c>
      <x:c r="J63" s="48" t="n">
        <x:v>0.4</x:v>
      </x:c>
      <x:c r="K63" s="48" t="str">
        <x:v>Yes</x:v>
      </x:c>
      <x:c r="L63" s="48" t="str">
        <x:v>OCR</x:v>
      </x:c>
    </x:row>
    <x:row r="64">
      <x:c r="A64" s="48" t="str">
        <x:v>SILVER-0063</x:v>
      </x:c>
      <x:c r="B64" s="48" t="str">
        <x:v>SILVER</x:v>
      </x:c>
      <x:c r="C64" s="48" t="str">
        <x:v>Indonesian</x:v>
      </x:c>
      <x:c r="D64" s="48" t="n">
        <x:v>23</x:v>
      </x:c>
      <x:c r="E64" s="48" t="str"/>
      <x:c r="F64" s="48" t="str">
        <x:v>Daun yng Manah Kere lan sar merrgan mmm tn</x:v>
      </x:c>
      <x:c r="G64" s="48" t="str">
        <x:v>Obligation</x:v>
      </x:c>
      <x:c r="H64" s="48" t="str">
        <x:v>Shared</x:v>
      </x:c>
      <x:c r="I64" s="48" t="n">
        <x:v>0.45</x:v>
      </x:c>
      <x:c r="J64" s="48" t="n">
        <x:v>0.4</x:v>
      </x:c>
      <x:c r="K64" s="48" t="str">
        <x:v>Yes</x:v>
      </x:c>
      <x:c r="L64" s="48" t="str">
        <x:v>OCR</x:v>
      </x:c>
    </x:row>
    <x:row r="65">
      <x:c r="A65" s="48" t="str">
        <x:v>SILVER-0064</x:v>
      </x:c>
      <x:c r="B65" s="48" t="str">
        <x:v>SILVER</x:v>
      </x:c>
      <x:c r="C65" s="48" t="str">
        <x:v>Indonesian</x:v>
      </x:c>
      <x:c r="D65" s="48" t="n">
        <x:v>23</x:v>
      </x:c>
      <x:c r="E65" s="48" t="str"/>
      <x:c r="F65" s="48" t="str">
        <x:v>(AK ena Pena Utan oran On lea tegas 0 Pemnterma.</x:v>
      </x:c>
      <x:c r="G65" s="48" t="str">
        <x:v>Obligation</x:v>
      </x:c>
      <x:c r="H65" s="48" t="str">
        <x:v>Shared</x:v>
      </x:c>
      <x:c r="I65" s="48" t="n">
        <x:v>0.45</x:v>
      </x:c>
      <x:c r="J65" s="48" t="n">
        <x:v>0.4</x:v>
      </x:c>
      <x:c r="K65" s="48" t="str">
        <x:v>Yes</x:v>
      </x:c>
      <x:c r="L65" s="48" t="str">
        <x:v>OCR</x:v>
      </x:c>
    </x:row>
    <x:row r="66">
      <x:c r="A66" s="48" t="str">
        <x:v>SILVER-0065</x:v>
      </x:c>
      <x:c r="B66" s="48" t="str">
        <x:v>SILVER</x:v>
      </x:c>
      <x:c r="C66" s="48" t="str">
        <x:v>Indonesian</x:v>
      </x:c>
      <x:c r="D66" s="48" t="n">
        <x:v>23</x:v>
      </x:c>
      <x:c r="E66" s="48" t="str">
        <x:v>2</x:v>
      </x:c>
      <x:c r="F66" s="48" t="str">
        <x:v>2 Pemanenan</x:v>
      </x:c>
      <x:c r="G66" s="48" t="str">
        <x:v>Heading</x:v>
      </x:c>
      <x:c r="H66" s="48" t="str"/>
      <x:c r="I66" s="48" t="n">
        <x:v>0.9</x:v>
      </x:c>
      <x:c r="J66" s="48" t="n">
        <x:v>0.99</x:v>
      </x:c>
      <x:c r="K66" s="48" t="str">
        <x:v>No</x:v>
      </x:c>
      <x:c r="L66" s="48" t="str">
        <x:v>OCR</x:v>
      </x:c>
    </x:row>
    <x:row r="67">
      <x:c r="A67" s="48" t="str">
        <x:v>SILVER-0066</x:v>
      </x:c>
      <x:c r="B67" s="48" t="str">
        <x:v>SILVER</x:v>
      </x:c>
      <x:c r="C67" s="48" t="str">
        <x:v>Indonesian</x:v>
      </x:c>
      <x:c r="D67" s="48" t="n">
        <x:v>23</x:v>
      </x:c>
      <x:c r="E67" s="48" t="str"/>
      <x:c r="F67" s="48" t="str">
        <x:v>G Kemmanpovaradan</x:v>
      </x:c>
      <x:c r="G67" s="48" t="str">
        <x:v>Obligation</x:v>
      </x:c>
      <x:c r="H67" s="48" t="str">
        <x:v>Shared</x:v>
      </x:c>
      <x:c r="I67" s="48" t="n">
        <x:v>0.45</x:v>
      </x:c>
      <x:c r="J67" s="48" t="n">
        <x:v>0.4</x:v>
      </x:c>
      <x:c r="K67" s="48" t="str">
        <x:v>Yes</x:v>
      </x:c>
      <x:c r="L67" s="48" t="str">
        <x:v>OCR</x:v>
      </x:c>
    </x:row>
    <x:row r="68">
      <x:c r="A68" s="48" t="str">
        <x:v>SILVER-0067</x:v>
      </x:c>
      <x:c r="B68" s="48" t="str">
        <x:v>SILVER</x:v>
      </x:c>
      <x:c r="C68" s="48" t="str">
        <x:v>Indonesian</x:v>
      </x:c>
      <x:c r="D68" s="48" t="n">
        <x:v>23</x:v>
      </x:c>
      <x:c r="E68" s="48" t="str"/>
      <x:c r="F68" s="48" t="str">
        <x:v>PMA Bauran Rr menda ana</x:v>
      </x:c>
      <x:c r="G68" s="48" t="str">
        <x:v>Obligation</x:v>
      </x:c>
      <x:c r="H68" s="48" t="str">
        <x:v>Shared</x:v>
      </x:c>
      <x:c r="I68" s="48" t="n">
        <x:v>0.45</x:v>
      </x:c>
      <x:c r="J68" s="48" t="n">
        <x:v>0.4</x:v>
      </x:c>
      <x:c r="K68" s="48" t="str">
        <x:v>Yes</x:v>
      </x:c>
      <x:c r="L68" s="48" t="str">
        <x:v>OCR</x:v>
      </x:c>
    </x:row>
    <x:row r="69">
      <x:c r="A69" s="48" t="str">
        <x:v>SILVER-0068</x:v>
      </x:c>
      <x:c r="B69" s="48" t="str">
        <x:v>SILVER</x:v>
      </x:c>
      <x:c r="C69" s="48" t="str">
        <x:v>Indonesian</x:v>
      </x:c>
      <x:c r="D69" s="48" t="n">
        <x:v>23</x:v>
      </x:c>
      <x:c r="E69" s="48" t="str"/>
      <x:c r="F69" s="48" t="str">
        <x:v>Pena Kak Kr ata Ktu Ban pr pa Ur Ir daan can</x:v>
      </x:c>
      <x:c r="G69" s="48" t="str">
        <x:v>Obligation</x:v>
      </x:c>
      <x:c r="H69" s="48" t="str">
        <x:v>Shared</x:v>
      </x:c>
      <x:c r="I69" s="48" t="n">
        <x:v>0.45</x:v>
      </x:c>
      <x:c r="J69" s="48" t="n">
        <x:v>0.4</x:v>
      </x:c>
      <x:c r="K69" s="48" t="str">
        <x:v>Yes</x:v>
      </x:c>
      <x:c r="L69" s="48" t="str">
        <x:v>OCR</x:v>
      </x:c>
    </x:row>
    <x:row r="70">
      <x:c r="A70" s="48" t="str">
        <x:v>SILVER-0069</x:v>
      </x:c>
      <x:c r="B70" s="48" t="str">
        <x:v>SILVER</x:v>
      </x:c>
      <x:c r="C70" s="48" t="str">
        <x:v>Indonesian</x:v>
      </x:c>
      <x:c r="D70" s="48" t="n">
        <x:v>23</x:v>
      </x:c>
      <x:c r="E70" s="48" t="str"/>
      <x:c r="F70" s="48" t="str">
        <x:v>Per Kotak Sma rak abang ru La ng ran</x:v>
      </x:c>
      <x:c r="G70" s="48" t="str">
        <x:v>Obligation</x:v>
      </x:c>
      <x:c r="H70" s="48" t="str">
        <x:v>Shared</x:v>
      </x:c>
      <x:c r="I70" s="48" t="n">
        <x:v>0.45</x:v>
      </x:c>
      <x:c r="J70" s="48" t="n">
        <x:v>0.4</x:v>
      </x:c>
      <x:c r="K70" s="48" t="str">
        <x:v>Yes</x:v>
      </x:c>
      <x:c r="L70" s="48" t="str">
        <x:v>OCR</x:v>
      </x:c>
    </x:row>
    <x:row r="71">
      <x:c r="A71" s="48" t="str">
        <x:v>SILVER-0070</x:v>
      </x:c>
      <x:c r="B71" s="48" t="str">
        <x:v>SILVER</x:v>
      </x:c>
      <x:c r="C71" s="48" t="str">
        <x:v>Indonesian</x:v>
      </x:c>
      <x:c r="D71" s="48" t="n">
        <x:v>23</x:v>
      </x:c>
      <x:c r="E71" s="48" t="str"/>
      <x:c r="F71" s="48" t="str">
        <x:v>Aa drg pemuanSenuran ran pa Peta HM</x:v>
      </x:c>
      <x:c r="G71" s="48" t="str">
        <x:v>Obligation</x:v>
      </x:c>
      <x:c r="H71" s="48" t="str">
        <x:v>Shared</x:v>
      </x:c>
      <x:c r="I71" s="48" t="n">
        <x:v>0.45</x:v>
      </x:c>
      <x:c r="J71" s="48" t="n">
        <x:v>0.4</x:v>
      </x:c>
      <x:c r="K71" s="48" t="str">
        <x:v>Yes</x:v>
      </x:c>
      <x:c r="L71" s="48" t="str">
        <x:v>OCR</x:v>
      </x:c>
    </x:row>
    <x:row r="72">
      <x:c r="A72" s="48" t="str">
        <x:v>SILVER-0071</x:v>
      </x:c>
      <x:c r="B72" s="48" t="str">
        <x:v>SILVER</x:v>
      </x:c>
      <x:c r="C72" s="48" t="str">
        <x:v>Indonesian</x:v>
      </x:c>
      <x:c r="D72" s="48" t="n">
        <x:v>23</x:v>
      </x:c>
      <x:c r="E72" s="48" t="str"/>
      <x:c r="F72" s="48" t="str">
        <x:v>Sana Kano</x:v>
      </x:c>
      <x:c r="G72" s="48" t="str">
        <x:v>Obligation</x:v>
      </x:c>
      <x:c r="H72" s="48" t="str">
        <x:v>Shared</x:v>
      </x:c>
      <x:c r="I72" s="48" t="n">
        <x:v>0.45</x:v>
      </x:c>
      <x:c r="J72" s="48" t="n">
        <x:v>0.4</x:v>
      </x:c>
      <x:c r="K72" s="48" t="str">
        <x:v>Yes</x:v>
      </x:c>
      <x:c r="L72" s="48" t="str">
        <x:v>OCR</x:v>
      </x:c>
    </x:row>
    <x:row r="73">
      <x:c r="A73" s="48" t="str">
        <x:v>SILVER-0072</x:v>
      </x:c>
      <x:c r="B73" s="48" t="str">
        <x:v>SILVER</x:v>
      </x:c>
      <x:c r="C73" s="48" t="str">
        <x:v>Indonesian</x:v>
      </x:c>
      <x:c r="D73" s="48" t="n">
        <x:v>23</x:v>
      </x:c>
      <x:c r="E73" s="48" t="str"/>
      <x:c r="F73" s="48" t="str">
        <x:v>panguan aa Pte Kah Sr Temeaurgnan SAI Ha maan Dn Kata. ata at Ot eta aa</x:v>
      </x:c>
      <x:c r="G73" s="48" t="str">
        <x:v>Obligation</x:v>
      </x:c>
      <x:c r="H73" s="48" t="str">
        <x:v>Shared</x:v>
      </x:c>
      <x:c r="I73" s="48" t="n">
        <x:v>0.45</x:v>
      </x:c>
      <x:c r="J73" s="48" t="n">
        <x:v>0.4</x:v>
      </x:c>
      <x:c r="K73" s="48" t="str">
        <x:v>Yes</x:v>
      </x:c>
      <x:c r="L73" s="48" t="str">
        <x:v>OCR</x:v>
      </x:c>
    </x:row>
    <x:row r="74">
      <x:c r="A74" s="48" t="str">
        <x:v>SILVER-0073</x:v>
      </x:c>
      <x:c r="B74" s="48" t="str">
        <x:v>SILVER</x:v>
      </x:c>
      <x:c r="C74" s="48" t="str">
        <x:v>Indonesian</x:v>
      </x:c>
      <x:c r="D74" s="48" t="n">
        <x:v>23</x:v>
      </x:c>
      <x:c r="E74" s="48" t="str"/>
      <x:c r="F74" s="48" t="str">
        <x:v>Ta aa Pa</x:v>
      </x:c>
      <x:c r="G74" s="48" t="str">
        <x:v>Obligation</x:v>
      </x:c>
      <x:c r="H74" s="48" t="str">
        <x:v>Shared</x:v>
      </x:c>
      <x:c r="I74" s="48" t="n">
        <x:v>0.45</x:v>
      </x:c>
      <x:c r="J74" s="48" t="n">
        <x:v>0.4</x:v>
      </x:c>
      <x:c r="K74" s="48" t="str">
        <x:v>Yes</x:v>
      </x:c>
      <x:c r="L74" s="48" t="str">
        <x:v>OCR</x:v>
      </x:c>
    </x:row>
    <x:row r="75">
      <x:c r="A75" s="48" t="str">
        <x:v>SILVER-0074</x:v>
      </x:c>
      <x:c r="B75" s="48" t="str">
        <x:v>SILVER</x:v>
      </x:c>
      <x:c r="C75" s="48" t="str">
        <x:v>Indonesian</x:v>
      </x:c>
      <x:c r="D75" s="48" t="n">
        <x:v>23</x:v>
      </x:c>
      <x:c r="E75" s="48" t="str"/>
      <x:c r="F75" s="48" t="str">
        <x:v>Bro ag tr Tana era, memetakan</x:v>
      </x:c>
      <x:c r="G75" s="48" t="str">
        <x:v>Obligation</x:v>
      </x:c>
      <x:c r="H75" s="48" t="str">
        <x:v>Shared</x:v>
      </x:c>
      <x:c r="I75" s="48" t="n">
        <x:v>0.45</x:v>
      </x:c>
      <x:c r="J75" s="48" t="n">
        <x:v>0.4</x:v>
      </x:c>
      <x:c r="K75" s="48" t="str">
        <x:v>Yes</x:v>
      </x:c>
      <x:c r="L75" s="48" t="str">
        <x:v>OCR</x:v>
      </x:c>
    </x:row>
    <x:row r="76">
      <x:c r="A76" s="48" t="str">
        <x:v>SILVER-0075</x:v>
      </x:c>
      <x:c r="B76" s="48" t="str">
        <x:v>SILVER</x:v>
      </x:c>
      <x:c r="C76" s="48" t="str">
        <x:v>Indonesian</x:v>
      </x:c>
      <x:c r="D76" s="48" t="n">
        <x:v>23</x:v>
      </x:c>
      <x:c r="E76" s="48" t="str"/>
      <x:c r="F76" s="48" t="str">
        <x:v>peang Marak Aa mata tan mun oran eri tata ten tm angs pertwan</x:v>
      </x:c>
      <x:c r="G76" s="48" t="str">
        <x:v>Obligation</x:v>
      </x:c>
      <x:c r="H76" s="48" t="str">
        <x:v>Shared</x:v>
      </x:c>
      <x:c r="I76" s="48" t="n">
        <x:v>0.45</x:v>
      </x:c>
      <x:c r="J76" s="48" t="n">
        <x:v>0.4</x:v>
      </x:c>
      <x:c r="K76" s="48" t="str">
        <x:v>Yes</x:v>
      </x:c>
      <x:c r="L76" s="48" t="str">
        <x:v>OCR</x:v>
      </x:c>
    </x:row>
    <x:row r="77">
      <x:c r="A77" s="48" t="str">
        <x:v>SILVER-0076</x:v>
      </x:c>
      <x:c r="B77" s="48" t="str">
        <x:v>SILVER</x:v>
      </x:c>
      <x:c r="C77" s="48" t="str">
        <x:v>Indonesian</x:v>
      </x:c>
      <x:c r="D77" s="48" t="n">
        <x:v>23</x:v>
      </x:c>
      <x:c r="E77" s="48" t="str"/>
      <x:c r="F77" s="48" t="str">
        <x:v>Pegangan Der, lia ec Gowa an eta Prgapa at oat</x:v>
      </x:c>
      <x:c r="G77" s="48" t="str">
        <x:v>Obligation</x:v>
      </x:c>
      <x:c r="H77" s="48" t="str">
        <x:v>Shared</x:v>
      </x:c>
      <x:c r="I77" s="48" t="n">
        <x:v>0.45</x:v>
      </x:c>
      <x:c r="J77" s="48" t="n">
        <x:v>0.4</x:v>
      </x:c>
      <x:c r="K77" s="48" t="str">
        <x:v>Yes</x:v>
      </x:c>
      <x:c r="L77" s="48" t="str">
        <x:v>OCR</x:v>
      </x:c>
    </x:row>
    <x:row r="78">
      <x:c r="A78" s="48" t="str">
        <x:v>SILVER-0077</x:v>
      </x:c>
      <x:c r="B78" s="48" t="str">
        <x:v>SILVER</x:v>
      </x:c>
      <x:c r="C78" s="48" t="str">
        <x:v>Indonesian</x:v>
      </x:c>
      <x:c r="D78" s="48" t="n">
        <x:v>23</x:v>
      </x:c>
      <x:c r="E78" s="48" t="str"/>
      <x:c r="F78" s="48" t="str">
        <x:v>peran Dear Tea Pa ana En emaNLeEM AED pengadaan ena</x:v>
      </x:c>
      <x:c r="G78" s="48" t="str">
        <x:v>Obligation</x:v>
      </x:c>
      <x:c r="H78" s="48" t="str">
        <x:v>Shared</x:v>
      </x:c>
      <x:c r="I78" s="48" t="n">
        <x:v>0.45</x:v>
      </x:c>
      <x:c r="J78" s="48" t="n">
        <x:v>0.4</x:v>
      </x:c>
      <x:c r="K78" s="48" t="str">
        <x:v>Yes</x:v>
      </x:c>
      <x:c r="L78" s="48" t="str">
        <x:v>OCR</x:v>
      </x:c>
    </x:row>
    <x:row r="79">
      <x:c r="A79" s="48" t="str">
        <x:v>SILVER-0078</x:v>
      </x:c>
      <x:c r="B79" s="48" t="str">
        <x:v>SILVER</x:v>
      </x:c>
      <x:c r="C79" s="48" t="str">
        <x:v>Indonesian</x:v>
      </x:c>
      <x:c r="D79" s="48" t="n">
        <x:v>23</x:v>
      </x:c>
      <x:c r="E79" s="48" t="str"/>
      <x:c r="F79" s="48" t="str">
        <x:v>Ners na engan, Lon st rn Kr rn pai</x:v>
      </x:c>
      <x:c r="G79" s="48" t="str">
        <x:v>Obligation</x:v>
      </x:c>
      <x:c r="H79" s="48" t="str">
        <x:v>Shared</x:v>
      </x:c>
      <x:c r="I79" s="48" t="n">
        <x:v>0.45</x:v>
      </x:c>
      <x:c r="J79" s="48" t="n">
        <x:v>0.4</x:v>
      </x:c>
      <x:c r="K79" s="48" t="str">
        <x:v>Yes</x:v>
      </x:c>
      <x:c r="L79" s="48" t="str">
        <x:v>OCR</x:v>
      </x:c>
    </x:row>
    <x:row r="80">
      <x:c r="A80" s="48" t="str">
        <x:v>SILVER-0079</x:v>
      </x:c>
      <x:c r="B80" s="48" t="str">
        <x:v>SILVER</x:v>
      </x:c>
      <x:c r="C80" s="48" t="str">
        <x:v>Indonesian</x:v>
      </x:c>
      <x:c r="D80" s="48" t="n">
        <x:v>23</x:v>
      </x:c>
      <x:c r="E80" s="48" t="str"/>
      <x:c r="F80" s="48" t="str">
        <x:v>Ia yng dsno aar Kawtan gara ma Daan Kr ban</x:v>
      </x:c>
      <x:c r="G80" s="48" t="str">
        <x:v>Obligation</x:v>
      </x:c>
      <x:c r="H80" s="48" t="str">
        <x:v>Shared</x:v>
      </x:c>
      <x:c r="I80" s="48" t="n">
        <x:v>0.45</x:v>
      </x:c>
      <x:c r="J80" s="48" t="n">
        <x:v>0.4</x:v>
      </x:c>
      <x:c r="K80" s="48" t="str">
        <x:v>Yes</x:v>
      </x:c>
      <x:c r="L80" s="48" t="str">
        <x:v>OCR</x:v>
      </x:c>
    </x:row>
    <x:row r="81">
      <x:c r="A81" s="48" t="str">
        <x:v>SILVER-0080</x:v>
      </x:c>
      <x:c r="B81" s="48" t="str">
        <x:v>SILVER</x:v>
      </x:c>
      <x:c r="C81" s="48" t="str">
        <x:v>Indonesian</x:v>
      </x:c>
      <x:c r="D81" s="48" t="n">
        <x:v>23</x:v>
      </x:c>
      <x:c r="E81" s="48" t="str"/>
      <x:c r="F81" s="48" t="str">
        <x:v>(Ea Tantan Sa kran an pg kebab Mera</x:v>
      </x:c>
      <x:c r="G81" s="48" t="str">
        <x:v>Obligation</x:v>
      </x:c>
      <x:c r="H81" s="48" t="str">
        <x:v>Shared</x:v>
      </x:c>
      <x:c r="I81" s="48" t="n">
        <x:v>0.45</x:v>
      </x:c>
      <x:c r="J81" s="48" t="n">
        <x:v>0.4</x:v>
      </x:c>
      <x:c r="K81" s="48" t="str">
        <x:v>Yes</x:v>
      </x:c>
      <x:c r="L81" s="48" t="str">
        <x:v>OCR</x:v>
      </x:c>
    </x:row>
    <x:row r="82">
      <x:c r="A82" s="48" t="str">
        <x:v>SILVER-0081</x:v>
      </x:c>
      <x:c r="B82" s="48" t="str">
        <x:v>SILVER</x:v>
      </x:c>
      <x:c r="C82" s="48" t="str">
        <x:v>Indonesian</x:v>
      </x:c>
      <x:c r="D82" s="48" t="n">
        <x:v>23</x:v>
      </x:c>
      <x:c r="E82" s="48" t="str"/>
      <x:c r="F82" s="48" t="str">
        <x:v>Pa Neng dn aa Pa Ce pssa MAN Maan</x:v>
      </x:c>
      <x:c r="G82" s="48" t="str">
        <x:v>Obligation</x:v>
      </x:c>
      <x:c r="H82" s="48" t="str">
        <x:v>Shared</x:v>
      </x:c>
      <x:c r="I82" s="48" t="n">
        <x:v>0.45</x:v>
      </x:c>
      <x:c r="J82" s="48" t="n">
        <x:v>0.4</x:v>
      </x:c>
      <x:c r="K82" s="48" t="str">
        <x:v>Yes</x:v>
      </x:c>
      <x:c r="L82" s="48" t="str">
        <x:v>OCR</x:v>
      </x:c>
    </x:row>
    <x:row r="83">
      <x:c r="A83" s="48" t="str">
        <x:v>SILVER-0082</x:v>
      </x:c>
      <x:c r="B83" s="48" t="str">
        <x:v>SILVER</x:v>
      </x:c>
      <x:c r="C83" s="48" t="str">
        <x:v>Indonesian</x:v>
      </x:c>
      <x:c r="D83" s="48" t="n">
        <x:v>24</x:v>
      </x:c>
      <x:c r="E83" s="48" t="str"/>
      <x:c r="F83" s="48" t="str">
        <x:v>Aka mtor (EN OALnON KK Gn uan parang Ja</x:v>
      </x:c>
      <x:c r="G83" s="48" t="str">
        <x:v>Obligation</x:v>
      </x:c>
      <x:c r="H83" s="48" t="str">
        <x:v>Shared</x:v>
      </x:c>
      <x:c r="I83" s="48" t="n">
        <x:v>0.45</x:v>
      </x:c>
      <x:c r="J83" s="48" t="n">
        <x:v>0.4</x:v>
      </x:c>
      <x:c r="K83" s="48" t="str">
        <x:v>Yes</x:v>
      </x:c>
      <x:c r="L83" s="48" t="str">
        <x:v>OCR</x:v>
      </x:c>
    </x:row>
    <x:row r="84">
      <x:c r="A84" s="48" t="str">
        <x:v>SILVER-0083</x:v>
      </x:c>
      <x:c r="B84" s="48" t="str">
        <x:v>SILVER</x:v>
      </x:c>
      <x:c r="C84" s="48" t="str">
        <x:v>Indonesian</x:v>
      </x:c>
      <x:c r="D84" s="48" t="n">
        <x:v>25</x:v>
      </x:c>
      <x:c r="E84" s="48" t="str"/>
      <x:c r="F84" s="48" t="str">
        <x:v>Bkyang ra KK Oa merata tua Pergara Jaa. sena oma ari</x:v>
      </x:c>
      <x:c r="G84" s="48" t="str">
        <x:v>Obligation</x:v>
      </x:c>
      <x:c r="H84" s="48" t="str">
        <x:v>Shared</x:v>
      </x:c>
      <x:c r="I84" s="48" t="n">
        <x:v>0.45</x:v>
      </x:c>
      <x:c r="J84" s="48" t="n">
        <x:v>0.4</x:v>
      </x:c>
      <x:c r="K84" s="48" t="str">
        <x:v>Yes</x:v>
      </x:c>
      <x:c r="L84" s="48" t="str">
        <x:v>OCR</x:v>
      </x:c>
    </x:row>
    <x:row r="85">
      <x:c r="A85" s="48" t="str">
        <x:v>SILVER-0084</x:v>
      </x:c>
      <x:c r="B85" s="48" t="str">
        <x:v>SILVER</x:v>
      </x:c>
      <x:c r="C85" s="48" t="str">
        <x:v>Indonesian</x:v>
      </x:c>
      <x:c r="D85" s="48" t="n">
        <x:v>25</x:v>
      </x:c>
      <x:c r="E85" s="48" t="str"/>
      <x:c r="F85" s="48" t="str">
        <x:v>Bumi Resa SA Gryayan cr rn nga mel jn ent na Ka</x:v>
      </x:c>
      <x:c r="G85" s="48" t="str">
        <x:v>Obligation</x:v>
      </x:c>
      <x:c r="H85" s="48" t="str">
        <x:v>Shared</x:v>
      </x:c>
      <x:c r="I85" s="48" t="n">
        <x:v>0.45</x:v>
      </x:c>
      <x:c r="J85" s="48" t="n">
        <x:v>0.4</x:v>
      </x:c>
      <x:c r="K85" s="48" t="str">
        <x:v>Yes</x:v>
      </x:c>
      <x:c r="L85" s="48" t="str">
        <x:v>OCR</x:v>
      </x:c>
    </x:row>
    <x:row r="86">
      <x:c r="A86" s="48" t="str">
        <x:v>SILVER-0085</x:v>
      </x:c>
      <x:c r="B86" s="48" t="str">
        <x:v>SILVER</x:v>
      </x:c>
      <x:c r="C86" s="48" t="str">
        <x:v>Indonesian</x:v>
      </x:c>
      <x:c r="D86" s="48" t="n">
        <x:v>25</x:v>
      </x:c>
      <x:c r="E86" s="48" t="str"/>
      <x:c r="F86" s="48" t="str">
        <x:v>ketan pas Neraka ta an paman Koma Ara pd Kran Pn ang</x:v>
      </x:c>
      <x:c r="G86" s="48" t="str">
        <x:v>Obligation</x:v>
      </x:c>
      <x:c r="H86" s="48" t="str">
        <x:v>Shared</x:v>
      </x:c>
      <x:c r="I86" s="48" t="n">
        <x:v>0.45</x:v>
      </x:c>
      <x:c r="J86" s="48" t="n">
        <x:v>0.4</x:v>
      </x:c>
      <x:c r="K86" s="48" t="str">
        <x:v>Yes</x:v>
      </x:c>
      <x:c r="L86" s="48" t="str">
        <x:v>OCR</x:v>
      </x:c>
    </x:row>
    <x:row r="87">
      <x:c r="A87" s="48" t="str">
        <x:v>SILVER-0086</x:v>
      </x:c>
      <x:c r="B87" s="48" t="str">
        <x:v>SILVER</x:v>
      </x:c>
      <x:c r="C87" s="48" t="str">
        <x:v>Indonesian</x:v>
      </x:c>
      <x:c r="D87" s="48" t="n">
        <x:v>25</x:v>
      </x:c>
      <x:c r="E87" s="48" t="str"/>
      <x:c r="F87" s="48" t="str">
        <x:v>Ke AP EA Gr Gen PnpeMan La</x:v>
      </x:c>
      <x:c r="G87" s="48" t="str">
        <x:v>Obligation</x:v>
      </x:c>
      <x:c r="H87" s="48" t="str">
        <x:v>Shared</x:v>
      </x:c>
      <x:c r="I87" s="48" t="n">
        <x:v>0.45</x:v>
      </x:c>
      <x:c r="J87" s="48" t="n">
        <x:v>0.4</x:v>
      </x:c>
      <x:c r="K87" s="48" t="str">
        <x:v>Yes</x:v>
      </x:c>
      <x:c r="L87" s="48" t="str">
        <x:v>OCR</x:v>
      </x:c>
    </x:row>
    <x:row r="88">
      <x:c r="A88" s="48" t="str">
        <x:v>SILVER-0087</x:v>
      </x:c>
      <x:c r="B88" s="48" t="str">
        <x:v>SILVER</x:v>
      </x:c>
      <x:c r="C88" s="48" t="str">
        <x:v>Indonesian</x:v>
      </x:c>
      <x:c r="D88" s="48" t="n">
        <x:v>25</x:v>
      </x:c>
      <x:c r="E88" s="48" t="str"/>
      <x:c r="F88" s="48" t="str">
        <x:v>bean Eta raman ai Geun Ban kan ha da dad</x:v>
      </x:c>
      <x:c r="G88" s="48" t="str">
        <x:v>Obligation</x:v>
      </x:c>
      <x:c r="H88" s="48" t="str">
        <x:v>Shared</x:v>
      </x:c>
      <x:c r="I88" s="48" t="n">
        <x:v>0.45</x:v>
      </x:c>
      <x:c r="J88" s="48" t="n">
        <x:v>0.4</x:v>
      </x:c>
      <x:c r="K88" s="48" t="str">
        <x:v>Yes</x:v>
      </x:c>
      <x:c r="L88" s="48" t="str">
        <x:v>OCR</x:v>
      </x:c>
    </x:row>
    <x:row r="89">
      <x:c r="A89" s="48" t="str">
        <x:v>SILVER-0088</x:v>
      </x:c>
      <x:c r="B89" s="48" t="str">
        <x:v>SILVER</x:v>
      </x:c>
      <x:c r="C89" s="48" t="str">
        <x:v>Indonesian</x:v>
      </x:c>
      <x:c r="D89" s="48" t="n">
        <x:v>25</x:v>
      </x:c>
      <x:c r="E89" s="48" t="str"/>
      <x:c r="F89" s="48" t="str">
        <x:v>TAK UM MeMAMAI AO Ae WLATON METE LUMA PENA Dra</x:v>
      </x:c>
      <x:c r="G89" s="48" t="str">
        <x:v>Obligation</x:v>
      </x:c>
      <x:c r="H89" s="48" t="str">
        <x:v>Shared</x:v>
      </x:c>
      <x:c r="I89" s="48" t="n">
        <x:v>0.45</x:v>
      </x:c>
      <x:c r="J89" s="48" t="n">
        <x:v>0.4</x:v>
      </x:c>
      <x:c r="K89" s="48" t="str">
        <x:v>Yes</x:v>
      </x:c>
      <x:c r="L89" s="48" t="str">
        <x:v>OCR</x:v>
      </x:c>
    </x:row>
    <x:row r="90">
      <x:c r="A90" s="48" t="str">
        <x:v>SILVER-0089</x:v>
      </x:c>
      <x:c r="B90" s="48" t="str">
        <x:v>SILVER</x:v>
      </x:c>
      <x:c r="C90" s="48" t="str">
        <x:v>Indonesian</x:v>
      </x:c>
      <x:c r="D90" s="48" t="n">
        <x:v>26</x:v>
      </x:c>
      <x:c r="E90" s="48" t="str"/>
      <x:c r="F90" s="48" t="str">
        <x:v>pesan Pungara</x:v>
      </x:c>
      <x:c r="G90" s="48" t="str">
        <x:v>Obligation</x:v>
      </x:c>
      <x:c r="H90" s="48" t="str">
        <x:v>Shared</x:v>
      </x:c>
      <x:c r="I90" s="48" t="n">
        <x:v>0.45</x:v>
      </x:c>
      <x:c r="J90" s="48" t="n">
        <x:v>0.4</x:v>
      </x:c>
      <x:c r="K90" s="48" t="str">
        <x:v>Yes</x:v>
      </x:c>
      <x:c r="L90" s="48" t="str">
        <x:v>OCR</x:v>
      </x:c>
    </x:row>
    <x:row r="91">
      <x:c r="A91" s="48" t="str">
        <x:v>SILVER-0090</x:v>
      </x:c>
      <x:c r="B91" s="48" t="str">
        <x:v>SILVER</x:v>
      </x:c>
      <x:c r="C91" s="48" t="str">
        <x:v>Indonesian</x:v>
      </x:c>
      <x:c r="D91" s="48" t="n">
        <x:v>26</x:v>
      </x:c>
      <x:c r="E91" s="48" t="str"/>
      <x:c r="F91" s="48" t="str">
        <x:v>Pegara mata GA Ba LA merama biMA PN PNG</x:v>
      </x:c>
      <x:c r="G91" s="48" t="str">
        <x:v>Obligation</x:v>
      </x:c>
      <x:c r="H91" s="48" t="str">
        <x:v>Shared</x:v>
      </x:c>
      <x:c r="I91" s="48" t="n">
        <x:v>0.45</x:v>
      </x:c>
      <x:c r="J91" s="48" t="n">
        <x:v>0.4</x:v>
      </x:c>
      <x:c r="K91" s="48" t="str">
        <x:v>Yes</x:v>
      </x:c>
      <x:c r="L91" s="48" t="str">
        <x:v>OCR</x:v>
      </x:c>
    </x:row>
    <x:row r="92">
      <x:c r="A92" s="48" t="str">
        <x:v>SILVER-0091</x:v>
      </x:c>
      <x:c r="B92" s="48" t="str">
        <x:v>SILVER</x:v>
      </x:c>
      <x:c r="C92" s="48" t="str">
        <x:v>Indonesian</x:v>
      </x:c>
      <x:c r="D92" s="48" t="n">
        <x:v>26</x:v>
      </x:c>
      <x:c r="E92" s="48" t="str">
        <x:v>10</x:v>
      </x:c>
      <x:c r="F92" s="48" t="str">
        <x:v>10 mapan drg rest tecatan Sm A0 Keram.Or</x:v>
      </x:c>
      <x:c r="G92" s="48" t="str">
        <x:v>Heading</x:v>
      </x:c>
      <x:c r="H92" s="48" t="str"/>
      <x:c r="I92" s="48" t="n">
        <x:v>0.9</x:v>
      </x:c>
      <x:c r="J92" s="48" t="n">
        <x:v>0.99</x:v>
      </x:c>
      <x:c r="K92" s="48" t="str">
        <x:v>No</x:v>
      </x:c>
      <x:c r="L92" s="48" t="str">
        <x:v>OCR</x:v>
      </x:c>
    </x:row>
    <x:row r="93">
      <x:c r="A93" s="48" t="str">
        <x:v>SILVER-0092</x:v>
      </x:c>
      <x:c r="B93" s="48" t="str">
        <x:v>SILVER</x:v>
      </x:c>
      <x:c r="C93" s="48" t="str">
        <x:v>Indonesian</x:v>
      </x:c>
      <x:c r="D93" s="48" t="n">
        <x:v>26</x:v>
      </x:c>
      <x:c r="E93" s="48" t="str"/>
      <x:c r="F93" s="48" t="str">
        <x:v>IN Oa tegangan maa ega yag ena dan Kata</x:v>
      </x:c>
      <x:c r="G93" s="48" t="str">
        <x:v>Obligation</x:v>
      </x:c>
      <x:c r="H93" s="48" t="str">
        <x:v>Shared</x:v>
      </x:c>
      <x:c r="I93" s="48" t="n">
        <x:v>0.45</x:v>
      </x:c>
      <x:c r="J93" s="48" t="n">
        <x:v>0.4</x:v>
      </x:c>
      <x:c r="K93" s="48" t="str">
        <x:v>Yes</x:v>
      </x:c>
      <x:c r="L93" s="48" t="str">
        <x:v>OCR</x:v>
      </x:c>
    </x:row>
    <x:row r="94">
      <x:c r="A94" s="48" t="str">
        <x:v>SILVER-0093</x:v>
      </x:c>
      <x:c r="B94" s="48" t="str">
        <x:v>SILVER</x:v>
      </x:c>
      <x:c r="C94" s="48" t="str">
        <x:v>Indonesian</x:v>
      </x:c>
      <x:c r="D94" s="48" t="n">
        <x:v>26</x:v>
      </x:c>
      <x:c r="E94" s="48" t="str"/>
      <x:c r="F94" s="48" t="str">
        <x:v>Santatan Gap BB BG Bian AA Pora</x:v>
      </x:c>
      <x:c r="G94" s="48" t="str">
        <x:v>Obligation</x:v>
      </x:c>
      <x:c r="H94" s="48" t="str">
        <x:v>Shared</x:v>
      </x:c>
      <x:c r="I94" s="48" t="n">
        <x:v>0.45</x:v>
      </x:c>
      <x:c r="J94" s="48" t="n">
        <x:v>0.4</x:v>
      </x:c>
      <x:c r="K94" s="48" t="str">
        <x:v>Yes</x:v>
      </x:c>
      <x:c r="L94" s="48" t="str">
        <x:v>OCR</x:v>
      </x:c>
    </x:row>
    <x:row r="95">
      <x:c r="A95" s="48" t="str">
        <x:v>SILVER-0094</x:v>
      </x:c>
      <x:c r="B95" s="48" t="str">
        <x:v>SILVER</x:v>
      </x:c>
      <x:c r="C95" s="48" t="str">
        <x:v>Indonesian</x:v>
      </x:c>
      <x:c r="D95" s="48" t="n">
        <x:v>26</x:v>
      </x:c>
      <x:c r="E95" s="48" t="str"/>
      <x:c r="F95" s="48" t="str">
        <x:v>aamiin SO aman A10 PasoLiyarOr item Kosagan</x:v>
      </x:c>
      <x:c r="G95" s="48" t="str">
        <x:v>Obligation</x:v>
      </x:c>
      <x:c r="H95" s="48" t="str">
        <x:v>Shared</x:v>
      </x:c>
      <x:c r="I95" s="48" t="n">
        <x:v>0.45</x:v>
      </x:c>
      <x:c r="J95" s="48" t="n">
        <x:v>0.4</x:v>
      </x:c>
      <x:c r="K95" s="48" t="str">
        <x:v>Yes</x:v>
      </x:c>
      <x:c r="L95" s="48" t="str">
        <x:v>OCR</x:v>
      </x:c>
    </x:row>
    <x:row r="96">
      <x:c r="A96" s="48" t="str">
        <x:v>SILVER-0095</x:v>
      </x:c>
      <x:c r="B96" s="48" t="str">
        <x:v>SILVER</x:v>
      </x:c>
      <x:c r="C96" s="48" t="str">
        <x:v>Indonesian</x:v>
      </x:c>
      <x:c r="D96" s="48" t="n">
        <x:v>26</x:v>
      </x:c>
      <x:c r="E96" s="48" t="str"/>
      <x:c r="F96" s="48" t="str">
        <x:v>Penara Santana menata, dan wa 28 ar mah merana emetran cs ema ban gag merwadia menagendapan Mr</x:v>
      </x:c>
      <x:c r="G96" s="48" t="str">
        <x:v>Obligation</x:v>
      </x:c>
      <x:c r="H96" s="48" t="str">
        <x:v>Shared</x:v>
      </x:c>
      <x:c r="I96" s="48" t="n">
        <x:v>0.45</x:v>
      </x:c>
      <x:c r="J96" s="48" t="n">
        <x:v>0.4</x:v>
      </x:c>
      <x:c r="K96" s="48" t="str">
        <x:v>Yes</x:v>
      </x:c>
      <x:c r="L96" s="48" t="str">
        <x:v>OCR</x:v>
      </x:c>
    </x:row>
    <x:row r="97">
      <x:c r="A97" s="48" t="str">
        <x:v>SILVER-0096</x:v>
      </x:c>
      <x:c r="B97" s="48" t="str">
        <x:v>SILVER</x:v>
      </x:c>
      <x:c r="C97" s="48" t="str">
        <x:v>Indonesian</x:v>
      </x:c>
      <x:c r="D97" s="48" t="n">
        <x:v>26</x:v>
      </x:c>
      <x:c r="E97" s="48" t="str"/>
      <x:c r="F97" s="48" t="str">
        <x:v>MEMKtan Prana Ia menja Han Kere em ma BK</x:v>
      </x:c>
      <x:c r="G97" s="48" t="str">
        <x:v>Obligation</x:v>
      </x:c>
      <x:c r="H97" s="48" t="str">
        <x:v>Shared</x:v>
      </x:c>
      <x:c r="I97" s="48" t="n">
        <x:v>0.45</x:v>
      </x:c>
      <x:c r="J97" s="48" t="n">
        <x:v>0.4</x:v>
      </x:c>
      <x:c r="K97" s="48" t="str">
        <x:v>Yes</x:v>
      </x:c>
      <x:c r="L97" s="48" t="str">
        <x:v>OCR</x:v>
      </x:c>
    </x:row>
    <x:row r="98">
      <x:c r="A98" s="48" t="str">
        <x:v>SILVER-0097</x:v>
      </x:c>
      <x:c r="B98" s="48" t="str">
        <x:v>SILVER</x:v>
      </x:c>
      <x:c r="C98" s="48" t="str">
        <x:v>Indonesian</x:v>
      </x:c>
      <x:c r="D98" s="48" t="n">
        <x:v>29</x:v>
      </x:c>
      <x:c r="E98" s="48" t="str"/>
      <x:c r="F98" s="48" t="str">
        <x:v>Kami Una</x:v>
      </x:c>
      <x:c r="G98" s="48" t="str">
        <x:v>Obligation</x:v>
      </x:c>
      <x:c r="H98" s="48" t="str">
        <x:v>Shared</x:v>
      </x:c>
      <x:c r="I98" s="48" t="n">
        <x:v>0.45</x:v>
      </x:c>
      <x:c r="J98" s="48" t="n">
        <x:v>0.4</x:v>
      </x:c>
      <x:c r="K98" s="48" t="str">
        <x:v>Yes</x:v>
      </x:c>
      <x:c r="L98" s="48" t="str">
        <x:v>OCR</x:v>
      </x:c>
    </x:row>
    <x:row r="99">
      <x:c r="A99" s="48" t="str">
        <x:v>SILVER-0098</x:v>
      </x:c>
      <x:c r="B99" s="48" t="str">
        <x:v>SILVER</x:v>
      </x:c>
      <x:c r="C99" s="48" t="str">
        <x:v>Indonesian</x:v>
      </x:c>
      <x:c r="D99" s="48" t="n">
        <x:v>29</x:v>
      </x:c>
      <x:c r="E99" s="48" t="str"/>
      <x:c r="F99" s="48" t="str">
        <x:v>ata Pangan £ pertean tua Prgara bas hn mrk Ira Sa Organ SKL S5 wan menyamar pa</x:v>
      </x:c>
      <x:c r="G99" s="48" t="str">
        <x:v>Obligation</x:v>
      </x:c>
      <x:c r="H99" s="48" t="str">
        <x:v>Shared</x:v>
      </x:c>
      <x:c r="I99" s="48" t="n">
        <x:v>0.45</x:v>
      </x:c>
      <x:c r="J99" s="48" t="n">
        <x:v>0.4</x:v>
      </x:c>
      <x:c r="K99" s="48" t="str">
        <x:v>Yes</x:v>
      </x:c>
      <x:c r="L99" s="48" t="str">
        <x:v>OCR</x:v>
      </x:c>
    </x:row>
    <x:row r="100">
      <x:c r="A100" s="48" t="str">
        <x:v>SILVER-0099</x:v>
      </x:c>
      <x:c r="B100" s="48" t="str">
        <x:v>SILVER</x:v>
      </x:c>
      <x:c r="C100" s="48" t="str">
        <x:v>Indonesian</x:v>
      </x:c>
      <x:c r="D100" s="48" t="n">
        <x:v>29</x:v>
      </x:c>
      <x:c r="E100" s="48" t="str"/>
      <x:c r="F100" s="48" t="str">
        <x:v>Pegara ba bata beer Segar or Gan Lara mncaai</x:v>
      </x:c>
      <x:c r="G100" s="48" t="str">
        <x:v>Obligation</x:v>
      </x:c>
      <x:c r="H100" s="48" t="str">
        <x:v>Shared</x:v>
      </x:c>
      <x:c r="I100" s="48" t="n">
        <x:v>0.45</x:v>
      </x:c>
      <x:c r="J100" s="48" t="n">
        <x:v>0.4</x:v>
      </x:c>
      <x:c r="K100" s="48" t="str">
        <x:v>Yes</x:v>
      </x:c>
      <x:c r="L100" s="48" t="str">
        <x:v>OCR</x:v>
      </x:c>
    </x:row>
    <x:row r="101">
      <x:c r="A101" s="48" t="str">
        <x:v>SILVER-0100</x:v>
      </x:c>
      <x:c r="B101" s="48" t="str">
        <x:v>SILVER</x:v>
      </x:c>
      <x:c r="C101" s="48" t="str">
        <x:v>Indonesian</x:v>
      </x:c>
      <x:c r="D101" s="48" t="n">
        <x:v>29</x:v>
      </x:c>
      <x:c r="E101" s="48" t="str"/>
      <x:c r="F101" s="48" t="str">
        <x:v>bagan Po aa Wrong Pe an ho Tan</x:v>
      </x:c>
      <x:c r="G101" s="48" t="str">
        <x:v>Obligation</x:v>
      </x:c>
      <x:c r="H101" s="48" t="str">
        <x:v>Shared</x:v>
      </x:c>
      <x:c r="I101" s="48" t="n">
        <x:v>0.45</x:v>
      </x:c>
      <x:c r="J101" s="48" t="n">
        <x:v>0.4</x:v>
      </x:c>
      <x:c r="K101" s="48" t="str">
        <x:v>Yes</x:v>
      </x:c>
      <x:c r="L101" s="48" t="str">
        <x:v>OCR</x:v>
      </x:c>
    </x:row>
    <x:row r="102">
      <x:c r="A102" s="48" t="str">
        <x:v>SILVER-0101</x:v>
      </x:c>
      <x:c r="B102" s="48" t="str">
        <x:v>SILVER</x:v>
      </x:c>
      <x:c r="C102" s="48" t="str">
        <x:v>Indonesian</x:v>
      </x:c>
      <x:c r="D102" s="48" t="n">
        <x:v>29</x:v>
      </x:c>
      <x:c r="E102" s="48" t="str"/>
      <x:c r="F102" s="48" t="str">
        <x:v>Eman ena ta rat nga mengamaatta</x:v>
      </x:c>
      <x:c r="G102" s="48" t="str">
        <x:v>Obligation</x:v>
      </x:c>
      <x:c r="H102" s="48" t="str">
        <x:v>Shared</x:v>
      </x:c>
      <x:c r="I102" s="48" t="n">
        <x:v>0.45</x:v>
      </x:c>
      <x:c r="J102" s="48" t="n">
        <x:v>0.4</x:v>
      </x:c>
      <x:c r="K102" s="48" t="str">
        <x:v>Yes</x:v>
      </x:c>
      <x:c r="L102" s="48" t="str">
        <x:v>OCR</x:v>
      </x:c>
    </x:row>
    <x:row r="103">
      <x:c r="A103" s="48" t="str">
        <x:v>SILVER-0102</x:v>
      </x:c>
      <x:c r="B103" s="48" t="str">
        <x:v>SILVER</x:v>
      </x:c>
      <x:c r="C103" s="48" t="str">
        <x:v>Indonesian</x:v>
      </x:c>
      <x:c r="D103" s="48" t="n">
        <x:v>29</x:v>
      </x:c>
      <x:c r="E103" s="48" t="str"/>
      <x:c r="F103" s="48" t="str">
        <x:v>PeSara ata merbethVan bca Kermbr wbpktn</x:v>
      </x:c>
      <x:c r="G103" s="48" t="str">
        <x:v>Obligation</x:v>
      </x:c>
      <x:c r="H103" s="48" t="str">
        <x:v>Shared</x:v>
      </x:c>
      <x:c r="I103" s="48" t="n">
        <x:v>0.45</x:v>
      </x:c>
      <x:c r="J103" s="48" t="n">
        <x:v>0.4</x:v>
      </x:c>
      <x:c r="K103" s="48" t="str">
        <x:v>Yes</x:v>
      </x:c>
      <x:c r="L103" s="48" t="str">
        <x:v>OCR</x:v>
      </x:c>
    </x:row>
    <x:row r="104">
      <x:c r="A104" s="48" t="str">
        <x:v>SILVER-0103</x:v>
      </x:c>
      <x:c r="B104" s="48" t="str">
        <x:v>SILVER</x:v>
      </x:c>
      <x:c r="C104" s="48" t="str">
        <x:v>Indonesian</x:v>
      </x:c>
      <x:c r="D104" s="48" t="n">
        <x:v>29</x:v>
      </x:c>
      <x:c r="E104" s="48" t="str"/>
      <x:c r="F104" s="48" t="str">
        <x:v>Pein Segan Gn benar Su Para muntemeja lemema</x:v>
      </x:c>
      <x:c r="G104" s="48" t="str">
        <x:v>Obligation</x:v>
      </x:c>
      <x:c r="H104" s="48" t="str">
        <x:v>Shared</x:v>
      </x:c>
      <x:c r="I104" s="48" t="n">
        <x:v>0.45</x:v>
      </x:c>
      <x:c r="J104" s="48" t="n">
        <x:v>0.4</x:v>
      </x:c>
      <x:c r="K104" s="48" t="str">
        <x:v>Yes</x:v>
      </x:c>
      <x:c r="L104" s="48" t="str">
        <x:v>OCR</x:v>
      </x:c>
    </x:row>
    <x:row r="105">
      <x:c r="A105" s="48" t="str">
        <x:v>SILVER-0104</x:v>
      </x:c>
      <x:c r="B105" s="48" t="str">
        <x:v>SILVER</x:v>
      </x:c>
      <x:c r="C105" s="48" t="str">
        <x:v>Indonesian</x:v>
      </x:c>
      <x:c r="D105" s="48" t="n">
        <x:v>29</x:v>
      </x:c>
      <x:c r="E105" s="48" t="str"/>
      <x:c r="F105" s="48" t="str">
        <x:v>PeWara Ka ti pace lea pra ka Ka</x:v>
      </x:c>
      <x:c r="G105" s="48" t="str">
        <x:v>Obligation</x:v>
      </x:c>
      <x:c r="H105" s="48" t="str">
        <x:v>Shared</x:v>
      </x:c>
      <x:c r="I105" s="48" t="n">
        <x:v>0.45</x:v>
      </x:c>
      <x:c r="J105" s="48" t="n">
        <x:v>0.4</x:v>
      </x:c>
      <x:c r="K105" s="48" t="str">
        <x:v>Yes</x:v>
      </x:c>
      <x:c r="L105" s="48" t="str">
        <x:v>OCR</x:v>
      </x:c>
    </x:row>
    <x:row r="106">
      <x:c r="A106" s="48" t="str">
        <x:v>SILVER-0105</x:v>
      </x:c>
      <x:c r="B106" s="48" t="str">
        <x:v>SILVER</x:v>
      </x:c>
      <x:c r="C106" s="48" t="str">
        <x:v>Indonesian</x:v>
      </x:c>
      <x:c r="D106" s="48" t="n">
        <x:v>29</x:v>
      </x:c>
      <x:c r="E106" s="48" t="str"/>
      <x:c r="F106" s="48" t="str">
        <x:v>Tap Oya ertranan Dam pl ngan pa pr et</x:v>
      </x:c>
      <x:c r="G106" s="48" t="str">
        <x:v>Obligation</x:v>
      </x:c>
      <x:c r="H106" s="48" t="str">
        <x:v>Shared</x:v>
      </x:c>
      <x:c r="I106" s="48" t="n">
        <x:v>0.45</x:v>
      </x:c>
      <x:c r="J106" s="48" t="n">
        <x:v>0.4</x:v>
      </x:c>
      <x:c r="K106" s="48" t="str">
        <x:v>Yes</x:v>
      </x:c>
      <x:c r="L106" s="48" t="str">
        <x:v>OCR</x:v>
      </x:c>
    </x:row>
    <x:row r="107">
      <x:c r="A107" s="48" t="str">
        <x:v>SILVER-0106</x:v>
      </x:c>
      <x:c r="B107" s="48" t="str">
        <x:v>SILVER</x:v>
      </x:c>
      <x:c r="C107" s="48" t="str">
        <x:v>Indonesian</x:v>
      </x:c>
      <x:c r="D107" s="48" t="n">
        <x:v>29</x:v>
      </x:c>
      <x:c r="E107" s="48" t="str"/>
      <x:c r="F107" s="48" t="str">
        <x:v>Penak mega lan DO mn degan Sta Bi Tran</x:v>
      </x:c>
      <x:c r="G107" s="48" t="str">
        <x:v>Obligation</x:v>
      </x:c>
      <x:c r="H107" s="48" t="str">
        <x:v>Shared</x:v>
      </x:c>
      <x:c r="I107" s="48" t="n">
        <x:v>0.45</x:v>
      </x:c>
      <x:c r="J107" s="48" t="n">
        <x:v>0.4</x:v>
      </x:c>
      <x:c r="K107" s="48" t="str">
        <x:v>Yes</x:v>
      </x:c>
      <x:c r="L107" s="48" t="str">
        <x:v>OCR</x:v>
      </x:c>
    </x:row>
    <x:row r="108">
      <x:c r="A108" s="48" t="str">
        <x:v>SILVER-0107</x:v>
      </x:c>
      <x:c r="B108" s="48" t="str">
        <x:v>SILVER</x:v>
      </x:c>
      <x:c r="C108" s="48" t="str">
        <x:v>Indonesian</x:v>
      </x:c>
      <x:c r="D108" s="48" t="n">
        <x:v>31</x:v>
      </x:c>
      <x:c r="E108" s="48" t="str"/>
      <x:c r="F108" s="48" t="str">
        <x:v>nga steve Kera tan mryrgan urai Sc ang</x:v>
      </x:c>
      <x:c r="G108" s="48" t="str">
        <x:v>Obligation</x:v>
      </x:c>
      <x:c r="H108" s="48" t="str">
        <x:v>Shared</x:v>
      </x:c>
      <x:c r="I108" s="48" t="n">
        <x:v>0.45</x:v>
      </x:c>
      <x:c r="J108" s="48" t="n">
        <x:v>0.4</x:v>
      </x:c>
      <x:c r="K108" s="48" t="str">
        <x:v>Yes</x:v>
      </x:c>
      <x:c r="L108" s="48" t="str">
        <x:v>OCR</x:v>
      </x:c>
    </x:row>
    <x:row r="109">
      <x:c r="A109" s="48" t="str">
        <x:v>SILVER-0108</x:v>
      </x:c>
      <x:c r="B109" s="48" t="str">
        <x:v>SILVER</x:v>
      </x:c>
      <x:c r="C109" s="48" t="str">
        <x:v>Indonesian</x:v>
      </x:c>
      <x:c r="D109" s="48" t="n">
        <x:v>31</x:v>
      </x:c>
      <x:c r="E109" s="48" t="str"/>
      <x:c r="F109" s="48" t="str">
        <x:v>Pa aa yaaa</x:v>
      </x:c>
      <x:c r="G109" s="48" t="str">
        <x:v>Obligation</x:v>
      </x:c>
      <x:c r="H109" s="48" t="str">
        <x:v>Shared</x:v>
      </x:c>
      <x:c r="I109" s="48" t="n">
        <x:v>0.45</x:v>
      </x:c>
      <x:c r="J109" s="48" t="n">
        <x:v>0.4</x:v>
      </x:c>
      <x:c r="K109" s="48" t="str">
        <x:v>Yes</x:v>
      </x:c>
      <x:c r="L109" s="48" t="str">
        <x:v>OCR</x:v>
      </x:c>
    </x:row>
    <x:row r="110">
      <x:c r="A110" s="48" t="str">
        <x:v>SILVER-0109</x:v>
      </x:c>
      <x:c r="B110" s="48" t="str">
        <x:v>SILVER</x:v>
      </x:c>
      <x:c r="C110" s="48" t="str">
        <x:v>Indonesian</x:v>
      </x:c>
      <x:c r="D110" s="48" t="n">
        <x:v>31</x:v>
      </x:c>
      <x:c r="E110" s="48" t="str"/>
      <x:c r="F110" s="48" t="str">
        <x:v>Nero secaba kan sekedar ma merana</x:v>
      </x:c>
      <x:c r="G110" s="48" t="str">
        <x:v>Obligation</x:v>
      </x:c>
      <x:c r="H110" s="48" t="str">
        <x:v>Shared</x:v>
      </x:c>
      <x:c r="I110" s="48" t="n">
        <x:v>0.45</x:v>
      </x:c>
      <x:c r="J110" s="48" t="n">
        <x:v>0.4</x:v>
      </x:c>
      <x:c r="K110" s="48" t="str">
        <x:v>Yes</x:v>
      </x:c>
      <x:c r="L110" s="48" t="str">
        <x:v>OCR</x:v>
      </x:c>
    </x:row>
    <x:row r="111">
      <x:c r="A111" s="48" t="str">
        <x:v>SILVER-0110</x:v>
      </x:c>
      <x:c r="B111" s="48" t="str">
        <x:v>SILVER</x:v>
      </x:c>
      <x:c r="C111" s="48" t="str">
        <x:v>Indonesian</x:v>
      </x:c>
      <x:c r="D111" s="48" t="n">
        <x:v>31</x:v>
      </x:c>
      <x:c r="E111" s="48" t="str"/>
      <x:c r="F111" s="48" t="str">
        <x:v>PELAN Kr dn mesen raga</x:v>
      </x:c>
      <x:c r="G111" s="48" t="str">
        <x:v>Obligation</x:v>
      </x:c>
      <x:c r="H111" s="48" t="str">
        <x:v>Shared</x:v>
      </x:c>
      <x:c r="I111" s="48" t="n">
        <x:v>0.45</x:v>
      </x:c>
      <x:c r="J111" s="48" t="n">
        <x:v>0.4</x:v>
      </x:c>
      <x:c r="K111" s="48" t="str">
        <x:v>Yes</x:v>
      </x:c>
      <x:c r="L111" s="48" t="str">
        <x:v>OCR</x:v>
      </x:c>
    </x:row>
    <x:row r="112">
      <x:c r="A112" s="48" t="str">
        <x:v>SILVER-0111</x:v>
      </x:c>
      <x:c r="B112" s="48" t="str">
        <x:v>SILVER</x:v>
      </x:c>
      <x:c r="C112" s="48" t="str">
        <x:v>Indonesian</x:v>
      </x:c>
      <x:c r="D112" s="48" t="n">
        <x:v>31</x:v>
      </x:c>
      <x:c r="E112" s="48" t="str"/>
      <x:c r="F112" s="48" t="str">
        <x:v>eter maan eren merta rebana Segan ke pena (NA mnngakan ham An Gn wr Pr</x:v>
      </x:c>
      <x:c r="G112" s="48" t="str">
        <x:v>Obligation</x:v>
      </x:c>
      <x:c r="H112" s="48" t="str">
        <x:v>Shared</x:v>
      </x:c>
      <x:c r="I112" s="48" t="n">
        <x:v>0.45</x:v>
      </x:c>
      <x:c r="J112" s="48" t="n">
        <x:v>0.4</x:v>
      </x:c>
      <x:c r="K112" s="48" t="str">
        <x:v>Yes</x:v>
      </x:c>
      <x:c r="L112" s="48" t="str">
        <x:v>OCR</x:v>
      </x:c>
    </x:row>
    <x:row r="113">
      <x:c r="A113" s="48" t="str">
        <x:v>SILVER-0112</x:v>
      </x:c>
      <x:c r="B113" s="48" t="str">
        <x:v>SILVER</x:v>
      </x:c>
      <x:c r="C113" s="48" t="str">
        <x:v>Indonesian</x:v>
      </x:c>
      <x:c r="D113" s="48" t="n">
        <x:v>31</x:v>
      </x:c>
      <x:c r="E113" s="48" t="str"/>
      <x:c r="F113" s="48" t="str">
        <x:v>Rn AN Ona me PeLaN ma Pep</x:v>
      </x:c>
      <x:c r="G113" s="48" t="str">
        <x:v>Obligation</x:v>
      </x:c>
      <x:c r="H113" s="48" t="str">
        <x:v>Shared</x:v>
      </x:c>
      <x:c r="I113" s="48" t="n">
        <x:v>0.45</x:v>
      </x:c>
      <x:c r="J113" s="48" t="n">
        <x:v>0.4</x:v>
      </x:c>
      <x:c r="K113" s="48" t="str">
        <x:v>Yes</x:v>
      </x:c>
      <x:c r="L113" s="48" t="str">
        <x:v>OCR</x:v>
      </x:c>
    </x:row>
    <x:row r="114">
      <x:c r="A114" s="48" t="str">
        <x:v>SILVER-0113</x:v>
      </x:c>
      <x:c r="B114" s="48" t="str">
        <x:v>SILVER</x:v>
      </x:c>
      <x:c r="C114" s="48" t="str">
        <x:v>Indonesian</x:v>
      </x:c>
      <x:c r="D114" s="48" t="n">
        <x:v>31</x:v>
      </x:c>
      <x:c r="E114" s="48" t="str"/>
      <x:c r="F114" s="48" t="str">
        <x:v>Pan Ka te ha Dp erna prana yag Bea</x:v>
      </x:c>
      <x:c r="G114" s="48" t="str">
        <x:v>Obligation</x:v>
      </x:c>
      <x:c r="H114" s="48" t="str">
        <x:v>Shared</x:v>
      </x:c>
      <x:c r="I114" s="48" t="n">
        <x:v>0.45</x:v>
      </x:c>
      <x:c r="J114" s="48" t="n">
        <x:v>0.4</x:v>
      </x:c>
      <x:c r="K114" s="48" t="str">
        <x:v>Yes</x:v>
      </x:c>
      <x:c r="L114" s="48" t="str">
        <x:v>OCR</x:v>
      </x:c>
    </x:row>
    <x:row r="115">
      <x:c r="A115" s="48" t="str">
        <x:v>SILVER-0114</x:v>
      </x:c>
      <x:c r="B115" s="48" t="str">
        <x:v>SILVER</x:v>
      </x:c>
      <x:c r="C115" s="48" t="str">
        <x:v>Indonesian</x:v>
      </x:c>
      <x:c r="D115" s="48" t="n">
        <x:v>31</x:v>
      </x:c>
      <x:c r="E115" s="48" t="str"/>
      <x:c r="F115" s="48" t="str">
        <x:v>Konate sesi linpisik pabrik aa</x:v>
      </x:c>
      <x:c r="G115" s="48" t="str">
        <x:v>Obligation</x:v>
      </x:c>
      <x:c r="H115" s="48" t="str">
        <x:v>Shared</x:v>
      </x:c>
      <x:c r="I115" s="48" t="n">
        <x:v>0.45</x:v>
      </x:c>
      <x:c r="J115" s="48" t="n">
        <x:v>0.4</x:v>
      </x:c>
      <x:c r="K115" s="48" t="str">
        <x:v>Yes</x:v>
      </x:c>
      <x:c r="L115" s="48" t="str">
        <x:v>OCR</x:v>
      </x:c>
    </x:row>
    <x:row r="116">
      <x:c r="A116" s="48" t="str">
        <x:v>SILVER-0115</x:v>
      </x:c>
      <x:c r="B116" s="48" t="str">
        <x:v>SILVER</x:v>
      </x:c>
      <x:c r="C116" s="48" t="str">
        <x:v>Indonesian</x:v>
      </x:c>
      <x:c r="D116" s="48" t="n">
        <x:v>31</x:v>
      </x:c>
      <x:c r="E116" s="48" t="str"/>
      <x:c r="F116" s="48" t="str">
        <x:v>Kr Pn rar em ak era tm Gran</x:v>
      </x:c>
      <x:c r="G116" s="48" t="str">
        <x:v>Obligation</x:v>
      </x:c>
      <x:c r="H116" s="48" t="str">
        <x:v>Shared</x:v>
      </x:c>
      <x:c r="I116" s="48" t="n">
        <x:v>0.45</x:v>
      </x:c>
      <x:c r="J116" s="48" t="n">
        <x:v>0.4</x:v>
      </x:c>
      <x:c r="K116" s="48" t="str">
        <x:v>Yes</x:v>
      </x:c>
      <x:c r="L116" s="48" t="str">
        <x:v>OCR</x:v>
      </x:c>
    </x:row>
    <x:row r="117">
      <x:c r="A117" s="48" t="str">
        <x:v>SILVER-0116</x:v>
      </x:c>
      <x:c r="B117" s="48" t="str">
        <x:v>SILVER</x:v>
      </x:c>
      <x:c r="C117" s="48" t="str">
        <x:v>Indonesian</x:v>
      </x:c>
      <x:c r="D117" s="48" t="n">
        <x:v>31</x:v>
      </x:c>
      <x:c r="E117" s="48" t="str"/>
      <x:c r="F117" s="48" t="str">
        <x:v>Menelan Bana”</x:v>
      </x:c>
      <x:c r="G117" s="48" t="str">
        <x:v>Obligation</x:v>
      </x:c>
      <x:c r="H117" s="48" t="str">
        <x:v>Shared</x:v>
      </x:c>
      <x:c r="I117" s="48" t="n">
        <x:v>0.45</x:v>
      </x:c>
      <x:c r="J117" s="48" t="n">
        <x:v>0.4</x:v>
      </x:c>
      <x:c r="K117" s="48" t="str">
        <x:v>Yes</x:v>
      </x:c>
      <x:c r="L117" s="48" t="str">
        <x:v>OCR</x:v>
      </x:c>
    </x:row>
    <x:row r="118">
      <x:c r="A118" s="48" t="str">
        <x:v>SILVER-0117</x:v>
      </x:c>
      <x:c r="B118" s="48" t="str">
        <x:v>SILVER</x:v>
      </x:c>
      <x:c r="C118" s="48" t="str">
        <x:v>Indonesian</x:v>
      </x:c>
      <x:c r="D118" s="48" t="n">
        <x:v>31</x:v>
      </x:c>
      <x:c r="E118" s="48" t="str"/>
      <x:c r="F118" s="48" t="str">
        <x:v>AMAL LK Megah MAA Pen</x:v>
      </x:c>
      <x:c r="G118" s="48" t="str">
        <x:v>Obligation</x:v>
      </x:c>
      <x:c r="H118" s="48" t="str">
        <x:v>Shared</x:v>
      </x:c>
      <x:c r="I118" s="48" t="n">
        <x:v>0.45</x:v>
      </x:c>
      <x:c r="J118" s="48" t="n">
        <x:v>0.4</x:v>
      </x:c>
      <x:c r="K118" s="48" t="str">
        <x:v>Yes</x:v>
      </x:c>
      <x:c r="L118" s="48" t="str">
        <x:v>OCR</x:v>
      </x:c>
    </x:row>
    <x:row r="119">
      <x:c r="A119" s="48" t="str">
        <x:v>SILVER-0118</x:v>
      </x:c>
      <x:c r="B119" s="48" t="str">
        <x:v>SILVER</x:v>
      </x:c>
      <x:c r="C119" s="48" t="str">
        <x:v>Indonesian</x:v>
      </x:c>
      <x:c r="D119" s="48" t="n">
        <x:v>31</x:v>
      </x:c>
      <x:c r="E119" s="48" t="str"/>
      <x:c r="F119" s="48" t="str">
        <x:v>Pen SO KAMI SibertutnyrgLrermader benar</x:v>
      </x:c>
      <x:c r="G119" s="48" t="str">
        <x:v>Obligation</x:v>
      </x:c>
      <x:c r="H119" s="48" t="str">
        <x:v>Shared</x:v>
      </x:c>
      <x:c r="I119" s="48" t="n">
        <x:v>0.45</x:v>
      </x:c>
      <x:c r="J119" s="48" t="n">
        <x:v>0.4</x:v>
      </x:c>
      <x:c r="K119" s="48" t="str">
        <x:v>Yes</x:v>
      </x:c>
      <x:c r="L119" s="48" t="str">
        <x:v>OCR</x:v>
      </x:c>
    </x:row>
    <x:row r="120">
      <x:c r="A120" s="48" t="str">
        <x:v>SILVER-0119</x:v>
      </x:c>
      <x:c r="B120" s="48" t="str">
        <x:v>SILVER</x:v>
      </x:c>
      <x:c r="C120" s="48" t="str">
        <x:v>Indonesian</x:v>
      </x:c>
      <x:c r="D120" s="48" t="n">
        <x:v>31</x:v>
      </x:c>
      <x:c r="E120" s="48" t="str"/>
      <x:c r="F120" s="48" t="str">
        <x:v>MOP Yara daa bedain ea la ana Panama mr Nan</x:v>
      </x:c>
      <x:c r="G120" s="48" t="str">
        <x:v>Obligation</x:v>
      </x:c>
      <x:c r="H120" s="48" t="str">
        <x:v>Shared</x:v>
      </x:c>
      <x:c r="I120" s="48" t="n">
        <x:v>0.45</x:v>
      </x:c>
      <x:c r="J120" s="48" t="n">
        <x:v>0.4</x:v>
      </x:c>
      <x:c r="K120" s="48" t="str">
        <x:v>Yes</x:v>
      </x:c>
      <x:c r="L120" s="48" t="str">
        <x:v>OCR</x:v>
      </x:c>
    </x:row>
    <x:row r="121">
      <x:c r="A121" s="48" t="str">
        <x:v>SILVER-0120</x:v>
      </x:c>
      <x:c r="B121" s="48" t="str">
        <x:v>SILVER</x:v>
      </x:c>
      <x:c r="C121" s="48" t="str">
        <x:v>Indonesian</x:v>
      </x:c>
      <x:c r="D121" s="48" t="n">
        <x:v>31</x:v>
      </x:c>
      <x:c r="E121" s="48" t="str"/>
      <x:c r="F121" s="48" t="str">
        <x:v>MEME Kb YAK OIL ega Daleman Kr Bap van</x:v>
      </x:c>
      <x:c r="G121" s="48" t="str">
        <x:v>Obligation</x:v>
      </x:c>
      <x:c r="H121" s="48" t="str">
        <x:v>Shared</x:v>
      </x:c>
      <x:c r="I121" s="48" t="n">
        <x:v>0.45</x:v>
      </x:c>
      <x:c r="J121" s="48" t="n">
        <x:v>0.4</x:v>
      </x:c>
      <x:c r="K121" s="48" t="str">
        <x:v>Yes</x:v>
      </x:c>
      <x:c r="L121" s="48" t="str">
        <x:v>OCR</x:v>
      </x:c>
    </x:row>
    <x:row r="122">
      <x:c r="A122" s="48" t="str">
        <x:v>SILVER-0121</x:v>
      </x:c>
      <x:c r="B122" s="48" t="str">
        <x:v>SILVER</x:v>
      </x:c>
      <x:c r="C122" s="48" t="str">
        <x:v>Indonesian</x:v>
      </x:c>
      <x:c r="D122" s="48" t="n">
        <x:v>31</x:v>
      </x:c>
      <x:c r="E122" s="48" t="str"/>
      <x:c r="F122" s="48" t="str">
        <x:v>TELK Dkrsnan jg Orerwusan di Kosan mean</x:v>
      </x:c>
      <x:c r="G122" s="48" t="str">
        <x:v>Obligation</x:v>
      </x:c>
      <x:c r="H122" s="48" t="str">
        <x:v>Shared</x:v>
      </x:c>
      <x:c r="I122" s="48" t="n">
        <x:v>0.45</x:v>
      </x:c>
      <x:c r="J122" s="48" t="n">
        <x:v>0.4</x:v>
      </x:c>
      <x:c r="K122" s="48" t="str">
        <x:v>Yes</x:v>
      </x:c>
      <x:c r="L122" s="48" t="str">
        <x:v>OCR</x:v>
      </x:c>
    </x:row>
    <x:row r="123">
      <x:c r="A123" s="48" t="str">
        <x:v>SILVER-0122</x:v>
      </x:c>
      <x:c r="B123" s="48" t="str">
        <x:v>SILVER</x:v>
      </x:c>
      <x:c r="C123" s="48" t="str">
        <x:v>Indonesian</x:v>
      </x:c>
      <x:c r="D123" s="48" t="n">
        <x:v>31</x:v>
      </x:c>
      <x:c r="E123" s="48" t="str"/>
      <x:c r="F123" s="48" t="str">
        <x:v>Dato pe bean Segan pentet tema Paya ha aan</x:v>
      </x:c>
      <x:c r="G123" s="48" t="str">
        <x:v>Obligation</x:v>
      </x:c>
      <x:c r="H123" s="48" t="str">
        <x:v>Shared</x:v>
      </x:c>
      <x:c r="I123" s="48" t="n">
        <x:v>0.45</x:v>
      </x:c>
      <x:c r="J123" s="48" t="n">
        <x:v>0.4</x:v>
      </x:c>
      <x:c r="K123" s="48" t="str">
        <x:v>Yes</x:v>
      </x:c>
      <x:c r="L123" s="48" t="str">
        <x:v>OCR</x:v>
      </x:c>
    </x:row>
    <x:row r="124">
      <x:c r="A124" s="48" t="str">
        <x:v>SILVER-0123</x:v>
      </x:c>
      <x:c r="B124" s="48" t="str">
        <x:v>SILVER</x:v>
      </x:c>
      <x:c r="C124" s="48" t="str">
        <x:v>Indonesian</x:v>
      </x:c>
      <x:c r="D124" s="48" t="n">
        <x:v>31</x:v>
      </x:c>
      <x:c r="E124" s="48" t="str"/>
      <x:c r="F124" s="48" t="str">
        <x:v>Merta tagar Span Gn Kr Brenkkan Ge Prgara</x:v>
      </x:c>
      <x:c r="G124" s="48" t="str">
        <x:v>Obligation</x:v>
      </x:c>
      <x:c r="H124" s="48" t="str">
        <x:v>Shared</x:v>
      </x:c>
      <x:c r="I124" s="48" t="n">
        <x:v>0.45</x:v>
      </x:c>
      <x:c r="J124" s="48" t="n">
        <x:v>0.4</x:v>
      </x:c>
      <x:c r="K124" s="48" t="str">
        <x:v>Yes</x:v>
      </x:c>
      <x:c r="L124" s="48" t="str">
        <x:v>OCR</x:v>
      </x:c>
    </x:row>
    <x:row r="125">
      <x:c r="A125" s="48" t="str">
        <x:v>SILVER-0124</x:v>
      </x:c>
      <x:c r="B125" s="48" t="str">
        <x:v>SILVER</x:v>
      </x:c>
      <x:c r="C125" s="48" t="str">
        <x:v>Indonesian</x:v>
      </x:c>
      <x:c r="D125" s="48" t="n">
        <x:v>31</x:v>
      </x:c>
      <x:c r="E125" s="48" t="str"/>
      <x:c r="F125" s="48" t="str">
        <x:v>kenari eelann padan</x:v>
      </x:c>
      <x:c r="G125" s="48" t="str">
        <x:v>Obligation</x:v>
      </x:c>
      <x:c r="H125" s="48" t="str">
        <x:v>Shared</x:v>
      </x:c>
      <x:c r="I125" s="48" t="n">
        <x:v>0.45</x:v>
      </x:c>
      <x:c r="J125" s="48" t="n">
        <x:v>0.4</x:v>
      </x:c>
      <x:c r="K125" s="48" t="str">
        <x:v>Yes</x:v>
      </x:c>
      <x:c r="L125" s="48" t="str">
        <x:v>OCR</x:v>
      </x:c>
    </x:row>
    <x:row r="126">
      <x:c r="A126" s="48" t="str">
        <x:v>SILVER-0125</x:v>
      </x:c>
      <x:c r="B126" s="48" t="str">
        <x:v>SILVER</x:v>
      </x:c>
      <x:c r="C126" s="48" t="str">
        <x:v>Indonesian</x:v>
      </x:c>
      <x:c r="D126" s="48" t="n">
        <x:v>31</x:v>
      </x:c>
      <x:c r="E126" s="48" t="str"/>
      <x:c r="F126" s="48" t="str">
        <x:v>W Peripngorasen</x:v>
      </x:c>
      <x:c r="G126" s="48" t="str">
        <x:v>Obligation</x:v>
      </x:c>
      <x:c r="H126" s="48" t="str">
        <x:v>Shared</x:v>
      </x:c>
      <x:c r="I126" s="48" t="n">
        <x:v>0.45</x:v>
      </x:c>
      <x:c r="J126" s="48" t="n">
        <x:v>0.4</x:v>
      </x:c>
      <x:c r="K126" s="48" t="str">
        <x:v>Yes</x:v>
      </x:c>
      <x:c r="L126" s="48" t="str">
        <x:v>OCR</x:v>
      </x:c>
    </x:row>
    <x:row r="127">
      <x:c r="A127" s="48" t="str">
        <x:v>SILVER-0126</x:v>
      </x:c>
      <x:c r="B127" s="48" t="str">
        <x:v>SILVER</x:v>
      </x:c>
      <x:c r="C127" s="48" t="str">
        <x:v>Indonesian</x:v>
      </x:c>
      <x:c r="D127" s="48" t="n">
        <x:v>31</x:v>
      </x:c>
      <x:c r="E127" s="48" t="str"/>
      <x:c r="F127" s="48" t="str">
        <x:v>(8 Keren unjag Oku cen Pras am an</x:v>
      </x:c>
      <x:c r="G127" s="48" t="str">
        <x:v>Obligation</x:v>
      </x:c>
      <x:c r="H127" s="48" t="str">
        <x:v>Shared</x:v>
      </x:c>
      <x:c r="I127" s="48" t="n">
        <x:v>0.45</x:v>
      </x:c>
      <x:c r="J127" s="48" t="n">
        <x:v>0.4</x:v>
      </x:c>
      <x:c r="K127" s="48" t="str">
        <x:v>Yes</x:v>
      </x:c>
      <x:c r="L127" s="48" t="str">
        <x:v>OCR</x:v>
      </x:c>
    </x:row>
    <x:row r="128">
      <x:c r="A128" s="48" t="str">
        <x:v>SILVER-0127</x:v>
      </x:c>
      <x:c r="B128" s="48" t="str">
        <x:v>SILVER</x:v>
      </x:c>
      <x:c r="C128" s="48" t="str">
        <x:v>Indonesian</x:v>
      </x:c>
      <x:c r="D128" s="48" t="n">
        <x:v>31</x:v>
      </x:c>
      <x:c r="E128" s="48" t="str"/>
      <x:c r="F128" s="48" t="str">
        <x:v>Ae aan dna</x:v>
      </x:c>
      <x:c r="G128" s="48" t="str">
        <x:v>Obligation</x:v>
      </x:c>
      <x:c r="H128" s="48" t="str">
        <x:v>Shared</x:v>
      </x:c>
      <x:c r="I128" s="48" t="n">
        <x:v>0.45</x:v>
      </x:c>
      <x:c r="J128" s="48" t="n">
        <x:v>0.4</x:v>
      </x:c>
      <x:c r="K128" s="48" t="str">
        <x:v>Yes</x:v>
      </x:c>
      <x:c r="L128" s="48" t="str">
        <x:v>OCR</x:v>
      </x:c>
    </x:row>
    <x:row r="129">
      <x:c r="A129" s="48" t="str">
        <x:v>SILVER-0128</x:v>
      </x:c>
      <x:c r="B129" s="48" t="str">
        <x:v>SILVER</x:v>
      </x:c>
      <x:c r="C129" s="48" t="str">
        <x:v>Indonesian</x:v>
      </x:c>
      <x:c r="D129" s="48" t="n">
        <x:v>31</x:v>
      </x:c>
      <x:c r="E129" s="48" t="str"/>
      <x:c r="F129" s="48" t="str">
        <x:v>Year dan aa pesan Ga ran Lara ik</x:v>
      </x:c>
      <x:c r="G129" s="48" t="str">
        <x:v>Obligation</x:v>
      </x:c>
      <x:c r="H129" s="48" t="str">
        <x:v>Shared</x:v>
      </x:c>
      <x:c r="I129" s="48" t="n">
        <x:v>0.45</x:v>
      </x:c>
      <x:c r="J129" s="48" t="n">
        <x:v>0.4</x:v>
      </x:c>
      <x:c r="K129" s="48" t="str">
        <x:v>Yes</x:v>
      </x:c>
      <x:c r="L129" s="48" t="str">
        <x:v>OCR</x:v>
      </x:c>
    </x:row>
    <x:row r="130">
      <x:c r="A130" s="48" t="str">
        <x:v>SILVER-0129</x:v>
      </x:c>
      <x:c r="B130" s="48" t="str">
        <x:v>SILVER</x:v>
      </x:c>
      <x:c r="C130" s="48" t="str">
        <x:v>Indonesian</x:v>
      </x:c>
      <x:c r="D130" s="48" t="n">
        <x:v>31</x:v>
      </x:c>
      <x:c r="E130" s="48" t="str"/>
      <x:c r="F130" s="48" t="str">
        <x:v>Ye La aan Ka</x:v>
      </x:c>
      <x:c r="G130" s="48" t="str">
        <x:v>Obligation</x:v>
      </x:c>
      <x:c r="H130" s="48" t="str">
        <x:v>Shared</x:v>
      </x:c>
      <x:c r="I130" s="48" t="n">
        <x:v>0.45</x:v>
      </x:c>
      <x:c r="J130" s="48" t="n">
        <x:v>0.4</x:v>
      </x:c>
      <x:c r="K130" s="48" t="str">
        <x:v>Yes</x:v>
      </x:c>
      <x:c r="L130" s="48" t="str">
        <x:v>OCR</x:v>
      </x:c>
    </x:row>
    <x:row r="131">
      <x:c r="A131" s="48" t="str">
        <x:v>SILVER-0130</x:v>
      </x:c>
      <x:c r="B131" s="48" t="str">
        <x:v>SILVER</x:v>
      </x:c>
      <x:c r="C131" s="48" t="str">
        <x:v>Indonesian</x:v>
      </x:c>
      <x:c r="D131" s="48" t="n">
        <x:v>33</x:v>
      </x:c>
      <x:c r="E131" s="48" t="str"/>
      <x:c r="F131" s="48" t="str">
        <x:v>Naa gran an Gn KM KKP MA Knan</x:v>
      </x:c>
      <x:c r="G131" s="48" t="str">
        <x:v>Obligation</x:v>
      </x:c>
      <x:c r="H131" s="48" t="str">
        <x:v>Shared</x:v>
      </x:c>
      <x:c r="I131" s="48" t="n">
        <x:v>0.45</x:v>
      </x:c>
      <x:c r="J131" s="48" t="n">
        <x:v>0.4</x:v>
      </x:c>
      <x:c r="K131" s="48" t="str">
        <x:v>Yes</x:v>
      </x:c>
      <x:c r="L131" s="48" t="str">
        <x:v>OCR</x:v>
      </x:c>
    </x:row>
    <x:row r="132">
      <x:c r="A132" s="48" t="str">
        <x:v>SILVER-0131</x:v>
      </x:c>
      <x:c r="B132" s="48" t="str">
        <x:v>SILVER</x:v>
      </x:c>
      <x:c r="C132" s="48" t="str">
        <x:v>Indonesian</x:v>
      </x:c>
      <x:c r="D132" s="48" t="n">
        <x:v>33</x:v>
      </x:c>
      <x:c r="E132" s="48" t="str"/>
      <x:c r="F132" s="48" t="str">
        <x:v>Kerskr trs Kr pers Da Ce Kl dr ma Pl</x:v>
      </x:c>
      <x:c r="G132" s="48" t="str">
        <x:v>Obligation</x:v>
      </x:c>
      <x:c r="H132" s="48" t="str">
        <x:v>Shared</x:v>
      </x:c>
      <x:c r="I132" s="48" t="n">
        <x:v>0.45</x:v>
      </x:c>
      <x:c r="J132" s="48" t="n">
        <x:v>0.4</x:v>
      </x:c>
      <x:c r="K132" s="48" t="str">
        <x:v>Yes</x:v>
      </x:c>
      <x:c r="L132" s="48" t="str">
        <x:v>OCR</x:v>
      </x:c>
    </x:row>
    <x:row r="133">
      <x:c r="A133" s="48" t="str">
        <x:v>SILVER-0132</x:v>
      </x:c>
      <x:c r="B133" s="48" t="str">
        <x:v>SILVER</x:v>
      </x:c>
      <x:c r="C133" s="48" t="str">
        <x:v>Indonesian</x:v>
      </x:c>
      <x:c r="D133" s="48" t="n">
        <x:v>33</x:v>
      </x:c>
      <x:c r="E133" s="48" t="str"/>
      <x:c r="F133" s="48" t="str">
        <x:v>MUAL na pesan dpnyemnan Pa Bt pala</x:v>
      </x:c>
      <x:c r="G133" s="48" t="str">
        <x:v>Obligation</x:v>
      </x:c>
      <x:c r="H133" s="48" t="str">
        <x:v>Shared</x:v>
      </x:c>
      <x:c r="I133" s="48" t="n">
        <x:v>0.45</x:v>
      </x:c>
      <x:c r="J133" s="48" t="n">
        <x:v>0.4</x:v>
      </x:c>
      <x:c r="K133" s="48" t="str">
        <x:v>Yes</x:v>
      </x:c>
      <x:c r="L133" s="48" t="str">
        <x:v>OCR</x:v>
      </x:c>
    </x:row>
    <x:row r="134">
      <x:c r="A134" s="48" t="str">
        <x:v>SILVER-0133</x:v>
      </x:c>
      <x:c r="B134" s="48" t="str">
        <x:v>SILVER</x:v>
      </x:c>
      <x:c r="C134" s="48" t="str">
        <x:v>Indonesian</x:v>
      </x:c>
      <x:c r="D134" s="48" t="n">
        <x:v>33</x:v>
      </x:c>
      <x:c r="E134" s="48" t="str"/>
      <x:c r="F134" s="48" t="str">
        <x:v>anyar KOREAN ae</x:v>
      </x:c>
      <x:c r="G134" s="48" t="str">
        <x:v>Obligation</x:v>
      </x:c>
      <x:c r="H134" s="48" t="str">
        <x:v>Shared</x:v>
      </x:c>
      <x:c r="I134" s="48" t="n">
        <x:v>0.45</x:v>
      </x:c>
      <x:c r="J134" s="48" t="n">
        <x:v>0.4</x:v>
      </x:c>
      <x:c r="K134" s="48" t="str">
        <x:v>Yes</x:v>
      </x:c>
      <x:c r="L134" s="48" t="str">
        <x:v>OCR</x:v>
      </x:c>
    </x:row>
    <x:row r="135">
      <x:c r="A135" s="48" t="str">
        <x:v>SILVER-0134</x:v>
      </x:c>
      <x:c r="B135" s="48" t="str">
        <x:v>SILVER</x:v>
      </x:c>
      <x:c r="C135" s="48" t="str">
        <x:v>Indonesian</x:v>
      </x:c>
      <x:c r="D135" s="48" t="n">
        <x:v>33</x:v>
      </x:c>
      <x:c r="E135" s="48" t="str"/>
      <x:c r="F135" s="48" t="str">
        <x:v>Dewan (Kama Ina er uh menketan sera Pom yg Goeban</x:v>
      </x:c>
      <x:c r="G135" s="48" t="str">
        <x:v>Obligation</x:v>
      </x:c>
      <x:c r="H135" s="48" t="str">
        <x:v>Shared</x:v>
      </x:c>
      <x:c r="I135" s="48" t="n">
        <x:v>0.45</x:v>
      </x:c>
      <x:c r="J135" s="48" t="n">
        <x:v>0.4</x:v>
      </x:c>
      <x:c r="K135" s="48" t="str">
        <x:v>Yes</x:v>
      </x:c>
      <x:c r="L135" s="48" t="str">
        <x:v>OCR</x:v>
      </x:c>
    </x:row>
    <x:row r="136">
      <x:c r="A136" s="48" t="str">
        <x:v>SILVER-0135</x:v>
      </x:c>
      <x:c r="B136" s="48" t="str">
        <x:v>SILVER</x:v>
      </x:c>
      <x:c r="C136" s="48" t="str">
        <x:v>Indonesian</x:v>
      </x:c>
      <x:c r="D136" s="48" t="n">
        <x:v>33</x:v>
      </x:c>
      <x:c r="E136" s="48" t="str"/>
      <x:c r="F136" s="48" t="str">
        <x:v>pennaa eng mat HE pen in an ar men GA Ga peang</x:v>
      </x:c>
      <x:c r="G136" s="48" t="str">
        <x:v>Obligation</x:v>
      </x:c>
      <x:c r="H136" s="48" t="str">
        <x:v>Shared</x:v>
      </x:c>
      <x:c r="I136" s="48" t="n">
        <x:v>0.45</x:v>
      </x:c>
      <x:c r="J136" s="48" t="n">
        <x:v>0.4</x:v>
      </x:c>
      <x:c r="K136" s="48" t="str">
        <x:v>Yes</x:v>
      </x:c>
      <x:c r="L136" s="48" t="str">
        <x:v>OCR</x:v>
      </x:c>
    </x:row>
    <x:row r="137">
      <x:c r="A137" s="48" t="str">
        <x:v>SILVER-0136</x:v>
      </x:c>
      <x:c r="B137" s="48" t="str">
        <x:v>SILVER</x:v>
      </x:c>
      <x:c r="C137" s="48" t="str">
        <x:v>Indonesian</x:v>
      </x:c>
      <x:c r="D137" s="48" t="n">
        <x:v>33</x:v>
      </x:c>
      <x:c r="E137" s="48" t="str"/>
      <x:c r="F137" s="48" t="str">
        <x:v>Ian an ats Ar Mn laa Dj Stan enam pnya ba</x:v>
      </x:c>
      <x:c r="G137" s="48" t="str">
        <x:v>Obligation</x:v>
      </x:c>
      <x:c r="H137" s="48" t="str">
        <x:v>Shared</x:v>
      </x:c>
      <x:c r="I137" s="48" t="n">
        <x:v>0.45</x:v>
      </x:c>
      <x:c r="J137" s="48" t="n">
        <x:v>0.4</x:v>
      </x:c>
      <x:c r="K137" s="48" t="str">
        <x:v>Yes</x:v>
      </x:c>
      <x:c r="L137" s="48" t="str">
        <x:v>OCR</x:v>
      </x:c>
    </x:row>
    <x:row r="138">
      <x:c r="A138" s="48" t="str">
        <x:v>SILVER-0137</x:v>
      </x:c>
      <x:c r="B138" s="48" t="str">
        <x:v>SILVER</x:v>
      </x:c>
      <x:c r="C138" s="48" t="str">
        <x:v>Indonesian</x:v>
      </x:c>
      <x:c r="D138" s="48" t="n">
        <x:v>33</x:v>
      </x:c>
      <x:c r="E138" s="48" t="str"/>
      <x:c r="F138" s="48" t="str">
        <x:v>SEN haanga nj Let Leon mamu gan etanaan</x:v>
      </x:c>
      <x:c r="G138" s="48" t="str">
        <x:v>Obligation</x:v>
      </x:c>
      <x:c r="H138" s="48" t="str">
        <x:v>Shared</x:v>
      </x:c>
      <x:c r="I138" s="48" t="n">
        <x:v>0.45</x:v>
      </x:c>
      <x:c r="J138" s="48" t="n">
        <x:v>0.4</x:v>
      </x:c>
      <x:c r="K138" s="48" t="str">
        <x:v>Yes</x:v>
      </x:c>
      <x:c r="L138" s="48" t="str">
        <x:v>OCR</x:v>
      </x:c>
    </x:row>
    <x:row r="139">
      <x:c r="A139" s="48" t="str">
        <x:v>SILVER-0138</x:v>
      </x:c>
      <x:c r="B139" s="48" t="str">
        <x:v>SILVER</x:v>
      </x:c>
      <x:c r="C139" s="48" t="str">
        <x:v>Indonesian</x:v>
      </x:c>
      <x:c r="D139" s="48" t="n">
        <x:v>33</x:v>
      </x:c>
      <x:c r="E139" s="48" t="str"/>
      <x:c r="F139" s="48" t="str">
        <x:v>Mare Tera ka mein Gran ra Hk Dl di Ka PA</x:v>
      </x:c>
      <x:c r="G139" s="48" t="str">
        <x:v>Obligation</x:v>
      </x:c>
      <x:c r="H139" s="48" t="str">
        <x:v>Shared</x:v>
      </x:c>
      <x:c r="I139" s="48" t="n">
        <x:v>0.45</x:v>
      </x:c>
      <x:c r="J139" s="48" t="n">
        <x:v>0.4</x:v>
      </x:c>
      <x:c r="K139" s="48" t="str">
        <x:v>Yes</x:v>
      </x:c>
      <x:c r="L139" s="48" t="str">
        <x:v>OCR</x:v>
      </x:c>
    </x:row>
    <x:row r="140">
      <x:c r="A140" s="48" t="str">
        <x:v>SILVER-0139</x:v>
      </x:c>
      <x:c r="B140" s="48" t="str">
        <x:v>SILVER</x:v>
      </x:c>
      <x:c r="C140" s="48" t="str">
        <x:v>Indonesian</x:v>
      </x:c>
      <x:c r="D140" s="48" t="n">
        <x:v>33</x:v>
      </x:c>
      <x:c r="E140" s="48" t="str"/>
      <x:c r="F140" s="48" t="str">
        <x:v>Genyan ke</x:v>
      </x:c>
      <x:c r="G140" s="48" t="str">
        <x:v>Obligation</x:v>
      </x:c>
      <x:c r="H140" s="48" t="str">
        <x:v>Shared</x:v>
      </x:c>
      <x:c r="I140" s="48" t="n">
        <x:v>0.45</x:v>
      </x:c>
      <x:c r="J140" s="48" t="n">
        <x:v>0.4</x:v>
      </x:c>
      <x:c r="K140" s="48" t="str">
        <x:v>Yes</x:v>
      </x:c>
      <x:c r="L140" s="48" t="str">
        <x:v>OCR</x:v>
      </x:c>
    </x:row>
    <x:row r="141">
      <x:c r="A141" s="48" t="str">
        <x:v>SILVER-0140</x:v>
      </x:c>
      <x:c r="B141" s="48" t="str">
        <x:v>SILVER</x:v>
      </x:c>
      <x:c r="C141" s="48" t="str">
        <x:v>Indonesian</x:v>
      </x:c>
      <x:c r="D141" s="48" t="n">
        <x:v>33</x:v>
      </x:c>
      <x:c r="E141" s="48" t="str"/>
      <x:c r="F141" s="48" t="str">
        <x:v>(Sana mngar dn grgaman an Han can</x:v>
      </x:c>
      <x:c r="G141" s="48" t="str">
        <x:v>Obligation</x:v>
      </x:c>
      <x:c r="H141" s="48" t="str">
        <x:v>Shared</x:v>
      </x:c>
      <x:c r="I141" s="48" t="n">
        <x:v>0.45</x:v>
      </x:c>
      <x:c r="J141" s="48" t="n">
        <x:v>0.4</x:v>
      </x:c>
      <x:c r="K141" s="48" t="str">
        <x:v>Yes</x:v>
      </x:c>
      <x:c r="L141" s="48" t="str">
        <x:v>OCR</x:v>
      </x:c>
    </x:row>
    <x:row r="142">
      <x:c r="A142" s="48" t="str">
        <x:v>SILVER-0141</x:v>
      </x:c>
      <x:c r="B142" s="48" t="str">
        <x:v>SILVER</x:v>
      </x:c>
      <x:c r="C142" s="48" t="str">
        <x:v>Indonesian</x:v>
      </x:c>
      <x:c r="D142" s="48" t="n">
        <x:v>33</x:v>
      </x:c>
      <x:c r="E142" s="48" t="str"/>
      <x:c r="F142" s="48" t="str">
        <x:v>Ea Ba Pk Pr ban yag</x:v>
      </x:c>
      <x:c r="G142" s="48" t="str">
        <x:v>Obligation</x:v>
      </x:c>
      <x:c r="H142" s="48" t="str">
        <x:v>Shared</x:v>
      </x:c>
      <x:c r="I142" s="48" t="n">
        <x:v>0.45</x:v>
      </x:c>
      <x:c r="J142" s="48" t="n">
        <x:v>0.4</x:v>
      </x:c>
      <x:c r="K142" s="48" t="str">
        <x:v>Yes</x:v>
      </x:c>
      <x:c r="L142" s="48" t="str">
        <x:v>OCR</x:v>
      </x:c>
    </x:row>
    <x:row r="143">
      <x:c r="A143" s="48" t="str">
        <x:v>SILVER-0142</x:v>
      </x:c>
      <x:c r="B143" s="48" t="str">
        <x:v>SILVER</x:v>
      </x:c>
      <x:c r="C143" s="48" t="str">
        <x:v>Indonesian</x:v>
      </x:c>
      <x:c r="D143" s="48" t="n">
        <x:v>34</x:v>
      </x:c>
      <x:c r="E143" s="48" t="str"/>
      <x:c r="F143" s="48" t="str">
        <x:v>ana Kemana Sr mramaLan H ma PK MEN LKLT muram c— ”</x:v>
      </x:c>
      <x:c r="G143" s="48" t="str">
        <x:v>Obligation</x:v>
      </x:c>
      <x:c r="H143" s="48" t="str">
        <x:v>Shared</x:v>
      </x:c>
      <x:c r="I143" s="48" t="n">
        <x:v>0.45</x:v>
      </x:c>
      <x:c r="J143" s="48" t="n">
        <x:v>0.4</x:v>
      </x:c>
      <x:c r="K143" s="48" t="str">
        <x:v>Yes</x:v>
      </x:c>
      <x:c r="L143" s="48" t="str">
        <x:v>OCR</x:v>
      </x:c>
    </x:row>
    <x:row r="144">
      <x:c r="A144" s="48" t="str">
        <x:v>SILVER-0143</x:v>
      </x:c>
      <x:c r="B144" s="48" t="str">
        <x:v>SILVER</x:v>
      </x:c>
      <x:c r="C144" s="48" t="str">
        <x:v>Indonesian</x:v>
      </x:c>
      <x:c r="D144" s="48" t="n">
        <x:v>35</x:v>
      </x:c>
      <x:c r="E144" s="48" t="str"/>
      <x:c r="F144" s="48" t="str">
        <x:v>er hn ran ba on angan ema Gn rah Ot “ln KK KK me ah yg Asa San Kran Para</x:v>
      </x:c>
      <x:c r="G144" s="48" t="str">
        <x:v>Obligation</x:v>
      </x:c>
      <x:c r="H144" s="48" t="str">
        <x:v>Shared</x:v>
      </x:c>
      <x:c r="I144" s="48" t="n">
        <x:v>0.45</x:v>
      </x:c>
      <x:c r="J144" s="48" t="n">
        <x:v>0.4</x:v>
      </x:c>
      <x:c r="K144" s="48" t="str">
        <x:v>Yes</x:v>
      </x:c>
      <x:c r="L144" s="48" t="str">
        <x:v>OCR</x:v>
      </x:c>
    </x:row>
    <x:row r="145">
      <x:c r="A145" s="48" t="str">
        <x:v>SILVER-0144</x:v>
      </x:c>
      <x:c r="B145" s="48" t="str">
        <x:v>SILVER</x:v>
      </x:c>
      <x:c r="C145" s="48" t="str">
        <x:v>Indonesian</x:v>
      </x:c>
      <x:c r="D145" s="48" t="n">
        <x:v>35</x:v>
      </x:c>
      <x:c r="E145" s="48" t="str"/>
      <x:c r="F145" s="48" t="str">
        <x:v>Ina Gada Ser oan Pe Ang Pr</x:v>
      </x:c>
      <x:c r="G145" s="48" t="str">
        <x:v>Obligation</x:v>
      </x:c>
      <x:c r="H145" s="48" t="str">
        <x:v>Shared</x:v>
      </x:c>
      <x:c r="I145" s="48" t="n">
        <x:v>0.45</x:v>
      </x:c>
      <x:c r="J145" s="48" t="n">
        <x:v>0.4</x:v>
      </x:c>
      <x:c r="K145" s="48" t="str">
        <x:v>Yes</x:v>
      </x:c>
      <x:c r="L145" s="48" t="str">
        <x:v>OCR</x:v>
      </x:c>
    </x:row>
    <x:row r="146">
      <x:c r="A146" s="48" t="str">
        <x:v>SILVER-0145</x:v>
      </x:c>
      <x:c r="B146" s="48" t="str">
        <x:v>SILVER</x:v>
      </x:c>
      <x:c r="C146" s="48" t="str">
        <x:v>Indonesian</x:v>
      </x:c>
      <x:c r="D146" s="48" t="n">
        <x:v>35</x:v>
      </x:c>
      <x:c r="E146" s="48" t="str"/>
      <x:c r="F146" s="48" t="str">
        <x:v>TA da Gan KP Jana meagarara Stan bah betrgan</x:v>
      </x:c>
      <x:c r="G146" s="48" t="str">
        <x:v>Obligation</x:v>
      </x:c>
      <x:c r="H146" s="48" t="str">
        <x:v>Shared</x:v>
      </x:c>
      <x:c r="I146" s="48" t="n">
        <x:v>0.45</x:v>
      </x:c>
      <x:c r="J146" s="48" t="n">
        <x:v>0.4</x:v>
      </x:c>
      <x:c r="K146" s="48" t="str">
        <x:v>Yes</x:v>
      </x:c>
      <x:c r="L146" s="48" t="str">
        <x:v>OCR</x:v>
      </x:c>
    </x:row>
    <x:row r="147">
      <x:c r="A147" s="48" t="str">
        <x:v>SILVER-0146</x:v>
      </x:c>
      <x:c r="B147" s="48" t="str">
        <x:v>SILVER</x:v>
      </x:c>
      <x:c r="C147" s="48" t="str">
        <x:v>Indonesian</x:v>
      </x:c>
      <x:c r="D147" s="48" t="n">
        <x:v>35</x:v>
      </x:c>
      <x:c r="E147" s="48" t="str"/>
      <x:c r="F147" s="48" t="str">
        <x:v>Sea Aa TAU PE ANE</x:v>
      </x:c>
      <x:c r="G147" s="48" t="str">
        <x:v>Obligation</x:v>
      </x:c>
      <x:c r="H147" s="48" t="str">
        <x:v>Shared</x:v>
      </x:c>
      <x:c r="I147" s="48" t="n">
        <x:v>0.45</x:v>
      </x:c>
      <x:c r="J147" s="48" t="n">
        <x:v>0.4</x:v>
      </x:c>
      <x:c r="K147" s="48" t="str">
        <x:v>Yes</x:v>
      </x:c>
      <x:c r="L147" s="48" t="str">
        <x:v>OCR</x:v>
      </x:c>
    </x:row>
    <x:row r="148">
      <x:c r="A148" s="48" t="str">
        <x:v>SILVER-0147</x:v>
      </x:c>
      <x:c r="B148" s="48" t="str">
        <x:v>SILVER</x:v>
      </x:c>
      <x:c r="C148" s="48" t="str">
        <x:v>Indonesian</x:v>
      </x:c>
      <x:c r="D148" s="48" t="n">
        <x:v>35</x:v>
      </x:c>
      <x:c r="E148" s="48" t="str"/>
      <x:c r="F148" s="48" t="str">
        <x:v>Ners rgs Wek crom Plan an an</x:v>
      </x:c>
      <x:c r="G148" s="48" t="str">
        <x:v>Obligation</x:v>
      </x:c>
      <x:c r="H148" s="48" t="str">
        <x:v>Shared</x:v>
      </x:c>
      <x:c r="I148" s="48" t="n">
        <x:v>0.45</x:v>
      </x:c>
      <x:c r="J148" s="48" t="n">
        <x:v>0.4</x:v>
      </x:c>
      <x:c r="K148" s="48" t="str">
        <x:v>Yes</x:v>
      </x:c>
      <x:c r="L148" s="48" t="str">
        <x:v>OCR</x:v>
      </x:c>
    </x:row>
    <x:row r="149">
      <x:c r="A149" s="48" t="str">
        <x:v>SILVER-0148</x:v>
      </x:c>
      <x:c r="B149" s="48" t="str">
        <x:v>SILVER</x:v>
      </x:c>
      <x:c r="C149" s="48" t="str">
        <x:v>Indonesian</x:v>
      </x:c>
      <x:c r="D149" s="48" t="n">
        <x:v>35</x:v>
      </x:c>
      <x:c r="E149" s="48" t="str"/>
      <x:c r="F149" s="48" t="str">
        <x:v>SNN IUP Ya ada Gluta dn yna Lean</x:v>
      </x:c>
      <x:c r="G149" s="48" t="str">
        <x:v>Obligation</x:v>
      </x:c>
      <x:c r="H149" s="48" t="str">
        <x:v>Shared</x:v>
      </x:c>
      <x:c r="I149" s="48" t="n">
        <x:v>0.45</x:v>
      </x:c>
      <x:c r="J149" s="48" t="n">
        <x:v>0.4</x:v>
      </x:c>
      <x:c r="K149" s="48" t="str">
        <x:v>Yes</x:v>
      </x:c>
      <x:c r="L149" s="48" t="str">
        <x:v>OCR</x:v>
      </x:c>
    </x:row>
    <x:row r="150">
      <x:c r="A150" s="48" t="str">
        <x:v>SILVER-0149</x:v>
      </x:c>
      <x:c r="B150" s="48" t="str">
        <x:v>SILVER</x:v>
      </x:c>
      <x:c r="C150" s="48" t="str">
        <x:v>Indonesian</x:v>
      </x:c>
      <x:c r="D150" s="48" t="n">
        <x:v>35</x:v>
      </x:c>
      <x:c r="E150" s="48" t="str"/>
      <x:c r="F150" s="48" t="str">
        <x:v>(uan kn Kan Pergara bas Krim ana nga ato</x:v>
      </x:c>
      <x:c r="G150" s="48" t="str">
        <x:v>Obligation</x:v>
      </x:c>
      <x:c r="H150" s="48" t="str">
        <x:v>Shared</x:v>
      </x:c>
      <x:c r="I150" s="48" t="n">
        <x:v>0.45</x:v>
      </x:c>
      <x:c r="J150" s="48" t="n">
        <x:v>0.4</x:v>
      </x:c>
      <x:c r="K150" s="48" t="str">
        <x:v>Yes</x:v>
      </x:c>
      <x:c r="L150" s="48" t="str">
        <x:v>OCR</x:v>
      </x:c>
    </x:row>
    <x:row r="151">
      <x:c r="A151" s="48" t="str">
        <x:v>SILVER-0150</x:v>
      </x:c>
      <x:c r="B151" s="48" t="str">
        <x:v>SILVER</x:v>
      </x:c>
      <x:c r="C151" s="48" t="str">
        <x:v>Indonesian</x:v>
      </x:c>
      <x:c r="D151" s="48" t="n">
        <x:v>35</x:v>
      </x:c>
      <x:c r="E151" s="48" t="str"/>
      <x:c r="F151" s="48" t="str">
        <x:v>BL mer Mb pg GEA AA nga ran Gan</x:v>
      </x:c>
      <x:c r="G151" s="48" t="str">
        <x:v>Obligation</x:v>
      </x:c>
      <x:c r="H151" s="48" t="str">
        <x:v>Shared</x:v>
      </x:c>
      <x:c r="I151" s="48" t="n">
        <x:v>0.45</x:v>
      </x:c>
      <x:c r="J151" s="48" t="n">
        <x:v>0.4</x:v>
      </x:c>
      <x:c r="K151" s="48" t="str">
        <x:v>Yes</x:v>
      </x:c>
      <x:c r="L151" s="48" t="str">
        <x:v>OCR</x:v>
      </x:c>
    </x:row>
    <x:row r="152">
      <x:c r="A152" s="48" t="str">
        <x:v>SILVER-0151</x:v>
      </x:c>
      <x:c r="B152" s="48" t="str">
        <x:v>SILVER</x:v>
      </x:c>
      <x:c r="C152" s="48" t="str">
        <x:v>Indonesian</x:v>
      </x:c>
      <x:c r="D152" s="48" t="n">
        <x:v>35</x:v>
      </x:c>
      <x:c r="E152" s="48" t="str"/>
      <x:c r="F152" s="48" t="str">
        <x:v>Saka harga yeguraa</x:v>
      </x:c>
      <x:c r="G152" s="48" t="str">
        <x:v>Obligation</x:v>
      </x:c>
      <x:c r="H152" s="48" t="str">
        <x:v>Shared</x:v>
      </x:c>
      <x:c r="I152" s="48" t="n">
        <x:v>0.45</x:v>
      </x:c>
      <x:c r="J152" s="48" t="n">
        <x:v>0.4</x:v>
      </x:c>
      <x:c r="K152" s="48" t="str">
        <x:v>Yes</x:v>
      </x:c>
      <x:c r="L152" s="48" t="str">
        <x:v>OCR</x:v>
      </x:c>
    </x:row>
    <x:row r="153">
      <x:c r="A153" s="48" t="str">
        <x:v>SILVER-0152</x:v>
      </x:c>
      <x:c r="B153" s="48" t="str">
        <x:v>SILVER</x:v>
      </x:c>
      <x:c r="C153" s="48" t="str">
        <x:v>Indonesian</x:v>
      </x:c>
      <x:c r="D153" s="48" t="n">
        <x:v>35</x:v>
      </x:c>
      <x:c r="E153" s="48" t="str"/>
      <x:c r="F153" s="48" t="str">
        <x:v>ar Ke Ga an jg ha ban Pr yg wan ena DA pa Mann aman ls ma ngan Da 25 Pn Pegat an an na 38 Perapa Mema.</x:v>
      </x:c>
      <x:c r="G153" s="48" t="str">
        <x:v>Obligation</x:v>
      </x:c>
      <x:c r="H153" s="48" t="str">
        <x:v>Shared</x:v>
      </x:c>
      <x:c r="I153" s="48" t="n">
        <x:v>0.45</x:v>
      </x:c>
      <x:c r="J153" s="48" t="n">
        <x:v>0.4</x:v>
      </x:c>
      <x:c r="K153" s="48" t="str">
        <x:v>Yes</x:v>
      </x:c>
      <x:c r="L153" s="48" t="str">
        <x:v>OCR</x:v>
      </x:c>
    </x:row>
    <x:row r="154">
      <x:c r="A154" s="48" t="str">
        <x:v>SILVER-0153</x:v>
      </x:c>
      <x:c r="B154" s="48" t="str">
        <x:v>SILVER</x:v>
      </x:c>
      <x:c r="C154" s="48" t="str">
        <x:v>Indonesian</x:v>
      </x:c>
      <x:c r="D154" s="48" t="n">
        <x:v>35</x:v>
      </x:c>
      <x:c r="E154" s="48" t="str"/>
      <x:c r="F154" s="48" t="str">
        <x:v>Jaa aan oearong</x:v>
      </x:c>
      <x:c r="G154" s="48" t="str">
        <x:v>Obligation</x:v>
      </x:c>
      <x:c r="H154" s="48" t="str">
        <x:v>Shared</x:v>
      </x:c>
      <x:c r="I154" s="48" t="n">
        <x:v>0.45</x:v>
      </x:c>
      <x:c r="J154" s="48" t="n">
        <x:v>0.4</x:v>
      </x:c>
      <x:c r="K154" s="48" t="str">
        <x:v>Yes</x:v>
      </x:c>
      <x:c r="L154" s="48" t="str">
        <x:v>OCR</x:v>
      </x:c>
    </x:row>
    <x:row r="155">
      <x:c r="A155" s="48" t="str">
        <x:v>SILVER-0154</x:v>
      </x:c>
      <x:c r="B155" s="48" t="str">
        <x:v>SILVER</x:v>
      </x:c>
      <x:c r="C155" s="48" t="str">
        <x:v>Indonesian</x:v>
      </x:c>
      <x:c r="D155" s="48" t="n">
        <x:v>35</x:v>
      </x:c>
      <x:c r="E155" s="48" t="str"/>
      <x:c r="F155" s="48" t="str">
        <x:v>Pan Pama PDPN MAA a</x:v>
      </x:c>
      <x:c r="G155" s="48" t="str">
        <x:v>Obligation</x:v>
      </x:c>
      <x:c r="H155" s="48" t="str">
        <x:v>Shared</x:v>
      </x:c>
      <x:c r="I155" s="48" t="n">
        <x:v>0.45</x:v>
      </x:c>
      <x:c r="J155" s="48" t="n">
        <x:v>0.4</x:v>
      </x:c>
      <x:c r="K155" s="48" t="str">
        <x:v>Yes</x:v>
      </x:c>
      <x:c r="L155" s="48" t="str">
        <x:v>OCR</x:v>
      </x:c>
    </x:row>
    <x:row r="156">
      <x:c r="A156" s="48" t="str">
        <x:v>SILVER-0155</x:v>
      </x:c>
      <x:c r="B156" s="48" t="str">
        <x:v>SILVER</x:v>
      </x:c>
      <x:c r="C156" s="48" t="str">
        <x:v>Indonesian</x:v>
      </x:c>
      <x:c r="D156" s="48" t="n">
        <x:v>35</x:v>
      </x:c>
      <x:c r="E156" s="48" t="str"/>
      <x:c r="F156" s="48" t="str">
        <x:v>kada Dawan gtan Se Krnser cam pebawan Puan dngan Oa Bea Gr ban Pti ana gan Pra ea Ja ac Angan</x:v>
      </x:c>
      <x:c r="G156" s="48" t="str">
        <x:v>Obligation</x:v>
      </x:c>
      <x:c r="H156" s="48" t="str">
        <x:v>Shared</x:v>
      </x:c>
      <x:c r="I156" s="48" t="n">
        <x:v>0.45</x:v>
      </x:c>
      <x:c r="J156" s="48" t="n">
        <x:v>0.4</x:v>
      </x:c>
      <x:c r="K156" s="48" t="str">
        <x:v>Yes</x:v>
      </x:c>
      <x:c r="L156" s="48" t="str">
        <x:v>OCR</x:v>
      </x:c>
    </x:row>
    <x:row r="157">
      <x:c r="A157" s="48" t="str">
        <x:v>SILVER-0156</x:v>
      </x:c>
      <x:c r="B157" s="48" t="str">
        <x:v>SILVER</x:v>
      </x:c>
      <x:c r="C157" s="48" t="str">
        <x:v>Indonesian</x:v>
      </x:c>
      <x:c r="D157" s="48" t="n">
        <x:v>35</x:v>
      </x:c>
      <x:c r="E157" s="48" t="str"/>
      <x:c r="F157" s="48" t="str">
        <x:v>Ab aman Peggpa a</x:v>
      </x:c>
      <x:c r="G157" s="48" t="str">
        <x:v>Obligation</x:v>
      </x:c>
      <x:c r="H157" s="48" t="str">
        <x:v>Shared</x:v>
      </x:c>
      <x:c r="I157" s="48" t="n">
        <x:v>0.45</x:v>
      </x:c>
      <x:c r="J157" s="48" t="n">
        <x:v>0.4</x:v>
      </x:c>
      <x:c r="K157" s="48" t="str">
        <x:v>Yes</x:v>
      </x:c>
      <x:c r="L157" s="48" t="str">
        <x:v>OCR</x:v>
      </x:c>
    </x:row>
    <x:row r="158">
      <x:c r="A158" s="48" t="str">
        <x:v>SILVER-0157</x:v>
      </x:c>
      <x:c r="B158" s="48" t="str">
        <x:v>SILVER</x:v>
      </x:c>
      <x:c r="C158" s="48" t="str">
        <x:v>Indonesian</x:v>
      </x:c>
      <x:c r="D158" s="48" t="n">
        <x:v>35</x:v>
      </x:c>
      <x:c r="E158" s="48" t="str"/>
      <x:c r="F158" s="48" t="str">
        <x:v>(PEG Inai Ur Un Pra Pergi (Krn Pn ngamen at ga an Pan Prana aka Drg dna Gara aan Sa Da</x:v>
      </x:c>
      <x:c r="G158" s="48" t="str">
        <x:v>Obligation</x:v>
      </x:c>
      <x:c r="H158" s="48" t="str">
        <x:v>Shared</x:v>
      </x:c>
      <x:c r="I158" s="48" t="n">
        <x:v>0.45</x:v>
      </x:c>
      <x:c r="J158" s="48" t="n">
        <x:v>0.4</x:v>
      </x:c>
      <x:c r="K158" s="48" t="str">
        <x:v>Yes</x:v>
      </x:c>
      <x:c r="L158" s="48" t="str">
        <x:v>OCR</x:v>
      </x:c>
    </x:row>
    <x:row r="159">
      <x:c r="A159" s="48" t="str">
        <x:v>SILVER-0158</x:v>
      </x:c>
      <x:c r="B159" s="48" t="str">
        <x:v>SILVER</x:v>
      </x:c>
      <x:c r="C159" s="48" t="str">
        <x:v>Indonesian</x:v>
      </x:c>
      <x:c r="D159" s="48" t="n">
        <x:v>35</x:v>
      </x:c>
      <x:c r="E159" s="48" t="str"/>
      <x:c r="F159" s="48" t="str">
        <x:v>Mira Ga ban yrg tata Gap ngan Para ye Getar ik</x:v>
      </x:c>
      <x:c r="G159" s="48" t="str">
        <x:v>Obligation</x:v>
      </x:c>
      <x:c r="H159" s="48" t="str">
        <x:v>Shared</x:v>
      </x:c>
      <x:c r="I159" s="48" t="n">
        <x:v>0.45</x:v>
      </x:c>
      <x:c r="J159" s="48" t="n">
        <x:v>0.4</x:v>
      </x:c>
      <x:c r="K159" s="48" t="str">
        <x:v>Yes</x:v>
      </x:c>
      <x:c r="L159" s="48" t="str">
        <x:v>OCR</x:v>
      </x:c>
    </x:row>
    <x:row r="160">
      <x:c r="A160" s="48" t="str">
        <x:v>SILVER-0159</x:v>
      </x:c>
      <x:c r="B160" s="48" t="str">
        <x:v>SILVER</x:v>
      </x:c>
      <x:c r="C160" s="48" t="str">
        <x:v>Indonesian</x:v>
      </x:c>
      <x:c r="D160" s="48" t="n">
        <x:v>35</x:v>
      </x:c>
      <x:c r="E160" s="48" t="str"/>
      <x:c r="F160" s="48" t="str">
        <x:v>engan Pen Drg dan at ga on Mena dgan Santan 25 Mun an Pewarna an Seniman 38 Peneret nanas Men Ina MN egg dan</x:v>
      </x:c>
      <x:c r="G160" s="48" t="str">
        <x:v>Obligation</x:v>
      </x:c>
      <x:c r="H160" s="48" t="str">
        <x:v>Shared</x:v>
      </x:c>
      <x:c r="I160" s="48" t="n">
        <x:v>0.45</x:v>
      </x:c>
      <x:c r="J160" s="48" t="n">
        <x:v>0.4</x:v>
      </x:c>
      <x:c r="K160" s="48" t="str">
        <x:v>Yes</x:v>
      </x:c>
      <x:c r="L160" s="48" t="str">
        <x:v>OCR</x:v>
      </x:c>
    </x:row>
    <x:row r="161">
      <x:c r="A161" s="48" t="str">
        <x:v>SILVER-0160</x:v>
      </x:c>
      <x:c r="B161" s="48" t="str">
        <x:v>SILVER</x:v>
      </x:c>
      <x:c r="C161" s="48" t="str">
        <x:v>Indonesian</x:v>
      </x:c>
      <x:c r="D161" s="48" t="n">
        <x:v>35</x:v>
      </x:c>
      <x:c r="E161" s="48" t="str"/>
      <x:c r="F161" s="48" t="str">
        <x:v>PETA San mena, cr Sr cuma fun tuan dB</x:v>
      </x:c>
      <x:c r="G161" s="48" t="str">
        <x:v>Obligation</x:v>
      </x:c>
      <x:c r="H161" s="48" t="str">
        <x:v>Shared</x:v>
      </x:c>
      <x:c r="I161" s="48" t="n">
        <x:v>0.45</x:v>
      </x:c>
      <x:c r="J161" s="48" t="n">
        <x:v>0.4</x:v>
      </x:c>
      <x:c r="K161" s="48" t="str">
        <x:v>Yes</x:v>
      </x:c>
      <x:c r="L161" s="48" t="str">
        <x:v>OCR</x:v>
      </x:c>
    </x:row>
    <x:row r="162">
      <x:c r="A162" s="48" t="str">
        <x:v>SILVER-0161</x:v>
      </x:c>
      <x:c r="B162" s="48" t="str">
        <x:v>SILVER</x:v>
      </x:c>
      <x:c r="C162" s="48" t="str">
        <x:v>Indonesian</x:v>
      </x:c>
      <x:c r="D162" s="48" t="n">
        <x:v>35</x:v>
      </x:c>
      <x:c r="E162" s="48" t="str"/>
      <x:c r="F162" s="48" t="str">
        <x:v>(SM Wi Son al yg Oman am Seat Prgara baron, gn mebaham aU menetap Da MK dai</x:v>
      </x:c>
      <x:c r="G162" s="48" t="str">
        <x:v>Obligation</x:v>
      </x:c>
      <x:c r="H162" s="48" t="str">
        <x:v>Shared</x:v>
      </x:c>
      <x:c r="I162" s="48" t="n">
        <x:v>0.45</x:v>
      </x:c>
      <x:c r="J162" s="48" t="n">
        <x:v>0.4</x:v>
      </x:c>
      <x:c r="K162" s="48" t="str">
        <x:v>Yes</x:v>
      </x:c>
      <x:c r="L162" s="48" t="str">
        <x:v>OCR</x:v>
      </x:c>
    </x:row>
    <x:row r="163">
      <x:c r="A163" s="48" t="str">
        <x:v>SILVER-0162</x:v>
      </x:c>
      <x:c r="B163" s="48" t="str">
        <x:v>SILVER</x:v>
      </x:c>
      <x:c r="C163" s="48" t="str">
        <x:v>Indonesian</x:v>
      </x:c>
      <x:c r="D163" s="48" t="n">
        <x:v>35</x:v>
      </x:c>
      <x:c r="E163" s="48" t="str"/>
      <x:c r="F163" s="48" t="str">
        <x:v>MEN an an Ke Kan jana menaungi men sa</x:v>
      </x:c>
      <x:c r="G163" s="48" t="str">
        <x:v>Obligation</x:v>
      </x:c>
      <x:c r="H163" s="48" t="str">
        <x:v>Shared</x:v>
      </x:c>
      <x:c r="I163" s="48" t="n">
        <x:v>0.45</x:v>
      </x:c>
      <x:c r="J163" s="48" t="n">
        <x:v>0.4</x:v>
      </x:c>
      <x:c r="K163" s="48" t="str">
        <x:v>Yes</x:v>
      </x:c>
      <x:c r="L163" s="48" t="str">
        <x:v>OCR</x:v>
      </x:c>
    </x:row>
    <x:row r="164">
      <x:c r="A164" s="48" t="str">
        <x:v>SILVER-0163</x:v>
      </x:c>
      <x:c r="B164" s="48" t="str">
        <x:v>SILVER</x:v>
      </x:c>
      <x:c r="C164" s="48" t="str">
        <x:v>Indonesian</x:v>
      </x:c>
      <x:c r="D164" s="48" t="n">
        <x:v>35</x:v>
      </x:c>
      <x:c r="E164" s="48" t="str"/>
      <x:c r="F164" s="48" t="str">
        <x:v>Taka gm merta Ica Pegara Ja to Iargan Ge aa,</x:v>
      </x:c>
      <x:c r="G164" s="48" t="str">
        <x:v>Obligation</x:v>
      </x:c>
      <x:c r="H164" s="48" t="str">
        <x:v>Shared</x:v>
      </x:c>
      <x:c r="I164" s="48" t="n">
        <x:v>0.45</x:v>
      </x:c>
      <x:c r="J164" s="48" t="n">
        <x:v>0.4</x:v>
      </x:c>
      <x:c r="K164" s="48" t="str">
        <x:v>Yes</x:v>
      </x:c>
      <x:c r="L164" s="48" t="str">
        <x:v>OCR</x:v>
      </x:c>
    </x:row>
    <x:row r="165">
      <x:c r="A165" s="48" t="str">
        <x:v>SILVER-0164</x:v>
      </x:c>
      <x:c r="B165" s="48" t="str">
        <x:v>SILVER</x:v>
      </x:c>
      <x:c r="C165" s="48" t="str">
        <x:v>Indonesian</x:v>
      </x:c>
      <x:c r="D165" s="48" t="n">
        <x:v>35</x:v>
      </x:c>
      <x:c r="E165" s="48" t="str"/>
      <x:c r="F165" s="48" t="str">
        <x:v>Da Sa en Pa AN Ga en aa</x:v>
      </x:c>
      <x:c r="G165" s="48" t="str">
        <x:v>Obligation</x:v>
      </x:c>
      <x:c r="H165" s="48" t="str">
        <x:v>Shared</x:v>
      </x:c>
      <x:c r="I165" s="48" t="n">
        <x:v>0.45</x:v>
      </x:c>
      <x:c r="J165" s="48" t="n">
        <x:v>0.4</x:v>
      </x:c>
      <x:c r="K165" s="48" t="str">
        <x:v>Yes</x:v>
      </x:c>
      <x:c r="L165" s="48" t="str">
        <x:v>OCR</x:v>
      </x:c>
    </x:row>
    <x:row r="166">
      <x:c r="A166" s="48" t="str">
        <x:v>SILVER-0165</x:v>
      </x:c>
      <x:c r="B166" s="48" t="str">
        <x:v>SILVER</x:v>
      </x:c>
      <x:c r="C166" s="48" t="str">
        <x:v>Indonesian</x:v>
      </x:c>
      <x:c r="D166" s="48" t="n">
        <x:v>35</x:v>
      </x:c>
      <x:c r="E166" s="48" t="str"/>
      <x:c r="F166" s="48" t="str">
        <x:v>me AP AM</x:v>
      </x:c>
      <x:c r="G166" s="48" t="str">
        <x:v>Obligation</x:v>
      </x:c>
      <x:c r="H166" s="48" t="str">
        <x:v>Shared</x:v>
      </x:c>
      <x:c r="I166" s="48" t="n">
        <x:v>0.45</x:v>
      </x:c>
      <x:c r="J166" s="48" t="n">
        <x:v>0.4</x:v>
      </x:c>
      <x:c r="K166" s="48" t="str">
        <x:v>Yes</x:v>
      </x:c>
      <x:c r="L166" s="48" t="str">
        <x:v>OCR</x:v>
      </x:c>
    </x:row>
    <x:row r="167">
      <x:c r="A167" s="48" t="str">
        <x:v>SILVER-0166</x:v>
      </x:c>
      <x:c r="B167" s="48" t="str">
        <x:v>SILVER</x:v>
      </x:c>
      <x:c r="C167" s="48" t="str">
        <x:v>Indonesian</x:v>
      </x:c>
      <x:c r="D167" s="48" t="n">
        <x:v>35</x:v>
      </x:c>
      <x:c r="E167" s="48" t="str"/>
      <x:c r="F167" s="48" t="str">
        <x:v>Saman era Sen ya bata ta ta ar trd ban</x:v>
      </x:c>
      <x:c r="G167" s="48" t="str">
        <x:v>Obligation</x:v>
      </x:c>
      <x:c r="H167" s="48" t="str">
        <x:v>Shared</x:v>
      </x:c>
      <x:c r="I167" s="48" t="n">
        <x:v>0.45</x:v>
      </x:c>
      <x:c r="J167" s="48" t="n">
        <x:v>0.4</x:v>
      </x:c>
      <x:c r="K167" s="48" t="str">
        <x:v>Yes</x:v>
      </x:c>
      <x:c r="L167" s="48" t="str">
        <x:v>OCR</x:v>
      </x:c>
    </x:row>
    <x:row r="168">
      <x:c r="A168" s="48" t="str">
        <x:v>SILVER-0167</x:v>
      </x:c>
      <x:c r="B168" s="48" t="str">
        <x:v>SILVER</x:v>
      </x:c>
      <x:c r="C168" s="48" t="str">
        <x:v>Indonesian</x:v>
      </x:c>
      <x:c r="D168" s="48" t="n">
        <x:v>35</x:v>
      </x:c>
      <x:c r="E168" s="48" t="str"/>
      <x:c r="F168" s="48" t="str">
        <x:v>PEN rataan La Sega Kernet Maman Kamar an</x:v>
      </x:c>
      <x:c r="G168" s="48" t="str">
        <x:v>Obligation</x:v>
      </x:c>
      <x:c r="H168" s="48" t="str">
        <x:v>Shared</x:v>
      </x:c>
      <x:c r="I168" s="48" t="n">
        <x:v>0.45</x:v>
      </x:c>
      <x:c r="J168" s="48" t="n">
        <x:v>0.4</x:v>
      </x:c>
      <x:c r="K168" s="48" t="str">
        <x:v>Yes</x:v>
      </x:c>
      <x:c r="L168" s="48" t="str">
        <x:v>OCR</x:v>
      </x:c>
    </x:row>
    <x:row r="169">
      <x:c r="A169" s="48" t="str">
        <x:v>SILVER-0168</x:v>
      </x:c>
      <x:c r="B169" s="48" t="str">
        <x:v>SILVER</x:v>
      </x:c>
      <x:c r="C169" s="48" t="str">
        <x:v>Indonesian</x:v>
      </x:c>
      <x:c r="D169" s="48" t="n">
        <x:v>35</x:v>
      </x:c>
      <x:c r="E169" s="48" t="str"/>
      <x:c r="F169" s="48" t="str">
        <x:v>Aa angan memearan an eno Ka rertaDar ear</x:v>
      </x:c>
      <x:c r="G169" s="48" t="str">
        <x:v>Obligation</x:v>
      </x:c>
      <x:c r="H169" s="48" t="str">
        <x:v>Shared</x:v>
      </x:c>
      <x:c r="I169" s="48" t="n">
        <x:v>0.45</x:v>
      </x:c>
      <x:c r="J169" s="48" t="n">
        <x:v>0.4</x:v>
      </x:c>
      <x:c r="K169" s="48" t="str">
        <x:v>Yes</x:v>
      </x:c>
      <x:c r="L169" s="48" t="str">
        <x:v>OCR</x:v>
      </x:c>
    </x:row>
    <x:row r="170">
      <x:c r="A170" s="48" t="str">
        <x:v>SILVER-0169</x:v>
      </x:c>
      <x:c r="B170" s="48" t="str">
        <x:v>SILVER</x:v>
      </x:c>
      <x:c r="C170" s="48" t="str">
        <x:v>Indonesian</x:v>
      </x:c>
      <x:c r="D170" s="48" t="n">
        <x:v>35</x:v>
      </x:c>
      <x:c r="E170" s="48" t="str"/>
      <x:c r="F170" s="48" t="str">
        <x:v>SNN ON Oa Bln Sau Menu ra Una</x:v>
      </x:c>
      <x:c r="G170" s="48" t="str">
        <x:v>Obligation</x:v>
      </x:c>
      <x:c r="H170" s="48" t="str">
        <x:v>Shared</x:v>
      </x:c>
      <x:c r="I170" s="48" t="n">
        <x:v>0.45</x:v>
      </x:c>
      <x:c r="J170" s="48" t="n">
        <x:v>0.4</x:v>
      </x:c>
      <x:c r="K170" s="48" t="str">
        <x:v>Yes</x:v>
      </x:c>
      <x:c r="L170" s="48" t="str">
        <x:v>OCR</x:v>
      </x:c>
    </x:row>
    <x:row r="171">
      <x:c r="A171" s="48" t="str">
        <x:v>SILVER-0170</x:v>
      </x:c>
      <x:c r="B171" s="48" t="str">
        <x:v>SILVER</x:v>
      </x:c>
      <x:c r="C171" s="48" t="str">
        <x:v>Indonesian</x:v>
      </x:c>
      <x:c r="D171" s="48" t="n">
        <x:v>36</x:v>
      </x:c>
      <x:c r="E171" s="48" t="str"/>
      <x:c r="F171" s="48" t="str">
        <x:v>Lapan Koajan</x:v>
      </x:c>
      <x:c r="G171" s="48" t="str">
        <x:v>Obligation</x:v>
      </x:c>
      <x:c r="H171" s="48" t="str">
        <x:v>Shared</x:v>
      </x:c>
      <x:c r="I171" s="48" t="n">
        <x:v>0.45</x:v>
      </x:c>
      <x:c r="J171" s="48" t="n">
        <x:v>0.4</x:v>
      </x:c>
      <x:c r="K171" s="48" t="str">
        <x:v>Yes</x:v>
      </x:c>
      <x:c r="L171" s="48" t="str">
        <x:v>OCR</x:v>
      </x:c>
    </x:row>
    <x:row r="172">
      <x:c r="A172" s="48" t="str">
        <x:v>SILVER-0171</x:v>
      </x:c>
      <x:c r="B172" s="48" t="str">
        <x:v>SILVER</x:v>
      </x:c>
      <x:c r="C172" s="48" t="str">
        <x:v>Indonesian</x:v>
      </x:c>
      <x:c r="D172" s="48" t="n">
        <x:v>37</x:v>
      </x:c>
      <x:c r="E172" s="48" t="str"/>
      <x:c r="F172" s="48" t="str">
        <x:v>pera loneakt Krn mn merta sunan dlupa ec nih turn tapegan Ika maan Gate Kerta an deadi en Para ban ti</x:v>
      </x:c>
      <x:c r="G172" s="48" t="str">
        <x:v>Obligation</x:v>
      </x:c>
      <x:c r="H172" s="48" t="str">
        <x:v>Shared</x:v>
      </x:c>
      <x:c r="I172" s="48" t="n">
        <x:v>0.45</x:v>
      </x:c>
      <x:c r="J172" s="48" t="n">
        <x:v>0.4</x:v>
      </x:c>
      <x:c r="K172" s="48" t="str">
        <x:v>Yes</x:v>
      </x:c>
      <x:c r="L172" s="48" t="str">
        <x:v>OCR</x:v>
      </x:c>
    </x:row>
    <x:row r="173">
      <x:c r="A173" s="48" t="str">
        <x:v>SILVER-0172</x:v>
      </x:c>
      <x:c r="B173" s="48" t="str">
        <x:v>SILVER</x:v>
      </x:c>
      <x:c r="C173" s="48" t="str">
        <x:v>Indonesian</x:v>
      </x:c>
      <x:c r="D173" s="48" t="n">
        <x:v>37</x:v>
      </x:c>
      <x:c r="E173" s="48" t="str"/>
      <x:c r="F173" s="48" t="str">
        <x:v>Sean DNS Pande rama</x:v>
      </x:c>
      <x:c r="G173" s="48" t="str">
        <x:v>Obligation</x:v>
      </x:c>
      <x:c r="H173" s="48" t="str">
        <x:v>Shared</x:v>
      </x:c>
      <x:c r="I173" s="48" t="n">
        <x:v>0.45</x:v>
      </x:c>
      <x:c r="J173" s="48" t="n">
        <x:v>0.4</x:v>
      </x:c>
      <x:c r="K173" s="48" t="str">
        <x:v>Yes</x:v>
      </x:c>
      <x:c r="L173" s="48" t="str">
        <x:v>OCR</x:v>
      </x:c>
    </x:row>
    <x:row r="174">
      <x:c r="A174" s="48" t="str">
        <x:v>SILVER-0173</x:v>
      </x:c>
      <x:c r="B174" s="48" t="str">
        <x:v>SILVER</x:v>
      </x:c>
      <x:c r="C174" s="48" t="str">
        <x:v>Indonesian</x:v>
      </x:c>
      <x:c r="D174" s="48" t="n">
        <x:v>37</x:v>
      </x:c>
      <x:c r="E174" s="48" t="str"/>
      <x:c r="F174" s="48" t="str">
        <x:v>Il BENKON AK Tn a Snan Wana adan</x:v>
      </x:c>
      <x:c r="G174" s="48" t="str">
        <x:v>Obligation</x:v>
      </x:c>
      <x:c r="H174" s="48" t="str">
        <x:v>Shared</x:v>
      </x:c>
      <x:c r="I174" s="48" t="n">
        <x:v>0.45</x:v>
      </x:c>
      <x:c r="J174" s="48" t="n">
        <x:v>0.4</x:v>
      </x:c>
      <x:c r="K174" s="48" t="str">
        <x:v>Yes</x:v>
      </x:c>
      <x:c r="L174" s="48" t="str">
        <x:v>OCR</x:v>
      </x:c>
    </x:row>
    <x:row r="175">
      <x:c r="A175" s="48" t="str">
        <x:v>SILVER-0174</x:v>
      </x:c>
      <x:c r="B175" s="48" t="str">
        <x:v>SILVER</x:v>
      </x:c>
      <x:c r="C175" s="48" t="str">
        <x:v>Indonesian</x:v>
      </x:c>
      <x:c r="D175" s="48" t="n">
        <x:v>37</x:v>
      </x:c>
      <x:c r="E175" s="48" t="str"/>
      <x:c r="F175" s="48" t="str">
        <x:v>(area tatanan aa Peran Maa Penata paman aa Da yr So drake San Ha Kat</x:v>
      </x:c>
      <x:c r="G175" s="48" t="str">
        <x:v>Obligation</x:v>
      </x:c>
      <x:c r="H175" s="48" t="str">
        <x:v>Shared</x:v>
      </x:c>
      <x:c r="I175" s="48" t="n">
        <x:v>0.45</x:v>
      </x:c>
      <x:c r="J175" s="48" t="n">
        <x:v>0.4</x:v>
      </x:c>
      <x:c r="K175" s="48" t="str">
        <x:v>Yes</x:v>
      </x:c>
      <x:c r="L175" s="48" t="str">
        <x:v>OCR</x:v>
      </x:c>
    </x:row>
    <x:row r="176">
      <x:c r="A176" s="48" t="str">
        <x:v>SILVER-0175</x:v>
      </x:c>
      <x:c r="B176" s="48" t="str">
        <x:v>SILVER</x:v>
      </x:c>
      <x:c r="C176" s="48" t="str">
        <x:v>Indonesian</x:v>
      </x:c>
      <x:c r="D176" s="48" t="n">
        <x:v>37</x:v>
      </x:c>
      <x:c r="E176" s="48" t="str"/>
      <x:c r="F176" s="48" t="str">
        <x:v>Suu pruna perbatuhan Ang, Pergara sx Pata menssaria</x:v>
      </x:c>
      <x:c r="G176" s="48" t="str">
        <x:v>Obligation</x:v>
      </x:c>
      <x:c r="H176" s="48" t="str">
        <x:v>Shared</x:v>
      </x:c>
      <x:c r="I176" s="48" t="n">
        <x:v>0.45</x:v>
      </x:c>
      <x:c r="J176" s="48" t="n">
        <x:v>0.4</x:v>
      </x:c>
      <x:c r="K176" s="48" t="str">
        <x:v>Yes</x:v>
      </x:c>
      <x:c r="L176" s="48" t="str">
        <x:v>OCR</x:v>
      </x:c>
    </x:row>
    <x:row r="177">
      <x:c r="A177" s="48" t="str">
        <x:v>SILVER-0176</x:v>
      </x:c>
      <x:c r="B177" s="48" t="str">
        <x:v>SILVER</x:v>
      </x:c>
      <x:c r="C177" s="48" t="str">
        <x:v>Indonesian</x:v>
      </x:c>
      <x:c r="D177" s="48" t="n">
        <x:v>37</x:v>
      </x:c>
      <x:c r="E177" s="48" t="str"/>
      <x:c r="F177" s="48" t="str">
        <x:v>Seakan MO ena 3 POLA menemani</x:v>
      </x:c>
      <x:c r="G177" s="48" t="str">
        <x:v>Obligation</x:v>
      </x:c>
      <x:c r="H177" s="48" t="str">
        <x:v>Shared</x:v>
      </x:c>
      <x:c r="I177" s="48" t="n">
        <x:v>0.45</x:v>
      </x:c>
      <x:c r="J177" s="48" t="n">
        <x:v>0.4</x:v>
      </x:c>
      <x:c r="K177" s="48" t="str">
        <x:v>Yes</x:v>
      </x:c>
      <x:c r="L177" s="48" t="str">
        <x:v>OCR</x:v>
      </x:c>
    </x:row>
    <x:row r="178">
      <x:c r="A178" s="48" t="str">
        <x:v>SILVER-0177</x:v>
      </x:c>
      <x:c r="B178" s="48" t="str">
        <x:v>SILVER</x:v>
      </x:c>
      <x:c r="C178" s="48" t="str">
        <x:v>Indonesian</x:v>
      </x:c>
      <x:c r="D178" s="48" t="n">
        <x:v>37</x:v>
      </x:c>
      <x:c r="E178" s="48" t="str"/>
      <x:c r="F178" s="48" t="str">
        <x:v>Kaitan Doain Ker Ita GOR kh mera Brg Com, sed Trap Dae,</x:v>
      </x:c>
      <x:c r="G178" s="48" t="str">
        <x:v>Obligation</x:v>
      </x:c>
      <x:c r="H178" s="48" t="str">
        <x:v>Shared</x:v>
      </x:c>
      <x:c r="I178" s="48" t="n">
        <x:v>0.45</x:v>
      </x:c>
      <x:c r="J178" s="48" t="n">
        <x:v>0.4</x:v>
      </x:c>
      <x:c r="K178" s="48" t="str">
        <x:v>Yes</x:v>
      </x:c>
      <x:c r="L178" s="48" t="str">
        <x:v>OCR</x:v>
      </x:c>
    </x:row>
    <x:row r="179">
      <x:c r="A179" s="48" t="str">
        <x:v>SILVER-0178</x:v>
      </x:c>
      <x:c r="B179" s="48" t="str">
        <x:v>SILVER</x:v>
      </x:c>
      <x:c r="C179" s="48" t="str">
        <x:v>Indonesian</x:v>
      </x:c>
      <x:c r="D179" s="48" t="n">
        <x:v>37</x:v>
      </x:c>
      <x:c r="E179" s="48" t="str"/>
      <x:c r="F179" s="48" t="str">
        <x:v>pewarna petmpa-eehneanyeikgnekg knpa ie</x:v>
      </x:c>
      <x:c r="G179" s="48" t="str">
        <x:v>Obligation</x:v>
      </x:c>
      <x:c r="H179" s="48" t="str">
        <x:v>Shared</x:v>
      </x:c>
      <x:c r="I179" s="48" t="n">
        <x:v>0.45</x:v>
      </x:c>
      <x:c r="J179" s="48" t="n">
        <x:v>0.4</x:v>
      </x:c>
      <x:c r="K179" s="48" t="str">
        <x:v>Yes</x:v>
      </x:c>
      <x:c r="L179" s="48" t="str">
        <x:v>OCR</x:v>
      </x:c>
    </x:row>
    <x:row r="180">
      <x:c r="A180" s="48" t="str">
        <x:v>SILVER-0179</x:v>
      </x:c>
      <x:c r="B180" s="48" t="str">
        <x:v>SILVER</x:v>
      </x:c>
      <x:c r="C180" s="48" t="str">
        <x:v>Indonesian</x:v>
      </x:c>
      <x:c r="D180" s="48" t="n">
        <x:v>37</x:v>
      </x:c>
      <x:c r="E180" s="48" t="str"/>
      <x:c r="F180" s="48" t="str">
        <x:v>Menhan pat gan ga Pan em Fan</x:v>
      </x:c>
      <x:c r="G180" s="48" t="str">
        <x:v>Obligation</x:v>
      </x:c>
      <x:c r="H180" s="48" t="str">
        <x:v>Shared</x:v>
      </x:c>
      <x:c r="I180" s="48" t="n">
        <x:v>0.45</x:v>
      </x:c>
      <x:c r="J180" s="48" t="n">
        <x:v>0.4</x:v>
      </x:c>
      <x:c r="K180" s="48" t="str">
        <x:v>Yes</x:v>
      </x:c>
      <x:c r="L180" s="48" t="str">
        <x:v>OCR</x:v>
      </x:c>
    </x:row>
    <x:row r="181">
      <x:c r="A181" s="48" t="str">
        <x:v>SILVER-0180</x:v>
      </x:c>
      <x:c r="B181" s="48" t="str">
        <x:v>SILVER</x:v>
      </x:c>
      <x:c r="C181" s="48" t="str">
        <x:v>Indonesian</x:v>
      </x:c>
      <x:c r="D181" s="48" t="n">
        <x:v>37</x:v>
      </x:c>
      <x:c r="E181" s="48" t="str">
        <x:v>2</x:v>
      </x:c>
      <x:c r="F181" s="48" t="str">
        <x:v>2 ore pewantoakima pan tang</x:v>
      </x:c>
      <x:c r="G181" s="48" t="str">
        <x:v>Heading</x:v>
      </x:c>
      <x:c r="H181" s="48" t="str"/>
      <x:c r="I181" s="48" t="n">
        <x:v>0.9</x:v>
      </x:c>
      <x:c r="J181" s="48" t="n">
        <x:v>0.99</x:v>
      </x:c>
      <x:c r="K181" s="48" t="str">
        <x:v>No</x:v>
      </x:c>
      <x:c r="L181" s="48" t="str">
        <x:v>OCR</x:v>
      </x:c>
    </x:row>
    <x:row r="182">
      <x:c r="A182" s="48" t="str">
        <x:v>SILVER-0181</x:v>
      </x:c>
      <x:c r="B182" s="48" t="str">
        <x:v>SILVER</x:v>
      </x:c>
      <x:c r="C182" s="48" t="str">
        <x:v>Indonesian</x:v>
      </x:c>
      <x:c r="D182" s="48" t="n">
        <x:v>40</x:v>
      </x:c>
      <x:c r="E182" s="48" t="str"/>
      <x:c r="F182" s="48" t="str">
        <x:v>Mana Opera</x:v>
      </x:c>
      <x:c r="G182" s="48" t="str">
        <x:v>Obligation</x:v>
      </x:c>
      <x:c r="H182" s="48" t="str">
        <x:v>Shared</x:v>
      </x:c>
      <x:c r="I182" s="48" t="n">
        <x:v>0.45</x:v>
      </x:c>
      <x:c r="J182" s="48" t="n">
        <x:v>0.4</x:v>
      </x:c>
      <x:c r="K182" s="48" t="str">
        <x:v>Yes</x:v>
      </x:c>
      <x:c r="L182" s="48" t="str">
        <x:v>OCR</x:v>
      </x:c>
    </x:row>
    <x:row r="183">
      <x:c r="A183" s="48" t="str">
        <x:v>SILVER-0182</x:v>
      </x:c>
      <x:c r="B183" s="48" t="str">
        <x:v>SILVER</x:v>
      </x:c>
      <x:c r="C183" s="48" t="str">
        <x:v>Indonesian</x:v>
      </x:c>
      <x:c r="D183" s="48" t="n">
        <x:v>41</x:v>
      </x:c>
      <x:c r="E183" s="48" t="str"/>
      <x:c r="F183" s="48" t="str">
        <x:v>MesitanDesan Aci ear penganan sr, etik Jrtran sean</x:v>
      </x:c>
      <x:c r="G183" s="48" t="str">
        <x:v>Obligation</x:v>
      </x:c>
      <x:c r="H183" s="48" t="str">
        <x:v>Shared</x:v>
      </x:c>
      <x:c r="I183" s="48" t="n">
        <x:v>0.45</x:v>
      </x:c>
      <x:c r="J183" s="48" t="n">
        <x:v>0.4</x:v>
      </x:c>
      <x:c r="K183" s="48" t="str">
        <x:v>Yes</x:v>
      </x:c>
      <x:c r="L183" s="48" t="str">
        <x:v>OCR</x:v>
      </x:c>
    </x:row>
    <x:row r="184">
      <x:c r="A184" s="48" t="str">
        <x:v>SILVER-0183</x:v>
      </x:c>
      <x:c r="B184" s="48" t="str">
        <x:v>SILVER</x:v>
      </x:c>
      <x:c r="C184" s="48" t="str">
        <x:v>Indonesian</x:v>
      </x:c>
      <x:c r="D184" s="48" t="n">
        <x:v>41</x:v>
      </x:c>
      <x:c r="E184" s="48" t="str"/>
      <x:c r="F184" s="48" t="str">
        <x:v>ana an era Ga Daan Ka ama an Peja Pa</x:v>
      </x:c>
      <x:c r="G184" s="48" t="str">
        <x:v>Obligation</x:v>
      </x:c>
      <x:c r="H184" s="48" t="str">
        <x:v>Shared</x:v>
      </x:c>
      <x:c r="I184" s="48" t="n">
        <x:v>0.45</x:v>
      </x:c>
      <x:c r="J184" s="48" t="n">
        <x:v>0.4</x:v>
      </x:c>
      <x:c r="K184" s="48" t="str">
        <x:v>Yes</x:v>
      </x:c>
      <x:c r="L184" s="48" t="str">
        <x:v>OCR</x:v>
      </x:c>
    </x:row>
    <x:row r="185">
      <x:c r="A185" s="48" t="str">
        <x:v>SILVER-0184</x:v>
      </x:c>
      <x:c r="B185" s="48" t="str">
        <x:v>SILVER</x:v>
      </x:c>
      <x:c r="C185" s="48" t="str">
        <x:v>Indonesian</x:v>
      </x:c>
      <x:c r="D185" s="48" t="n">
        <x:v>41</x:v>
      </x:c>
      <x:c r="E185" s="48" t="str"/>
      <x:c r="F185" s="48" t="str">
        <x:v>Sona aa Dn Kere mn an Sa angan bata</x:v>
      </x:c>
      <x:c r="G185" s="48" t="str">
        <x:v>Obligation</x:v>
      </x:c>
      <x:c r="H185" s="48" t="str">
        <x:v>Shared</x:v>
      </x:c>
      <x:c r="I185" s="48" t="n">
        <x:v>0.45</x:v>
      </x:c>
      <x:c r="J185" s="48" t="n">
        <x:v>0.4</x:v>
      </x:c>
      <x:c r="K185" s="48" t="str">
        <x:v>Yes</x:v>
      </x:c>
      <x:c r="L185" s="48" t="str">
        <x:v>OCR</x:v>
      </x:c>
    </x:row>
    <x:row r="186">
      <x:c r="A186" s="48" t="str">
        <x:v>SILVER-0185</x:v>
      </x:c>
      <x:c r="B186" s="48" t="str">
        <x:v>SILVER</x:v>
      </x:c>
      <x:c r="C186" s="48" t="str">
        <x:v>Indonesian</x:v>
      </x:c>
      <x:c r="D186" s="48" t="n">
        <x:v>41</x:v>
      </x:c>
      <x:c r="E186" s="48" t="str"/>
      <x:c r="F186" s="48" t="str">
        <x:v>AMAN PRAN Kran MA Ka metana ba PNG Dl pl Can</x:v>
      </x:c>
      <x:c r="G186" s="48" t="str">
        <x:v>Obligation</x:v>
      </x:c>
      <x:c r="H186" s="48" t="str">
        <x:v>Shared</x:v>
      </x:c>
      <x:c r="I186" s="48" t="n">
        <x:v>0.45</x:v>
      </x:c>
      <x:c r="J186" s="48" t="n">
        <x:v>0.4</x:v>
      </x:c>
      <x:c r="K186" s="48" t="str">
        <x:v>Yes</x:v>
      </x:c>
      <x:c r="L186" s="48" t="str">
        <x:v>OCR</x:v>
      </x:c>
    </x:row>
    <x:row r="187">
      <x:c r="A187" s="48" t="str">
        <x:v>SILVER-0186</x:v>
      </x:c>
      <x:c r="B187" s="48" t="str">
        <x:v>SILVER</x:v>
      </x:c>
      <x:c r="C187" s="48" t="str">
        <x:v>Indonesian</x:v>
      </x:c>
      <x:c r="D187" s="48" t="n">
        <x:v>41</x:v>
      </x:c>
      <x:c r="E187" s="48" t="str"/>
      <x:c r="F187" s="48" t="str">
        <x:v>Patung dan Yana Ha San nc Kanan Pera Sa Kerentanan</x:v>
      </x:c>
      <x:c r="G187" s="48" t="str">
        <x:v>Obligation</x:v>
      </x:c>
      <x:c r="H187" s="48" t="str">
        <x:v>Shared</x:v>
      </x:c>
      <x:c r="I187" s="48" t="n">
        <x:v>0.45</x:v>
      </x:c>
      <x:c r="J187" s="48" t="n">
        <x:v>0.4</x:v>
      </x:c>
      <x:c r="K187" s="48" t="str">
        <x:v>Yes</x:v>
      </x:c>
      <x:c r="L187" s="48" t="str">
        <x:v>OCR</x:v>
      </x:c>
    </x:row>
    <x:row r="188">
      <x:c r="A188" s="48" t="str">
        <x:v>SILVER-0187</x:v>
      </x:c>
      <x:c r="B188" s="48" t="str">
        <x:v>SILVER</x:v>
      </x:c>
      <x:c r="C188" s="48" t="str">
        <x:v>Indonesian</x:v>
      </x:c>
      <x:c r="D188" s="48" t="n">
        <x:v>41</x:v>
      </x:c>
      <x:c r="E188" s="48" t="str"/>
      <x:c r="F188" s="48" t="str">
        <x:v>aka Nana AA MOMEAM AP HO manga an</x:v>
      </x:c>
      <x:c r="G188" s="48" t="str">
        <x:v>Obligation</x:v>
      </x:c>
      <x:c r="H188" s="48" t="str">
        <x:v>Shared</x:v>
      </x:c>
      <x:c r="I188" s="48" t="n">
        <x:v>0.45</x:v>
      </x:c>
      <x:c r="J188" s="48" t="n">
        <x:v>0.4</x:v>
      </x:c>
      <x:c r="K188" s="48" t="str">
        <x:v>Yes</x:v>
      </x:c>
      <x:c r="L188" s="48" t="str">
        <x:v>OCR</x:v>
      </x:c>
    </x:row>
    <x:row r="189">
      <x:c r="A189" s="48" t="str">
        <x:v>SILVER-0188</x:v>
      </x:c>
      <x:c r="B189" s="48" t="str">
        <x:v>SILVER</x:v>
      </x:c>
      <x:c r="C189" s="48" t="str">
        <x:v>Indonesian</x:v>
      </x:c>
      <x:c r="D189" s="48" t="n">
        <x:v>43</x:v>
      </x:c>
      <x:c r="E189" s="48" t="str">
        <x:v>8</x:v>
      </x:c>
      <x:c r="F189" s="48" t="str">
        <x:v>8 Wamena mnantestanai water</x:v>
      </x:c>
      <x:c r="G189" s="48" t="str">
        <x:v>Heading</x:v>
      </x:c>
      <x:c r="H189" s="48" t="str"/>
      <x:c r="I189" s="48" t="n">
        <x:v>0.9</x:v>
      </x:c>
      <x:c r="J189" s="48" t="n">
        <x:v>0.99</x:v>
      </x:c>
      <x:c r="K189" s="48" t="str">
        <x:v>No</x:v>
      </x:c>
      <x:c r="L189" s="48" t="str">
        <x:v>OCR</x:v>
      </x:c>
    </x:row>
    <x:row r="190">
      <x:c r="A190" s="48" t="str">
        <x:v>SILVER-0189</x:v>
      </x:c>
      <x:c r="B190" s="48" t="str">
        <x:v>SILVER</x:v>
      </x:c>
      <x:c r="C190" s="48" t="str">
        <x:v>Indonesian</x:v>
      </x:c>
      <x:c r="D190" s="48" t="n">
        <x:v>43</x:v>
      </x:c>
      <x:c r="E190" s="48" t="str"/>
      <x:c r="F190" s="48" t="str">
        <x:v>MUmMan om mewa tam ruraB ena</x:v>
      </x:c>
      <x:c r="G190" s="48" t="str">
        <x:v>Obligation</x:v>
      </x:c>
      <x:c r="H190" s="48" t="str">
        <x:v>Shared</x:v>
      </x:c>
      <x:c r="I190" s="48" t="n">
        <x:v>0.45</x:v>
      </x:c>
      <x:c r="J190" s="48" t="n">
        <x:v>0.4</x:v>
      </x:c>
      <x:c r="K190" s="48" t="str">
        <x:v>Yes</x:v>
      </x:c>
      <x:c r="L190" s="48" t="str">
        <x:v>OCR</x:v>
      </x:c>
    </x:row>
    <x:row r="191">
      <x:c r="A191" s="48" t="str">
        <x:v>SILVER-0190</x:v>
      </x:c>
      <x:c r="B191" s="48" t="str">
        <x:v>SILVER</x:v>
      </x:c>
      <x:c r="C191" s="48" t="str">
        <x:v>Indonesian</x:v>
      </x:c>
      <x:c r="D191" s="48" t="n">
        <x:v>43</x:v>
      </x:c>
      <x:c r="E191" s="48" t="str"/>
      <x:c r="F191" s="48" t="str">
        <x:v>AI Sen memesan ema</x:v>
      </x:c>
      <x:c r="G191" s="48" t="str">
        <x:v>Obligation</x:v>
      </x:c>
      <x:c r="H191" s="48" t="str">
        <x:v>Shared</x:v>
      </x:c>
      <x:c r="I191" s="48" t="n">
        <x:v>0.45</x:v>
      </x:c>
      <x:c r="J191" s="48" t="n">
        <x:v>0.4</x:v>
      </x:c>
      <x:c r="K191" s="48" t="str">
        <x:v>Yes</x:v>
      </x:c>
      <x:c r="L191" s="48" t="str">
        <x:v>OCR</x:v>
      </x:c>
    </x:row>
    <x:row r="192">
      <x:c r="A192" s="48" t="str">
        <x:v>SILVER-0191</x:v>
      </x:c>
      <x:c r="B192" s="48" t="str">
        <x:v>SILVER</x:v>
      </x:c>
      <x:c r="C192" s="48" t="str">
        <x:v>Indonesian</x:v>
      </x:c>
      <x:c r="D192" s="48" t="n">
        <x:v>43</x:v>
      </x:c>
      <x:c r="E192" s="48" t="str"/>
      <x:c r="F192" s="48" t="str">
        <x:v>Mma mama pr mertua lara Isahaan</x:v>
      </x:c>
      <x:c r="G192" s="48" t="str">
        <x:v>Obligation</x:v>
      </x:c>
      <x:c r="H192" s="48" t="str">
        <x:v>Shared</x:v>
      </x:c>
      <x:c r="I192" s="48" t="n">
        <x:v>0.45</x:v>
      </x:c>
      <x:c r="J192" s="48" t="n">
        <x:v>0.4</x:v>
      </x:c>
      <x:c r="K192" s="48" t="str">
        <x:v>Yes</x:v>
      </x:c>
      <x:c r="L192" s="48" t="str">
        <x:v>OCR</x:v>
      </x:c>
    </x:row>
    <x:row r="193">
      <x:c r="A193" s="48" t="str">
        <x:v>SILVER-0192</x:v>
      </x:c>
      <x:c r="B193" s="48" t="str">
        <x:v>SILVER</x:v>
      </x:c>
      <x:c r="C193" s="48" t="str">
        <x:v>Indonesian</x:v>
      </x:c>
      <x:c r="D193" s="48" t="n">
        <x:v>43</x:v>
      </x:c>
      <x:c r="E193" s="48" t="str"/>
      <x:c r="F193" s="48" t="str">
        <x:v>Samraran sorga</x:v>
      </x:c>
      <x:c r="G193" s="48" t="str">
        <x:v>Obligation</x:v>
      </x:c>
      <x:c r="H193" s="48" t="str">
        <x:v>Shared</x:v>
      </x:c>
      <x:c r="I193" s="48" t="n">
        <x:v>0.45</x:v>
      </x:c>
      <x:c r="J193" s="48" t="n">
        <x:v>0.4</x:v>
      </x:c>
      <x:c r="K193" s="48" t="str">
        <x:v>Yes</x:v>
      </x:c>
      <x:c r="L193" s="48" t="str">
        <x:v>OCR</x:v>
      </x:c>
    </x:row>
    <x:row r="194">
      <x:c r="A194" s="48" t="str">
        <x:v>SILVER-0193</x:v>
      </x:c>
      <x:c r="B194" s="48" t="str">
        <x:v>SILVER</x:v>
      </x:c>
      <x:c r="C194" s="48" t="str">
        <x:v>Indonesian</x:v>
      </x:c>
      <x:c r="D194" s="48" t="n">
        <x:v>43</x:v>
      </x:c>
      <x:c r="E194" s="48" t="str"/>
      <x:c r="F194" s="48" t="str">
        <x:v>inden Kombat mek bm metan Ck</x:v>
      </x:c>
      <x:c r="G194" s="48" t="str">
        <x:v>Obligation</x:v>
      </x:c>
      <x:c r="H194" s="48" t="str">
        <x:v>Shared</x:v>
      </x:c>
      <x:c r="I194" s="48" t="n">
        <x:v>0.45</x:v>
      </x:c>
      <x:c r="J194" s="48" t="n">
        <x:v>0.4</x:v>
      </x:c>
      <x:c r="K194" s="48" t="str">
        <x:v>Yes</x:v>
      </x:c>
      <x:c r="L194" s="48" t="str">
        <x:v>OCR</x:v>
      </x:c>
    </x:row>
    <x:row r="195">
      <x:c r="A195" s="48" t="str">
        <x:v>SILVER-0194</x:v>
      </x:c>
      <x:c r="B195" s="48" t="str">
        <x:v>SILVER</x:v>
      </x:c>
      <x:c r="C195" s="48" t="str">
        <x:v>Indonesian</x:v>
      </x:c>
      <x:c r="D195" s="48" t="n">
        <x:v>43</x:v>
      </x:c>
      <x:c r="E195" s="48" t="str"/>
      <x:c r="F195" s="48" t="str">
        <x:v>Petakan Penon Krtan hu menanalarjn Pegara dea Gr yr mena</x:v>
      </x:c>
      <x:c r="G195" s="48" t="str">
        <x:v>Obligation</x:v>
      </x:c>
      <x:c r="H195" s="48" t="str">
        <x:v>Shared</x:v>
      </x:c>
      <x:c r="I195" s="48" t="n">
        <x:v>0.45</x:v>
      </x:c>
      <x:c r="J195" s="48" t="n">
        <x:v>0.4</x:v>
      </x:c>
      <x:c r="K195" s="48" t="str">
        <x:v>Yes</x:v>
      </x:c>
      <x:c r="L195" s="48" t="str">
        <x:v>OCR</x:v>
      </x:c>
    </x:row>
    <x:row r="196">
      <x:c r="A196" s="48" t="str">
        <x:v>SILVER-0195</x:v>
      </x:c>
      <x:c r="B196" s="48" t="str">
        <x:v>SILVER</x:v>
      </x:c>
      <x:c r="C196" s="48" t="str">
        <x:v>Indonesian</x:v>
      </x:c>
      <x:c r="D196" s="48" t="n">
        <x:v>43</x:v>
      </x:c>
      <x:c r="E196" s="48" t="str"/>
      <x:c r="F196" s="48" t="str">
        <x:v>pera it are Poo Kara ap Po ag</x:v>
      </x:c>
      <x:c r="G196" s="48" t="str">
        <x:v>Obligation</x:v>
      </x:c>
      <x:c r="H196" s="48" t="str">
        <x:v>Shared</x:v>
      </x:c>
      <x:c r="I196" s="48" t="n">
        <x:v>0.45</x:v>
      </x:c>
      <x:c r="J196" s="48" t="n">
        <x:v>0.4</x:v>
      </x:c>
      <x:c r="K196" s="48" t="str">
        <x:v>Yes</x:v>
      </x:c>
      <x:c r="L196" s="48" t="str">
        <x:v>OCR</x:v>
      </x:c>
    </x:row>
    <x:row r="197">
      <x:c r="A197" s="48" t="str">
        <x:v>SILVER-0196</x:v>
      </x:c>
      <x:c r="B197" s="48" t="str">
        <x:v>SILVER</x:v>
      </x:c>
      <x:c r="C197" s="48" t="str">
        <x:v>Indonesian</x:v>
      </x:c>
      <x:c r="D197" s="48" t="n">
        <x:v>43</x:v>
      </x:c>
      <x:c r="E197" s="48" t="str"/>
      <x:c r="F197" s="48" t="str">
        <x:v>Ka Sharon Dea darwaken te han aan Santan</x:v>
      </x:c>
      <x:c r="G197" s="48" t="str">
        <x:v>Obligation</x:v>
      </x:c>
      <x:c r="H197" s="48" t="str">
        <x:v>Shared</x:v>
      </x:c>
      <x:c r="I197" s="48" t="n">
        <x:v>0.45</x:v>
      </x:c>
      <x:c r="J197" s="48" t="n">
        <x:v>0.4</x:v>
      </x:c>
      <x:c r="K197" s="48" t="str">
        <x:v>Yes</x:v>
      </x:c>
      <x:c r="L197" s="48" t="str">
        <x:v>OCR</x:v>
      </x:c>
    </x:row>
    <x:row r="198">
      <x:c r="A198" s="48" t="str">
        <x:v>SILVER-0197</x:v>
      </x:c>
      <x:c r="B198" s="48" t="str">
        <x:v>SILVER</x:v>
      </x:c>
      <x:c r="C198" s="48" t="str">
        <x:v>Indonesian</x:v>
      </x:c>
      <x:c r="D198" s="48" t="n">
        <x:v>43</x:v>
      </x:c>
      <x:c r="E198" s="48" t="str"/>
      <x:c r="F198" s="48" t="str">
        <x:v>TO Ge Pera Ya ra Kor Mekar Sm pan</x:v>
      </x:c>
      <x:c r="G198" s="48" t="str">
        <x:v>Obligation</x:v>
      </x:c>
      <x:c r="H198" s="48" t="str">
        <x:v>Shared</x:v>
      </x:c>
      <x:c r="I198" s="48" t="n">
        <x:v>0.45</x:v>
      </x:c>
      <x:c r="J198" s="48" t="n">
        <x:v>0.4</x:v>
      </x:c>
      <x:c r="K198" s="48" t="str">
        <x:v>Yes</x:v>
      </x:c>
      <x:c r="L198" s="48" t="str">
        <x:v>OCR</x:v>
      </x:c>
    </x:row>
    <x:row r="199">
      <x:c r="A199" s="48" t="str">
        <x:v>SILVER-0198</x:v>
      </x:c>
      <x:c r="B199" s="48" t="str">
        <x:v>SILVER</x:v>
      </x:c>
      <x:c r="C199" s="48" t="str">
        <x:v>Indonesian</x:v>
      </x:c>
      <x:c r="D199" s="48" t="n">
        <x:v>43</x:v>
      </x:c>
      <x:c r="E199" s="48" t="str"/>
      <x:c r="F199" s="48" t="str">
        <x:v>(NO Bat mah Sin masa pe Urga see sasa kan Gan Dah Tata Ma ena, aa Sa mera tuna MAKA Kaban beTagran YUK tnya Dadan Ma paman pegenan an pak maa</x:v>
      </x:c>
      <x:c r="G199" s="48" t="str">
        <x:v>Obligation</x:v>
      </x:c>
      <x:c r="H199" s="48" t="str">
        <x:v>Shared</x:v>
      </x:c>
      <x:c r="I199" s="48" t="n">
        <x:v>0.45</x:v>
      </x:c>
      <x:c r="J199" s="48" t="n">
        <x:v>0.4</x:v>
      </x:c>
      <x:c r="K199" s="48" t="str">
        <x:v>Yes</x:v>
      </x:c>
      <x:c r="L199" s="48" t="str">
        <x:v>OCR</x:v>
      </x:c>
    </x:row>
    <x:row r="200">
      <x:c r="A200" s="48" t="str">
        <x:v>SILVER-0199</x:v>
      </x:c>
      <x:c r="B200" s="48" t="str">
        <x:v>SILVER</x:v>
      </x:c>
      <x:c r="C200" s="48" t="str">
        <x:v>Indonesian</x:v>
      </x:c>
      <x:c r="D200" s="48" t="n">
        <x:v>43</x:v>
      </x:c>
      <x:c r="E200" s="48" t="str"/>
      <x:c r="F200" s="48" t="str">
        <x:v>Meng Sg Org Ta Lan</x:v>
      </x:c>
      <x:c r="G200" s="48" t="str">
        <x:v>Obligation</x:v>
      </x:c>
      <x:c r="H200" s="48" t="str">
        <x:v>Shared</x:v>
      </x:c>
      <x:c r="I200" s="48" t="n">
        <x:v>0.45</x:v>
      </x:c>
      <x:c r="J200" s="48" t="n">
        <x:v>0.4</x:v>
      </x:c>
      <x:c r="K200" s="48" t="str">
        <x:v>Yes</x:v>
      </x:c>
      <x:c r="L200" s="48" t="str">
        <x:v>OCR</x:v>
      </x:c>
    </x:row>
    <x:row r="201">
      <x:c r="A201" s="48" t="str">
        <x:v>SILVER-0200</x:v>
      </x:c>
      <x:c r="B201" s="48" t="str">
        <x:v>SILVER</x:v>
      </x:c>
      <x:c r="C201" s="48" t="str">
        <x:v>Indonesian</x:v>
      </x:c>
      <x:c r="D201" s="48" t="n">
        <x:v>43</x:v>
      </x:c>
      <x:c r="E201" s="48" t="str"/>
      <x:c r="F201" s="48" t="str">
        <x:v>nela Masi Baa can engan</x:v>
      </x:c>
      <x:c r="G201" s="48" t="str">
        <x:v>Obligation</x:v>
      </x:c>
      <x:c r="H201" s="48" t="str">
        <x:v>Shared</x:v>
      </x:c>
      <x:c r="I201" s="48" t="n">
        <x:v>0.45</x:v>
      </x:c>
      <x:c r="J201" s="48" t="n">
        <x:v>0.4</x:v>
      </x:c>
      <x:c r="K201" s="48" t="str">
        <x:v>Yes</x:v>
      </x:c>
      <x:c r="L201" s="48" t="str">
        <x:v>OCR</x:v>
      </x:c>
    </x:row>
    <x:row r="202">
      <x:c r="A202" s="48" t="str">
        <x:v>SILVER-0201</x:v>
      </x:c>
      <x:c r="B202" s="48" t="str">
        <x:v>SILVER</x:v>
      </x:c>
      <x:c r="C202" s="48" t="str">
        <x:v>Indonesian</x:v>
      </x:c>
      <x:c r="D202" s="48" t="n">
        <x:v>43</x:v>
      </x:c>
      <x:c r="E202" s="48" t="str"/>
      <x:c r="F202" s="48" t="str">
        <x:v>Tina Kertas mera perasan rasa Mr ra Gn enaan</x:v>
      </x:c>
      <x:c r="G202" s="48" t="str">
        <x:v>Obligation</x:v>
      </x:c>
      <x:c r="H202" s="48" t="str">
        <x:v>Shared</x:v>
      </x:c>
      <x:c r="I202" s="48" t="n">
        <x:v>0.45</x:v>
      </x:c>
      <x:c r="J202" s="48" t="n">
        <x:v>0.4</x:v>
      </x:c>
      <x:c r="K202" s="48" t="str">
        <x:v>Yes</x:v>
      </x:c>
      <x:c r="L202" s="48" t="str">
        <x:v>OCR</x:v>
      </x:c>
    </x:row>
    <x:row r="203">
      <x:c r="A203" s="48" t="str">
        <x:v>SILVER-0202</x:v>
      </x:c>
      <x:c r="B203" s="48" t="str">
        <x:v>SILVER</x:v>
      </x:c>
      <x:c r="C203" s="48" t="str">
        <x:v>Indonesian</x:v>
      </x:c>
      <x:c r="D203" s="48" t="n">
        <x:v>43</x:v>
      </x:c>
      <x:c r="E203" s="48" t="str"/>
      <x:c r="F203" s="48" t="str">
        <x:v>Pesan San an ma pasuruan Pangan ben</x:v>
      </x:c>
      <x:c r="G203" s="48" t="str">
        <x:v>Obligation</x:v>
      </x:c>
      <x:c r="H203" s="48" t="str">
        <x:v>Shared</x:v>
      </x:c>
      <x:c r="I203" s="48" t="n">
        <x:v>0.45</x:v>
      </x:c>
      <x:c r="J203" s="48" t="n">
        <x:v>0.4</x:v>
      </x:c>
      <x:c r="K203" s="48" t="str">
        <x:v>Yes</x:v>
      </x:c>
      <x:c r="L203" s="48" t="str">
        <x:v>OCR</x:v>
      </x:c>
    </x:row>
    <x:row r="204">
      <x:c r="A204" s="48" t="str">
        <x:v>SILVER-0203</x:v>
      </x:c>
      <x:c r="B204" s="48" t="str">
        <x:v>SILVER</x:v>
      </x:c>
      <x:c r="C204" s="48" t="str">
        <x:v>Indonesian</x:v>
      </x:c>
      <x:c r="D204" s="48" t="n">
        <x:v>43</x:v>
      </x:c>
      <x:c r="E204" s="48" t="str"/>
      <x:c r="F204" s="48" t="str">
        <x:v>(9 kamcan biss mtaraa dun entot, (1 mernsahicantej pg ra Gn cm: memongan pakaran yg (9 Sen Megan gan ban yg sa an ma yg ak aa ed an la eren menata rin Be ten pa Prvara rak</x:v>
      </x:c>
      <x:c r="G204" s="48" t="str">
        <x:v>Obligation</x:v>
      </x:c>
      <x:c r="H204" s="48" t="str">
        <x:v>Shared</x:v>
      </x:c>
      <x:c r="I204" s="48" t="n">
        <x:v>0.45</x:v>
      </x:c>
      <x:c r="J204" s="48" t="n">
        <x:v>0.4</x:v>
      </x:c>
      <x:c r="K204" s="48" t="str">
        <x:v>Yes</x:v>
      </x:c>
      <x:c r="L204" s="48" t="str">
        <x:v>OCR</x:v>
      </x:c>
    </x:row>
    <x:row r="205">
      <x:c r="A205" s="48" t="str">
        <x:v>SILVER-0204</x:v>
      </x:c>
      <x:c r="B205" s="48" t="str">
        <x:v>SILVER</x:v>
      </x:c>
      <x:c r="C205" s="48" t="str">
        <x:v>Indonesian</x:v>
      </x:c>
      <x:c r="D205" s="48" t="n">
        <x:v>43</x:v>
      </x:c>
      <x:c r="E205" s="48" t="str"/>
      <x:c r="F205" s="48" t="str">
        <x:v>Sta ta ran ear VA Dera Koma Basa Bb</x:v>
      </x:c>
      <x:c r="G205" s="48" t="str">
        <x:v>Obligation</x:v>
      </x:c>
      <x:c r="H205" s="48" t="str">
        <x:v>Shared</x:v>
      </x:c>
      <x:c r="I205" s="48" t="n">
        <x:v>0.45</x:v>
      </x:c>
      <x:c r="J205" s="48" t="n">
        <x:v>0.4</x:v>
      </x:c>
      <x:c r="K205" s="48" t="str">
        <x:v>Yes</x:v>
      </x:c>
      <x:c r="L205" s="48" t="str">
        <x:v>OCR</x:v>
      </x:c>
    </x:row>
    <x:row r="206">
      <x:c r="A206" s="48" t="str">
        <x:v>SILVER-0205</x:v>
      </x:c>
      <x:c r="B206" s="48" t="str">
        <x:v>SILVER</x:v>
      </x:c>
      <x:c r="C206" s="48" t="str">
        <x:v>Indonesian</x:v>
      </x:c>
      <x:c r="D206" s="48" t="n">
        <x:v>43</x:v>
      </x:c>
      <x:c r="E206" s="48" t="str"/>
      <x:c r="F206" s="48" t="str">
        <x:v>Na 83 Duma ea tamara yaa kn rta Ban antrean</x:v>
      </x:c>
      <x:c r="G206" s="48" t="str">
        <x:v>Obligation</x:v>
      </x:c>
      <x:c r="H206" s="48" t="str">
        <x:v>Shared</x:v>
      </x:c>
      <x:c r="I206" s="48" t="n">
        <x:v>0.45</x:v>
      </x:c>
      <x:c r="J206" s="48" t="n">
        <x:v>0.4</x:v>
      </x:c>
      <x:c r="K206" s="48" t="str">
        <x:v>Yes</x:v>
      </x:c>
      <x:c r="L206" s="48" t="str">
        <x:v>OCR</x:v>
      </x:c>
    </x:row>
    <x:row r="207">
      <x:c r="A207" s="48" t="str">
        <x:v>SILVER-0206</x:v>
      </x:c>
      <x:c r="B207" s="48" t="str">
        <x:v>SILVER</x:v>
      </x:c>
      <x:c r="C207" s="48" t="str">
        <x:v>Indonesian</x:v>
      </x:c>
      <x:c r="D207" s="48" t="n">
        <x:v>43</x:v>
      </x:c>
      <x:c r="E207" s="48" t="str"/>
      <x:c r="F207" s="48" t="str">
        <x:v>Sen tas GK yr beli ad preman an mara</x:v>
      </x:c>
      <x:c r="G207" s="48" t="str">
        <x:v>Obligation</x:v>
      </x:c>
      <x:c r="H207" s="48" t="str">
        <x:v>Shared</x:v>
      </x:c>
      <x:c r="I207" s="48" t="n">
        <x:v>0.45</x:v>
      </x:c>
      <x:c r="J207" s="48" t="n">
        <x:v>0.4</x:v>
      </x:c>
      <x:c r="K207" s="48" t="str">
        <x:v>Yes</x:v>
      </x:c>
      <x:c r="L207" s="48" t="str">
        <x:v>OCR</x:v>
      </x:c>
    </x:row>
    <x:row r="208">
      <x:c r="A208" s="48" t="str">
        <x:v>SILVER-0207</x:v>
      </x:c>
      <x:c r="B208" s="48" t="str">
        <x:v>SILVER</x:v>
      </x:c>
      <x:c r="C208" s="48" t="str">
        <x:v>Indonesian</x:v>
      </x:c>
      <x:c r="D208" s="48" t="n">
        <x:v>43</x:v>
      </x:c>
      <x:c r="E208" s="48" t="str"/>
      <x:c r="F208" s="48" t="str">
        <x:v>Da Den Pama</x:v>
      </x:c>
      <x:c r="G208" s="48" t="str">
        <x:v>Obligation</x:v>
      </x:c>
      <x:c r="H208" s="48" t="str">
        <x:v>Shared</x:v>
      </x:c>
      <x:c r="I208" s="48" t="n">
        <x:v>0.45</x:v>
      </x:c>
      <x:c r="J208" s="48" t="n">
        <x:v>0.4</x:v>
      </x:c>
      <x:c r="K208" s="48" t="str">
        <x:v>Yes</x:v>
      </x:c>
      <x:c r="L208" s="48" t="str">
        <x:v>OCR</x:v>
      </x:c>
    </x:row>
    <x:row r="209">
      <x:c r="A209" s="48" t="str">
        <x:v>SILVER-0208</x:v>
      </x:c>
      <x:c r="B209" s="48" t="str">
        <x:v>SILVER</x:v>
      </x:c>
      <x:c r="C209" s="48" t="str">
        <x:v>Indonesian</x:v>
      </x:c>
      <x:c r="D209" s="48" t="n">
        <x:v>43</x:v>
      </x:c>
      <x:c r="E209" s="48" t="str"/>
      <x:c r="F209" s="48" t="str">
        <x:v>- sean ena</x:v>
      </x:c>
      <x:c r="G209" s="48" t="str">
        <x:v>Obligation</x:v>
      </x:c>
      <x:c r="H209" s="48" t="str">
        <x:v>Shared</x:v>
      </x:c>
      <x:c r="I209" s="48" t="n">
        <x:v>0.45</x:v>
      </x:c>
      <x:c r="J209" s="48" t="n">
        <x:v>0.4</x:v>
      </x:c>
      <x:c r="K209" s="48" t="str">
        <x:v>Yes</x:v>
      </x:c>
      <x:c r="L209" s="48" t="str">
        <x:v>OCR</x:v>
      </x:c>
    </x:row>
    <x:row r="210">
      <x:c r="A210" s="48" t="str">
        <x:v>SILVER-0209</x:v>
      </x:c>
      <x:c r="B210" s="48" t="str">
        <x:v>SILVER</x:v>
      </x:c>
      <x:c r="C210" s="48" t="str">
        <x:v>Indonesian</x:v>
      </x:c>
      <x:c r="D210" s="48" t="n">
        <x:v>46</x:v>
      </x:c>
      <x:c r="E210" s="48" t="str"/>
      <x:c r="F210" s="48" t="str">
        <x:v>kata Kere metsarkan Pun sesi Seran ebi DA</x:v>
      </x:c>
      <x:c r="G210" s="48" t="str">
        <x:v>Obligation</x:v>
      </x:c>
      <x:c r="H210" s="48" t="str">
        <x:v>Shared</x:v>
      </x:c>
      <x:c r="I210" s="48" t="n">
        <x:v>0.45</x:v>
      </x:c>
      <x:c r="J210" s="48" t="n">
        <x:v>0.4</x:v>
      </x:c>
      <x:c r="K210" s="48" t="str">
        <x:v>Yes</x:v>
      </x:c>
      <x:c r="L210" s="48" t="str">
        <x:v>OCR</x:v>
      </x:c>
    </x:row>
    <x:row r="211">
      <x:c r="A211" s="48" t="str">
        <x:v>SILVER-0210</x:v>
      </x:c>
      <x:c r="B211" s="48" t="str">
        <x:v>SILVER</x:v>
      </x:c>
      <x:c r="C211" s="48" t="str">
        <x:v>Indonesian</x:v>
      </x:c>
      <x:c r="D211" s="48" t="n">
        <x:v>46</x:v>
      </x:c>
      <x:c r="E211" s="48" t="str"/>
      <x:c r="F211" s="48" t="str">
        <x:v>Irardah Perggsa aa batok mruandan Gm menta Ong lan WAK</x:v>
      </x:c>
      <x:c r="G211" s="48" t="str">
        <x:v>Obligation</x:v>
      </x:c>
      <x:c r="H211" s="48" t="str">
        <x:v>Shared</x:v>
      </x:c>
      <x:c r="I211" s="48" t="n">
        <x:v>0.45</x:v>
      </x:c>
      <x:c r="J211" s="48" t="n">
        <x:v>0.4</x:v>
      </x:c>
      <x:c r="K211" s="48" t="str">
        <x:v>Yes</x:v>
      </x:c>
      <x:c r="L211" s="48" t="str">
        <x:v>OCR</x:v>
      </x:c>
    </x:row>
    <x:row r="212">
      <x:c r="A212" s="48" t="str">
        <x:v>SILVER-0211</x:v>
      </x:c>
      <x:c r="B212" s="48" t="str">
        <x:v>SILVER</x:v>
      </x:c>
      <x:c r="C212" s="48" t="str">
        <x:v>Indonesian</x:v>
      </x:c>
      <x:c r="D212" s="48" t="n">
        <x:v>46</x:v>
      </x:c>
      <x:c r="E212" s="48" t="str"/>
      <x:c r="F212" s="48" t="str">
        <x:v>munsien pdam drekasi,Ka rp tar d rara Karat bera “ae perbape ra pekan lea Korban Sub a25 1m ok Pargara sd Ton mortar Iva Prgara ds semua ba</x:v>
      </x:c>
      <x:c r="G212" s="48" t="str">
        <x:v>Obligation</x:v>
      </x:c>
      <x:c r="H212" s="48" t="str">
        <x:v>Shared</x:v>
      </x:c>
      <x:c r="I212" s="48" t="n">
        <x:v>0.45</x:v>
      </x:c>
      <x:c r="J212" s="48" t="n">
        <x:v>0.4</x:v>
      </x:c>
      <x:c r="K212" s="48" t="str">
        <x:v>Yes</x:v>
      </x:c>
      <x:c r="L212" s="48" t="str">
        <x:v>OCR</x:v>
      </x:c>
    </x:row>
    <x:row r="213">
      <x:c r="A213" s="48" t="str">
        <x:v>SILVER-0212</x:v>
      </x:c>
      <x:c r="B213" s="48" t="str">
        <x:v>SILVER</x:v>
      </x:c>
      <x:c r="C213" s="48" t="str">
        <x:v>Indonesian</x:v>
      </x:c>
      <x:c r="D213" s="48" t="n">
        <x:v>46</x:v>
      </x:c>
      <x:c r="E213" s="48" t="str"/>
      <x:c r="F213" s="48" t="str">
        <x:v>konoritkan “Satup agan Gr Pki Mein an Beton or, amal Setan sesi engan et ain Kurhan lum yrg bwh (epsa laa, rar Tk Pergara Jam “an Bana “Seng mu hua mera bh For ba kon ben eka Garena</x:v>
      </x:c>
      <x:c r="G213" s="48" t="str">
        <x:v>Obligation</x:v>
      </x:c>
      <x:c r="H213" s="48" t="str">
        <x:v>Shared</x:v>
      </x:c>
      <x:c r="I213" s="48" t="n">
        <x:v>0.45</x:v>
      </x:c>
      <x:c r="J213" s="48" t="n">
        <x:v>0.4</x:v>
      </x:c>
      <x:c r="K213" s="48" t="str">
        <x:v>Yes</x:v>
      </x:c>
      <x:c r="L213" s="48" t="str">
        <x:v>OCR</x:v>
      </x:c>
    </x:row>
    <x:row r="214">
      <x:c r="A214" s="48" t="str">
        <x:v>SILVER-0213</x:v>
      </x:c>
      <x:c r="B214" s="48" t="str">
        <x:v>SILVER</x:v>
      </x:c>
      <x:c r="C214" s="48" t="str">
        <x:v>Indonesian</x:v>
      </x:c>
      <x:c r="D214" s="48" t="n">
        <x:v>46</x:v>
      </x:c>
      <x:c r="E214" s="48" t="str"/>
      <x:c r="F214" s="48" t="str">
        <x:v>W serangan guntantouron</x:v>
      </x:c>
      <x:c r="G214" s="48" t="str">
        <x:v>Obligation</x:v>
      </x:c>
      <x:c r="H214" s="48" t="str">
        <x:v>Shared</x:v>
      </x:c>
      <x:c r="I214" s="48" t="n">
        <x:v>0.45</x:v>
      </x:c>
      <x:c r="J214" s="48" t="n">
        <x:v>0.4</x:v>
      </x:c>
      <x:c r="K214" s="48" t="str">
        <x:v>Yes</x:v>
      </x:c>
      <x:c r="L214" s="48" t="str">
        <x:v>OCR</x:v>
      </x:c>
    </x:row>
    <x:row r="215">
      <x:c r="A215" s="48" t="str">
        <x:v>SILVER-0214</x:v>
      </x:c>
      <x:c r="B215" s="48" t="str">
        <x:v>SILVER</x:v>
      </x:c>
      <x:c r="C215" s="48" t="str">
        <x:v>Indonesian</x:v>
      </x:c>
      <x:c r="D215" s="48" t="n">
        <x:v>46</x:v>
      </x:c>
      <x:c r="E215" s="48" t="str"/>
      <x:c r="F215" s="48" t="str">
        <x:v>ID sena Koran Ban barat Bb eri ketkni Mo den Btn</x:v>
      </x:c>
      <x:c r="G215" s="48" t="str">
        <x:v>Obligation</x:v>
      </x:c>
      <x:c r="H215" s="48" t="str">
        <x:v>Shared</x:v>
      </x:c>
      <x:c r="I215" s="48" t="n">
        <x:v>0.45</x:v>
      </x:c>
      <x:c r="J215" s="48" t="n">
        <x:v>0.4</x:v>
      </x:c>
      <x:c r="K215" s="48" t="str">
        <x:v>Yes</x:v>
      </x:c>
      <x:c r="L215" s="48" t="str">
        <x:v>OCR</x:v>
      </x:c>
    </x:row>
    <x:row r="216">
      <x:c r="A216" s="48" t="str">
        <x:v>SILVER-0215</x:v>
      </x:c>
      <x:c r="B216" s="48" t="str">
        <x:v>SILVER</x:v>
      </x:c>
      <x:c r="C216" s="48" t="str">
        <x:v>Indonesian</x:v>
      </x:c>
      <x:c r="D216" s="48" t="n">
        <x:v>46</x:v>
      </x:c>
      <x:c r="E216" s="48" t="str"/>
      <x:c r="F216" s="48" t="str">
        <x:v>terdsatan Sa HAAA 810 Fenbaan ds resa Ikan can Ban</x:v>
      </x:c>
      <x:c r="G216" s="48" t="str">
        <x:v>Obligation</x:v>
      </x:c>
      <x:c r="H216" s="48" t="str">
        <x:v>Shared</x:v>
      </x:c>
      <x:c r="I216" s="48" t="n">
        <x:v>0.45</x:v>
      </x:c>
      <x:c r="J216" s="48" t="n">
        <x:v>0.4</x:v>
      </x:c>
      <x:c r="K216" s="48" t="str">
        <x:v>Yes</x:v>
      </x:c>
      <x:c r="L216" s="48" t="str">
        <x:v>OCR</x:v>
      </x:c>
    </x:row>
    <x:row r="217">
      <x:c r="A217" s="48" t="str">
        <x:v>SILVER-0216</x:v>
      </x:c>
      <x:c r="B217" s="48" t="str">
        <x:v>SILVER</x:v>
      </x:c>
      <x:c r="C217" s="48" t="str">
        <x:v>Indonesian</x:v>
      </x:c>
      <x:c r="D217" s="48" t="n">
        <x:v>46</x:v>
      </x:c>
      <x:c r="E217" s="48" t="str"/>
      <x:c r="F217" s="48" t="str">
        <x:v>pom kaca tata Gran un am Kontan Purgara San Komo Paus</x:v>
      </x:c>
      <x:c r="G217" s="48" t="str">
        <x:v>Obligation</x:v>
      </x:c>
      <x:c r="H217" s="48" t="str">
        <x:v>Shared</x:v>
      </x:c>
      <x:c r="I217" s="48" t="n">
        <x:v>0.45</x:v>
      </x:c>
      <x:c r="J217" s="48" t="n">
        <x:v>0.4</x:v>
      </x:c>
      <x:c r="K217" s="48" t="str">
        <x:v>Yes</x:v>
      </x:c>
      <x:c r="L217" s="48" t="str">
        <x:v>OCR</x:v>
      </x:c>
    </x:row>
    <x:row r="218">
      <x:c r="A218" s="48" t="str">
        <x:v>SILVER-0217</x:v>
      </x:c>
      <x:c r="B218" s="48" t="str">
        <x:v>SILVER</x:v>
      </x:c>
      <x:c r="C218" s="48" t="str">
        <x:v>Indonesian</x:v>
      </x:c>
      <x:c r="D218" s="48" t="n">
        <x:v>46</x:v>
      </x:c>
      <x:c r="E218" s="48" t="str"/>
      <x:c r="F218" s="48" t="str">
        <x:v>MEA BMA guna peneawanBN NI</x:v>
      </x:c>
      <x:c r="G218" s="48" t="str">
        <x:v>Obligation</x:v>
      </x:c>
      <x:c r="H218" s="48" t="str">
        <x:v>Shared</x:v>
      </x:c>
      <x:c r="I218" s="48" t="n">
        <x:v>0.45</x:v>
      </x:c>
      <x:c r="J218" s="48" t="n">
        <x:v>0.4</x:v>
      </x:c>
      <x:c r="K218" s="48" t="str">
        <x:v>Yes</x:v>
      </x:c>
      <x:c r="L218" s="48" t="str">
        <x:v>OCR</x:v>
      </x:c>
    </x:row>
    <x:row r="219">
      <x:c r="A219" s="48" t="str">
        <x:v>SILVER-0218</x:v>
      </x:c>
      <x:c r="B219" s="48" t="str">
        <x:v>SILVER</x:v>
      </x:c>
      <x:c r="C219" s="48" t="str">
        <x:v>Indonesian</x:v>
      </x:c>
      <x:c r="D219" s="48" t="n">
        <x:v>46</x:v>
      </x:c>
      <x:c r="E219" s="48" t="str"/>
      <x:c r="F219" s="48" t="str">
        <x:v>Ia Bet saniyang dor et baracrgan can</x:v>
      </x:c>
      <x:c r="G219" s="48" t="str">
        <x:v>Obligation</x:v>
      </x:c>
      <x:c r="H219" s="48" t="str">
        <x:v>Shared</x:v>
      </x:c>
      <x:c r="I219" s="48" t="n">
        <x:v>0.45</x:v>
      </x:c>
      <x:c r="J219" s="48" t="n">
        <x:v>0.4</x:v>
      </x:c>
      <x:c r="K219" s="48" t="str">
        <x:v>Yes</x:v>
      </x:c>
      <x:c r="L219" s="48" t="str">
        <x:v>OCR</x:v>
      </x:c>
    </x:row>
    <x:row r="220">
      <x:c r="A220" s="48" t="str">
        <x:v>SILVER-0219</x:v>
      </x:c>
      <x:c r="B220" s="48" t="str">
        <x:v>SILVER</x:v>
      </x:c>
      <x:c r="C220" s="48" t="str">
        <x:v>Indonesian</x:v>
      </x:c>
      <x:c r="D220" s="48" t="n">
        <x:v>46</x:v>
      </x:c>
      <x:c r="E220" s="48" t="str"/>
      <x:c r="F220" s="48" t="str">
        <x:v>PA penburga tan jang Dona Gi barisan Ga Gan an Ga ban</x:v>
      </x:c>
      <x:c r="G220" s="48" t="str">
        <x:v>Obligation</x:v>
      </x:c>
      <x:c r="H220" s="48" t="str">
        <x:v>Shared</x:v>
      </x:c>
      <x:c r="I220" s="48" t="n">
        <x:v>0.45</x:v>
      </x:c>
      <x:c r="J220" s="48" t="n">
        <x:v>0.4</x:v>
      </x:c>
      <x:c r="K220" s="48" t="str">
        <x:v>Yes</x:v>
      </x:c>
      <x:c r="L220" s="48" t="str">
        <x:v>OCR</x:v>
      </x:c>
    </x:row>
    <x:row r="221">
      <x:c r="A221" s="48" t="str">
        <x:v>SILVER-0220</x:v>
      </x:c>
      <x:c r="B221" s="48" t="str">
        <x:v>SILVER</x:v>
      </x:c>
      <x:c r="C221" s="48" t="str">
        <x:v>Indonesian</x:v>
      </x:c>
      <x:c r="D221" s="48" t="n">
        <x:v>46</x:v>
      </x:c>
      <x:c r="E221" s="48" t="str"/>
      <x:c r="F221" s="48" t="str">
        <x:v>Bao Anya ba am Du ba Pa ca ara ma</x:v>
      </x:c>
      <x:c r="G221" s="48" t="str">
        <x:v>Obligation</x:v>
      </x:c>
      <x:c r="H221" s="48" t="str">
        <x:v>Shared</x:v>
      </x:c>
      <x:c r="I221" s="48" t="n">
        <x:v>0.45</x:v>
      </x:c>
      <x:c r="J221" s="48" t="n">
        <x:v>0.4</x:v>
      </x:c>
      <x:c r="K221" s="48" t="str">
        <x:v>Yes</x:v>
      </x:c>
      <x:c r="L221" s="48" t="str">
        <x:v>OCR</x:v>
      </x:c>
    </x:row>
    <x:row r="222">
      <x:c r="A222" s="48" t="str">
        <x:v>SILVER-0221</x:v>
      </x:c>
      <x:c r="B222" s="48" t="str">
        <x:v>SILVER</x:v>
      </x:c>
      <x:c r="C222" s="48" t="str">
        <x:v>Indonesian</x:v>
      </x:c>
      <x:c r="D222" s="48" t="n">
        <x:v>46</x:v>
      </x:c>
      <x:c r="E222" s="48" t="str"/>
      <x:c r="F222" s="48" t="str">
        <x:v>Par desai Dargan dilapangan ena daan rak</x:v>
      </x:c>
      <x:c r="G222" s="48" t="str">
        <x:v>Obligation</x:v>
      </x:c>
      <x:c r="H222" s="48" t="str">
        <x:v>Shared</x:v>
      </x:c>
      <x:c r="I222" s="48" t="n">
        <x:v>0.45</x:v>
      </x:c>
      <x:c r="J222" s="48" t="n">
        <x:v>0.4</x:v>
      </x:c>
      <x:c r="K222" s="48" t="str">
        <x:v>Yes</x:v>
      </x:c>
      <x:c r="L222" s="48" t="str">
        <x:v>OCR</x:v>
      </x:c>
    </x:row>
    <x:row r="223">
      <x:c r="A223" s="48" t="str">
        <x:v>SILVER-0222</x:v>
      </x:c>
      <x:c r="B223" s="48" t="str">
        <x:v>SILVER</x:v>
      </x:c>
      <x:c r="C223" s="48" t="str">
        <x:v>Indonesian</x:v>
      </x:c>
      <x:c r="D223" s="48" t="n">
        <x:v>46</x:v>
      </x:c>
      <x:c r="E223" s="48" t="str"/>
      <x:c r="F223" s="48" t="str">
        <x:v>an Ins pooraan Ktotambatn Ga pergentan noona tai kek en Angan an aan Pin Kr</x:v>
      </x:c>
      <x:c r="G223" s="48" t="str">
        <x:v>Obligation</x:v>
      </x:c>
      <x:c r="H223" s="48" t="str">
        <x:v>Shared</x:v>
      </x:c>
      <x:c r="I223" s="48" t="n">
        <x:v>0.45</x:v>
      </x:c>
      <x:c r="J223" s="48" t="n">
        <x:v>0.4</x:v>
      </x:c>
      <x:c r="K223" s="48" t="str">
        <x:v>Yes</x:v>
      </x:c>
      <x:c r="L223" s="48" t="str">
        <x:v>OCR</x:v>
      </x:c>
    </x:row>
    <x:row r="224">
      <x:c r="A224" s="48" t="str">
        <x:v>SILVER-0223</x:v>
      </x:c>
      <x:c r="B224" s="48" t="str">
        <x:v>SILVER</x:v>
      </x:c>
      <x:c r="C224" s="48" t="str">
        <x:v>Indonesian</x:v>
      </x:c>
      <x:c r="D224" s="48" t="n">
        <x:v>46</x:v>
      </x:c>
      <x:c r="E224" s="48" t="str"/>
      <x:c r="F224" s="48" t="str">
        <x:v>Ia. rasa aa tan menjrgakan tera Kr pentutnan ak ara ngo Ma Pa (1 WrOM Pawan asanirgavokuhatsonsan Opa Kran</x:v>
      </x:c>
      <x:c r="G224" s="48" t="str">
        <x:v>Obligation</x:v>
      </x:c>
      <x:c r="H224" s="48" t="str">
        <x:v>Shared</x:v>
      </x:c>
      <x:c r="I224" s="48" t="n">
        <x:v>0.45</x:v>
      </x:c>
      <x:c r="J224" s="48" t="n">
        <x:v>0.4</x:v>
      </x:c>
      <x:c r="K224" s="48" t="str">
        <x:v>Yes</x:v>
      </x:c>
      <x:c r="L224" s="48" t="str">
        <x:v>OCR</x:v>
      </x:c>
    </x:row>
    <x:row r="225">
      <x:c r="A225" s="48" t="str">
        <x:v>SILVER-0224</x:v>
      </x:c>
      <x:c r="B225" s="48" t="str">
        <x:v>SILVER</x:v>
      </x:c>
      <x:c r="C225" s="48" t="str">
        <x:v>Indonesian</x:v>
      </x:c>
      <x:c r="D225" s="48" t="n">
        <x:v>46</x:v>
      </x:c>
      <x:c r="E225" s="48" t="str"/>
      <x:c r="F225" s="48" t="str">
        <x:v>San rn Ge sea Ma LA PO Ka</x:v>
      </x:c>
      <x:c r="G225" s="48" t="str">
        <x:v>Obligation</x:v>
      </x:c>
      <x:c r="H225" s="48" t="str">
        <x:v>Shared</x:v>
      </x:c>
      <x:c r="I225" s="48" t="n">
        <x:v>0.45</x:v>
      </x:c>
      <x:c r="J225" s="48" t="n">
        <x:v>0.4</x:v>
      </x:c>
      <x:c r="K225" s="48" t="str">
        <x:v>Yes</x:v>
      </x:c>
      <x:c r="L225" s="48" t="str">
        <x:v>OCR</x:v>
      </x:c>
    </x:row>
    <x:row r="226">
      <x:c r="A226" s="48" t="str">
        <x:v>SILVER-0225</x:v>
      </x:c>
      <x:c r="B226" s="48" t="str">
        <x:v>SILVER</x:v>
      </x:c>
      <x:c r="C226" s="48" t="str">
        <x:v>Indonesian</x:v>
      </x:c>
      <x:c r="D226" s="48" t="n">
        <x:v>46</x:v>
      </x:c>
      <x:c r="E226" s="48" t="str"/>
      <x:c r="F226" s="48" t="str">
        <x:v>om Pen PEMN eta en e Dnaranan Para Ban urge saw truga Ms Pbajan Gn temudan menyaan Pkaan argan</x:v>
      </x:c>
      <x:c r="G226" s="48" t="str">
        <x:v>Obligation</x:v>
      </x:c>
      <x:c r="H226" s="48" t="str">
        <x:v>Shared</x:v>
      </x:c>
      <x:c r="I226" s="48" t="n">
        <x:v>0.45</x:v>
      </x:c>
      <x:c r="J226" s="48" t="n">
        <x:v>0.4</x:v>
      </x:c>
      <x:c r="K226" s="48" t="str">
        <x:v>Yes</x:v>
      </x:c>
      <x:c r="L226" s="48" t="str">
        <x:v>OCR</x:v>
      </x:c>
    </x:row>
    <x:row r="227">
      <x:c r="A227" s="48" t="str">
        <x:v>SILVER-0226</x:v>
      </x:c>
      <x:c r="B227" s="48" t="str">
        <x:v>SILVER</x:v>
      </x:c>
      <x:c r="C227" s="48" t="str">
        <x:v>Indonesian</x:v>
      </x:c>
      <x:c r="D227" s="48" t="n">
        <x:v>46</x:v>
      </x:c>
      <x:c r="E227" s="48" t="str"/>
      <x:c r="F227" s="48" t="str">
        <x:v>Den Menpan pEr Bram</x:v>
      </x:c>
      <x:c r="G227" s="48" t="str">
        <x:v>Obligation</x:v>
      </x:c>
      <x:c r="H227" s="48" t="str">
        <x:v>Shared</x:v>
      </x:c>
      <x:c r="I227" s="48" t="n">
        <x:v>0.45</x:v>
      </x:c>
      <x:c r="J227" s="48" t="n">
        <x:v>0.4</x:v>
      </x:c>
      <x:c r="K227" s="48" t="str">
        <x:v>Yes</x:v>
      </x:c>
      <x:c r="L227" s="48" t="str">
        <x:v>OCR</x:v>
      </x:c>
    </x:row>
    <x:row r="228">
      <x:c r="A228" s="48" t="str">
        <x:v>SILVER-0227</x:v>
      </x:c>
      <x:c r="B228" s="48" t="str">
        <x:v>SILVER</x:v>
      </x:c>
      <x:c r="C228" s="48" t="str">
        <x:v>Indonesian</x:v>
      </x:c>
      <x:c r="D228" s="48" t="n">
        <x:v>46</x:v>
      </x:c>
      <x:c r="E228" s="48" t="str"/>
      <x:c r="F228" s="48" t="str">
        <x:v>wu Ter tna meyaksakan san Papan en sp Bagan Plan bin Pemesan can La Wa: Pyaar Peran agan Pera Ba Pr</x:v>
      </x:c>
      <x:c r="G228" s="48" t="str">
        <x:v>Obligation</x:v>
      </x:c>
      <x:c r="H228" s="48" t="str">
        <x:v>Shared</x:v>
      </x:c>
      <x:c r="I228" s="48" t="n">
        <x:v>0.45</x:v>
      </x:c>
      <x:c r="J228" s="48" t="n">
        <x:v>0.4</x:v>
      </x:c>
      <x:c r="K228" s="48" t="str">
        <x:v>Yes</x:v>
      </x:c>
      <x:c r="L228" s="48" t="str">
        <x:v>OCR</x:v>
      </x:c>
    </x:row>
    <x:row r="229">
      <x:c r="A229" s="48" t="str">
        <x:v>SILVER-0228</x:v>
      </x:c>
      <x:c r="B229" s="48" t="str">
        <x:v>SILVER</x:v>
      </x:c>
      <x:c r="C229" s="48" t="str">
        <x:v>Indonesian</x:v>
      </x:c>
      <x:c r="D229" s="48" t="n">
        <x:v>46</x:v>
      </x:c>
      <x:c r="E229" s="48" t="str"/>
      <x:c r="F229" s="48" t="str">
        <x:v>Sei temaase</x:v>
      </x:c>
      <x:c r="G229" s="48" t="str">
        <x:v>Obligation</x:v>
      </x:c>
      <x:c r="H229" s="48" t="str">
        <x:v>Shared</x:v>
      </x:c>
      <x:c r="I229" s="48" t="n">
        <x:v>0.45</x:v>
      </x:c>
      <x:c r="J229" s="48" t="n">
        <x:v>0.4</x:v>
      </x:c>
      <x:c r="K229" s="48" t="str">
        <x:v>Yes</x:v>
      </x:c>
      <x:c r="L229" s="48" t="str">
        <x:v>OCR</x:v>
      </x:c>
    </x:row>
    <x:row r="230">
      <x:c r="A230" s="48" t="str">
        <x:v>SILVER-0229</x:v>
      </x:c>
      <x:c r="B230" s="48" t="str">
        <x:v>SILVER</x:v>
      </x:c>
      <x:c r="C230" s="48" t="str">
        <x:v>Indonesian</x:v>
      </x:c>
      <x:c r="D230" s="48" t="n">
        <x:v>46</x:v>
      </x:c>
      <x:c r="E230" s="48" t="str"/>
      <x:c r="F230" s="48" t="str">
        <x:v>mua erecam -</x:v>
      </x:c>
      <x:c r="G230" s="48" t="str">
        <x:v>Obligation</x:v>
      </x:c>
      <x:c r="H230" s="48" t="str">
        <x:v>Shared</x:v>
      </x:c>
      <x:c r="I230" s="48" t="n">
        <x:v>0.45</x:v>
      </x:c>
      <x:c r="J230" s="48" t="n">
        <x:v>0.4</x:v>
      </x:c>
      <x:c r="K230" s="48" t="str">
        <x:v>Yes</x:v>
      </x:c>
      <x:c r="L230" s="48" t="str">
        <x:v>OCR</x:v>
      </x:c>
    </x:row>
    <x:row r="231">
      <x:c r="A231" s="48" t="str">
        <x:v>SILVER-0230</x:v>
      </x:c>
      <x:c r="B231" s="48" t="str">
        <x:v>SILVER</x:v>
      </x:c>
      <x:c r="C231" s="48" t="str">
        <x:v>Indonesian</x:v>
      </x:c>
      <x:c r="D231" s="48" t="n">
        <x:v>47</x:v>
      </x:c>
      <x:c r="E231" s="48" t="str"/>
      <x:c r="F231" s="48" t="str">
        <x:v>(Batas meta Pergafan po set Sl dan ( mengikakan SAR pbajan yag Geulan dak Krinkeeaganara oaatan tai Pelan Bagan Putjan yng dupa ne (satan Ak test asa tema berkaman Gia 101</x:v>
      </x:c>
      <x:c r="G231" s="48" t="str">
        <x:v>Obligation</x:v>
      </x:c>
      <x:c r="H231" s="48" t="str">
        <x:v>Shared</x:v>
      </x:c>
      <x:c r="I231" s="48" t="n">
        <x:v>0.45</x:v>
      </x:c>
      <x:c r="J231" s="48" t="n">
        <x:v>0.4</x:v>
      </x:c>
      <x:c r="K231" s="48" t="str">
        <x:v>Yes</x:v>
      </x:c>
      <x:c r="L231" s="48" t="str">
        <x:v>OCR</x:v>
      </x:c>
    </x:row>
    <x:row r="232">
      <x:c r="A232" s="48" t="str">
        <x:v>SILVER-0231</x:v>
      </x:c>
      <x:c r="B232" s="48" t="str">
        <x:v>SILVER</x:v>
      </x:c>
      <x:c r="C232" s="48" t="str">
        <x:v>Indonesian</x:v>
      </x:c>
      <x:c r="D232" s="48" t="n">
        <x:v>47</x:v>
      </x:c>
      <x:c r="E232" s="48" t="str"/>
      <x:c r="F232" s="48" t="str">
        <x:v>DSN Tea Pelan agan Pr</x:v>
      </x:c>
      <x:c r="G232" s="48" t="str">
        <x:v>Obligation</x:v>
      </x:c>
      <x:c r="H232" s="48" t="str">
        <x:v>Shared</x:v>
      </x:c>
      <x:c r="I232" s="48" t="n">
        <x:v>0.45</x:v>
      </x:c>
      <x:c r="J232" s="48" t="n">
        <x:v>0.4</x:v>
      </x:c>
      <x:c r="K232" s="48" t="str">
        <x:v>Yes</x:v>
      </x:c>
      <x:c r="L232" s="48" t="str">
        <x:v>OCR</x:v>
      </x:c>
    </x:row>
    <x:row r="233">
      <x:c r="A233" s="48" t="str">
        <x:v>SILVER-0232</x:v>
      </x:c>
      <x:c r="B233" s="48" t="str">
        <x:v>SILVER</x:v>
      </x:c>
      <x:c r="C233" s="48" t="str">
        <x:v>Indonesian</x:v>
      </x:c>
      <x:c r="D233" s="48" t="n">
        <x:v>47</x:v>
      </x:c>
      <x:c r="E233" s="48" t="str"/>
      <x:c r="F233" s="48" t="str">
        <x:v>Poncana Koja</x:v>
      </x:c>
      <x:c r="G233" s="48" t="str">
        <x:v>Obligation</x:v>
      </x:c>
      <x:c r="H233" s="48" t="str">
        <x:v>Shared</x:v>
      </x:c>
      <x:c r="I233" s="48" t="n">
        <x:v>0.45</x:v>
      </x:c>
      <x:c r="J233" s="48" t="n">
        <x:v>0.4</x:v>
      </x:c>
      <x:c r="K233" s="48" t="str">
        <x:v>Yes</x:v>
      </x:c>
      <x:c r="L233" s="48" t="str">
        <x:v>OCR</x:v>
      </x:c>
    </x:row>
    <x:row r="234">
      <x:c r="A234" s="48" t="str">
        <x:v>SILVER-0233</x:v>
      </x:c>
      <x:c r="B234" s="48" t="str">
        <x:v>SILVER</x:v>
      </x:c>
      <x:c r="C234" s="48" t="str">
        <x:v>Indonesian</x:v>
      </x:c>
      <x:c r="D234" s="48" t="n">
        <x:v>47</x:v>
      </x:c>
      <x:c r="E234" s="48" t="str"/>
      <x:c r="F234" s="48" t="str">
        <x:v>Komar Pata menangkan Meera Ita Ba Wa lcaa Pewara</x:v>
      </x:c>
      <x:c r="G234" s="48" t="str">
        <x:v>Obligation</x:v>
      </x:c>
      <x:c r="H234" s="48" t="str">
        <x:v>Shared</x:v>
      </x:c>
      <x:c r="I234" s="48" t="n">
        <x:v>0.45</x:v>
      </x:c>
      <x:c r="J234" s="48" t="n">
        <x:v>0.4</x:v>
      </x:c>
      <x:c r="K234" s="48" t="str">
        <x:v>Yes</x:v>
      </x:c>
      <x:c r="L234" s="48" t="str">
        <x:v>OCR</x:v>
      </x:c>
    </x:row>
    <x:row r="235">
      <x:c r="A235" s="48" t="str">
        <x:v>SILVER-0234</x:v>
      </x:c>
      <x:c r="B235" s="48" t="str">
        <x:v>SILVER</x:v>
      </x:c>
      <x:c r="C235" s="48" t="str">
        <x:v>Indonesian</x:v>
      </x:c>
      <x:c r="D235" s="48" t="n">
        <x:v>47</x:v>
      </x:c>
      <x:c r="E235" s="48" t="str"/>
      <x:c r="F235" s="48" t="str">
        <x:v>“Gam ak 28 Ta taman Ter MA Pan Kerta hn Pot</x:v>
      </x:c>
      <x:c r="G235" s="48" t="str">
        <x:v>Obligation</x:v>
      </x:c>
      <x:c r="H235" s="48" t="str">
        <x:v>Shared</x:v>
      </x:c>
      <x:c r="I235" s="48" t="n">
        <x:v>0.45</x:v>
      </x:c>
      <x:c r="J235" s="48" t="n">
        <x:v>0.4</x:v>
      </x:c>
      <x:c r="K235" s="48" t="str">
        <x:v>Yes</x:v>
      </x:c>
      <x:c r="L235" s="48" t="str">
        <x:v>OCR</x:v>
      </x:c>
    </x:row>
    <x:row r="236">
      <x:c r="A236" s="48" t="str">
        <x:v>SILVER-0235</x:v>
      </x:c>
      <x:c r="B236" s="48" t="str">
        <x:v>SILVER</x:v>
      </x:c>
      <x:c r="C236" s="48" t="str">
        <x:v>Indonesian</x:v>
      </x:c>
      <x:c r="D236" s="48" t="n">
        <x:v>47</x:v>
      </x:c>
      <x:c r="E236" s="48" t="str"/>
      <x:c r="F236" s="48" t="str">
        <x:v>MEA md tea hap tar ha Ketrna Ba Ka</x:v>
      </x:c>
      <x:c r="G236" s="48" t="str">
        <x:v>Obligation</x:v>
      </x:c>
      <x:c r="H236" s="48" t="str">
        <x:v>Shared</x:v>
      </x:c>
      <x:c r="I236" s="48" t="n">
        <x:v>0.45</x:v>
      </x:c>
      <x:c r="J236" s="48" t="n">
        <x:v>0.4</x:v>
      </x:c>
      <x:c r="K236" s="48" t="str">
        <x:v>Yes</x:v>
      </x:c>
      <x:c r="L236" s="48" t="str">
        <x:v>OCR</x:v>
      </x:c>
    </x:row>
    <x:row r="237">
      <x:c r="A237" s="48" t="str">
        <x:v>SILVER-0236</x:v>
      </x:c>
      <x:c r="B237" s="48" t="str">
        <x:v>SILVER</x:v>
      </x:c>
      <x:c r="C237" s="48" t="str">
        <x:v>Indonesian</x:v>
      </x:c>
      <x:c r="D237" s="48" t="n">
        <x:v>47</x:v>
      </x:c>
      <x:c r="E237" s="48" t="str"/>
      <x:c r="F237" s="48" t="str">
        <x:v>(ea Igor erat pan Imargoinya sk rmat aga kesotan</x:v>
      </x:c>
      <x:c r="G237" s="48" t="str">
        <x:v>Obligation</x:v>
      </x:c>
      <x:c r="H237" s="48" t="str">
        <x:v>Shared</x:v>
      </x:c>
      <x:c r="I237" s="48" t="n">
        <x:v>0.45</x:v>
      </x:c>
      <x:c r="J237" s="48" t="n">
        <x:v>0.4</x:v>
      </x:c>
      <x:c r="K237" s="48" t="str">
        <x:v>Yes</x:v>
      </x:c>
      <x:c r="L237" s="48" t="str">
        <x:v>OCR</x:v>
      </x:c>
    </x:row>
    <x:row r="238">
      <x:c r="A238" s="48" t="str">
        <x:v>SILVER-0237</x:v>
      </x:c>
      <x:c r="B238" s="48" t="str">
        <x:v>SILVER</x:v>
      </x:c>
      <x:c r="C238" s="48" t="str">
        <x:v>Indonesian</x:v>
      </x:c>
      <x:c r="D238" s="48" t="n">
        <x:v>47</x:v>
      </x:c>
      <x:c r="E238" s="48" t="str"/>
      <x:c r="F238" s="48" t="str">
        <x:v>Kerta Kail KAL yak an ar mak ee recrajaan</x:v>
      </x:c>
      <x:c r="G238" s="48" t="str">
        <x:v>Obligation</x:v>
      </x:c>
      <x:c r="H238" s="48" t="str">
        <x:v>Shared</x:v>
      </x:c>
      <x:c r="I238" s="48" t="n">
        <x:v>0.45</x:v>
      </x:c>
      <x:c r="J238" s="48" t="n">
        <x:v>0.4</x:v>
      </x:c>
      <x:c r="K238" s="48" t="str">
        <x:v>Yes</x:v>
      </x:c>
      <x:c r="L238" s="48" t="str">
        <x:v>OCR</x:v>
      </x:c>
    </x:row>
    <x:row r="239">
      <x:c r="A239" s="48" t="str">
        <x:v>SILVER-0238</x:v>
      </x:c>
      <x:c r="B239" s="48" t="str">
        <x:v>SILVER</x:v>
      </x:c>
      <x:c r="C239" s="48" t="str">
        <x:v>Indonesian</x:v>
      </x:c>
      <x:c r="D239" s="48" t="n">
        <x:v>47</x:v>
      </x:c>
      <x:c r="E239" s="48" t="str">
        <x:v>18</x:v>
      </x:c>
      <x:c r="F239" s="48" t="str">
        <x:v>18 ingin ogamrakernee ro mbsanrsen Pkn enak ati H1 Mempenetean sai SibKamn 62 Don kesat</x:v>
      </x:c>
      <x:c r="G239" s="48" t="str">
        <x:v>Heading</x:v>
      </x:c>
      <x:c r="H239" s="48" t="str"/>
      <x:c r="I239" s="48" t="n">
        <x:v>0.9</x:v>
      </x:c>
      <x:c r="J239" s="48" t="n">
        <x:v>0.99</x:v>
      </x:c>
      <x:c r="K239" s="48" t="str">
        <x:v>No</x:v>
      </x:c>
      <x:c r="L239" s="48" t="str">
        <x:v>OCR</x:v>
      </x:c>
    </x:row>
    <x:row r="240">
      <x:c r="A240" s="48" t="str">
        <x:v>SILVER-0239</x:v>
      </x:c>
      <x:c r="B240" s="48" t="str">
        <x:v>SILVER</x:v>
      </x:c>
      <x:c r="C240" s="48" t="str">
        <x:v>Indonesian</x:v>
      </x:c>
      <x:c r="D240" s="48" t="n">
        <x:v>47</x:v>
      </x:c>
      <x:c r="E240" s="48" t="str"/>
      <x:c r="F240" s="48" t="str">
        <x:v>Ie Untan ina rak metan penata Am Pera setagurara</x:v>
      </x:c>
      <x:c r="G240" s="48" t="str">
        <x:v>Obligation</x:v>
      </x:c>
      <x:c r="H240" s="48" t="str">
        <x:v>Shared</x:v>
      </x:c>
      <x:c r="I240" s="48" t="n">
        <x:v>0.45</x:v>
      </x:c>
      <x:c r="J240" s="48" t="n">
        <x:v>0.4</x:v>
      </x:c>
      <x:c r="K240" s="48" t="str">
        <x:v>Yes</x:v>
      </x:c>
      <x:c r="L240" s="48" t="str">
        <x:v>OCR</x:v>
      </x:c>
    </x:row>
    <x:row r="241">
      <x:c r="A241" s="48" t="str">
        <x:v>SILVER-0240</x:v>
      </x:c>
      <x:c r="B241" s="48" t="str">
        <x:v>SILVER</x:v>
      </x:c>
      <x:c r="C241" s="48" t="str">
        <x:v>Indonesian</x:v>
      </x:c>
      <x:c r="D241" s="48" t="n">
        <x:v>48</x:v>
      </x:c>
      <x:c r="E241" s="48" t="str"/>
      <x:c r="F241" s="48" t="str">
        <x:v>Ketaman Pewa ontan eta ber ya</x:v>
      </x:c>
      <x:c r="G241" s="48" t="str">
        <x:v>Obligation</x:v>
      </x:c>
      <x:c r="H241" s="48" t="str">
        <x:v>Shared</x:v>
      </x:c>
      <x:c r="I241" s="48" t="n">
        <x:v>0.45</x:v>
      </x:c>
      <x:c r="J241" s="48" t="n">
        <x:v>0.4</x:v>
      </x:c>
      <x:c r="K241" s="48" t="str">
        <x:v>Yes</x:v>
      </x:c>
      <x:c r="L241" s="48" t="str">
        <x:v>OCR</x:v>
      </x:c>
    </x:row>
    <x:row r="242">
      <x:c r="A242" s="48" t="str">
        <x:v>SILVER-0241</x:v>
      </x:c>
      <x:c r="B242" s="48" t="str">
        <x:v>SILVER</x:v>
      </x:c>
      <x:c r="C242" s="48" t="str">
        <x:v>Indonesian</x:v>
      </x:c>
      <x:c r="D242" s="48" t="n">
        <x:v>48</x:v>
      </x:c>
      <x:c r="E242" s="48" t="str"/>
      <x:c r="F242" s="48" t="str">
        <x:v>at Tndaan pw AMAN MeANOKOA, KeNMMN VPN</x:v>
      </x:c>
      <x:c r="G242" s="48" t="str">
        <x:v>Obligation</x:v>
      </x:c>
      <x:c r="H242" s="48" t="str">
        <x:v>Shared</x:v>
      </x:c>
      <x:c r="I242" s="48" t="n">
        <x:v>0.45</x:v>
      </x:c>
      <x:c r="J242" s="48" t="n">
        <x:v>0.4</x:v>
      </x:c>
      <x:c r="K242" s="48" t="str">
        <x:v>Yes</x:v>
      </x:c>
      <x:c r="L242" s="48" t="str">
        <x:v>OCR</x:v>
      </x:c>
    </x:row>
    <x:row r="243">
      <x:c r="A243" s="48" t="str">
        <x:v>SILVER-0242</x:v>
      </x:c>
      <x:c r="B243" s="48" t="str">
        <x:v>SILVER</x:v>
      </x:c>
      <x:c r="C243" s="48" t="str">
        <x:v>Indonesian</x:v>
      </x:c>
      <x:c r="D243" s="48" t="n">
        <x:v>48</x:v>
      </x:c>
      <x:c r="E243" s="48" t="str"/>
      <x:c r="F243" s="48" t="str">
        <x:v>Dbiyeg an logat,</x:v>
      </x:c>
      <x:c r="G243" s="48" t="str">
        <x:v>Obligation</x:v>
      </x:c>
      <x:c r="H243" s="48" t="str">
        <x:v>Shared</x:v>
      </x:c>
      <x:c r="I243" s="48" t="n">
        <x:v>0.45</x:v>
      </x:c>
      <x:c r="J243" s="48" t="n">
        <x:v>0.4</x:v>
      </x:c>
      <x:c r="K243" s="48" t="str">
        <x:v>Yes</x:v>
      </x:c>
      <x:c r="L243" s="48" t="str">
        <x:v>OCR</x:v>
      </x:c>
    </x:row>
    <x:row r="244">
      <x:c r="A244" s="48" t="str">
        <x:v>SILVER-0243</x:v>
      </x:c>
      <x:c r="B244" s="48" t="str">
        <x:v>SILVER</x:v>
      </x:c>
      <x:c r="C244" s="48" t="str">
        <x:v>Indonesian</x:v>
      </x:c>
      <x:c r="D244" s="48" t="n">
        <x:v>48</x:v>
      </x:c>
      <x:c r="E244" s="48" t="str"/>
      <x:c r="F244" s="48" t="str">
        <x:v>&amp; MMOKGMWOMmOEuTOMLTeYanMOaNma (8 Iebtantaan ni DrOgEN ABU MenaKaN Wat ang Ak et peran Iran rara ts tumban 11 dan coxantangan tnpa tenetan</x:v>
      </x:c>
      <x:c r="G244" s="48" t="str">
        <x:v>Obligation</x:v>
      </x:c>
      <x:c r="H244" s="48" t="str">
        <x:v>Shared</x:v>
      </x:c>
      <x:c r="I244" s="48" t="n">
        <x:v>0.45</x:v>
      </x:c>
      <x:c r="J244" s="48" t="n">
        <x:v>0.4</x:v>
      </x:c>
      <x:c r="K244" s="48" t="str">
        <x:v>Yes</x:v>
      </x:c>
      <x:c r="L244" s="48" t="str">
        <x:v>OCR</x:v>
      </x:c>
    </x:row>
    <x:row r="245">
      <x:c r="A245" s="48" t="str">
        <x:v>SILVER-0244</x:v>
      </x:c>
      <x:c r="B245" s="48" t="str">
        <x:v>SILVER</x:v>
      </x:c>
      <x:c r="C245" s="48" t="str">
        <x:v>Indonesian</x:v>
      </x:c>
      <x:c r="D245" s="48" t="n">
        <x:v>48</x:v>
      </x:c>
      <x:c r="E245" s="48" t="str"/>
      <x:c r="F245" s="48" t="str">
        <x:v>Maturtsan bomsdan mo oaaya PI Ox De MuKa Ba Pepnyngan</x:v>
      </x:c>
      <x:c r="G245" s="48" t="str">
        <x:v>Obligation</x:v>
      </x:c>
      <x:c r="H245" s="48" t="str">
        <x:v>Shared</x:v>
      </x:c>
      <x:c r="I245" s="48" t="n">
        <x:v>0.45</x:v>
      </x:c>
      <x:c r="J245" s="48" t="n">
        <x:v>0.4</x:v>
      </x:c>
      <x:c r="K245" s="48" t="str">
        <x:v>Yes</x:v>
      </x:c>
      <x:c r="L245" s="48" t="str">
        <x:v>OCR</x:v>
      </x:c>
    </x:row>
    <x:row r="246">
      <x:c r="A246" s="48" t="str">
        <x:v>SILVER-0245</x:v>
      </x:c>
      <x:c r="B246" s="48" t="str">
        <x:v>SILVER</x:v>
      </x:c>
      <x:c r="C246" s="48" t="str">
        <x:v>Indonesian</x:v>
      </x:c>
      <x:c r="D246" s="48" t="n">
        <x:v>48</x:v>
      </x:c>
      <x:c r="E246" s="48" t="str"/>
      <x:c r="F246" s="48" t="str">
        <x:v>TngkatKamajan Ao koma</x:v>
      </x:c>
      <x:c r="G246" s="48" t="str">
        <x:v>Obligation</x:v>
      </x:c>
      <x:c r="H246" s="48" t="str">
        <x:v>Shared</x:v>
      </x:c>
      <x:c r="I246" s="48" t="n">
        <x:v>0.45</x:v>
      </x:c>
      <x:c r="J246" s="48" t="n">
        <x:v>0.4</x:v>
      </x:c>
      <x:c r="K246" s="48" t="str">
        <x:v>Yes</x:v>
      </x:c>
      <x:c r="L246" s="48" t="str">
        <x:v>OCR</x:v>
      </x:c>
    </x:row>
    <x:row r="247">
      <x:c r="A247" s="48" t="str">
        <x:v>SILVER-0246</x:v>
      </x:c>
      <x:c r="B247" s="48" t="str">
        <x:v>SILVER</x:v>
      </x:c>
      <x:c r="C247" s="48" t="str">
        <x:v>Indonesian</x:v>
      </x:c>
      <x:c r="D247" s="48" t="n">
        <x:v>49</x:v>
      </x:c>
      <x:c r="E247" s="48" t="str"/>
      <x:c r="F247" s="48" t="str">
        <x:v>Png aa Ig ee merberanyan aan erat Arta can sang</x:v>
      </x:c>
      <x:c r="G247" s="48" t="str">
        <x:v>Obligation</x:v>
      </x:c>
      <x:c r="H247" s="48" t="str">
        <x:v>Shared</x:v>
      </x:c>
      <x:c r="I247" s="48" t="n">
        <x:v>0.45</x:v>
      </x:c>
      <x:c r="J247" s="48" t="n">
        <x:v>0.4</x:v>
      </x:c>
      <x:c r="K247" s="48" t="str">
        <x:v>Yes</x:v>
      </x:c>
      <x:c r="L247" s="48" t="str">
        <x:v>OCR</x:v>
      </x:c>
    </x:row>
    <x:row r="248">
      <x:c r="A248" s="48" t="str">
        <x:v>SILVER-0247</x:v>
      </x:c>
      <x:c r="B248" s="48" t="str">
        <x:v>SILVER</x:v>
      </x:c>
      <x:c r="C248" s="48" t="str">
        <x:v>Indonesian</x:v>
      </x:c>
      <x:c r="D248" s="48" t="n">
        <x:v>50</x:v>
      </x:c>
      <x:c r="E248" s="48" t="str"/>
      <x:c r="F248" s="48" t="str">
        <x:v>Irta Kak etek das au peraryrgan ma aa peNbaan aan</x:v>
      </x:c>
      <x:c r="G248" s="48" t="str">
        <x:v>Obligation</x:v>
      </x:c>
      <x:c r="H248" s="48" t="str">
        <x:v>Shared</x:v>
      </x:c>
      <x:c r="I248" s="48" t="n">
        <x:v>0.45</x:v>
      </x:c>
      <x:c r="J248" s="48" t="n">
        <x:v>0.4</x:v>
      </x:c>
      <x:c r="K248" s="48" t="str">
        <x:v>Yes</x:v>
      </x:c>
      <x:c r="L248" s="48" t="str">
        <x:v>OCR</x:v>
      </x:c>
    </x:row>
    <x:row r="249">
      <x:c r="A249" s="48" t="str">
        <x:v>SILVER-0248</x:v>
      </x:c>
      <x:c r="B249" s="48" t="str">
        <x:v>SILVER</x:v>
      </x:c>
      <x:c r="C249" s="48" t="str">
        <x:v>Indonesian</x:v>
      </x:c>
      <x:c r="D249" s="48" t="n">
        <x:v>50</x:v>
      </x:c>
      <x:c r="E249" s="48" t="str"/>
      <x:c r="F249" s="48" t="str">
        <x:v>(ga png Srukan Ik menootok aman Ket Oham daan ca</x:v>
      </x:c>
      <x:c r="G249" s="48" t="str">
        <x:v>Obligation</x:v>
      </x:c>
      <x:c r="H249" s="48" t="str">
        <x:v>Shared</x:v>
      </x:c>
      <x:c r="I249" s="48" t="n">
        <x:v>0.45</x:v>
      </x:c>
      <x:c r="J249" s="48" t="n">
        <x:v>0.4</x:v>
      </x:c>
      <x:c r="K249" s="48" t="str">
        <x:v>Yes</x:v>
      </x:c>
      <x:c r="L249" s="48" t="str">
        <x:v>OCR</x:v>
      </x:c>
    </x:row>
    <x:row r="250">
      <x:c r="A250" s="48" t="str">
        <x:v>SILVER-0249</x:v>
      </x:c>
      <x:c r="B250" s="48" t="str">
        <x:v>SILVER</x:v>
      </x:c>
      <x:c r="C250" s="48" t="str">
        <x:v>Indonesian</x:v>
      </x:c>
      <x:c r="D250" s="48" t="n">
        <x:v>50</x:v>
      </x:c>
      <x:c r="E250" s="48" t="str"/>
      <x:c r="F250" s="48" t="str">
        <x:v>Peatentan yang</x:v>
      </x:c>
      <x:c r="G250" s="48" t="str">
        <x:v>Obligation</x:v>
      </x:c>
      <x:c r="H250" s="48" t="str">
        <x:v>Shared</x:v>
      </x:c>
      <x:c r="I250" s="48" t="n">
        <x:v>0.45</x:v>
      </x:c>
      <x:c r="J250" s="48" t="n">
        <x:v>0.4</x:v>
      </x:c>
      <x:c r="K250" s="48" t="str">
        <x:v>Yes</x:v>
      </x:c>
      <x:c r="L250" s="48" t="str">
        <x:v>OCR</x:v>
      </x:c>
    </x:row>
    <x:row r="251">
      <x:c r="A251" s="48" t="str">
        <x:v>SILVER-0250</x:v>
      </x:c>
      <x:c r="B251" s="48" t="str">
        <x:v>SILVER</x:v>
      </x:c>
      <x:c r="C251" s="48" t="str">
        <x:v>Indonesian</x:v>
      </x:c>
      <x:c r="D251" s="48" t="n">
        <x:v>50</x:v>
      </x:c>
      <x:c r="E251" s="48" t="str"/>
      <x:c r="F251" s="48" t="str">
        <x:v>beta "wait Kortastor entar hana murka Pergi aa Penysssan teceatan Kosta Ia din bina 74 Pep) toba menjlan Guna sai ngan Sioitasus 58 okumen tu an San 57 Pras Oto san eren mryanakanpertruanoca Fengra sa ok luang Ai 2 Tt tera raga man mara Kumar 100 kh mesengan</x:v>
      </x:c>
      <x:c r="G251" s="48" t="str">
        <x:v>Obligation</x:v>
      </x:c>
      <x:c r="H251" s="48" t="str">
        <x:v>Shared</x:v>
      </x:c>
      <x:c r="I251" s="48" t="n">
        <x:v>0.45</x:v>
      </x:c>
      <x:c r="J251" s="48" t="n">
        <x:v>0.4</x:v>
      </x:c>
      <x:c r="K251" s="48" t="str">
        <x:v>Yes</x:v>
      </x:c>
      <x:c r="L251" s="48" t="str">
        <x:v>OCR</x:v>
      </x:c>
    </x:row>
    <x:row r="252">
      <x:c r="A252" s="48" t="str">
        <x:v>SILVER-0251</x:v>
      </x:c>
      <x:c r="B252" s="48" t="str">
        <x:v>SILVER</x:v>
      </x:c>
      <x:c r="C252" s="48" t="str">
        <x:v>Indonesian</x:v>
      </x:c>
      <x:c r="D252" s="48" t="n">
        <x:v>50</x:v>
      </x:c>
      <x:c r="E252" s="48" t="str"/>
      <x:c r="F252" s="48" t="str">
        <x:v>Islan Peran pda Perkasa Ko rb erat lan Pra path</x:v>
      </x:c>
      <x:c r="G252" s="48" t="str">
        <x:v>Obligation</x:v>
      </x:c>
      <x:c r="H252" s="48" t="str">
        <x:v>Shared</x:v>
      </x:c>
      <x:c r="I252" s="48" t="n">
        <x:v>0.45</x:v>
      </x:c>
      <x:c r="J252" s="48" t="n">
        <x:v>0.4</x:v>
      </x:c>
      <x:c r="K252" s="48" t="str">
        <x:v>Yes</x:v>
      </x:c>
      <x:c r="L252" s="48" t="str">
        <x:v>OCR</x:v>
      </x:c>
    </x:row>
    <x:row r="253">
      <x:c r="A253" s="48" t="str">
        <x:v>SILVER-0252</x:v>
      </x:c>
      <x:c r="B253" s="48" t="str">
        <x:v>SILVER</x:v>
      </x:c>
      <x:c r="C253" s="48" t="str">
        <x:v>Indonesian</x:v>
      </x:c>
      <x:c r="D253" s="48" t="n">
        <x:v>50</x:v>
      </x:c>
      <x:c r="E253" s="48" t="str"/>
      <x:c r="F253" s="48" t="str">
        <x:v>Pesan ana draw Gek 1 ai an ren Ist ain</x:v>
      </x:c>
      <x:c r="G253" s="48" t="str">
        <x:v>Obligation</x:v>
      </x:c>
      <x:c r="H253" s="48" t="str">
        <x:v>Shared</x:v>
      </x:c>
      <x:c r="I253" s="48" t="n">
        <x:v>0.45</x:v>
      </x:c>
      <x:c r="J253" s="48" t="n">
        <x:v>0.4</x:v>
      </x:c>
      <x:c r="K253" s="48" t="str">
        <x:v>Yes</x:v>
      </x:c>
      <x:c r="L253" s="48" t="str">
        <x:v>OCR</x:v>
      </x:c>
    </x:row>
    <x:row r="254">
      <x:c r="A254" s="48" t="str">
        <x:v>SILVER-0253</x:v>
      </x:c>
      <x:c r="B254" s="48" t="str">
        <x:v>SILVER</x:v>
      </x:c>
      <x:c r="C254" s="48" t="str">
        <x:v>Indonesian</x:v>
      </x:c>
      <x:c r="D254" s="48" t="n">
        <x:v>50</x:v>
      </x:c>
      <x:c r="E254" s="48" t="str"/>
      <x:c r="F254" s="48" t="str">
        <x:v>Tao Pata BKamaradrakMoken Oa Png Jm</x:v>
      </x:c>
      <x:c r="G254" s="48" t="str">
        <x:v>Obligation</x:v>
      </x:c>
      <x:c r="H254" s="48" t="str">
        <x:v>Shared</x:v>
      </x:c>
      <x:c r="I254" s="48" t="n">
        <x:v>0.45</x:v>
      </x:c>
      <x:c r="J254" s="48" t="n">
        <x:v>0.4</x:v>
      </x:c>
      <x:c r="K254" s="48" t="str">
        <x:v>Yes</x:v>
      </x:c>
      <x:c r="L254" s="48" t="str">
        <x:v>OCR</x:v>
      </x:c>
    </x:row>
    <x:row r="255">
      <x:c r="A255" s="48" t="str">
        <x:v>SILVER-0254</x:v>
      </x:c>
      <x:c r="B255" s="48" t="str">
        <x:v>SILVER</x:v>
      </x:c>
      <x:c r="C255" s="48" t="str">
        <x:v>Indonesian</x:v>
      </x:c>
      <x:c r="D255" s="48" t="n">
        <x:v>51</x:v>
      </x:c>
      <x:c r="E255" s="48" t="str"/>
      <x:c r="F255" s="48" t="str">
        <x:v>oa Perak ta Pnytatan mer warta Ba esan Pergara 1 Sitaan 74 PeDAri banya in In rits SKA TO</x:v>
      </x:c>
      <x:c r="G255" s="48" t="str">
        <x:v>Obligation</x:v>
      </x:c>
      <x:c r="H255" s="48" t="str">
        <x:v>Shared</x:v>
      </x:c>
      <x:c r="I255" s="48" t="n">
        <x:v>0.45</x:v>
      </x:c>
      <x:c r="J255" s="48" t="n">
        <x:v>0.4</x:v>
      </x:c>
      <x:c r="K255" s="48" t="str">
        <x:v>Yes</x:v>
      </x:c>
      <x:c r="L255" s="48" t="str">
        <x:v>OCR</x:v>
      </x:c>
    </x:row>
    <x:row r="256">
      <x:c r="A256" s="48" t="str">
        <x:v>SILVER-0255</x:v>
      </x:c>
      <x:c r="B256" s="48" t="str">
        <x:v>SILVER</x:v>
      </x:c>
      <x:c r="C256" s="48" t="str">
        <x:v>Indonesian</x:v>
      </x:c>
      <x:c r="D256" s="48" t="n">
        <x:v>51</x:v>
      </x:c>
      <x:c r="E256" s="48" t="str"/>
      <x:c r="F256" s="48" t="str">
        <x:v>Inn Sa Png ac Pesanan bla</x:v>
      </x:c>
      <x:c r="G256" s="48" t="str">
        <x:v>Obligation</x:v>
      </x:c>
      <x:c r="H256" s="48" t="str">
        <x:v>Shared</x:v>
      </x:c>
      <x:c r="I256" s="48" t="n">
        <x:v>0.45</x:v>
      </x:c>
      <x:c r="J256" s="48" t="n">
        <x:v>0.4</x:v>
      </x:c>
      <x:c r="K256" s="48" t="str">
        <x:v>Yes</x:v>
      </x:c>
      <x:c r="L256" s="48" t="str">
        <x:v>OCR</x:v>
      </x:c>
    </x:row>
    <x:row r="257">
      <x:c r="A257" s="48" t="str">
        <x:v>SILVER-0256</x:v>
      </x:c>
      <x:c r="B257" s="48" t="str">
        <x:v>SILVER</x:v>
      </x:c>
      <x:c r="C257" s="48" t="str">
        <x:v>Indonesian</x:v>
      </x:c>
      <x:c r="D257" s="48" t="n">
        <x:v>51</x:v>
      </x:c>
      <x:c r="E257" s="48" t="str"/>
      <x:c r="F257" s="48" t="str">
        <x:v>Pee ngtengsPenesasan mor wa serba Ya ma</x:v>
      </x:c>
      <x:c r="G257" s="48" t="str">
        <x:v>Obligation</x:v>
      </x:c>
      <x:c r="H257" s="48" t="str">
        <x:v>Shared</x:v>
      </x:c>
      <x:c r="I257" s="48" t="n">
        <x:v>0.45</x:v>
      </x:c>
      <x:c r="J257" s="48" t="n">
        <x:v>0.4</x:v>
      </x:c>
      <x:c r="K257" s="48" t="str">
        <x:v>Yes</x:v>
      </x:c>
      <x:c r="L257" s="48" t="str">
        <x:v>OCR</x:v>
      </x:c>
    </x:row>
    <x:row r="258">
      <x:c r="A258" s="48" t="str">
        <x:v>SILVER-0257</x:v>
      </x:c>
      <x:c r="B258" s="48" t="str">
        <x:v>SILVER</x:v>
      </x:c>
      <x:c r="C258" s="48" t="str">
        <x:v>Indonesian</x:v>
      </x:c>
      <x:c r="D258" s="48" t="n">
        <x:v>51</x:v>
      </x:c>
      <x:c r="E258" s="48" t="str"/>
      <x:c r="F258" s="48" t="str">
        <x:v>Paggpa En snp arie Semanan oa Man memm</x:v>
      </x:c>
      <x:c r="G258" s="48" t="str">
        <x:v>Obligation</x:v>
      </x:c>
      <x:c r="H258" s="48" t="str">
        <x:v>Shared</x:v>
      </x:c>
      <x:c r="I258" s="48" t="n">
        <x:v>0.45</x:v>
      </x:c>
      <x:c r="J258" s="48" t="n">
        <x:v>0.4</x:v>
      </x:c>
      <x:c r="K258" s="48" t="str">
        <x:v>Yes</x:v>
      </x:c>
      <x:c r="L258" s="48" t="str">
        <x:v>OCR</x:v>
      </x:c>
    </x:row>
    <x:row r="259">
      <x:c r="A259" s="48" t="str">
        <x:v>SILVER-0258</x:v>
      </x:c>
      <x:c r="B259" s="48" t="str">
        <x:v>SILVER</x:v>
      </x:c>
      <x:c r="C259" s="48" t="str">
        <x:v>Indonesian</x:v>
      </x:c>
      <x:c r="D259" s="48" t="n">
        <x:v>51</x:v>
      </x:c>
      <x:c r="E259" s="48" t="str"/>
      <x:c r="F259" s="48" t="str">
        <x:v>ran Oam va 2! fa sss merana entotan Keras Pane aksara Pee asa fa fr Ga pn yng un S1</x:v>
      </x:c>
      <x:c r="G259" s="48" t="str">
        <x:v>Obligation</x:v>
      </x:c>
      <x:c r="H259" s="48" t="str">
        <x:v>Shared</x:v>
      </x:c>
      <x:c r="I259" s="48" t="n">
        <x:v>0.45</x:v>
      </x:c>
      <x:c r="J259" s="48" t="n">
        <x:v>0.4</x:v>
      </x:c>
      <x:c r="K259" s="48" t="str">
        <x:v>Yes</x:v>
      </x:c>
      <x:c r="L259" s="48" t="str">
        <x:v>OCR</x:v>
      </x:c>
    </x:row>
    <x:row r="260">
      <x:c r="A260" s="48" t="str">
        <x:v>SILVER-0259</x:v>
      </x:c>
      <x:c r="B260" s="48" t="str">
        <x:v>SILVER</x:v>
      </x:c>
      <x:c r="C260" s="48" t="str">
        <x:v>Indonesian</x:v>
      </x:c>
      <x:c r="D260" s="48" t="n">
        <x:v>51</x:v>
      </x:c>
      <x:c r="E260" s="48" t="str"/>
      <x:c r="F260" s="48" t="str">
        <x:v>Krn an demanen hem Peron</x:v>
      </x:c>
      <x:c r="G260" s="48" t="str">
        <x:v>Obligation</x:v>
      </x:c>
      <x:c r="H260" s="48" t="str">
        <x:v>Shared</x:v>
      </x:c>
      <x:c r="I260" s="48" t="n">
        <x:v>0.45</x:v>
      </x:c>
      <x:c r="J260" s="48" t="n">
        <x:v>0.4</x:v>
      </x:c>
      <x:c r="K260" s="48" t="str">
        <x:v>Yes</x:v>
      </x:c>
      <x:c r="L260" s="48" t="str">
        <x:v>OCR</x:v>
      </x:c>
    </x:row>
    <x:row r="261">
      <x:c r="A261" s="48" t="str">
        <x:v>SILVER-0260</x:v>
      </x:c>
      <x:c r="B261" s="48" t="str">
        <x:v>SILVER</x:v>
      </x:c>
      <x:c r="C261" s="48" t="str">
        <x:v>Indonesian</x:v>
      </x:c>
      <x:c r="D261" s="48" t="n">
        <x:v>51</x:v>
      </x:c>
      <x:c r="E261" s="48" t="str"/>
      <x:c r="F261" s="48" t="str">
        <x:v>et Krn Ong AS meteran Prana Penetaan aan 1062! ta Pon Prgara Ja tt mem prana bd melo</x:v>
      </x:c>
      <x:c r="G261" s="48" t="str">
        <x:v>Obligation</x:v>
      </x:c>
      <x:c r="H261" s="48" t="str">
        <x:v>Shared</x:v>
      </x:c>
      <x:c r="I261" s="48" t="n">
        <x:v>0.45</x:v>
      </x:c>
      <x:c r="J261" s="48" t="n">
        <x:v>0.4</x:v>
      </x:c>
      <x:c r="K261" s="48" t="str">
        <x:v>Yes</x:v>
      </x:c>
      <x:c r="L261" s="48" t="str">
        <x:v>OCR</x:v>
      </x:c>
    </x:row>
    <x:row r="262">
      <x:c r="A262" s="48" t="str">
        <x:v>SILVER-0261</x:v>
      </x:c>
      <x:c r="B262" s="48" t="str">
        <x:v>SILVER</x:v>
      </x:c>
      <x:c r="C262" s="48" t="str">
        <x:v>Indonesian</x:v>
      </x:c>
      <x:c r="D262" s="48" t="n">
        <x:v>51</x:v>
      </x:c>
      <x:c r="E262" s="48" t="str"/>
      <x:c r="F262" s="48" t="str">
        <x:v>Keren Pra pn Perybasan taa dragon daratan rn</x:v>
      </x:c>
      <x:c r="G262" s="48" t="str">
        <x:v>Obligation</x:v>
      </x:c>
      <x:c r="H262" s="48" t="str">
        <x:v>Shared</x:v>
      </x:c>
      <x:c r="I262" s="48" t="n">
        <x:v>0.45</x:v>
      </x:c>
      <x:c r="J262" s="48" t="n">
        <x:v>0.4</x:v>
      </x:c>
      <x:c r="K262" s="48" t="str">
        <x:v>Yes</x:v>
      </x:c>
      <x:c r="L262" s="48" t="str">
        <x:v>OCR</x:v>
      </x:c>
    </x:row>
    <x:row r="263">
      <x:c r="A263" s="48" t="str">
        <x:v>SILVER-0262</x:v>
      </x:c>
      <x:c r="B263" s="48" t="str">
        <x:v>SILVER</x:v>
      </x:c>
      <x:c r="C263" s="48" t="str">
        <x:v>Indonesian</x:v>
      </x:c>
      <x:c r="D263" s="48" t="n">
        <x:v>51</x:v>
      </x:c>
      <x:c r="E263" s="48" t="str"/>
      <x:c r="F263" s="48" t="str">
        <x:v>Pen Krn Ga fa Pagar Gea bagi era</x:v>
      </x:c>
      <x:c r="G263" s="48" t="str">
        <x:v>Obligation</x:v>
      </x:c>
      <x:c r="H263" s="48" t="str">
        <x:v>Shared</x:v>
      </x:c>
      <x:c r="I263" s="48" t="n">
        <x:v>0.45</x:v>
      </x:c>
      <x:c r="J263" s="48" t="n">
        <x:v>0.4</x:v>
      </x:c>
      <x:c r="K263" s="48" t="str">
        <x:v>Yes</x:v>
      </x:c>
      <x:c r="L263" s="48" t="str">
        <x:v>OCR</x:v>
      </x:c>
    </x:row>
    <x:row r="264">
      <x:c r="A264" s="48" t="str">
        <x:v>SILVER-0263</x:v>
      </x:c>
      <x:c r="B264" s="48" t="str">
        <x:v>SILVER</x:v>
      </x:c>
      <x:c r="C264" s="48" t="str">
        <x:v>Indonesian</x:v>
      </x:c>
      <x:c r="D264" s="48" t="n">
        <x:v>52</x:v>
      </x:c>
      <x:c r="E264" s="48" t="str"/>
      <x:c r="F264" s="48" t="str">
        <x:v>Penukan ang</x:v>
      </x:c>
      <x:c r="G264" s="48" t="str">
        <x:v>Obligation</x:v>
      </x:c>
      <x:c r="H264" s="48" t="str">
        <x:v>Shared</x:v>
      </x:c>
      <x:c r="I264" s="48" t="n">
        <x:v>0.45</x:v>
      </x:c>
      <x:c r="J264" s="48" t="n">
        <x:v>0.4</x:v>
      </x:c>
      <x:c r="K264" s="48" t="str">
        <x:v>Yes</x:v>
      </x:c>
      <x:c r="L264" s="48" t="str">
        <x:v>OCR</x:v>
      </x:c>
    </x:row>
    <x:row r="265">
      <x:c r="A265" s="48" t="str">
        <x:v>SILVER-0264</x:v>
      </x:c>
      <x:c r="B265" s="48" t="str">
        <x:v>SILVER</x:v>
      </x:c>
      <x:c r="C265" s="48" t="str">
        <x:v>Indonesian</x:v>
      </x:c>
      <x:c r="D265" s="48" t="n">
        <x:v>52</x:v>
      </x:c>
      <x:c r="E265" s="48" t="str">
        <x:v>2</x:v>
      </x:c>
      <x:c r="F265" s="48" t="str">
        <x:v>2 Pengikan sada</x:v>
      </x:c>
      <x:c r="G265" s="48" t="str">
        <x:v>Heading</x:v>
      </x:c>
      <x:c r="H265" s="48" t="str"/>
      <x:c r="I265" s="48" t="n">
        <x:v>0.9</x:v>
      </x:c>
      <x:c r="J265" s="48" t="n">
        <x:v>0.99</x:v>
      </x:c>
      <x:c r="K265" s="48" t="str">
        <x:v>No</x:v>
      </x:c>
      <x:c r="L265" s="48" t="str">
        <x:v>OCR</x:v>
      </x:c>
    </x:row>
    <x:row r="266">
      <x:c r="A266" s="48" t="str">
        <x:v>SILVER-0265</x:v>
      </x:c>
      <x:c r="B266" s="48" t="str">
        <x:v>SILVER</x:v>
      </x:c>
      <x:c r="C266" s="48" t="str">
        <x:v>Indonesian</x:v>
      </x:c>
      <x:c r="D266" s="48" t="n">
        <x:v>52</x:v>
      </x:c>
      <x:c r="E266" s="48" t="str"/>
      <x:c r="F266" s="48" t="str">
        <x:v>Sean nena Neck mgamara dngan am Sub SAI Loa Pangan aan</x:v>
      </x:c>
      <x:c r="G266" s="48" t="str">
        <x:v>Obligation</x:v>
      </x:c>
      <x:c r="H266" s="48" t="str">
        <x:v>Shared</x:v>
      </x:c>
      <x:c r="I266" s="48" t="n">
        <x:v>0.45</x:v>
      </x:c>
      <x:c r="J266" s="48" t="n">
        <x:v>0.4</x:v>
      </x:c>
      <x:c r="K266" s="48" t="str">
        <x:v>Yes</x:v>
      </x:c>
      <x:c r="L266" s="48" t="str">
        <x:v>OCR</x:v>
      </x:c>
    </x:row>
    <x:row r="267">
      <x:c r="A267" s="48" t="str">
        <x:v>SILVER-0266</x:v>
      </x:c>
      <x:c r="B267" s="48" t="str">
        <x:v>SILVER</x:v>
      </x:c>
      <x:c r="C267" s="48" t="str">
        <x:v>Indonesian</x:v>
      </x:c>
      <x:c r="D267" s="48" t="n">
        <x:v>52</x:v>
      </x:c>
      <x:c r="E267" s="48" t="str">
        <x:v>2</x:v>
      </x:c>
      <x:c r="F267" s="48" t="str">
        <x:v>2 patajanan enss, Awea Pune Genoa en Prgarm Ds pat — Sampean 0 segan wan dekntan msi Gran Kerua tamank It yang - Anyamendkan ip umum We Pyasss entar etaganor ratakan lam wb pangal Hd atowen ian (0.</x:v>
      </x:c>
      <x:c r="G267" s="48" t="str">
        <x:v>Obligation</x:v>
      </x:c>
      <x:c r="H267" s="48" t="str">
        <x:v>Shared</x:v>
      </x:c>
      <x:c r="I267" s="48" t="n">
        <x:v>0.45</x:v>
      </x:c>
      <x:c r="J267" s="48" t="n">
        <x:v>0.4</x:v>
      </x:c>
      <x:c r="K267" s="48" t="str">
        <x:v>Yes</x:v>
      </x:c>
      <x:c r="L267" s="48" t="str">
        <x:v>OCR</x:v>
      </x:c>
    </x:row>
    <x:row r="268">
      <x:c r="A268" s="48" t="str">
        <x:v>SILVER-0267</x:v>
      </x:c>
      <x:c r="B268" s="48" t="str">
        <x:v>SILVER</x:v>
      </x:c>
      <x:c r="C268" s="48" t="str">
        <x:v>Indonesian</x:v>
      </x:c>
      <x:c r="D268" s="48" t="n">
        <x:v>52</x:v>
      </x:c>
      <x:c r="E268" s="48" t="str"/>
      <x:c r="F268" s="48" t="str">
        <x:v>Waka Aca on Ta yk Puja Lan ll Gran - Menanti tesaran Botani - arek so meri ren ertatenan ec Pengamat ta kara Se Tina Rt ho Os 14 Pr ed Pera yng menyat pa Doo konako aneka san meraka eren Pen</x:v>
      </x:c>
      <x:c r="G268" s="48" t="str">
        <x:v>Obligation</x:v>
      </x:c>
      <x:c r="H268" s="48" t="str">
        <x:v>Shared</x:v>
      </x:c>
      <x:c r="I268" s="48" t="n">
        <x:v>0.45</x:v>
      </x:c>
      <x:c r="J268" s="48" t="n">
        <x:v>0.4</x:v>
      </x:c>
      <x:c r="K268" s="48" t="str">
        <x:v>Yes</x:v>
      </x:c>
      <x:c r="L268" s="48" t="str">
        <x:v>OCR</x:v>
      </x:c>
    </x:row>
    <x:row r="269">
      <x:c r="A269" s="48" t="str">
        <x:v>SILVER-0268</x:v>
      </x:c>
      <x:c r="B269" s="48" t="str">
        <x:v>SILVER</x:v>
      </x:c>
      <x:c r="C269" s="48" t="str">
        <x:v>Indonesian</x:v>
      </x:c>
      <x:c r="D269" s="48" t="n">
        <x:v>53</x:v>
      </x:c>
      <x:c r="E269" s="48" t="str"/>
      <x:c r="F269" s="48" t="str">
        <x:v>ag san Boga Bagan Kr fans meri Cargo can yerg Sr mahi (ea Se Ter aa Bag Pera Jaa Sm wi 2 Pt lh merta pemetaan Gs Koeskar (metan Dus Aca Soah Tema kedai yag renadan raga O Tara Paku Bagan Poaan Geoaaan becaatan rc rak pekan je tg AI esa Gn cat ma (WOW BMN METE DAN pEVArA Pajangan</x:v>
      </x:c>
      <x:c r="G269" s="48" t="str">
        <x:v>Obligation</x:v>
      </x:c>
      <x:c r="H269" s="48" t="str">
        <x:v>Shared</x:v>
      </x:c>
      <x:c r="I269" s="48" t="n">
        <x:v>0.45</x:v>
      </x:c>
      <x:c r="J269" s="48" t="n">
        <x:v>0.4</x:v>
      </x:c>
      <x:c r="K269" s="48" t="str">
        <x:v>Yes</x:v>
      </x:c>
      <x:c r="L269" s="48" t="str">
        <x:v>OCR</x:v>
      </x:c>
    </x:row>
    <x:row r="270">
      <x:c r="A270" s="48" t="str">
        <x:v>SILVER-0269</x:v>
      </x:c>
      <x:c r="B270" s="48" t="str">
        <x:v>SILVER</x:v>
      </x:c>
      <x:c r="C270" s="48" t="str">
        <x:v>Indonesian</x:v>
      </x:c>
      <x:c r="D270" s="48" t="n">
        <x:v>53</x:v>
      </x:c>
      <x:c r="E270" s="48" t="str"/>
      <x:c r="F270" s="48" t="str">
        <x:v>Petan ben Gram Utan jang dika bak hoon metan Bar</x:v>
      </x:c>
      <x:c r="G270" s="48" t="str">
        <x:v>Obligation</x:v>
      </x:c>
      <x:c r="H270" s="48" t="str">
        <x:v>Shared</x:v>
      </x:c>
      <x:c r="I270" s="48" t="n">
        <x:v>0.45</x:v>
      </x:c>
      <x:c r="J270" s="48" t="n">
        <x:v>0.4</x:v>
      </x:c>
      <x:c r="K270" s="48" t="str">
        <x:v>Yes</x:v>
      </x:c>
      <x:c r="L270" s="48" t="str">
        <x:v>OCR</x:v>
      </x:c>
    </x:row>
    <x:row r="271">
      <x:c r="A271" s="48" t="str">
        <x:v>SILVER-0270</x:v>
      </x:c>
      <x:c r="B271" s="48" t="str">
        <x:v>SILVER</x:v>
      </x:c>
      <x:c r="C271" s="48" t="str">
        <x:v>Indonesian</x:v>
      </x:c>
      <x:c r="D271" s="48" t="n">
        <x:v>53</x:v>
      </x:c>
      <x:c r="E271" s="48" t="str"/>
      <x:c r="F271" s="48" t="str">
        <x:v>ata tu deket can at ma Botak sa (merak pemetaan, merbata Hasan an merjettan plan pra</x:v>
      </x:c>
      <x:c r="G271" s="48" t="str">
        <x:v>Obligation</x:v>
      </x:c>
      <x:c r="H271" s="48" t="str">
        <x:v>Shared</x:v>
      </x:c>
      <x:c r="I271" s="48" t="n">
        <x:v>0.45</x:v>
      </x:c>
      <x:c r="J271" s="48" t="n">
        <x:v>0.4</x:v>
      </x:c>
      <x:c r="K271" s="48" t="str">
        <x:v>Yes</x:v>
      </x:c>
      <x:c r="L271" s="48" t="str">
        <x:v>OCR</x:v>
      </x:c>
    </x:row>
    <x:row r="272">
      <x:c r="A272" s="48" t="str">
        <x:v>SILVER-0271</x:v>
      </x:c>
      <x:c r="B272" s="48" t="str">
        <x:v>SILVER</x:v>
      </x:c>
      <x:c r="C272" s="48" t="str">
        <x:v>Indonesian</x:v>
      </x:c>
      <x:c r="D272" s="48" t="n">
        <x:v>53</x:v>
      </x:c>
      <x:c r="E272" s="48" t="str"/>
      <x:c r="F272" s="48" t="str">
        <x:v>IB et sasa Kera rx memungut eren Ba An</x:v>
      </x:c>
      <x:c r="G272" s="48" t="str">
        <x:v>Obligation</x:v>
      </x:c>
      <x:c r="H272" s="48" t="str">
        <x:v>Shared</x:v>
      </x:c>
      <x:c r="I272" s="48" t="n">
        <x:v>0.45</x:v>
      </x:c>
      <x:c r="J272" s="48" t="n">
        <x:v>0.4</x:v>
      </x:c>
      <x:c r="K272" s="48" t="str">
        <x:v>Yes</x:v>
      </x:c>
      <x:c r="L272" s="48" t="str">
        <x:v>OCR</x:v>
      </x:c>
    </x:row>
    <x:row r="273">
      <x:c r="A273" s="48" t="str">
        <x:v>SILVER-0272</x:v>
      </x:c>
      <x:c r="B273" s="48" t="str">
        <x:v>SILVER</x:v>
      </x:c>
      <x:c r="C273" s="48" t="str">
        <x:v>Indonesian</x:v>
      </x:c>
      <x:c r="D273" s="48" t="n">
        <x:v>53</x:v>
      </x:c>
      <x:c r="E273" s="48" t="str"/>
      <x:c r="F273" s="48" t="str">
        <x:v>an ma Kera Sekola mnyasatan pan SM.</x:v>
      </x:c>
      <x:c r="G273" s="48" t="str">
        <x:v>Obligation</x:v>
      </x:c>
      <x:c r="H273" s="48" t="str">
        <x:v>Shared</x:v>
      </x:c>
      <x:c r="I273" s="48" t="n">
        <x:v>0.45</x:v>
      </x:c>
      <x:c r="J273" s="48" t="n">
        <x:v>0.4</x:v>
      </x:c>
      <x:c r="K273" s="48" t="str">
        <x:v>Yes</x:v>
      </x:c>
      <x:c r="L273" s="48" t="str">
        <x:v>OCR</x:v>
      </x:c>
    </x:row>
    <x:row r="274">
      <x:c r="A274" s="48" t="str">
        <x:v>SILVER-0273</x:v>
      </x:c>
      <x:c r="B274" s="48" t="str">
        <x:v>SILVER</x:v>
      </x:c>
      <x:c r="C274" s="48" t="str">
        <x:v>Indonesian</x:v>
      </x:c>
      <x:c r="D274" s="48" t="n">
        <x:v>53</x:v>
      </x:c>
      <x:c r="E274" s="48" t="str"/>
      <x:c r="F274" s="48" t="str">
        <x:v>PENAK penataan BE menu SD Haa</x:v>
      </x:c>
      <x:c r="G274" s="48" t="str">
        <x:v>Obligation</x:v>
      </x:c>
      <x:c r="H274" s="48" t="str">
        <x:v>Shared</x:v>
      </x:c>
      <x:c r="I274" s="48" t="n">
        <x:v>0.45</x:v>
      </x:c>
      <x:c r="J274" s="48" t="n">
        <x:v>0.4</x:v>
      </x:c>
      <x:c r="K274" s="48" t="str">
        <x:v>Yes</x:v>
      </x:c>
      <x:c r="L274" s="48" t="str">
        <x:v>OCR</x:v>
      </x:c>
    </x:row>
    <x:row r="275">
      <x:c r="A275" s="48" t="str">
        <x:v>SILVER-0274</x:v>
      </x:c>
      <x:c r="B275" s="48" t="str">
        <x:v>SILVER</x:v>
      </x:c>
      <x:c r="C275" s="48" t="str">
        <x:v>Indonesian</x:v>
      </x:c>
      <x:c r="D275" s="48" t="n">
        <x:v>53</x:v>
      </x:c>
      <x:c r="E275" s="48" t="str"/>
      <x:c r="F275" s="48" t="str">
        <x:v>ab Prgpra ta ap metan Pata cu Se ter sman merak Demon Koma Gam st 28 ft Gta Pn Bagan</x:v>
      </x:c>
      <x:c r="G275" s="48" t="str">
        <x:v>Obligation</x:v>
      </x:c>
      <x:c r="H275" s="48" t="str">
        <x:v>Shared</x:v>
      </x:c>
      <x:c r="I275" s="48" t="n">
        <x:v>0.45</x:v>
      </x:c>
      <x:c r="J275" s="48" t="n">
        <x:v>0.4</x:v>
      </x:c>
      <x:c r="K275" s="48" t="str">
        <x:v>Yes</x:v>
      </x:c>
      <x:c r="L275" s="48" t="str">
        <x:v>OCR</x:v>
      </x:c>
    </x:row>
    <x:row r="276">
      <x:c r="A276" s="48" t="str">
        <x:v>SILVER-0275</x:v>
      </x:c>
      <x:c r="B276" s="48" t="str">
        <x:v>SILVER</x:v>
      </x:c>
      <x:c r="C276" s="48" t="str">
        <x:v>Indonesian</x:v>
      </x:c>
      <x:c r="D276" s="48" t="n">
        <x:v>53</x:v>
      </x:c>
      <x:c r="E276" s="48" t="str"/>
      <x:c r="F276" s="48" t="str">
        <x:v>Pan Ba aa me rai Sm Gran Kera eta an</x:v>
      </x:c>
      <x:c r="G276" s="48" t="str">
        <x:v>Obligation</x:v>
      </x:c>
      <x:c r="H276" s="48" t="str">
        <x:v>Shared</x:v>
      </x:c>
      <x:c r="I276" s="48" t="n">
        <x:v>0.45</x:v>
      </x:c>
      <x:c r="J276" s="48" t="n">
        <x:v>0.4</x:v>
      </x:c>
      <x:c r="K276" s="48" t="str">
        <x:v>Yes</x:v>
      </x:c>
      <x:c r="L276" s="48" t="str">
        <x:v>OCR</x:v>
      </x:c>
    </x:row>
    <x:row r="277">
      <x:c r="A277" s="48" t="str">
        <x:v>SILVER-0276</x:v>
      </x:c>
      <x:c r="B277" s="48" t="str">
        <x:v>SILVER</x:v>
      </x:c>
      <x:c r="C277" s="48" t="str">
        <x:v>Indonesian</x:v>
      </x:c>
      <x:c r="D277" s="48" t="n">
        <x:v>53</x:v>
      </x:c>
      <x:c r="E277" s="48" t="str"/>
      <x:c r="F277" s="48" t="str">
        <x:v>Stan tera tata argo sea an Oetkan pa ai es Dean</x:v>
      </x:c>
      <x:c r="G277" s="48" t="str">
        <x:v>Obligation</x:v>
      </x:c>
      <x:c r="H277" s="48" t="str">
        <x:v>Shared</x:v>
      </x:c>
      <x:c r="I277" s="48" t="n">
        <x:v>0.45</x:v>
      </x:c>
      <x:c r="J277" s="48" t="n">
        <x:v>0.4</x:v>
      </x:c>
      <x:c r="K277" s="48" t="str">
        <x:v>Yes</x:v>
      </x:c>
      <x:c r="L277" s="48" t="str">
        <x:v>OCR</x:v>
      </x:c>
    </x:row>
    <x:row r="278">
      <x:c r="A278" s="48" t="str">
        <x:v>SILVER-0277</x:v>
      </x:c>
      <x:c r="B278" s="48" t="str">
        <x:v>SILVER</x:v>
      </x:c>
      <x:c r="C278" s="48" t="str">
        <x:v>Indonesian</x:v>
      </x:c>
      <x:c r="D278" s="48" t="n">
        <x:v>53</x:v>
      </x:c>
      <x:c r="E278" s="48" t="str"/>
      <x:c r="F278" s="48" t="str">
        <x:v>bagan at Panja Ban Bagan Pj ea tx Gerttnkan araan oh Pagar Ina lose en era Bmu dsn</x:v>
      </x:c>
      <x:c r="G278" s="48" t="str">
        <x:v>Obligation</x:v>
      </x:c>
      <x:c r="H278" s="48" t="str">
        <x:v>Shared</x:v>
      </x:c>
      <x:c r="I278" s="48" t="n">
        <x:v>0.45</x:v>
      </x:c>
      <x:c r="J278" s="48" t="n">
        <x:v>0.4</x:v>
      </x:c>
      <x:c r="K278" s="48" t="str">
        <x:v>Yes</x:v>
      </x:c>
      <x:c r="L278" s="48" t="str">
        <x:v>OCR</x:v>
      </x:c>
    </x:row>
    <x:row r="279">
      <x:c r="A279" s="48" t="str">
        <x:v>SILVER-0278</x:v>
      </x:c>
      <x:c r="B279" s="48" t="str">
        <x:v>SILVER</x:v>
      </x:c>
      <x:c r="C279" s="48" t="str">
        <x:v>Indonesian</x:v>
      </x:c>
      <x:c r="D279" s="48" t="n">
        <x:v>53</x:v>
      </x:c>
      <x:c r="E279" s="48" t="str"/>
      <x:c r="F279" s="48" t="str">
        <x:v>Sargam emasag</x:v>
      </x:c>
      <x:c r="G279" s="48" t="str">
        <x:v>Obligation</x:v>
      </x:c>
      <x:c r="H279" s="48" t="str">
        <x:v>Shared</x:v>
      </x:c>
      <x:c r="I279" s="48" t="n">
        <x:v>0.45</x:v>
      </x:c>
      <x:c r="J279" s="48" t="n">
        <x:v>0.4</x:v>
      </x:c>
      <x:c r="K279" s="48" t="str">
        <x:v>Yes</x:v>
      </x:c>
      <x:c r="L279" s="48" t="str">
        <x:v>OCR</x:v>
      </x:c>
    </x:row>
    <x:row r="280">
      <x:c r="A280" s="48" t="str">
        <x:v>SILVER-0279</x:v>
      </x:c>
      <x:c r="B280" s="48" t="str">
        <x:v>SILVER</x:v>
      </x:c>
      <x:c r="C280" s="48" t="str">
        <x:v>Indonesian</x:v>
      </x:c>
      <x:c r="D280" s="48" t="n">
        <x:v>53</x:v>
      </x:c>
      <x:c r="E280" s="48" t="str"/>
      <x:c r="F280" s="48" t="str">
        <x:v>Pebn Kou aan, Mn G1 or, rak memarkan Peron pan</x:v>
      </x:c>
      <x:c r="G280" s="48" t="str">
        <x:v>Obligation</x:v>
      </x:c>
      <x:c r="H280" s="48" t="str">
        <x:v>Shared</x:v>
      </x:c>
      <x:c r="I280" s="48" t="n">
        <x:v>0.45</x:v>
      </x:c>
      <x:c r="J280" s="48" t="n">
        <x:v>0.4</x:v>
      </x:c>
      <x:c r="K280" s="48" t="str">
        <x:v>Yes</x:v>
      </x:c>
      <x:c r="L280" s="48" t="str">
        <x:v>OCR</x:v>
      </x:c>
    </x:row>
    <x:row r="281">
      <x:c r="A281" s="48" t="str">
        <x:v>SILVER-0280</x:v>
      </x:c>
      <x:c r="B281" s="48" t="str">
        <x:v>SILVER</x:v>
      </x:c>
      <x:c r="C281" s="48" t="str">
        <x:v>Indonesian</x:v>
      </x:c>
      <x:c r="D281" s="48" t="n">
        <x:v>53</x:v>
      </x:c>
      <x:c r="E281" s="48" t="str"/>
      <x:c r="F281" s="48" t="str">
        <x:v>Penakasandaasn ce rg menga brazrgawan Paras masa</x:v>
      </x:c>
      <x:c r="G281" s="48" t="str">
        <x:v>Obligation</x:v>
      </x:c>
      <x:c r="H281" s="48" t="str">
        <x:v>Shared</x:v>
      </x:c>
      <x:c r="I281" s="48" t="n">
        <x:v>0.45</x:v>
      </x:c>
      <x:c r="J281" s="48" t="n">
        <x:v>0.4</x:v>
      </x:c>
      <x:c r="K281" s="48" t="str">
        <x:v>Yes</x:v>
      </x:c>
      <x:c r="L281" s="48" t="str">
        <x:v>OCR</x:v>
      </x:c>
    </x:row>
    <x:row r="282">
      <x:c r="A282" s="48" t="str">
        <x:v>SILVER-0281</x:v>
      </x:c>
      <x:c r="B282" s="48" t="str">
        <x:v>SILVER</x:v>
      </x:c>
      <x:c r="C282" s="48" t="str">
        <x:v>Indonesian</x:v>
      </x:c>
      <x:c r="D282" s="48" t="n">
        <x:v>53</x:v>
      </x:c>
      <x:c r="E282" s="48" t="str"/>
      <x:c r="F282" s="48" t="str">
        <x:v>Prau Jaa hina eno ee I menga an Pan On</x:v>
      </x:c>
      <x:c r="G282" s="48" t="str">
        <x:v>Obligation</x:v>
      </x:c>
      <x:c r="H282" s="48" t="str">
        <x:v>Shared</x:v>
      </x:c>
      <x:c r="I282" s="48" t="n">
        <x:v>0.45</x:v>
      </x:c>
      <x:c r="J282" s="48" t="n">
        <x:v>0.4</x:v>
      </x:c>
      <x:c r="K282" s="48" t="str">
        <x:v>Yes</x:v>
      </x:c>
      <x:c r="L282" s="48" t="str">
        <x:v>OCR</x:v>
      </x:c>
    </x:row>
    <x:row r="283">
      <x:c r="A283" s="48" t="str">
        <x:v>SILVER-0282</x:v>
      </x:c>
      <x:c r="B283" s="48" t="str">
        <x:v>SILVER</x:v>
      </x:c>
      <x:c r="C283" s="48" t="str">
        <x:v>Indonesian</x:v>
      </x:c>
      <x:c r="D283" s="48" t="n">
        <x:v>53</x:v>
      </x:c>
      <x:c r="E283" s="48" t="str"/>
      <x:c r="F283" s="48" t="str">
        <x:v>Pantun nh Fi Ag ag mk Kr Pr pda Penosan</x:v>
      </x:c>
      <x:c r="G283" s="48" t="str">
        <x:v>Obligation</x:v>
      </x:c>
      <x:c r="H283" s="48" t="str">
        <x:v>Shared</x:v>
      </x:c>
      <x:c r="I283" s="48" t="n">
        <x:v>0.45</x:v>
      </x:c>
      <x:c r="J283" s="48" t="n">
        <x:v>0.4</x:v>
      </x:c>
      <x:c r="K283" s="48" t="str">
        <x:v>Yes</x:v>
      </x:c>
      <x:c r="L283" s="48" t="str">
        <x:v>OCR</x:v>
      </x:c>
    </x:row>
    <x:row r="284">
      <x:c r="A284" s="48" t="str">
        <x:v>SILVER-0283</x:v>
      </x:c>
      <x:c r="B284" s="48" t="str">
        <x:v>SILVER</x:v>
      </x:c>
      <x:c r="C284" s="48" t="str">
        <x:v>Indonesian</x:v>
      </x:c>
      <x:c r="D284" s="48" t="n">
        <x:v>53</x:v>
      </x:c>
      <x:c r="E284" s="48" t="str"/>
      <x:c r="F284" s="48" t="str">
        <x:v>sewungdwansan</x:v>
      </x:c>
      <x:c r="G284" s="48" t="str">
        <x:v>Obligation</x:v>
      </x:c>
      <x:c r="H284" s="48" t="str">
        <x:v>Shared</x:v>
      </x:c>
      <x:c r="I284" s="48" t="n">
        <x:v>0.45</x:v>
      </x:c>
      <x:c r="J284" s="48" t="n">
        <x:v>0.4</x:v>
      </x:c>
      <x:c r="K284" s="48" t="str">
        <x:v>Yes</x:v>
      </x:c>
      <x:c r="L284" s="48" t="str">
        <x:v>OCR</x:v>
      </x:c>
    </x:row>
    <x:row r="285">
      <x:c r="A285" s="48" t="str">
        <x:v>SILVER-0284</x:v>
      </x:c>
      <x:c r="B285" s="48" t="str">
        <x:v>SILVER</x:v>
      </x:c>
      <x:c r="C285" s="48" t="str">
        <x:v>Indonesian</x:v>
      </x:c>
      <x:c r="D285" s="48" t="n">
        <x:v>53</x:v>
      </x:c>
      <x:c r="E285" s="48" t="str"/>
      <x:c r="F285" s="48" t="str">
        <x:v>De Kota roturi emtentsan Guns merotan Ba at</x:v>
      </x:c>
      <x:c r="G285" s="48" t="str">
        <x:v>Obligation</x:v>
      </x:c>
      <x:c r="H285" s="48" t="str">
        <x:v>Shared</x:v>
      </x:c>
      <x:c r="I285" s="48" t="n">
        <x:v>0.45</x:v>
      </x:c>
      <x:c r="J285" s="48" t="n">
        <x:v>0.4</x:v>
      </x:c>
      <x:c r="K285" s="48" t="str">
        <x:v>Yes</x:v>
      </x:c>
      <x:c r="L285" s="48" t="str">
        <x:v>OCR</x:v>
      </x:c>
    </x:row>
    <x:row r="286">
      <x:c r="A286" s="48" t="str">
        <x:v>SILVER-0285</x:v>
      </x:c>
      <x:c r="B286" s="48" t="str">
        <x:v>SILVER</x:v>
      </x:c>
      <x:c r="C286" s="48" t="str">
        <x:v>Indonesian</x:v>
      </x:c>
      <x:c r="D286" s="48" t="n">
        <x:v>53</x:v>
      </x:c>
      <x:c r="E286" s="48" t="str"/>
      <x:c r="F286" s="48" t="str">
        <x:v>Menturtaan sebaran Peratan dh Peyaamam, Konter fana</x:v>
      </x:c>
      <x:c r="G286" s="48" t="str">
        <x:v>Obligation</x:v>
      </x:c>
      <x:c r="H286" s="48" t="str">
        <x:v>Shared</x:v>
      </x:c>
      <x:c r="I286" s="48" t="n">
        <x:v>0.45</x:v>
      </x:c>
      <x:c r="J286" s="48" t="n">
        <x:v>0.4</x:v>
      </x:c>
      <x:c r="K286" s="48" t="str">
        <x:v>Yes</x:v>
      </x:c>
      <x:c r="L286" s="48" t="str">
        <x:v>OCR</x:v>
      </x:c>
    </x:row>
    <x:row r="287">
      <x:c r="A287" s="48" t="str">
        <x:v>SILVER-0286</x:v>
      </x:c>
      <x:c r="B287" s="48" t="str">
        <x:v>SILVER</x:v>
      </x:c>
      <x:c r="C287" s="48" t="str">
        <x:v>Indonesian</x:v>
      </x:c>
      <x:c r="D287" s="48" t="n">
        <x:v>53</x:v>
      </x:c>
      <x:c r="E287" s="48" t="str"/>
      <x:c r="F287" s="48" t="str">
        <x:v>MENaTCAkanpenbetanan lee Prga Ja Gan tefk bca SL</x:v>
      </x:c>
      <x:c r="G287" s="48" t="str">
        <x:v>Obligation</x:v>
      </x:c>
      <x:c r="H287" s="48" t="str">
        <x:v>Shared</x:v>
      </x:c>
      <x:c r="I287" s="48" t="n">
        <x:v>0.45</x:v>
      </x:c>
      <x:c r="J287" s="48" t="n">
        <x:v>0.4</x:v>
      </x:c>
      <x:c r="K287" s="48" t="str">
        <x:v>Yes</x:v>
      </x:c>
      <x:c r="L287" s="48" t="str">
        <x:v>OCR</x:v>
      </x:c>
    </x:row>
    <x:row r="288">
      <x:c r="A288" s="48" t="str">
        <x:v>SILVER-0287</x:v>
      </x:c>
      <x:c r="B288" s="48" t="str">
        <x:v>SILVER</x:v>
      </x:c>
      <x:c r="C288" s="48" t="str">
        <x:v>Indonesian</x:v>
      </x:c>
      <x:c r="D288" s="48" t="n">
        <x:v>53</x:v>
      </x:c>
      <x:c r="E288" s="48" t="str"/>
      <x:c r="F288" s="48" t="str">
        <x:v>Mana 2 Ime wae 18 asas perban va YA sep temdenttan cb pesan (Warta Ba mera at becatan SP Kat B4 Teroan</x:v>
      </x:c>
      <x:c r="G288" s="48" t="str">
        <x:v>Obligation</x:v>
      </x:c>
      <x:c r="H288" s="48" t="str">
        <x:v>Shared</x:v>
      </x:c>
      <x:c r="I288" s="48" t="n">
        <x:v>0.45</x:v>
      </x:c>
      <x:c r="J288" s="48" t="n">
        <x:v>0.4</x:v>
      </x:c>
      <x:c r="K288" s="48" t="str">
        <x:v>Yes</x:v>
      </x:c>
      <x:c r="L288" s="48" t="str">
        <x:v>OCR</x:v>
      </x:c>
    </x:row>
    <x:row r="289">
      <x:c r="A289" s="48" t="str">
        <x:v>SILVER-0288</x:v>
      </x:c>
      <x:c r="B289" s="48" t="str">
        <x:v>SILVER</x:v>
      </x:c>
      <x:c r="C289" s="48" t="str">
        <x:v>Indonesian</x:v>
      </x:c>
      <x:c r="D289" s="48" t="n">
        <x:v>53</x:v>
      </x:c>
      <x:c r="E289" s="48" t="str"/>
      <x:c r="F289" s="48" t="str">
        <x:v>Wit Perya,can</x:v>
      </x:c>
      <x:c r="G289" s="48" t="str">
        <x:v>Obligation</x:v>
      </x:c>
      <x:c r="H289" s="48" t="str">
        <x:v>Shared</x:v>
      </x:c>
      <x:c r="I289" s="48" t="n">
        <x:v>0.45</x:v>
      </x:c>
      <x:c r="J289" s="48" t="n">
        <x:v>0.4</x:v>
      </x:c>
      <x:c r="K289" s="48" t="str">
        <x:v>Yes</x:v>
      </x:c>
      <x:c r="L289" s="48" t="str">
        <x:v>OCR</x:v>
      </x:c>
    </x:row>
    <x:row r="290">
      <x:c r="A290" s="48" t="str">
        <x:v>SILVER-0289</x:v>
      </x:c>
      <x:c r="B290" s="48" t="str">
        <x:v>SILVER</x:v>
      </x:c>
      <x:c r="C290" s="48" t="str">
        <x:v>Indonesian</x:v>
      </x:c>
      <x:c r="D290" s="48" t="n">
        <x:v>53</x:v>
      </x:c>
      <x:c r="E290" s="48" t="str"/>
      <x:c r="F290" s="48" t="str">
        <x:v>(0 sentaan sa Bon Jantan terang. er San Granikan Gn</x:v>
      </x:c>
      <x:c r="G290" s="48" t="str">
        <x:v>Obligation</x:v>
      </x:c>
      <x:c r="H290" s="48" t="str">
        <x:v>Shared</x:v>
      </x:c>
      <x:c r="I290" s="48" t="n">
        <x:v>0.45</x:v>
      </x:c>
      <x:c r="J290" s="48" t="n">
        <x:v>0.4</x:v>
      </x:c>
      <x:c r="K290" s="48" t="str">
        <x:v>Yes</x:v>
      </x:c>
      <x:c r="L290" s="48" t="str">
        <x:v>OCR</x:v>
      </x:c>
    </x:row>
    <x:row r="291">
      <x:c r="A291" s="48" t="str">
        <x:v>SILVER-0290</x:v>
      </x:c>
      <x:c r="B291" s="48" t="str">
        <x:v>SILVER</x:v>
      </x:c>
      <x:c r="C291" s="48" t="str">
        <x:v>Indonesian</x:v>
      </x:c>
      <x:c r="D291" s="48" t="n">
        <x:v>53</x:v>
      </x:c>
      <x:c r="E291" s="48" t="str"/>
      <x:c r="F291" s="48" t="str">
        <x:v>Stw merera perburuan Pergasa Jua tom merak Arjuna</x:v>
      </x:c>
      <x:c r="G291" s="48" t="str">
        <x:v>Obligation</x:v>
      </x:c>
      <x:c r="H291" s="48" t="str">
        <x:v>Shared</x:v>
      </x:c>
      <x:c r="I291" s="48" t="n">
        <x:v>0.45</x:v>
      </x:c>
      <x:c r="J291" s="48" t="n">
        <x:v>0.4</x:v>
      </x:c>
      <x:c r="K291" s="48" t="str">
        <x:v>Yes</x:v>
      </x:c>
      <x:c r="L291" s="48" t="str">
        <x:v>OCR</x:v>
      </x:c>
    </x:row>
    <x:row r="292">
      <x:c r="A292" s="48" t="str">
        <x:v>SILVER-0291</x:v>
      </x:c>
      <x:c r="B292" s="48" t="str">
        <x:v>SILVER</x:v>
      </x:c>
      <x:c r="C292" s="48" t="str">
        <x:v>Indonesian</x:v>
      </x:c>
      <x:c r="D292" s="48" t="n">
        <x:v>53</x:v>
      </x:c>
      <x:c r="E292" s="48" t="str"/>
      <x:c r="F292" s="48" t="str">
        <x:v>utaran Sp va 36 Pretnsi Green meja am menwa Pa</x:v>
      </x:c>
      <x:c r="G292" s="48" t="str">
        <x:v>Obligation</x:v>
      </x:c>
      <x:c r="H292" s="48" t="str">
        <x:v>Shared</x:v>
      </x:c>
      <x:c r="I292" s="48" t="n">
        <x:v>0.45</x:v>
      </x:c>
      <x:c r="J292" s="48" t="n">
        <x:v>0.4</x:v>
      </x:c>
      <x:c r="K292" s="48" t="str">
        <x:v>Yes</x:v>
      </x:c>
      <x:c r="L292" s="48" t="str">
        <x:v>OCR</x:v>
      </x:c>
    </x:row>
    <x:row r="293">
      <x:c r="A293" s="48" t="str">
        <x:v>SILVER-0292</x:v>
      </x:c>
      <x:c r="B293" s="48" t="str">
        <x:v>SILVER</x:v>
      </x:c>
      <x:c r="C293" s="48" t="str">
        <x:v>Indonesian</x:v>
      </x:c>
      <x:c r="D293" s="48" t="n">
        <x:v>54</x:v>
      </x:c>
      <x:c r="E293" s="48" t="str"/>
      <x:c r="F293" s="48" t="str">
        <x:v>peron mc kirsenanpkagaan Daeng vera bhw Peran an Dokumen Kran st aan aa DT PgeaL a bea Ge ter jrg Sato dam Kok Petai sampean (enakan ts porssi menpera bekam Va Peraturan Cat MAL Serma “lam segan mur pt krl Keris 18 menstan sb pekan yg akn Wnoantn paca og Yr</x:v>
      </x:c>
      <x:c r="G293" s="48" t="str">
        <x:v>Obligation</x:v>
      </x:c>
      <x:c r="H293" s="48" t="str">
        <x:v>Shared</x:v>
      </x:c>
      <x:c r="I293" s="48" t="n">
        <x:v>0.45</x:v>
      </x:c>
      <x:c r="J293" s="48" t="n">
        <x:v>0.4</x:v>
      </x:c>
      <x:c r="K293" s="48" t="str">
        <x:v>Yes</x:v>
      </x:c>
      <x:c r="L293" s="48" t="str">
        <x:v>OCR</x:v>
      </x:c>
    </x:row>
    <x:row r="294">
      <x:c r="A294" s="48" t="str">
        <x:v>SILVER-0293</x:v>
      </x:c>
      <x:c r="B294" s="48" t="str">
        <x:v>SILVER</x:v>
      </x:c>
      <x:c r="C294" s="48" t="str">
        <x:v>Indonesian</x:v>
      </x:c>
      <x:c r="D294" s="48" t="n">
        <x:v>54</x:v>
      </x:c>
      <x:c r="E294" s="48" t="str"/>
      <x:c r="F294" s="48" t="str">
        <x:v>Aan dam Sa De Ku Ber Gan pa wat jr</x:v>
      </x:c>
      <x:c r="G294" s="48" t="str">
        <x:v>Obligation</x:v>
      </x:c>
      <x:c r="H294" s="48" t="str">
        <x:v>Shared</x:v>
      </x:c>
      <x:c r="I294" s="48" t="n">
        <x:v>0.45</x:v>
      </x:c>
      <x:c r="J294" s="48" t="n">
        <x:v>0.4</x:v>
      </x:c>
      <x:c r="K294" s="48" t="str">
        <x:v>Yes</x:v>
      </x:c>
      <x:c r="L294" s="48" t="str">
        <x:v>OCR</x:v>
      </x:c>
    </x:row>
    <x:row r="295">
      <x:c r="A295" s="48" t="str">
        <x:v>SILVER-0294</x:v>
      </x:c>
      <x:c r="B295" s="48" t="str">
        <x:v>SILVER</x:v>
      </x:c>
      <x:c r="C295" s="48" t="str">
        <x:v>Indonesian</x:v>
      </x:c>
      <x:c r="D295" s="48" t="n">
        <x:v>54</x:v>
      </x:c>
      <x:c r="E295" s="48" t="str"/>
      <x:c r="F295" s="48" t="str">
        <x:v>Soham ae Dengarurndrenyokan dn PergaraJa d</x:v>
      </x:c>
      <x:c r="G295" s="48" t="str">
        <x:v>Obligation</x:v>
      </x:c>
      <x:c r="H295" s="48" t="str">
        <x:v>Shared</x:v>
      </x:c>
      <x:c r="I295" s="48" t="n">
        <x:v>0.45</x:v>
      </x:c>
      <x:c r="J295" s="48" t="n">
        <x:v>0.4</x:v>
      </x:c>
      <x:c r="K295" s="48" t="str">
        <x:v>Yes</x:v>
      </x:c>
      <x:c r="L295" s="48" t="str">
        <x:v>OCR</x:v>
      </x:c>
    </x:row>
    <x:row r="296">
      <x:c r="A296" s="48" t="str">
        <x:v>SILVER-0295</x:v>
      </x:c>
      <x:c r="B296" s="48" t="str">
        <x:v>SILVER</x:v>
      </x:c>
      <x:c r="C296" s="48" t="str">
        <x:v>Indonesian</x:v>
      </x:c>
      <x:c r="D296" s="48" t="n">
        <x:v>54</x:v>
      </x:c>
      <x:c r="E296" s="48" t="str"/>
      <x:c r="F296" s="48" t="str">
        <x:v>BijaPeakan Sena panam yg dndatdan kn pegal Ri Gt Ortamie 11 penaneani (Pemakaman Fuaan yag Bat Sae Gn Pra art MAN ain kena Grgn at Gn ane aj Krn, Kata Ca sar eta pemanen tone #4 manctpsatan.</x:v>
      </x:c>
      <x:c r="G296" s="48" t="str">
        <x:v>Obligation</x:v>
      </x:c>
      <x:c r="H296" s="48" t="str">
        <x:v>Shared</x:v>
      </x:c>
      <x:c r="I296" s="48" t="n">
        <x:v>0.45</x:v>
      </x:c>
      <x:c r="J296" s="48" t="n">
        <x:v>0.4</x:v>
      </x:c>
      <x:c r="K296" s="48" t="str">
        <x:v>Yes</x:v>
      </x:c>
      <x:c r="L296" s="48" t="str">
        <x:v>OCR</x:v>
      </x:c>
    </x:row>
    <x:row r="297">
      <x:c r="A297" s="48" t="str">
        <x:v>SILVER-0296</x:v>
      </x:c>
      <x:c r="B297" s="48" t="str">
        <x:v>SILVER</x:v>
      </x:c>
      <x:c r="C297" s="48" t="str">
        <x:v>Indonesian</x:v>
      </x:c>
      <x:c r="D297" s="48" t="n">
        <x:v>54</x:v>
      </x:c>
      <x:c r="E297" s="48" t="str"/>
      <x:c r="F297" s="48" t="str">
        <x:v>(ta Nan, Bra un peron yang ck sesi Gran Kara (Oka an pemetaan yg tk bayar akan oh mat Pd Sa kornaar bergaya ab keai Sib Kama 58 re 57 sa mata</x:v>
      </x:c>
      <x:c r="G297" s="48" t="str">
        <x:v>Obligation</x:v>
      </x:c>
      <x:c r="H297" s="48" t="str">
        <x:v>Shared</x:v>
      </x:c>
      <x:c r="I297" s="48" t="n">
        <x:v>0.45</x:v>
      </x:c>
      <x:c r="J297" s="48" t="n">
        <x:v>0.4</x:v>
      </x:c>
      <x:c r="K297" s="48" t="str">
        <x:v>Yes</x:v>
      </x:c>
      <x:c r="L297" s="48" t="str">
        <x:v>OCR</x:v>
      </x:c>
    </x:row>
    <x:row r="298">
      <x:c r="A298" s="48" t="str">
        <x:v>SILVER-0297</x:v>
      </x:c>
      <x:c r="B298" s="48" t="str">
        <x:v>SILVER</x:v>
      </x:c>
      <x:c r="C298" s="48" t="str">
        <x:v>Indonesian</x:v>
      </x:c>
      <x:c r="D298" s="48" t="n">
        <x:v>54</x:v>
      </x:c>
      <x:c r="E298" s="48" t="str"/>
      <x:c r="F298" s="48" t="str">
        <x:v>Menma ak memerankan ag Un</x:v>
      </x:c>
      <x:c r="G298" s="48" t="str">
        <x:v>Obligation</x:v>
      </x:c>
      <x:c r="H298" s="48" t="str">
        <x:v>Shared</x:v>
      </x:c>
      <x:c r="I298" s="48" t="n">
        <x:v>0.45</x:v>
      </x:c>
      <x:c r="J298" s="48" t="n">
        <x:v>0.4</x:v>
      </x:c>
      <x:c r="K298" s="48" t="str">
        <x:v>Yes</x:v>
      </x:c>
      <x:c r="L298" s="48" t="str">
        <x:v>OCR</x:v>
      </x:c>
    </x:row>
    <x:row r="299">
      <x:c r="A299" s="48" t="str">
        <x:v>SILVER-0298</x:v>
      </x:c>
      <x:c r="B299" s="48" t="str">
        <x:v>SILVER</x:v>
      </x:c>
      <x:c r="C299" s="48" t="str">
        <x:v>Indonesian</x:v>
      </x:c>
      <x:c r="D299" s="48" t="n">
        <x:v>54</x:v>
      </x:c>
      <x:c r="E299" s="48" t="str"/>
      <x:c r="F299" s="48" t="str">
        <x:v>on an sr bts tanu pk abs ektan eh ba an cam daa ha agan memanen on Korea 2on M0 Kamda oren Usa dan batasan Parang Twgorasenteraktermamtan Sp Mami 25 am OK Perara stan</x:v>
      </x:c>
      <x:c r="G299" s="48" t="str">
        <x:v>Obligation</x:v>
      </x:c>
      <x:c r="H299" s="48" t="str">
        <x:v>Shared</x:v>
      </x:c>
      <x:c r="I299" s="48" t="n">
        <x:v>0.45</x:v>
      </x:c>
      <x:c r="J299" s="48" t="n">
        <x:v>0.4</x:v>
      </x:c>
      <x:c r="K299" s="48" t="str">
        <x:v>Yes</x:v>
      </x:c>
      <x:c r="L299" s="48" t="str">
        <x:v>OCR</x:v>
      </x:c>
    </x:row>
    <x:row r="300">
      <x:c r="A300" s="48" t="str">
        <x:v>SILVER-0299</x:v>
      </x:c>
      <x:c r="B300" s="48" t="str">
        <x:v>SILVER</x:v>
      </x:c>
      <x:c r="C300" s="48" t="str">
        <x:v>Indonesian</x:v>
      </x:c>
      <x:c r="D300" s="48" t="n">
        <x:v>54</x:v>
      </x:c>
      <x:c r="E300" s="48" t="str"/>
      <x:c r="F300" s="48" t="str">
        <x:v>Maa pengeatuan SA Pobetegan Naa Perbotiran Cact MA Uk Pep aa Bian</x:v>
      </x:c>
      <x:c r="G300" s="48" t="str">
        <x:v>Obligation</x:v>
      </x:c>
      <x:c r="H300" s="48" t="str">
        <x:v>Shared</x:v>
      </x:c>
      <x:c r="I300" s="48" t="n">
        <x:v>0.45</x:v>
      </x:c>
      <x:c r="J300" s="48" t="n">
        <x:v>0.4</x:v>
      </x:c>
      <x:c r="K300" s="48" t="str">
        <x:v>Yes</x:v>
      </x:c>
      <x:c r="L300" s="48" t="str">
        <x:v>OCR</x:v>
      </x:c>
    </x:row>
    <x:row r="301">
      <x:c r="A301" s="48" t="str">
        <x:v>SILVER-0300</x:v>
      </x:c>
      <x:c r="B301" s="48" t="str">
        <x:v>SILVER</x:v>
      </x:c>
      <x:c r="C301" s="48" t="str">
        <x:v>Indonesian</x:v>
      </x:c>
      <x:c r="D301" s="48" t="n">
        <x:v>54</x:v>
      </x:c>
      <x:c r="E301" s="48" t="str"/>
      <x:c r="F301" s="48" t="str">
        <x:v>kon Pake Ea Gang ata bawa Pb.</x:v>
      </x:c>
      <x:c r="G301" s="48" t="str">
        <x:v>Obligation</x:v>
      </x:c>
      <x:c r="H301" s="48" t="str">
        <x:v>Shared</x:v>
      </x:c>
      <x:c r="I301" s="48" t="n">
        <x:v>0.45</x:v>
      </x:c>
      <x:c r="J301" s="48" t="n">
        <x:v>0.4</x:v>
      </x:c>
      <x:c r="K301" s="48" t="str">
        <x:v>Yes</x:v>
      </x:c>
      <x:c r="L301" s="48" t="str">
        <x:v>OCR</x:v>
      </x:c>
    </x:row>
    <x:row r="302">
      <x:c r="A302" s="48" t="str">
        <x:v>SILVER-0301</x:v>
      </x:c>
      <x:c r="B302" s="48" t="str">
        <x:v>SILVER</x:v>
      </x:c>
      <x:c r="C302" s="48" t="str">
        <x:v>Indonesian</x:v>
      </x:c>
      <x:c r="D302" s="48" t="n">
        <x:v>54</x:v>
      </x:c>
      <x:c r="E302" s="48" t="str"/>
      <x:c r="F302" s="48" t="str">
        <x:v>Dag Pkn Ba)</x:v>
      </x:c>
      <x:c r="G302" s="48" t="str">
        <x:v>Obligation</x:v>
      </x:c>
      <x:c r="H302" s="48" t="str">
        <x:v>Shared</x:v>
      </x:c>
      <x:c r="I302" s="48" t="n">
        <x:v>0.45</x:v>
      </x:c>
      <x:c r="J302" s="48" t="n">
        <x:v>0.4</x:v>
      </x:c>
      <x:c r="K302" s="48" t="str">
        <x:v>Yes</x:v>
      </x:c>
      <x:c r="L302" s="48" t="str">
        <x:v>OCR</x:v>
      </x:c>
    </x:row>
    <x:row r="303">
      <x:c r="A303" s="48" t="str">
        <x:v>SILVER-0302</x:v>
      </x:c>
      <x:c r="B303" s="48" t="str">
        <x:v>SILVER</x:v>
      </x:c>
      <x:c r="C303" s="48" t="str">
        <x:v>Indonesian</x:v>
      </x:c>
      <x:c r="D303" s="48" t="n">
        <x:v>54</x:v>
      </x:c>
      <x:c r="E303" s="48" t="str"/>
      <x:c r="F303" s="48" t="str">
        <x:v>Dara GP Mr nira sk ea mtma Ya</x:v>
      </x:c>
      <x:c r="G303" s="48" t="str">
        <x:v>Obligation</x:v>
      </x:c>
      <x:c r="H303" s="48" t="str">
        <x:v>Shared</x:v>
      </x:c>
      <x:c r="I303" s="48" t="n">
        <x:v>0.45</x:v>
      </x:c>
      <x:c r="J303" s="48" t="n">
        <x:v>0.4</x:v>
      </x:c>
      <x:c r="K303" s="48" t="str">
        <x:v>Yes</x:v>
      </x:c>
      <x:c r="L303" s="48" t="str">
        <x:v>OCR</x:v>
      </x:c>
    </x:row>
    <x:row r="304">
      <x:c r="A304" s="48" t="str">
        <x:v>SILVER-0303</x:v>
      </x:c>
      <x:c r="B304" s="48" t="str">
        <x:v>SILVER</x:v>
      </x:c>
      <x:c r="C304" s="48" t="str">
        <x:v>Indonesian</x:v>
      </x:c>
      <x:c r="D304" s="48" t="n">
        <x:v>54</x:v>
      </x:c>
      <x:c r="E304" s="48" t="str"/>
      <x:c r="F304" s="48" t="str">
        <x:v>(abg dalan ten er bian sebgamura alan kara cacat bean, Man am Mba Penta Coc MA Tatan</x:v>
      </x:c>
      <x:c r="G304" s="48" t="str">
        <x:v>Obligation</x:v>
      </x:c>
      <x:c r="H304" s="48" t="str">
        <x:v>Shared</x:v>
      </x:c>
      <x:c r="I304" s="48" t="n">
        <x:v>0.45</x:v>
      </x:c>
      <x:c r="J304" s="48" t="n">
        <x:v>0.4</x:v>
      </x:c>
      <x:c r="K304" s="48" t="str">
        <x:v>Yes</x:v>
      </x:c>
      <x:c r="L304" s="48" t="str">
        <x:v>OCR</x:v>
      </x:c>
    </x:row>
    <x:row r="305">
      <x:c r="A305" s="48" t="str">
        <x:v>SILVER-0304</x:v>
      </x:c>
      <x:c r="B305" s="48" t="str">
        <x:v>SILVER</x:v>
      </x:c>
      <x:c r="C305" s="48" t="str">
        <x:v>Indonesian</x:v>
      </x:c>
      <x:c r="D305" s="48" t="n">
        <x:v>54</x:v>
      </x:c>
      <x:c r="E305" s="48" t="str"/>
      <x:c r="F305" s="48" t="str">
        <x:v>Tomooenea nda</x:v>
      </x:c>
      <x:c r="G305" s="48" t="str">
        <x:v>Obligation</x:v>
      </x:c>
      <x:c r="H305" s="48" t="str">
        <x:v>Shared</x:v>
      </x:c>
      <x:c r="I305" s="48" t="n">
        <x:v>0.45</x:v>
      </x:c>
      <x:c r="J305" s="48" t="n">
        <x:v>0.4</x:v>
      </x:c>
      <x:c r="K305" s="48" t="str">
        <x:v>Yes</x:v>
      </x:c>
      <x:c r="L305" s="48" t="str">
        <x:v>OCR</x:v>
      </x:c>
    </x:row>
    <x:row r="306">
      <x:c r="A306" s="48" t="str">
        <x:v>SILVER-0305</x:v>
      </x:c>
      <x:c r="B306" s="48" t="str">
        <x:v>SILVER</x:v>
      </x:c>
      <x:c r="C306" s="48" t="str">
        <x:v>Indonesian</x:v>
      </x:c>
      <x:c r="D306" s="48" t="n">
        <x:v>54</x:v>
      </x:c>
      <x:c r="E306" s="48" t="str"/>
      <x:c r="F306" s="48" t="str">
        <x:v>Mon pegiran nas perosrgan Hau rai Mn Geri Dfen</x:v>
      </x:c>
      <x:c r="G306" s="48" t="str">
        <x:v>Obligation</x:v>
      </x:c>
      <x:c r="H306" s="48" t="str">
        <x:v>Shared</x:v>
      </x:c>
      <x:c r="I306" s="48" t="n">
        <x:v>0.45</x:v>
      </x:c>
      <x:c r="J306" s="48" t="n">
        <x:v>0.4</x:v>
      </x:c>
      <x:c r="K306" s="48" t="str">
        <x:v>Yes</x:v>
      </x:c>
      <x:c r="L306" s="48" t="str">
        <x:v>OCR</x:v>
      </x:c>
    </x:row>
    <x:row r="307">
      <x:c r="A307" s="48" t="str">
        <x:v>SILVER-0306</x:v>
      </x:c>
      <x:c r="B307" s="48" t="str">
        <x:v>SILVER</x:v>
      </x:c>
      <x:c r="C307" s="48" t="str">
        <x:v>Indonesian</x:v>
      </x:c>
      <x:c r="D307" s="48" t="n">
        <x:v>54</x:v>
      </x:c>
      <x:c r="E307" s="48" t="str"/>
      <x:c r="F307" s="48" t="str">
        <x:v>an Desahan Sen 80 Pepartan Par atu Subcata</x:v>
      </x:c>
      <x:c r="G307" s="48" t="str">
        <x:v>Obligation</x:v>
      </x:c>
      <x:c r="H307" s="48" t="str">
        <x:v>Shared</x:v>
      </x:c>
      <x:c r="I307" s="48" t="n">
        <x:v>0.45</x:v>
      </x:c>
      <x:c r="J307" s="48" t="n">
        <x:v>0.4</x:v>
      </x:c>
      <x:c r="K307" s="48" t="str">
        <x:v>Yes</x:v>
      </x:c>
      <x:c r="L307" s="48" t="str">
        <x:v>OCR</x:v>
      </x:c>
    </x:row>
    <x:row r="308">
      <x:c r="A308" s="48" t="str">
        <x:v>SILVER-0307</x:v>
      </x:c>
      <x:c r="B308" s="48" t="str">
        <x:v>SILVER</x:v>
      </x:c>
      <x:c r="C308" s="48" t="str">
        <x:v>Indonesian</x:v>
      </x:c>
      <x:c r="D308" s="48" t="n">
        <x:v>54</x:v>
      </x:c>
      <x:c r="E308" s="48" t="str"/>
      <x:c r="F308" s="48" t="str">
        <x:v>SEN pakkrasey rak herba apa lanapan Krmokebedastan</x:v>
      </x:c>
      <x:c r="G308" s="48" t="str">
        <x:v>Obligation</x:v>
      </x:c>
      <x:c r="H308" s="48" t="str">
        <x:v>Shared</x:v>
      </x:c>
      <x:c r="I308" s="48" t="n">
        <x:v>0.45</x:v>
      </x:c>
      <x:c r="J308" s="48" t="n">
        <x:v>0.4</x:v>
      </x:c>
      <x:c r="K308" s="48" t="str">
        <x:v>Yes</x:v>
      </x:c>
      <x:c r="L308" s="48" t="str">
        <x:v>OCR</x:v>
      </x:c>
    </x:row>
    <x:row r="309">
      <x:c r="A309" s="48" t="str">
        <x:v>SILVER-0308</x:v>
      </x:c>
      <x:c r="B309" s="48" t="str">
        <x:v>SILVER</x:v>
      </x:c>
      <x:c r="C309" s="48" t="str">
        <x:v>Indonesian</x:v>
      </x:c>
      <x:c r="D309" s="48" t="n">
        <x:v>54</x:v>
      </x:c>
      <x:c r="E309" s="48" t="str"/>
      <x:c r="F309" s="48" t="str">
        <x:v>pena smema &amp;</x:v>
      </x:c>
      <x:c r="G309" s="48" t="str">
        <x:v>Obligation</x:v>
      </x:c>
      <x:c r="H309" s="48" t="str">
        <x:v>Shared</x:v>
      </x:c>
      <x:c r="I309" s="48" t="n">
        <x:v>0.45</x:v>
      </x:c>
      <x:c r="J309" s="48" t="n">
        <x:v>0.4</x:v>
      </x:c>
      <x:c r="K309" s="48" t="str">
        <x:v>Yes</x:v>
      </x:c>
      <x:c r="L309" s="48" t="str">
        <x:v>OCR</x:v>
      </x:c>
    </x:row>
    <x:row r="310">
      <x:c r="A310" s="48" t="str">
        <x:v>SILVER-0309</x:v>
      </x:c>
      <x:c r="B310" s="48" t="str">
        <x:v>SILVER</x:v>
      </x:c>
      <x:c r="C310" s="48" t="str">
        <x:v>Indonesian</x:v>
      </x:c>
      <x:c r="D310" s="48" t="n">
        <x:v>55</x:v>
      </x:c>
      <x:c r="E310" s="48" t="str"/>
      <x:c r="F310" s="48" t="str">
        <x:v>Wawan can dak ca mu ae yerg ad onda</x:v>
      </x:c>
      <x:c r="G310" s="48" t="str">
        <x:v>Obligation</x:v>
      </x:c>
      <x:c r="H310" s="48" t="str">
        <x:v>Shared</x:v>
      </x:c>
      <x:c r="I310" s="48" t="n">
        <x:v>0.45</x:v>
      </x:c>
      <x:c r="J310" s="48" t="n">
        <x:v>0.4</x:v>
      </x:c>
      <x:c r="K310" s="48" t="str">
        <x:v>Yes</x:v>
      </x:c>
      <x:c r="L310" s="48" t="str">
        <x:v>OCR</x:v>
      </x:c>
    </x:row>
    <x:row r="311">
      <x:c r="A311" s="48" t="str">
        <x:v>SILVER-0310</x:v>
      </x:c>
      <x:c r="B311" s="48" t="str">
        <x:v>SILVER</x:v>
      </x:c>
      <x:c r="C311" s="48" t="str">
        <x:v>Indonesian</x:v>
      </x:c>
      <x:c r="D311" s="48" t="n">
        <x:v>55</x:v>
      </x:c>
      <x:c r="E311" s="48" t="str"/>
      <x:c r="F311" s="48" t="str">
        <x:v>ra Ga da Mun set Ma Part Cr MA Pakan</x:v>
      </x:c>
      <x:c r="G311" s="48" t="str">
        <x:v>Obligation</x:v>
      </x:c>
      <x:c r="H311" s="48" t="str">
        <x:v>Shared</x:v>
      </x:c>
      <x:c r="I311" s="48" t="n">
        <x:v>0.45</x:v>
      </x:c>
      <x:c r="J311" s="48" t="n">
        <x:v>0.4</x:v>
      </x:c>
      <x:c r="K311" s="48" t="str">
        <x:v>Yes</x:v>
      </x:c>
      <x:c r="L311" s="48" t="str">
        <x:v>OCR</x:v>
      </x:c>
    </x:row>
    <x:row r="312">
      <x:c r="A312" s="48" t="str">
        <x:v>SILVER-0311</x:v>
      </x:c>
      <x:c r="B312" s="48" t="str">
        <x:v>SILVER</x:v>
      </x:c>
      <x:c r="C312" s="48" t="str">
        <x:v>Indonesian</x:v>
      </x:c>
      <x:c r="D312" s="48" t="n">
        <x:v>55</x:v>
      </x:c>
      <x:c r="E312" s="48" t="str"/>
      <x:c r="F312" s="48" t="str">
        <x:v>Menanam ren seeranabrte</x:v>
      </x:c>
      <x:c r="G312" s="48" t="str">
        <x:v>Obligation</x:v>
      </x:c>
      <x:c r="H312" s="48" t="str">
        <x:v>Shared</x:v>
      </x:c>
      <x:c r="I312" s="48" t="n">
        <x:v>0.45</x:v>
      </x:c>
      <x:c r="J312" s="48" t="n">
        <x:v>0.4</x:v>
      </x:c>
      <x:c r="K312" s="48" t="str">
        <x:v>Yes</x:v>
      </x:c>
      <x:c r="L312" s="48" t="str">
        <x:v>OCR</x:v>
      </x:c>
    </x:row>
    <x:row r="313">
      <x:c r="A313" s="48" t="str">
        <x:v>SILVER-0312</x:v>
      </x:c>
      <x:c r="B313" s="48" t="str">
        <x:v>SILVER</x:v>
      </x:c>
      <x:c r="C313" s="48" t="str">
        <x:v>Indonesian</x:v>
      </x:c>
      <x:c r="D313" s="48" t="n">
        <x:v>55</x:v>
      </x:c>
      <x:c r="E313" s="48" t="str"/>
      <x:c r="F313" s="48" t="str">
        <x:v>Kegeguan ARI Kate YA menetap cc MA Bln Ga</x:v>
      </x:c>
      <x:c r="G313" s="48" t="str">
        <x:v>Obligation</x:v>
      </x:c>
      <x:c r="H313" s="48" t="str">
        <x:v>Shared</x:v>
      </x:c>
      <x:c r="I313" s="48" t="n">
        <x:v>0.45</x:v>
      </x:c>
      <x:c r="J313" s="48" t="n">
        <x:v>0.4</x:v>
      </x:c>
      <x:c r="K313" s="48" t="str">
        <x:v>Yes</x:v>
      </x:c>
      <x:c r="L313" s="48" t="str">
        <x:v>OCR</x:v>
      </x:c>
    </x:row>
    <x:row r="314">
      <x:c r="A314" s="48" t="str">
        <x:v>SILVER-0313</x:v>
      </x:c>
      <x:c r="B314" s="48" t="str">
        <x:v>SILVER</x:v>
      </x:c>
      <x:c r="C314" s="48" t="str">
        <x:v>Indonesian</x:v>
      </x:c>
      <x:c r="D314" s="48" t="n">
        <x:v>55</x:v>
      </x:c>
      <x:c r="E314" s="48" t="str"/>
      <x:c r="F314" s="48" t="str">
        <x:v>Menpora Ia yg Saran vas ARI Wr toh Bean Gn La rr</x:v>
      </x:c>
      <x:c r="G314" s="48" t="str">
        <x:v>Obligation</x:v>
      </x:c>
      <x:c r="H314" s="48" t="str">
        <x:v>Shared</x:v>
      </x:c>
      <x:c r="I314" s="48" t="n">
        <x:v>0.45</x:v>
      </x:c>
      <x:c r="J314" s="48" t="n">
        <x:v>0.4</x:v>
      </x:c>
      <x:c r="K314" s="48" t="str">
        <x:v>Yes</x:v>
      </x:c>
      <x:c r="L314" s="48" t="str">
        <x:v>OCR</x:v>
      </x:c>
    </x:row>
    <x:row r="315">
      <x:c r="A315" s="48" t="str">
        <x:v>SILVER-0314</x:v>
      </x:c>
      <x:c r="B315" s="48" t="str">
        <x:v>SILVER</x:v>
      </x:c>
      <x:c r="C315" s="48" t="str">
        <x:v>Indonesian</x:v>
      </x:c>
      <x:c r="D315" s="48" t="n">
        <x:v>55</x:v>
      </x:c>
      <x:c r="E315" s="48" t="str"/>
      <x:c r="F315" s="48" t="str">
        <x:v>keset PESTA as Tara pe di mryrg brapa Won Ss ma Ai</x:v>
      </x:c>
      <x:c r="G315" s="48" t="str">
        <x:v>Obligation</x:v>
      </x:c>
      <x:c r="H315" s="48" t="str">
        <x:v>Shared</x:v>
      </x:c>
      <x:c r="I315" s="48" t="n">
        <x:v>0.45</x:v>
      </x:c>
      <x:c r="J315" s="48" t="n">
        <x:v>0.4</x:v>
      </x:c>
      <x:c r="K315" s="48" t="str">
        <x:v>Yes</x:v>
      </x:c>
      <x:c r="L315" s="48" t="str">
        <x:v>OCR</x:v>
      </x:c>
    </x:row>
    <x:row r="316">
      <x:c r="A316" s="48" t="str">
        <x:v>SILVER-0315</x:v>
      </x:c>
      <x:c r="B316" s="48" t="str">
        <x:v>SILVER</x:v>
      </x:c>
      <x:c r="C316" s="48" t="str">
        <x:v>Indonesian</x:v>
      </x:c>
      <x:c r="D316" s="48" t="n">
        <x:v>55</x:v>
      </x:c>
      <x:c r="E316" s="48" t="str"/>
      <x:c r="F316" s="48" t="str">
        <x:v>Tenan mn abatak Kerusex town doetruan menandingi</x:v>
      </x:c>
      <x:c r="G316" s="48" t="str">
        <x:v>Obligation</x:v>
      </x:c>
      <x:c r="H316" s="48" t="str">
        <x:v>Shared</x:v>
      </x:c>
      <x:c r="I316" s="48" t="n">
        <x:v>0.45</x:v>
      </x:c>
      <x:c r="J316" s="48" t="n">
        <x:v>0.4</x:v>
      </x:c>
      <x:c r="K316" s="48" t="str">
        <x:v>Yes</x:v>
      </x:c>
      <x:c r="L316" s="48" t="str">
        <x:v>OCR</x:v>
      </x:c>
    </x:row>
    <x:row r="317">
      <x:c r="A317" s="48" t="str">
        <x:v>SILVER-0316</x:v>
      </x:c>
      <x:c r="B317" s="48" t="str">
        <x:v>SILVER</x:v>
      </x:c>
      <x:c r="C317" s="48" t="str">
        <x:v>Indonesian</x:v>
      </x:c>
      <x:c r="D317" s="48" t="n">
        <x:v>55</x:v>
      </x:c>
      <x:c r="E317" s="48" t="str"/>
      <x:c r="F317" s="48" t="str">
        <x:v>Peter DOMmena spc mutan ra gan</x:v>
      </x:c>
      <x:c r="G317" s="48" t="str">
        <x:v>Obligation</x:v>
      </x:c>
      <x:c r="H317" s="48" t="str">
        <x:v>Shared</x:v>
      </x:c>
      <x:c r="I317" s="48" t="n">
        <x:v>0.45</x:v>
      </x:c>
      <x:c r="J317" s="48" t="n">
        <x:v>0.4</x:v>
      </x:c>
      <x:c r="K317" s="48" t="str">
        <x:v>Yes</x:v>
      </x:c>
      <x:c r="L317" s="48" t="str">
        <x:v>OCR</x:v>
      </x:c>
    </x:row>
    <x:row r="318">
      <x:c r="A318" s="48" t="str">
        <x:v>SILVER-0317</x:v>
      </x:c>
      <x:c r="B318" s="48" t="str">
        <x:v>SILVER</x:v>
      </x:c>
      <x:c r="C318" s="48" t="str">
        <x:v>Indonesian</x:v>
      </x:c>
      <x:c r="D318" s="48" t="n">
        <x:v>55</x:v>
      </x:c>
      <x:c r="E318" s="48" t="str"/>
      <x:c r="F318" s="48" t="str">
        <x:v>SDA yr Saran naa yr Sarana laa dn bi Karna</x:v>
      </x:c>
      <x:c r="G318" s="48" t="str">
        <x:v>Obligation</x:v>
      </x:c>
      <x:c r="H318" s="48" t="str">
        <x:v>Shared</x:v>
      </x:c>
      <x:c r="I318" s="48" t="n">
        <x:v>0.45</x:v>
      </x:c>
      <x:c r="J318" s="48" t="n">
        <x:v>0.4</x:v>
      </x:c>
      <x:c r="K318" s="48" t="str">
        <x:v>Yes</x:v>
      </x:c>
      <x:c r="L318" s="48" t="str">
        <x:v>OCR</x:v>
      </x:c>
    </x:row>
    <x:row r="319">
      <x:c r="A319" s="48" t="str">
        <x:v>SILVER-0318</x:v>
      </x:c>
      <x:c r="B319" s="48" t="str">
        <x:v>SILVER</x:v>
      </x:c>
      <x:c r="C319" s="48" t="str">
        <x:v>Indonesian</x:v>
      </x:c>
      <x:c r="D319" s="48" t="n">
        <x:v>55</x:v>
      </x:c>
      <x:c r="E319" s="48" t="str"/>
      <x:c r="F319" s="48" t="str">
        <x:v>iman Si lus 1.2 |aga Pata Eka MAL Pegora banana senam (Mob au mean per YG Naa Ds Pra Kera tai Aron So kma 2 Pesat (tra thr lsaknan mar Gt Patam aa agan La ( Peetr. memussan Kogan terapan bagan Lan 1 dat Daratan setganura mena Teca regina hastmt ya Bekatan Kr take Prgg du ptra tear</x:v>
      </x:c>
      <x:c r="G319" s="48" t="str">
        <x:v>Obligation</x:v>
      </x:c>
      <x:c r="H319" s="48" t="str">
        <x:v>Shared</x:v>
      </x:c>
      <x:c r="I319" s="48" t="n">
        <x:v>0.45</x:v>
      </x:c>
      <x:c r="J319" s="48" t="n">
        <x:v>0.4</x:v>
      </x:c>
      <x:c r="K319" s="48" t="str">
        <x:v>Yes</x:v>
      </x:c>
      <x:c r="L319" s="48" t="str">
        <x:v>OCR</x:v>
      </x:c>
    </x:row>
    <x:row r="320">
      <x:c r="A320" s="48" t="str">
        <x:v>SILVER-0319</x:v>
      </x:c>
      <x:c r="B320" s="48" t="str">
        <x:v>SILVER</x:v>
      </x:c>
      <x:c r="C320" s="48" t="str">
        <x:v>Indonesian</x:v>
      </x:c>
      <x:c r="D320" s="48" t="n">
        <x:v>55</x:v>
      </x:c>
      <x:c r="E320" s="48" t="str"/>
      <x:c r="F320" s="48" t="str">
        <x:v>YAK mengental ana ba yrg Beku wan Papan ma</x:v>
      </x:c>
      <x:c r="G320" s="48" t="str">
        <x:v>Obligation</x:v>
      </x:c>
      <x:c r="H320" s="48" t="str">
        <x:v>Shared</x:v>
      </x:c>
      <x:c r="I320" s="48" t="n">
        <x:v>0.45</x:v>
      </x:c>
      <x:c r="J320" s="48" t="n">
        <x:v>0.4</x:v>
      </x:c>
      <x:c r="K320" s="48" t="str">
        <x:v>Yes</x:v>
      </x:c>
      <x:c r="L320" s="48" t="str">
        <x:v>OCR</x:v>
      </x:c>
    </x:row>
    <x:row r="321">
      <x:c r="A321" s="48" t="str">
        <x:v>SILVER-0320</x:v>
      </x:c>
      <x:c r="B321" s="48" t="str">
        <x:v>SILVER</x:v>
      </x:c>
      <x:c r="C321" s="48" t="str">
        <x:v>Indonesian</x:v>
      </x:c>
      <x:c r="D321" s="48" t="n">
        <x:v>55</x:v>
      </x:c>
      <x:c r="E321" s="48" t="str"/>
      <x:c r="F321" s="48" t="str">
        <x:v>KN an Plan Pia Pa ma dana ren pertama</x:v>
      </x:c>
      <x:c r="G321" s="48" t="str">
        <x:v>Obligation</x:v>
      </x:c>
      <x:c r="H321" s="48" t="str">
        <x:v>Shared</x:v>
      </x:c>
      <x:c r="I321" s="48" t="n">
        <x:v>0.45</x:v>
      </x:c>
      <x:c r="J321" s="48" t="n">
        <x:v>0.4</x:v>
      </x:c>
      <x:c r="K321" s="48" t="str">
        <x:v>Yes</x:v>
      </x:c>
      <x:c r="L321" s="48" t="str">
        <x:v>OCR</x:v>
      </x:c>
    </x:row>
    <x:row r="322">
      <x:c r="A322" s="48" t="str">
        <x:v>SILVER-0321</x:v>
      </x:c>
      <x:c r="B322" s="48" t="str">
        <x:v>SILVER</x:v>
      </x:c>
      <x:c r="C322" s="48" t="str">
        <x:v>Indonesian</x:v>
      </x:c>
      <x:c r="D322" s="48" t="n">
        <x:v>55</x:v>
      </x:c>
      <x:c r="E322" s="48" t="str"/>
      <x:c r="F322" s="48" t="str">
        <x:v>Da pemwsrnertonuan serbentan Luwu On meronta" us — Penjogian at C8 mi enakan kn GAN Ta ca Lara</x:v>
      </x:c>
      <x:c r="G322" s="48" t="str">
        <x:v>Obligation</x:v>
      </x:c>
      <x:c r="H322" s="48" t="str">
        <x:v>Shared</x:v>
      </x:c>
      <x:c r="I322" s="48" t="n">
        <x:v>0.45</x:v>
      </x:c>
      <x:c r="J322" s="48" t="n">
        <x:v>0.4</x:v>
      </x:c>
      <x:c r="K322" s="48" t="str">
        <x:v>Yes</x:v>
      </x:c>
      <x:c r="L322" s="48" t="str">
        <x:v>OCR</x:v>
      </x:c>
    </x:row>
    <x:row r="323">
      <x:c r="A323" s="48" t="str">
        <x:v>SILVER-0322</x:v>
      </x:c>
      <x:c r="B323" s="48" t="str">
        <x:v>SILVER</x:v>
      </x:c>
      <x:c r="C323" s="48" t="str">
        <x:v>Indonesian</x:v>
      </x:c>
      <x:c r="D323" s="48" t="n">
        <x:v>55</x:v>
      </x:c>
      <x:c r="E323" s="48" t="str"/>
      <x:c r="F323" s="48" t="str">
        <x:v>Pein Cacat Mutu Gn PerGaru ds mena on Kran Ga mena da La</x:v>
      </x:c>
      <x:c r="G323" s="48" t="str">
        <x:v>Obligation</x:v>
      </x:c>
      <x:c r="H323" s="48" t="str">
        <x:v>Shared</x:v>
      </x:c>
      <x:c r="I323" s="48" t="n">
        <x:v>0.45</x:v>
      </x:c>
      <x:c r="J323" s="48" t="n">
        <x:v>0.4</x:v>
      </x:c>
      <x:c r="K323" s="48" t="str">
        <x:v>Yes</x:v>
      </x:c>
      <x:c r="L323" s="48" t="str">
        <x:v>OCR</x:v>
      </x:c>
    </x:row>
    <x:row r="324">
      <x:c r="A324" s="48" t="str">
        <x:v>SILVER-0323</x:v>
      </x:c>
      <x:c r="B324" s="48" t="str">
        <x:v>SILVER</x:v>
      </x:c>
      <x:c r="C324" s="48" t="str">
        <x:v>Indonesian</x:v>
      </x:c>
      <x:c r="D324" s="48" t="n">
        <x:v>55</x:v>
      </x:c>
      <x:c r="E324" s="48" t="str"/>
      <x:c r="F324" s="48" t="str">
        <x:v>Ik an petaka tin sn reka Mean yng menga Lt ma Ka</x:v>
      </x:c>
      <x:c r="G324" s="48" t="str">
        <x:v>Obligation</x:v>
      </x:c>
      <x:c r="H324" s="48" t="str">
        <x:v>Shared</x:v>
      </x:c>
      <x:c r="I324" s="48" t="n">
        <x:v>0.45</x:v>
      </x:c>
      <x:c r="J324" s="48" t="n">
        <x:v>0.4</x:v>
      </x:c>
      <x:c r="K324" s="48" t="str">
        <x:v>Yes</x:v>
      </x:c>
      <x:c r="L324" s="48" t="str">
        <x:v>OCR</x:v>
      </x:c>
    </x:row>
    <x:row r="325">
      <x:c r="A325" s="48" t="str">
        <x:v>SILVER-0324</x:v>
      </x:c>
      <x:c r="B325" s="48" t="str">
        <x:v>SILVER</x:v>
      </x:c>
      <x:c r="C325" s="48" t="str">
        <x:v>Indonesian</x:v>
      </x:c>
      <x:c r="D325" s="48" t="n">
        <x:v>55</x:v>
      </x:c>
      <x:c r="E325" s="48" t="str"/>
      <x:c r="F325" s="48" t="str">
        <x:v>Ienaan ni Gr merjaatan error UN erangan na Jonan</x:v>
      </x:c>
      <x:c r="G325" s="48" t="str">
        <x:v>Obligation</x:v>
      </x:c>
      <x:c r="H325" s="48" t="str">
        <x:v>Shared</x:v>
      </x:c>
      <x:c r="I325" s="48" t="n">
        <x:v>0.45</x:v>
      </x:c>
      <x:c r="J325" s="48" t="n">
        <x:v>0.4</x:v>
      </x:c>
      <x:c r="K325" s="48" t="str">
        <x:v>Yes</x:v>
      </x:c>
      <x:c r="L325" s="48" t="str">
        <x:v>OCR</x:v>
      </x:c>
    </x:row>
    <x:row r="326">
      <x:c r="A326" s="48" t="str">
        <x:v>SILVER-0325</x:v>
      </x:c>
      <x:c r="B326" s="48" t="str">
        <x:v>SILVER</x:v>
      </x:c>
      <x:c r="C326" s="48" t="str">
        <x:v>Indonesian</x:v>
      </x:c>
      <x:c r="D326" s="48" t="n">
        <x:v>55</x:v>
      </x:c>
      <x:c r="E326" s="48" t="str"/>
      <x:c r="F326" s="48" t="str">
        <x:v>Peran bsa boa prana bagan aga Wo menyewa rian</x:v>
      </x:c>
      <x:c r="G326" s="48" t="str">
        <x:v>Obligation</x:v>
      </x:c>
      <x:c r="H326" s="48" t="str">
        <x:v>Shared</x:v>
      </x:c>
      <x:c r="I326" s="48" t="n">
        <x:v>0.45</x:v>
      </x:c>
      <x:c r="J326" s="48" t="n">
        <x:v>0.4</x:v>
      </x:c>
      <x:c r="K326" s="48" t="str">
        <x:v>Yes</x:v>
      </x:c>
      <x:c r="L326" s="48" t="str">
        <x:v>OCR</x:v>
      </x:c>
    </x:row>
    <x:row r="327">
      <x:c r="A327" s="48" t="str">
        <x:v>SILVER-0326</x:v>
      </x:c>
      <x:c r="B327" s="48" t="str">
        <x:v>SILVER</x:v>
      </x:c>
      <x:c r="C327" s="48" t="str">
        <x:v>Indonesian</x:v>
      </x:c>
      <x:c r="D327" s="48" t="n">
        <x:v>55</x:v>
      </x:c>
      <x:c r="E327" s="48" t="str"/>
      <x:c r="F327" s="48" t="str">
        <x:v>Prgutan Pentopoean etakancaratmaisnonasaneatmencergnlenan</x:v>
      </x:c>
      <x:c r="G327" s="48" t="str">
        <x:v>Obligation</x:v>
      </x:c>
      <x:c r="H327" s="48" t="str">
        <x:v>Shared</x:v>
      </x:c>
      <x:c r="I327" s="48" t="n">
        <x:v>0.45</x:v>
      </x:c>
      <x:c r="J327" s="48" t="n">
        <x:v>0.4</x:v>
      </x:c>
      <x:c r="K327" s="48" t="str">
        <x:v>Yes</x:v>
      </x:c>
      <x:c r="L327" s="48" t="str">
        <x:v>OCR</x:v>
      </x:c>
    </x:row>
    <x:row r="328">
      <x:c r="A328" s="48" t="str">
        <x:v>SILVER-0327</x:v>
      </x:c>
      <x:c r="B328" s="48" t="str">
        <x:v>SILVER</x:v>
      </x:c>
      <x:c r="C328" s="48" t="str">
        <x:v>Indonesian</x:v>
      </x:c>
      <x:c r="D328" s="48" t="n">
        <x:v>55</x:v>
      </x:c>
      <x:c r="E328" s="48" t="str"/>
      <x:c r="F328" s="48" t="str">
        <x:v>tan tanat Peajar, Peroosa Jan ar mana prgarOn tegas Kengatg rn Gn Krn Pemanen du Ge Da peranan (akanbrga yak 2 pama Ge da tenan spot</x:v>
      </x:c>
      <x:c r="G328" s="48" t="str">
        <x:v>Obligation</x:v>
      </x:c>
      <x:c r="H328" s="48" t="str">
        <x:v>Shared</x:v>
      </x:c>
      <x:c r="I328" s="48" t="n">
        <x:v>0.45</x:v>
      </x:c>
      <x:c r="J328" s="48" t="n">
        <x:v>0.4</x:v>
      </x:c>
      <x:c r="K328" s="48" t="str">
        <x:v>Yes</x:v>
      </x:c>
      <x:c r="L328" s="48" t="str">
        <x:v>OCR</x:v>
      </x:c>
    </x:row>
    <x:row r="329">
      <x:c r="A329" s="48" t="str">
        <x:v>SILVER-0328</x:v>
      </x:c>
      <x:c r="B329" s="48" t="str">
        <x:v>SILVER</x:v>
      </x:c>
      <x:c r="C329" s="48" t="str">
        <x:v>Indonesian</x:v>
      </x:c>
      <x:c r="D329" s="48" t="n">
        <x:v>55</x:v>
      </x:c>
      <x:c r="E329" s="48" t="str"/>
      <x:c r="F329" s="48" t="str">
        <x:v>Pergentirona dksrwan ea Seganinan pratetsu id raden</x:v>
      </x:c>
      <x:c r="G329" s="48" t="str">
        <x:v>Obligation</x:v>
      </x:c>
      <x:c r="H329" s="48" t="str">
        <x:v>Shared</x:v>
      </x:c>
      <x:c r="I329" s="48" t="n">
        <x:v>0.45</x:v>
      </x:c>
      <x:c r="J329" s="48" t="n">
        <x:v>0.4</x:v>
      </x:c>
      <x:c r="K329" s="48" t="str">
        <x:v>Yes</x:v>
      </x:c>
      <x:c r="L329" s="48" t="str">
        <x:v>OCR</x:v>
      </x:c>
    </x:row>
    <x:row r="330">
      <x:c r="A330" s="48" t="str">
        <x:v>SILVER-0329</x:v>
      </x:c>
      <x:c r="B330" s="48" t="str">
        <x:v>SILVER</x:v>
      </x:c>
      <x:c r="C330" s="48" t="str">
        <x:v>Indonesian</x:v>
      </x:c>
      <x:c r="D330" s="48" t="n">
        <x:v>55</x:v>
      </x:c>
      <x:c r="E330" s="48" t="str"/>
      <x:c r="F330" s="48" t="str">
        <x:v>PRA MK Sarat hu San drake Gran mt aa</x:v>
      </x:c>
      <x:c r="G330" s="48" t="str">
        <x:v>Obligation</x:v>
      </x:c>
      <x:c r="H330" s="48" t="str">
        <x:v>Shared</x:v>
      </x:c>
      <x:c r="I330" s="48" t="n">
        <x:v>0.45</x:v>
      </x:c>
      <x:c r="J330" s="48" t="n">
        <x:v>0.4</x:v>
      </x:c>
      <x:c r="K330" s="48" t="str">
        <x:v>Yes</x:v>
      </x:c>
      <x:c r="L330" s="48" t="str">
        <x:v>OCR</x:v>
      </x:c>
    </x:row>
    <x:row r="331">
      <x:c r="A331" s="48" t="str">
        <x:v>SILVER-0330</x:v>
      </x:c>
      <x:c r="B331" s="48" t="str">
        <x:v>SILVER</x:v>
      </x:c>
      <x:c r="C331" s="48" t="str">
        <x:v>Indonesian</x:v>
      </x:c>
      <x:c r="D331" s="48" t="n">
        <x:v>55</x:v>
      </x:c>
      <x:c r="E331" s="48" t="str"/>
      <x:c r="F331" s="48" t="str">
        <x:v>De0 Phat yugtennganganan becnawan SD Ka 12 Patasan kesan</x:v>
      </x:c>
      <x:c r="G331" s="48" t="str">
        <x:v>Obligation</x:v>
      </x:c>
      <x:c r="H331" s="48" t="str">
        <x:v>Shared</x:v>
      </x:c>
      <x:c r="I331" s="48" t="n">
        <x:v>0.45</x:v>
      </x:c>
      <x:c r="J331" s="48" t="n">
        <x:v>0.4</x:v>
      </x:c>
      <x:c r="K331" s="48" t="str">
        <x:v>Yes</x:v>
      </x:c>
      <x:c r="L331" s="48" t="str">
        <x:v>OCR</x:v>
      </x:c>
    </x:row>
    <x:row r="332">
      <x:c r="A332" s="48" t="str">
        <x:v>SILVER-0331</x:v>
      </x:c>
      <x:c r="B332" s="48" t="str">
        <x:v>SILVER</x:v>
      </x:c>
      <x:c r="C332" s="48" t="str">
        <x:v>Indonesian</x:v>
      </x:c>
      <x:c r="D332" s="48" t="n">
        <x:v>56</x:v>
      </x:c>
      <x:c r="E332" s="48" t="str"/>
      <x:c r="F332" s="48" t="str">
        <x:v>an kortitor bot tegang</x:v>
      </x:c>
      <x:c r="G332" s="48" t="str">
        <x:v>Obligation</x:v>
      </x:c>
      <x:c r="H332" s="48" t="str">
        <x:v>Shared</x:v>
      </x:c>
      <x:c r="I332" s="48" t="n">
        <x:v>0.45</x:v>
      </x:c>
      <x:c r="J332" s="48" t="n">
        <x:v>0.4</x:v>
      </x:c>
      <x:c r="K332" s="48" t="str">
        <x:v>Yes</x:v>
      </x:c>
      <x:c r="L332" s="48" t="str">
        <x:v>OCR</x:v>
      </x:c>
    </x:row>
    <x:row r="333">
      <x:c r="A333" s="48" t="str">
        <x:v>SILVER-0332</x:v>
      </x:c>
      <x:c r="B333" s="48" t="str">
        <x:v>SILVER</x:v>
      </x:c>
      <x:c r="C333" s="48" t="str">
        <x:v>Indonesian</x:v>
      </x:c>
      <x:c r="D333" s="48" t="n">
        <x:v>57</x:v>
      </x:c>
      <x:c r="E333" s="48" t="str"/>
      <x:c r="F333" s="48" t="str">
        <x:v>(ata ar hai perusantrus data kada Koro: Aoi ang Fi enteridnbon argoketatancenPegaru hea Kratnten renta</x:v>
      </x:c>
      <x:c r="G333" s="48" t="str">
        <x:v>Obligation</x:v>
      </x:c>
      <x:c r="H333" s="48" t="str">
        <x:v>Shared</x:v>
      </x:c>
      <x:c r="I333" s="48" t="n">
        <x:v>0.45</x:v>
      </x:c>
      <x:c r="J333" s="48" t="n">
        <x:v>0.4</x:v>
      </x:c>
      <x:c r="K333" s="48" t="str">
        <x:v>Yes</x:v>
      </x:c>
      <x:c r="L333" s="48" t="str">
        <x:v>OCR</x:v>
      </x:c>
    </x:row>
    <x:row r="334">
      <x:c r="A334" s="48" t="str">
        <x:v>SILVER-0333</x:v>
      </x:c>
      <x:c r="B334" s="48" t="str">
        <x:v>SILVER</x:v>
      </x:c>
      <x:c r="C334" s="48" t="str">
        <x:v>Indonesian</x:v>
      </x:c>
      <x:c r="D334" s="48" t="n">
        <x:v>57</x:v>
      </x:c>
      <x:c r="E334" s="48" t="str"/>
      <x:c r="F334" s="48" t="str">
        <x:v>Letarornalepa Pagar</x:v>
      </x:c>
      <x:c r="G334" s="48" t="str">
        <x:v>Obligation</x:v>
      </x:c>
      <x:c r="H334" s="48" t="str">
        <x:v>Shared</x:v>
      </x:c>
      <x:c r="I334" s="48" t="n">
        <x:v>0.45</x:v>
      </x:c>
      <x:c r="J334" s="48" t="n">
        <x:v>0.4</x:v>
      </x:c>
      <x:c r="K334" s="48" t="str">
        <x:v>Yes</x:v>
      </x:c>
      <x:c r="L334" s="48" t="str">
        <x:v>OCR</x:v>
      </x:c>
    </x:row>
    <x:row r="335">
      <x:c r="A335" s="48" t="str">
        <x:v>SILVER-0334</x:v>
      </x:c>
      <x:c r="B335" s="48" t="str">
        <x:v>SILVER</x:v>
      </x:c>
      <x:c r="C335" s="48" t="str">
        <x:v>Indonesian</x:v>
      </x:c>
      <x:c r="D335" s="48" t="n">
        <x:v>57</x:v>
      </x:c>
      <x:c r="E335" s="48" t="str"/>
      <x:c r="F335" s="48" t="str">
        <x:v>Smu erna pertats1an Prgass bsafuna meraka tedkatan Pot tanu tetanga kan ang ban Seetten don Krn.</x:v>
      </x:c>
      <x:c r="G335" s="48" t="str">
        <x:v>Obligation</x:v>
      </x:c>
      <x:c r="H335" s="48" t="str">
        <x:v>Shared</x:v>
      </x:c>
      <x:c r="I335" s="48" t="n">
        <x:v>0.45</x:v>
      </x:c>
      <x:c r="J335" s="48" t="n">
        <x:v>0.4</x:v>
      </x:c>
      <x:c r="K335" s="48" t="str">
        <x:v>Yes</x:v>
      </x:c>
      <x:c r="L335" s="48" t="str">
        <x:v>OCR</x:v>
      </x:c>
    </x:row>
    <x:row r="336">
      <x:c r="A336" s="48" t="str">
        <x:v>SILVER-0335</x:v>
      </x:c>
      <x:c r="B336" s="48" t="str">
        <x:v>SILVER</x:v>
      </x:c>
      <x:c r="C336" s="48" t="str">
        <x:v>Indonesian</x:v>
      </x:c>
      <x:c r="D336" s="48" t="n">
        <x:v>57</x:v>
      </x:c>
      <x:c r="E336" s="48" t="str"/>
      <x:c r="F336" s="48" t="str">
        <x:v>Perbanas Peran ma Pempang Plan</x:v>
      </x:c>
      <x:c r="G336" s="48" t="str">
        <x:v>Obligation</x:v>
      </x:c>
      <x:c r="H336" s="48" t="str">
        <x:v>Shared</x:v>
      </x:c>
      <x:c r="I336" s="48" t="n">
        <x:v>0.45</x:v>
      </x:c>
      <x:c r="J336" s="48" t="n">
        <x:v>0.4</x:v>
      </x:c>
      <x:c r="K336" s="48" t="str">
        <x:v>Yes</x:v>
      </x:c>
      <x:c r="L336" s="48" t="str">
        <x:v>OCR</x:v>
      </x:c>
    </x:row>
    <x:row r="337">
      <x:c r="A337" s="48" t="str">
        <x:v>SILVER-0336</x:v>
      </x:c>
      <x:c r="B337" s="48" t="str">
        <x:v>SILVER</x:v>
      </x:c>
      <x:c r="C337" s="48" t="str">
        <x:v>Indonesian</x:v>
      </x:c>
      <x:c r="D337" s="48" t="n">
        <x:v>57</x:v>
      </x:c>
      <x:c r="E337" s="48" t="str"/>
      <x:c r="F337" s="48" t="str">
        <x:v>Ak doa dsoeskonenmahks Pentetanan st subropamann</x:v>
      </x:c>
      <x:c r="G337" s="48" t="str">
        <x:v>Obligation</x:v>
      </x:c>
      <x:c r="H337" s="48" t="str">
        <x:v>Shared</x:v>
      </x:c>
      <x:c r="I337" s="48" t="n">
        <x:v>0.45</x:v>
      </x:c>
      <x:c r="J337" s="48" t="n">
        <x:v>0.4</x:v>
      </x:c>
      <x:c r="K337" s="48" t="str">
        <x:v>Yes</x:v>
      </x:c>
      <x:c r="L337" s="48" t="str">
        <x:v>OCR</x:v>
      </x:c>
    </x:row>
    <x:row r="338">
      <x:c r="A338" s="48" t="str">
        <x:v>SILVER-0337</x:v>
      </x:c>
      <x:c r="B338" s="48" t="str">
        <x:v>SILVER</x:v>
      </x:c>
      <x:c r="C338" s="48" t="str">
        <x:v>Indonesian</x:v>
      </x:c>
      <x:c r="D338" s="48" t="n">
        <x:v>58</x:v>
      </x:c>
      <x:c r="E338" s="48" t="str"/>
      <x:c r="F338" s="48" t="str">
        <x:v>lan yag dipake pra Pt, iya Peta ta Bagan Plan</x:v>
      </x:c>
      <x:c r="G338" s="48" t="str">
        <x:v>Obligation</x:v>
      </x:c>
      <x:c r="H338" s="48" t="str">
        <x:v>Shared</x:v>
      </x:c>
      <x:c r="I338" s="48" t="n">
        <x:v>0.45</x:v>
      </x:c>
      <x:c r="J338" s="48" t="n">
        <x:v>0.4</x:v>
      </x:c>
      <x:c r="K338" s="48" t="str">
        <x:v>Yes</x:v>
      </x:c>
      <x:c r="L338" s="48" t="str">
        <x:v>OCR</x:v>
      </x:c>
    </x:row>
    <x:row r="339">
      <x:c r="A339" s="48" t="str">
        <x:v>SILVER-0338</x:v>
      </x:c>
      <x:c r="B339" s="48" t="str">
        <x:v>SILVER</x:v>
      </x:c>
      <x:c r="C339" s="48" t="str">
        <x:v>Indonesian</x:v>
      </x:c>
      <x:c r="D339" s="48" t="n">
        <x:v>58</x:v>
      </x:c>
      <x:c r="E339" s="48" t="str"/>
      <x:c r="F339" s="48" t="str">
        <x:v>Sa duta yan br rda San enda Pan</x:v>
      </x:c>
      <x:c r="G339" s="48" t="str">
        <x:v>Obligation</x:v>
      </x:c>
      <x:c r="H339" s="48" t="str">
        <x:v>Shared</x:v>
      </x:c>
      <x:c r="I339" s="48" t="n">
        <x:v>0.45</x:v>
      </x:c>
      <x:c r="J339" s="48" t="n">
        <x:v>0.4</x:v>
      </x:c>
      <x:c r="K339" s="48" t="str">
        <x:v>Yes</x:v>
      </x:c>
      <x:c r="L339" s="48" t="str">
        <x:v>OCR</x:v>
      </x:c>
    </x:row>
    <x:row r="340">
      <x:c r="A340" s="48" t="str">
        <x:v>SILVER-0339</x:v>
      </x:c>
      <x:c r="B340" s="48" t="str">
        <x:v>SILVER</x:v>
      </x:c>
      <x:c r="C340" s="48" t="str">
        <x:v>Indonesian</x:v>
      </x:c>
      <x:c r="D340" s="48" t="n">
        <x:v>58</x:v>
      </x:c>
      <x:c r="E340" s="48" t="str"/>
      <x:c r="F340" s="48" t="str">
        <x:v>Pangan wi Ex Prank bk Prof Sabah Peykosan</x:v>
      </x:c>
      <x:c r="G340" s="48" t="str">
        <x:v>Obligation</x:v>
      </x:c>
      <x:c r="H340" s="48" t="str">
        <x:v>Shared</x:v>
      </x:c>
      <x:c r="I340" s="48" t="n">
        <x:v>0.45</x:v>
      </x:c>
      <x:c r="J340" s="48" t="n">
        <x:v>0.4</x:v>
      </x:c>
      <x:c r="K340" s="48" t="str">
        <x:v>Yes</x:v>
      </x:c>
      <x:c r="L340" s="48" t="str">
        <x:v>OCR</x:v>
      </x:c>
    </x:row>
    <x:row r="341">
      <x:c r="A341" s="48" t="str">
        <x:v>SILVER-0340</x:v>
      </x:c>
      <x:c r="B341" s="48" t="str">
        <x:v>SILVER</x:v>
      </x:c>
      <x:c r="C341" s="48" t="str">
        <x:v>Indonesian</x:v>
      </x:c>
      <x:c r="D341" s="48" t="n">
        <x:v>58</x:v>
      </x:c>
      <x:c r="E341" s="48" t="str"/>
      <x:c r="F341" s="48" t="str">
        <x:v>megan PI ai Sin Oa Daan Pkn yag Bam</x:v>
      </x:c>
      <x:c r="G341" s="48" t="str">
        <x:v>Obligation</x:v>
      </x:c>
      <x:c r="H341" s="48" t="str">
        <x:v>Shared</x:v>
      </x:c>
      <x:c r="I341" s="48" t="n">
        <x:v>0.45</x:v>
      </x:c>
      <x:c r="J341" s="48" t="n">
        <x:v>0.4</x:v>
      </x:c>
      <x:c r="K341" s="48" t="str">
        <x:v>Yes</x:v>
      </x:c>
      <x:c r="L341" s="48" t="str">
        <x:v>OCR</x:v>
      </x:c>
    </x:row>
    <x:row r="342">
      <x:c r="A342" s="48" t="str">
        <x:v>SILVER-0341</x:v>
      </x:c>
      <x:c r="B342" s="48" t="str">
        <x:v>SILVER</x:v>
      </x:c>
      <x:c r="C342" s="48" t="str">
        <x:v>Indonesian</x:v>
      </x:c>
      <x:c r="D342" s="48" t="n">
        <x:v>58</x:v>
      </x:c>
      <x:c r="E342" s="48" t="str"/>
      <x:c r="F342" s="48" t="str">
        <x:v>Sekam petaan ar aan Gor co</x:v>
      </x:c>
      <x:c r="G342" s="48" t="str">
        <x:v>Obligation</x:v>
      </x:c>
      <x:c r="H342" s="48" t="str">
        <x:v>Shared</x:v>
      </x:c>
      <x:c r="I342" s="48" t="n">
        <x:v>0.45</x:v>
      </x:c>
      <x:c r="J342" s="48" t="n">
        <x:v>0.4</x:v>
      </x:c>
      <x:c r="K342" s="48" t="str">
        <x:v>Yes</x:v>
      </x:c>
      <x:c r="L342" s="48" t="str">
        <x:v>OCR</x:v>
      </x:c>
    </x:row>
    <x:row r="343">
      <x:c r="A343" s="48" t="str">
        <x:v>SILVER-0342</x:v>
      </x:c>
      <x:c r="B343" s="48" t="str">
        <x:v>SILVER</x:v>
      </x:c>
      <x:c r="C343" s="48" t="str">
        <x:v>Indonesian</x:v>
      </x:c>
      <x:c r="D343" s="48" t="n">
        <x:v>58</x:v>
      </x:c>
      <x:c r="E343" s="48" t="str"/>
      <x:c r="F343" s="48" t="str">
        <x:v>muntah Pra serueya pa menit ergdan yr ga Can Prafan “Sen Pnykasn Peta das tebang Pon bi rak Gr, rta degan Menhan ar teman mrgsenan tia an suro setan bu kgagn Peran Uang Geraan dp ompaP rt Wa Ga ay sa (GG Ka 112</x:v>
      </x:c>
      <x:c r="G343" s="48" t="str">
        <x:v>Obligation</x:v>
      </x:c>
      <x:c r="H343" s="48" t="str">
        <x:v>Shared</x:v>
      </x:c>
      <x:c r="I343" s="48" t="n">
        <x:v>0.45</x:v>
      </x:c>
      <x:c r="J343" s="48" t="n">
        <x:v>0.4</x:v>
      </x:c>
      <x:c r="K343" s="48" t="str">
        <x:v>Yes</x:v>
      </x:c>
      <x:c r="L343" s="48" t="str">
        <x:v>OCR</x:v>
      </x:c>
    </x:row>
    <x:row r="344">
      <x:c r="A344" s="48" t="str">
        <x:v>SILVER-0343</x:v>
      </x:c>
      <x:c r="B344" s="48" t="str">
        <x:v>SILVER</x:v>
      </x:c>
      <x:c r="C344" s="48" t="str">
        <x:v>Indonesian</x:v>
      </x:c>
      <x:c r="D344" s="48" t="n">
        <x:v>58</x:v>
      </x:c>
      <x:c r="E344" s="48" t="str"/>
      <x:c r="F344" s="48" t="str">
        <x:v>Wina Putatan Cat MA dn menatan Prog Ji mangan Ba</x:v>
      </x:c>
      <x:c r="G344" s="48" t="str">
        <x:v>Obligation</x:v>
      </x:c>
      <x:c r="H344" s="48" t="str">
        <x:v>Shared</x:v>
      </x:c>
      <x:c r="I344" s="48" t="n">
        <x:v>0.45</x:v>
      </x:c>
      <x:c r="J344" s="48" t="n">
        <x:v>0.4</x:v>
      </x:c>
      <x:c r="K344" s="48" t="str">
        <x:v>Yes</x:v>
      </x:c>
      <x:c r="L344" s="48" t="str">
        <x:v>OCR</x:v>
      </x:c>
    </x:row>
    <x:row r="345">
      <x:c r="A345" s="48" t="str">
        <x:v>SILVER-0344</x:v>
      </x:c>
      <x:c r="B345" s="48" t="str">
        <x:v>SILVER</x:v>
      </x:c>
      <x:c r="C345" s="48" t="str">
        <x:v>Indonesian</x:v>
      </x:c>
      <x:c r="D345" s="48" t="n">
        <x:v>58</x:v>
      </x:c>
      <x:c r="E345" s="48" t="str"/>
      <x:c r="F345" s="48" t="str">
        <x:v>'arttan rere eraaslan So a25 ace Angara sadrana mara bga mebuorsaPrgara Ja.</x:v>
      </x:c>
      <x:c r="G345" s="48" t="str">
        <x:v>Obligation</x:v>
      </x:c>
      <x:c r="H345" s="48" t="str">
        <x:v>Shared</x:v>
      </x:c>
      <x:c r="I345" s="48" t="n">
        <x:v>0.45</x:v>
      </x:c>
      <x:c r="J345" s="48" t="n">
        <x:v>0.4</x:v>
      </x:c>
      <x:c r="K345" s="48" t="str">
        <x:v>Yes</x:v>
      </x:c>
      <x:c r="L345" s="48" t="str">
        <x:v>OCR</x:v>
      </x:c>
    </x:row>
    <x:row r="346">
      <x:c r="A346" s="48" t="str">
        <x:v>SILVER-0345</x:v>
      </x:c>
      <x:c r="B346" s="48" t="str">
        <x:v>SILVER</x:v>
      </x:c>
      <x:c r="C346" s="48" t="str">
        <x:v>Indonesian</x:v>
      </x:c>
      <x:c r="D346" s="48" t="n">
        <x:v>58</x:v>
      </x:c>
      <x:c r="E346" s="48" t="str"/>
      <x:c r="F346" s="48" t="str">
        <x:v>“dak Lo Pngujan (8 Pkn is atu Bagan Peta, Kk ba la si Ss Shan</x:v>
      </x:c>
      <x:c r="G346" s="48" t="str">
        <x:v>Obligation</x:v>
      </x:c>
      <x:c r="H346" s="48" t="str">
        <x:v>Shared</x:v>
      </x:c>
      <x:c r="I346" s="48" t="n">
        <x:v>0.45</x:v>
      </x:c>
      <x:c r="J346" s="48" t="n">
        <x:v>0.4</x:v>
      </x:c>
      <x:c r="K346" s="48" t="str">
        <x:v>Yes</x:v>
      </x:c>
      <x:c r="L346" s="48" t="str">
        <x:v>OCR</x:v>
      </x:c>
    </x:row>
    <x:row r="347">
      <x:c r="A347" s="48" t="str">
        <x:v>SILVER-0346</x:v>
      </x:c>
      <x:c r="B347" s="48" t="str">
        <x:v>SILVER</x:v>
      </x:c>
      <x:c r="C347" s="48" t="str">
        <x:v>Indonesian</x:v>
      </x:c>
      <x:c r="D347" s="48" t="n">
        <x:v>58</x:v>
      </x:c>
      <x:c r="E347" s="48" t="str"/>
      <x:c r="F347" s="48" t="str">
        <x:v>Paran Soma Pykaaan Pra</x:v>
      </x:c>
      <x:c r="G347" s="48" t="str">
        <x:v>Obligation</x:v>
      </x:c>
      <x:c r="H347" s="48" t="str">
        <x:v>Shared</x:v>
      </x:c>
      <x:c r="I347" s="48" t="n">
        <x:v>0.45</x:v>
      </x:c>
      <x:c r="J347" s="48" t="n">
        <x:v>0.4</x:v>
      </x:c>
      <x:c r="K347" s="48" t="str">
        <x:v>Yes</x:v>
      </x:c>
      <x:c r="L347" s="48" t="str">
        <x:v>OCR</x:v>
      </x:c>
    </x:row>
    <x:row r="348">
      <x:c r="A348" s="48" t="str">
        <x:v>SILVER-0347</x:v>
      </x:c>
      <x:c r="B348" s="48" t="str">
        <x:v>SILVER</x:v>
      </x:c>
      <x:c r="C348" s="48" t="str">
        <x:v>Indonesian</x:v>
      </x:c>
      <x:c r="D348" s="48" t="n">
        <x:v>58</x:v>
      </x:c>
      <x:c r="E348" s="48" t="str"/>
      <x:c r="F348" s="48" t="str">
        <x:v>(ST ar lha yng Ghoul star tea kera ika gan many Ie mean Dnangenya Beras ae</x:v>
      </x:c>
      <x:c r="G348" s="48" t="str">
        <x:v>Obligation</x:v>
      </x:c>
      <x:c r="H348" s="48" t="str">
        <x:v>Shared</x:v>
      </x:c>
      <x:c r="I348" s="48" t="n">
        <x:v>0.45</x:v>
      </x:c>
      <x:c r="J348" s="48" t="n">
        <x:v>0.4</x:v>
      </x:c>
      <x:c r="K348" s="48" t="str">
        <x:v>Yes</x:v>
      </x:c>
      <x:c r="L348" s="48" t="str">
        <x:v>OCR</x:v>
      </x:c>
    </x:row>
    <x:row r="349">
      <x:c r="A349" s="48" t="str">
        <x:v>SILVER-0348</x:v>
      </x:c>
      <x:c r="B349" s="48" t="str">
        <x:v>SILVER</x:v>
      </x:c>
      <x:c r="C349" s="48" t="str">
        <x:v>Indonesian</x:v>
      </x:c>
      <x:c r="D349" s="48" t="n">
        <x:v>58</x:v>
      </x:c>
      <x:c r="E349" s="48" t="str"/>
      <x:c r="F349" s="48" t="str">
        <x:v>Kerak dn</x:v>
      </x:c>
      <x:c r="G349" s="48" t="str">
        <x:v>Obligation</x:v>
      </x:c>
      <x:c r="H349" s="48" t="str">
        <x:v>Shared</x:v>
      </x:c>
      <x:c r="I349" s="48" t="n">
        <x:v>0.45</x:v>
      </x:c>
      <x:c r="J349" s="48" t="n">
        <x:v>0.4</x:v>
      </x:c>
      <x:c r="K349" s="48" t="str">
        <x:v>Yes</x:v>
      </x:c>
      <x:c r="L349" s="48" t="str">
        <x:v>OCR</x:v>
      </x:c>
    </x:row>
    <x:row r="350">
      <x:c r="A350" s="48" t="str">
        <x:v>SILVER-0349</x:v>
      </x:c>
      <x:c r="B350" s="48" t="str">
        <x:v>SILVER</x:v>
      </x:c>
      <x:c r="C350" s="48" t="str">
        <x:v>Indonesian</x:v>
      </x:c>
      <x:c r="D350" s="48" t="n">
        <x:v>58</x:v>
      </x:c>
      <x:c r="E350" s="48" t="str">
        <x:v>1</x:v>
      </x:c>
      <x:c r="F350" s="48" t="str">
        <x:v>1 omar mantmar mh tan ec PGA ran amar mua senang Pelosa, as ti Bgon Pkajan tata drop es</x:v>
      </x:c>
      <x:c r="G350" s="48" t="str">
        <x:v>Heading</x:v>
      </x:c>
      <x:c r="H350" s="48" t="str"/>
      <x:c r="I350" s="48" t="n">
        <x:v>0.9</x:v>
      </x:c>
      <x:c r="J350" s="48" t="n">
        <x:v>0.99</x:v>
      </x:c>
      <x:c r="K350" s="48" t="str">
        <x:v>No</x:v>
      </x:c>
      <x:c r="L350" s="48" t="str">
        <x:v>OCR</x:v>
      </x:c>
    </x:row>
    <x:row r="351">
      <x:c r="A351" s="48" t="str">
        <x:v>SILVER-0350</x:v>
      </x:c>
      <x:c r="B351" s="48" t="str">
        <x:v>SILVER</x:v>
      </x:c>
      <x:c r="C351" s="48" t="str">
        <x:v>Indonesian</x:v>
      </x:c>
      <x:c r="D351" s="48" t="n">
        <x:v>58</x:v>
      </x:c>
      <x:c r="E351" s="48" t="str"/>
      <x:c r="F351" s="48" t="str">
        <x:v>Pan Persen ferar</x:v>
      </x:c>
      <x:c r="G351" s="48" t="str">
        <x:v>Obligation</x:v>
      </x:c>
      <x:c r="H351" s="48" t="str">
        <x:v>Shared</x:v>
      </x:c>
      <x:c r="I351" s="48" t="n">
        <x:v>0.45</x:v>
      </x:c>
      <x:c r="J351" s="48" t="n">
        <x:v>0.4</x:v>
      </x:c>
      <x:c r="K351" s="48" t="str">
        <x:v>Yes</x:v>
      </x:c>
      <x:c r="L351" s="48" t="str">
        <x:v>OCR</x:v>
      </x:c>
    </x:row>
    <x:row r="352">
      <x:c r="A352" s="48" t="str">
        <x:v>SILVER-0351</x:v>
      </x:c>
      <x:c r="B352" s="48" t="str">
        <x:v>SILVER</x:v>
      </x:c>
      <x:c r="C352" s="48" t="str">
        <x:v>Indonesian</x:v>
      </x:c>
      <x:c r="D352" s="48" t="n">
        <x:v>58</x:v>
      </x:c>
      <x:c r="E352" s="48" t="str"/>
      <x:c r="F352" s="48" t="str">
        <x:v>ata Pen at Ban Pesan Kh Wat Prgan Setan</x:v>
      </x:c>
      <x:c r="G352" s="48" t="str">
        <x:v>Obligation</x:v>
      </x:c>
      <x:c r="H352" s="48" t="str">
        <x:v>Shared</x:v>
      </x:c>
      <x:c r="I352" s="48" t="n">
        <x:v>0.45</x:v>
      </x:c>
      <x:c r="J352" s="48" t="n">
        <x:v>0.4</x:v>
      </x:c>
      <x:c r="K352" s="48" t="str">
        <x:v>Yes</x:v>
      </x:c>
      <x:c r="L352" s="48" t="str">
        <x:v>OCR</x:v>
      </x:c>
    </x:row>
    <x:row r="353">
      <x:c r="A353" s="48" t="str">
        <x:v>SILVER-0352</x:v>
      </x:c>
      <x:c r="B353" s="48" t="str">
        <x:v>SILVER</x:v>
      </x:c>
      <x:c r="C353" s="48" t="str">
        <x:v>Indonesian</x:v>
      </x:c>
      <x:c r="D353" s="48" t="n">
        <x:v>58</x:v>
      </x:c>
      <x:c r="E353" s="48" t="str"/>
      <x:c r="F353" s="48" t="str">
        <x:v>Atasan Pera Gan tok mergundan urak melan peyean</x:v>
      </x:c>
      <x:c r="G353" s="48" t="str">
        <x:v>Obligation</x:v>
      </x:c>
      <x:c r="H353" s="48" t="str">
        <x:v>Shared</x:v>
      </x:c>
      <x:c r="I353" s="48" t="n">
        <x:v>0.45</x:v>
      </x:c>
      <x:c r="J353" s="48" t="n">
        <x:v>0.4</x:v>
      </x:c>
      <x:c r="K353" s="48" t="str">
        <x:v>Yes</x:v>
      </x:c>
      <x:c r="L353" s="48" t="str">
        <x:v>OCR</x:v>
      </x:c>
    </x:row>
    <x:row r="354">
      <x:c r="A354" s="48" t="str">
        <x:v>SILVER-0353</x:v>
      </x:c>
      <x:c r="B354" s="48" t="str">
        <x:v>SILVER</x:v>
      </x:c>
      <x:c r="C354" s="48" t="str">
        <x:v>Indonesian</x:v>
      </x:c>
      <x:c r="D354" s="48" t="n">
        <x:v>58</x:v>
      </x:c>
      <x:c r="E354" s="48" t="str"/>
      <x:c r="F354" s="48" t="str">
        <x:v>(lp echo troco Pora ta aan Fan trs.</x:v>
      </x:c>
      <x:c r="G354" s="48" t="str">
        <x:v>Obligation</x:v>
      </x:c>
      <x:c r="H354" s="48" t="str">
        <x:v>Shared</x:v>
      </x:c>
      <x:c r="I354" s="48" t="n">
        <x:v>0.45</x:v>
      </x:c>
      <x:c r="J354" s="48" t="n">
        <x:v>0.4</x:v>
      </x:c>
      <x:c r="K354" s="48" t="str">
        <x:v>Yes</x:v>
      </x:c>
      <x:c r="L354" s="48" t="str">
        <x:v>OCR</x:v>
      </x:c>
    </x:row>
    <x:row r="355">
      <x:c r="A355" s="48" t="str">
        <x:v>SILVER-0354</x:v>
      </x:c>
      <x:c r="B355" s="48" t="str">
        <x:v>SILVER</x:v>
      </x:c>
      <x:c r="C355" s="48" t="str">
        <x:v>Indonesian</x:v>
      </x:c>
      <x:c r="D355" s="48" t="n">
        <x:v>58</x:v>
      </x:c>
      <x:c r="E355" s="48" t="str"/>
      <x:c r="F355" s="48" t="str">
        <x:v>Kerta eat eta ji sanrar PergaJu btwa lur rang Glen</x:v>
      </x:c>
      <x:c r="G355" s="48" t="str">
        <x:v>Obligation</x:v>
      </x:c>
      <x:c r="H355" s="48" t="str">
        <x:v>Shared</x:v>
      </x:c>
      <x:c r="I355" s="48" t="n">
        <x:v>0.45</x:v>
      </x:c>
      <x:c r="J355" s="48" t="n">
        <x:v>0.4</x:v>
      </x:c>
      <x:c r="K355" s="48" t="str">
        <x:v>Yes</x:v>
      </x:c>
      <x:c r="L355" s="48" t="str">
        <x:v>OCR</x:v>
      </x:c>
    </x:row>
    <x:row r="356">
      <x:c r="A356" s="48" t="str">
        <x:v>SILVER-0355</x:v>
      </x:c>
      <x:c r="B356" s="48" t="str">
        <x:v>SILVER</x:v>
      </x:c>
      <x:c r="C356" s="48" t="str">
        <x:v>Indonesian</x:v>
      </x:c>
      <x:c r="D356" s="48" t="n">
        <x:v>58</x:v>
      </x:c>
      <x:c r="E356" s="48" t="str"/>
      <x:c r="F356" s="48" t="str">
        <x:v>Peamodiastogo panah memb tnNeua aa gakrnIan</x:v>
      </x:c>
      <x:c r="G356" s="48" t="str">
        <x:v>Obligation</x:v>
      </x:c>
      <x:c r="H356" s="48" t="str">
        <x:v>Shared</x:v>
      </x:c>
      <x:c r="I356" s="48" t="n">
        <x:v>0.45</x:v>
      </x:c>
      <x:c r="J356" s="48" t="n">
        <x:v>0.4</x:v>
      </x:c>
      <x:c r="K356" s="48" t="str">
        <x:v>Yes</x:v>
      </x:c>
      <x:c r="L356" s="48" t="str">
        <x:v>OCR</x:v>
      </x:c>
    </x:row>
    <x:row r="357">
      <x:c r="A357" s="48" t="str">
        <x:v>SILVER-0356</x:v>
      </x:c>
      <x:c r="B357" s="48" t="str">
        <x:v>SILVER</x:v>
      </x:c>
      <x:c r="C357" s="48" t="str">
        <x:v>Indonesian</x:v>
      </x:c>
      <x:c r="D357" s="48" t="n">
        <x:v>58</x:v>
      </x:c>
      <x:c r="E357" s="48" t="str"/>
      <x:c r="F357" s="48" t="str">
        <x:v>Mede Prgara Ina Kol merias kt ontnngg pundak</x:v>
      </x:c>
      <x:c r="G357" s="48" t="str">
        <x:v>Obligation</x:v>
      </x:c>
      <x:c r="H357" s="48" t="str">
        <x:v>Shared</x:v>
      </x:c>
      <x:c r="I357" s="48" t="n">
        <x:v>0.45</x:v>
      </x:c>
      <x:c r="J357" s="48" t="n">
        <x:v>0.4</x:v>
      </x:c>
      <x:c r="K357" s="48" t="str">
        <x:v>Yes</x:v>
      </x:c>
      <x:c r="L357" s="48" t="str">
        <x:v>OCR</x:v>
      </x:c>
    </x:row>
    <x:row r="358">
      <x:c r="A358" s="48" t="str">
        <x:v>SILVER-0357</x:v>
      </x:c>
      <x:c r="B358" s="48" t="str">
        <x:v>SILVER</x:v>
      </x:c>
      <x:c r="C358" s="48" t="str">
        <x:v>Indonesian</x:v>
      </x:c>
      <x:c r="D358" s="48" t="n">
        <x:v>58</x:v>
      </x:c>
      <x:c r="E358" s="48" t="str"/>
      <x:c r="F358" s="48" t="str">
        <x:v>MAGETAN DENEON G Drafan NA me Pagu.</x:v>
      </x:c>
      <x:c r="G358" s="48" t="str">
        <x:v>Obligation</x:v>
      </x:c>
      <x:c r="H358" s="48" t="str">
        <x:v>Shared</x:v>
      </x:c>
      <x:c r="I358" s="48" t="n">
        <x:v>0.45</x:v>
      </x:c>
      <x:c r="J358" s="48" t="n">
        <x:v>0.4</x:v>
      </x:c>
      <x:c r="K358" s="48" t="str">
        <x:v>Yes</x:v>
      </x:c>
      <x:c r="L358" s="48" t="str">
        <x:v>OCR</x:v>
      </x:c>
    </x:row>
    <x:row r="359">
      <x:c r="A359" s="48" t="str">
        <x:v>SILVER-0358</x:v>
      </x:c>
      <x:c r="B359" s="48" t="str">
        <x:v>SILVER</x:v>
      </x:c>
      <x:c r="C359" s="48" t="str">
        <x:v>Indonesian</x:v>
      </x:c>
      <x:c r="D359" s="48" t="n">
        <x:v>58</x:v>
      </x:c>
      <x:c r="E359" s="48" t="str"/>
      <x:c r="F359" s="48" t="str">
        <x:v>(am mn nga preman Deretan ng Gara aa Gan ng rara Porgora daa pda var dara brt Ig Pegat</x:v>
      </x:c>
      <x:c r="G359" s="48" t="str">
        <x:v>Obligation</x:v>
      </x:c>
      <x:c r="H359" s="48" t="str">
        <x:v>Shared</x:v>
      </x:c>
      <x:c r="I359" s="48" t="n">
        <x:v>0.45</x:v>
      </x:c>
      <x:c r="J359" s="48" t="n">
        <x:v>0.4</x:v>
      </x:c>
      <x:c r="K359" s="48" t="str">
        <x:v>Yes</x:v>
      </x:c>
      <x:c r="L359" s="48" t="str">
        <x:v>OCR</x:v>
      </x:c>
    </x:row>
    <x:row r="360">
      <x:c r="A360" s="48" t="str">
        <x:v>SILVER-0359</x:v>
      </x:c>
      <x:c r="B360" s="48" t="str">
        <x:v>SILVER</x:v>
      </x:c>
      <x:c r="C360" s="48" t="str">
        <x:v>Indonesian</x:v>
      </x:c>
      <x:c r="D360" s="48" t="n">
        <x:v>58</x:v>
      </x:c>
      <x:c r="E360" s="48" t="str"/>
      <x:c r="F360" s="48" t="str">
        <x:v>Dhan mg ain Krn merem eren beta Man</x:v>
      </x:c>
      <x:c r="G360" s="48" t="str">
        <x:v>Obligation</x:v>
      </x:c>
      <x:c r="H360" s="48" t="str">
        <x:v>Shared</x:v>
      </x:c>
      <x:c r="I360" s="48" t="n">
        <x:v>0.45</x:v>
      </x:c>
      <x:c r="J360" s="48" t="n">
        <x:v>0.4</x:v>
      </x:c>
      <x:c r="K360" s="48" t="str">
        <x:v>Yes</x:v>
      </x:c>
      <x:c r="L360" s="48" t="str">
        <x:v>OCR</x:v>
      </x:c>
    </x:row>
    <x:row r="361">
      <x:c r="A361" s="48" t="str">
        <x:v>SILVER-0360</x:v>
      </x:c>
      <x:c r="B361" s="48" t="str">
        <x:v>SILVER</x:v>
      </x:c>
      <x:c r="C361" s="48" t="str">
        <x:v>Indonesian</x:v>
      </x:c>
      <x:c r="D361" s="48" t="n">
        <x:v>58</x:v>
      </x:c>
      <x:c r="E361" s="48" t="str"/>
      <x:c r="F361" s="48" t="str">
        <x:v>Pentataan Ceri: Korea ui bean stan rb Gen</x:v>
      </x:c>
      <x:c r="G361" s="48" t="str">
        <x:v>Obligation</x:v>
      </x:c>
      <x:c r="H361" s="48" t="str">
        <x:v>Shared</x:v>
      </x:c>
      <x:c r="I361" s="48" t="n">
        <x:v>0.45</x:v>
      </x:c>
      <x:c r="J361" s="48" t="n">
        <x:v>0.4</x:v>
      </x:c>
      <x:c r="K361" s="48" t="str">
        <x:v>Yes</x:v>
      </x:c>
      <x:c r="L361" s="48" t="str">
        <x:v>OCR</x:v>
      </x:c>
    </x:row>
    <x:row r="362">
      <x:c r="A362" s="48" t="str">
        <x:v>SILVER-0361</x:v>
      </x:c>
      <x:c r="B362" s="48" t="str">
        <x:v>SILVER</x:v>
      </x:c>
      <x:c r="C362" s="48" t="str">
        <x:v>Indonesian</x:v>
      </x:c>
      <x:c r="D362" s="48" t="n">
        <x:v>58</x:v>
      </x:c>
      <x:c r="E362" s="48" t="str"/>
      <x:c r="F362" s="48" t="str">
        <x:v>Aan maag Pera Bana MA Mura Ba OPO</x:v>
      </x:c>
      <x:c r="G362" s="48" t="str">
        <x:v>Obligation</x:v>
      </x:c>
      <x:c r="H362" s="48" t="str">
        <x:v>Shared</x:v>
      </x:c>
      <x:c r="I362" s="48" t="n">
        <x:v>0.45</x:v>
      </x:c>
      <x:c r="J362" s="48" t="n">
        <x:v>0.4</x:v>
      </x:c>
      <x:c r="K362" s="48" t="str">
        <x:v>Yes</x:v>
      </x:c>
      <x:c r="L362" s="48" t="str">
        <x:v>OCR</x:v>
      </x:c>
    </x:row>
    <x:row r="363">
      <x:c r="A363" s="48" t="str">
        <x:v>SILVER-0362</x:v>
      </x:c>
      <x:c r="B363" s="48" t="str">
        <x:v>SILVER</x:v>
      </x:c>
      <x:c r="C363" s="48" t="str">
        <x:v>Indonesian</x:v>
      </x:c>
      <x:c r="D363" s="48" t="n">
        <x:v>58</x:v>
      </x:c>
      <x:c r="E363" s="48" t="str"/>
      <x:c r="F363" s="48" t="str">
        <x:v>Sta penpsotan Puspen</x:v>
      </x:c>
      <x:c r="G363" s="48" t="str">
        <x:v>Obligation</x:v>
      </x:c>
      <x:c r="H363" s="48" t="str">
        <x:v>Shared</x:v>
      </x:c>
      <x:c r="I363" s="48" t="n">
        <x:v>0.45</x:v>
      </x:c>
      <x:c r="J363" s="48" t="n">
        <x:v>0.4</x:v>
      </x:c>
      <x:c r="K363" s="48" t="str">
        <x:v>Yes</x:v>
      </x:c>
      <x:c r="L363" s="48" t="str">
        <x:v>OCR</x:v>
      </x:c>
    </x:row>
    <x:row r="364">
      <x:c r="A364" s="48" t="str">
        <x:v>SILVER-0363</x:v>
      </x:c>
      <x:c r="B364" s="48" t="str">
        <x:v>SILVER</x:v>
      </x:c>
      <x:c r="C364" s="48" t="str">
        <x:v>Indonesian</x:v>
      </x:c>
      <x:c r="D364" s="48" t="n">
        <x:v>58</x:v>
      </x:c>
      <x:c r="E364" s="48" t="str"/>
      <x:c r="F364" s="48" t="str">
        <x:v>kebawa mengaaten Doa natan pd ka larut yang aa PNG an penba on mana AN rosa “</x:v>
      </x:c>
      <x:c r="G364" s="48" t="str">
        <x:v>Obligation</x:v>
      </x:c>
      <x:c r="H364" s="48" t="str">
        <x:v>Shared</x:v>
      </x:c>
      <x:c r="I364" s="48" t="n">
        <x:v>0.45</x:v>
      </x:c>
      <x:c r="J364" s="48" t="n">
        <x:v>0.4</x:v>
      </x:c>
      <x:c r="K364" s="48" t="str">
        <x:v>Yes</x:v>
      </x:c>
      <x:c r="L364" s="48" t="str">
        <x:v>OCR</x:v>
      </x:c>
    </x:row>
    <x:row r="365">
      <x:c r="A365" s="48" t="str">
        <x:v>SILVER-0364</x:v>
      </x:c>
      <x:c r="B365" s="48" t="str">
        <x:v>SILVER</x:v>
      </x:c>
      <x:c r="C365" s="48" t="str">
        <x:v>Indonesian</x:v>
      </x:c>
      <x:c r="D365" s="48" t="n">
        <x:v>59</x:v>
      </x:c>
      <x:c r="E365" s="48" t="str"/>
      <x:c r="F365" s="48" t="str">
        <x:v>Ns ea dear Den Pre ban et utk cara Data</x:v>
      </x:c>
      <x:c r="G365" s="48" t="str">
        <x:v>Obligation</x:v>
      </x:c>
      <x:c r="H365" s="48" t="str">
        <x:v>Shared</x:v>
      </x:c>
      <x:c r="I365" s="48" t="n">
        <x:v>0.45</x:v>
      </x:c>
      <x:c r="J365" s="48" t="n">
        <x:v>0.4</x:v>
      </x:c>
      <x:c r="K365" s="48" t="str">
        <x:v>Yes</x:v>
      </x:c>
      <x:c r="L365" s="48" t="str">
        <x:v>OCR</x:v>
      </x:c>
    </x:row>
    <x:row r="366">
      <x:c r="A366" s="48" t="str">
        <x:v>SILVER-0365</x:v>
      </x:c>
      <x:c r="B366" s="48" t="str">
        <x:v>SILVER</x:v>
      </x:c>
      <x:c r="C366" s="48" t="str">
        <x:v>Indonesian</x:v>
      </x:c>
      <x:c r="D366" s="48" t="n">
        <x:v>59</x:v>
      </x:c>
      <x:c r="E366" s="48" t="str"/>
      <x:c r="F366" s="48" t="str">
        <x:v>(kar Sr ia Peeparba mo ag renda megan mam para</x:v>
      </x:c>
      <x:c r="G366" s="48" t="str">
        <x:v>Obligation</x:v>
      </x:c>
      <x:c r="H366" s="48" t="str">
        <x:v>Shared</x:v>
      </x:c>
      <x:c r="I366" s="48" t="n">
        <x:v>0.45</x:v>
      </x:c>
      <x:c r="J366" s="48" t="n">
        <x:v>0.4</x:v>
      </x:c>
      <x:c r="K366" s="48" t="str">
        <x:v>Yes</x:v>
      </x:c>
      <x:c r="L366" s="48" t="str">
        <x:v>OCR</x:v>
      </x:c>
    </x:row>
    <x:row r="367">
      <x:c r="A367" s="48" t="str">
        <x:v>SILVER-0366</x:v>
      </x:c>
      <x:c r="B367" s="48" t="str">
        <x:v>SILVER</x:v>
      </x:c>
      <x:c r="C367" s="48" t="str">
        <x:v>Indonesian</x:v>
      </x:c>
      <x:c r="D367" s="48" t="n">
        <x:v>59</x:v>
      </x:c>
      <x:c r="E367" s="48" t="str"/>
      <x:c r="F367" s="48" t="str">
        <x:v>ISA rina yakrargalaninan Mesem peran</x:v>
      </x:c>
      <x:c r="G367" s="48" t="str">
        <x:v>Obligation</x:v>
      </x:c>
      <x:c r="H367" s="48" t="str">
        <x:v>Shared</x:v>
      </x:c>
      <x:c r="I367" s="48" t="n">
        <x:v>0.45</x:v>
      </x:c>
      <x:c r="J367" s="48" t="n">
        <x:v>0.4</x:v>
      </x:c>
      <x:c r="K367" s="48" t="str">
        <x:v>Yes</x:v>
      </x:c>
      <x:c r="L367" s="48" t="str">
        <x:v>OCR</x:v>
      </x:c>
    </x:row>
    <x:row r="368">
      <x:c r="A368" s="48" t="str">
        <x:v>SILVER-0367</x:v>
      </x:c>
      <x:c r="B368" s="48" t="str">
        <x:v>SILVER</x:v>
      </x:c>
      <x:c r="C368" s="48" t="str">
        <x:v>Indonesian</x:v>
      </x:c>
      <x:c r="D368" s="48" t="n">
        <x:v>59</x:v>
      </x:c>
      <x:c r="E368" s="48" t="str"/>
      <x:c r="F368" s="48" t="str">
        <x:v>PAN Wr MSN dau Se</x:v>
      </x:c>
      <x:c r="G368" s="48" t="str">
        <x:v>Obligation</x:v>
      </x:c>
      <x:c r="H368" s="48" t="str">
        <x:v>Shared</x:v>
      </x:c>
      <x:c r="I368" s="48" t="n">
        <x:v>0.45</x:v>
      </x:c>
      <x:c r="J368" s="48" t="n">
        <x:v>0.4</x:v>
      </x:c>
      <x:c r="K368" s="48" t="str">
        <x:v>Yes</x:v>
      </x:c>
      <x:c r="L368" s="48" t="str">
        <x:v>OCR</x:v>
      </x:c>
    </x:row>
    <x:row r="369">
      <x:c r="A369" s="48" t="str">
        <x:v>SILVER-0368</x:v>
      </x:c>
      <x:c r="B369" s="48" t="str">
        <x:v>SILVER</x:v>
      </x:c>
      <x:c r="C369" s="48" t="str">
        <x:v>Indonesian</x:v>
      </x:c>
      <x:c r="D369" s="48" t="n">
        <x:v>59</x:v>
      </x:c>
      <x:c r="E369" s="48" t="str"/>
      <x:c r="F369" s="48" t="str">
        <x:v>Keras tuna passandan Gen tt eran esp Ye, ci #atia</x:v>
      </x:c>
      <x:c r="G369" s="48" t="str">
        <x:v>Obligation</x:v>
      </x:c>
      <x:c r="H369" s="48" t="str">
        <x:v>Shared</x:v>
      </x:c>
      <x:c r="I369" s="48" t="n">
        <x:v>0.45</x:v>
      </x:c>
      <x:c r="J369" s="48" t="n">
        <x:v>0.4</x:v>
      </x:c>
      <x:c r="K369" s="48" t="str">
        <x:v>Yes</x:v>
      </x:c>
      <x:c r="L369" s="48" t="str">
        <x:v>OCR</x:v>
      </x:c>
    </x:row>
    <x:row r="370">
      <x:c r="A370" s="48" t="str">
        <x:v>SILVER-0369</x:v>
      </x:c>
      <x:c r="B370" s="48" t="str">
        <x:v>SILVER</x:v>
      </x:c>
      <x:c r="C370" s="48" t="str">
        <x:v>Indonesian</x:v>
      </x:c>
      <x:c r="D370" s="48" t="n">
        <x:v>59</x:v>
      </x:c>
      <x:c r="E370" s="48" t="str"/>
      <x:c r="F370" s="48" t="str">
        <x:v>Keras sea mentesanYan Peraga aa mejadan broo bas</x:v>
      </x:c>
      <x:c r="G370" s="48" t="str">
        <x:v>Obligation</x:v>
      </x:c>
      <x:c r="H370" s="48" t="str">
        <x:v>Shared</x:v>
      </x:c>
      <x:c r="I370" s="48" t="n">
        <x:v>0.45</x:v>
      </x:c>
      <x:c r="J370" s="48" t="n">
        <x:v>0.4</x:v>
      </x:c>
      <x:c r="K370" s="48" t="str">
        <x:v>Yes</x:v>
      </x:c>
      <x:c r="L370" s="48" t="str">
        <x:v>OCR</x:v>
      </x:c>
    </x:row>
    <x:row r="371">
      <x:c r="A371" s="48" t="str">
        <x:v>SILVER-0370</x:v>
      </x:c>
      <x:c r="B371" s="48" t="str">
        <x:v>SILVER</x:v>
      </x:c>
      <x:c r="C371" s="48" t="str">
        <x:v>Indonesian</x:v>
      </x:c>
      <x:c r="D371" s="48" t="n">
        <x:v>59</x:v>
      </x:c>
      <x:c r="E371" s="48" t="str"/>
      <x:c r="F371" s="48" t="str">
        <x:v>seranratana</x:v>
      </x:c>
      <x:c r="G371" s="48" t="str">
        <x:v>Obligation</x:v>
      </x:c>
      <x:c r="H371" s="48" t="str">
        <x:v>Shared</x:v>
      </x:c>
      <x:c r="I371" s="48" t="n">
        <x:v>0.45</x:v>
      </x:c>
      <x:c r="J371" s="48" t="n">
        <x:v>0.4</x:v>
      </x:c>
      <x:c r="K371" s="48" t="str">
        <x:v>Yes</x:v>
      </x:c>
      <x:c r="L371" s="48" t="str">
        <x:v>OCR</x:v>
      </x:c>
    </x:row>
    <x:row r="372">
      <x:c r="A372" s="48" t="str">
        <x:v>SILVER-0371</x:v>
      </x:c>
      <x:c r="B372" s="48" t="str">
        <x:v>SILVER</x:v>
      </x:c>
      <x:c r="C372" s="48" t="str">
        <x:v>Indonesian</x:v>
      </x:c>
      <x:c r="D372" s="48" t="n">
        <x:v>59</x:v>
      </x:c>
      <x:c r="E372" s="48" t="str"/>
      <x:c r="F372" s="48" t="str">
        <x:v>Kor Bo ronu meryasa baung SAH IA Yt</x:v>
      </x:c>
      <x:c r="G372" s="48" t="str">
        <x:v>Obligation</x:v>
      </x:c>
      <x:c r="H372" s="48" t="str">
        <x:v>Shared</x:v>
      </x:c>
      <x:c r="I372" s="48" t="n">
        <x:v>0.45</x:v>
      </x:c>
      <x:c r="J372" s="48" t="n">
        <x:v>0.4</x:v>
      </x:c>
      <x:c r="K372" s="48" t="str">
        <x:v>Yes</x:v>
      </x:c>
      <x:c r="L372" s="48" t="str">
        <x:v>OCR</x:v>
      </x:c>
    </x:row>
    <x:row r="373">
      <x:c r="A373" s="48" t="str">
        <x:v>SILVER-0372</x:v>
      </x:c>
      <x:c r="B373" s="48" t="str">
        <x:v>SILVER</x:v>
      </x:c>
      <x:c r="C373" s="48" t="str">
        <x:v>Indonesian</x:v>
      </x:c>
      <x:c r="D373" s="48" t="n">
        <x:v>59</x:v>
      </x:c>
      <x:c r="E373" s="48" t="str"/>
      <x:c r="F373" s="48" t="str">
        <x:v>WM MANTAB hemndan alesan Poejan y</x:v>
      </x:c>
      <x:c r="G373" s="48" t="str">
        <x:v>Obligation</x:v>
      </x:c>
      <x:c r="H373" s="48" t="str">
        <x:v>Shared</x:v>
      </x:c>
      <x:c r="I373" s="48" t="n">
        <x:v>0.45</x:v>
      </x:c>
      <x:c r="J373" s="48" t="n">
        <x:v>0.4</x:v>
      </x:c>
      <x:c r="K373" s="48" t="str">
        <x:v>Yes</x:v>
      </x:c>
      <x:c r="L373" s="48" t="str">
        <x:v>OCR</x:v>
      </x:c>
    </x:row>
    <x:row r="374">
      <x:c r="A374" s="48" t="str">
        <x:v>SILVER-0373</x:v>
      </x:c>
      <x:c r="B374" s="48" t="str">
        <x:v>SILVER</x:v>
      </x:c>
      <x:c r="C374" s="48" t="str">
        <x:v>Indonesian</x:v>
      </x:c>
      <x:c r="D374" s="48" t="n">
        <x:v>59</x:v>
      </x:c>
      <x:c r="E374" s="48" t="str"/>
      <x:c r="F374" s="48" t="str">
        <x:v>HSD baka oo debu Pan</x:v>
      </x:c>
      <x:c r="G374" s="48" t="str">
        <x:v>Obligation</x:v>
      </x:c>
      <x:c r="H374" s="48" t="str">
        <x:v>Shared</x:v>
      </x:c>
      <x:c r="I374" s="48" t="n">
        <x:v>0.45</x:v>
      </x:c>
      <x:c r="J374" s="48" t="n">
        <x:v>0.4</x:v>
      </x:c>
      <x:c r="K374" s="48" t="str">
        <x:v>Yes</x:v>
      </x:c>
      <x:c r="L374" s="48" t="str">
        <x:v>OCR</x:v>
      </x:c>
    </x:row>
    <x:row r="375">
      <x:c r="A375" s="48" t="str">
        <x:v>SILVER-0374</x:v>
      </x:c>
      <x:c r="B375" s="48" t="str">
        <x:v>SILVER</x:v>
      </x:c>
      <x:c r="C375" s="48" t="str">
        <x:v>Indonesian</x:v>
      </x:c>
      <x:c r="D375" s="48" t="n">
        <x:v>59</x:v>
      </x:c>
      <x:c r="E375" s="48" t="str"/>
      <x:c r="F375" s="48" t="str">
        <x:v>esamentmapetbetenanti Peraga sentana merbaston mereugkan munewanraua. petayaa ta Tertkan t.sao 2 menyangakan tadi Pra Ja dan Wa</x:v>
      </x:c>
      <x:c r="G375" s="48" t="str">
        <x:v>Obligation</x:v>
      </x:c>
      <x:c r="H375" s="48" t="str">
        <x:v>Shared</x:v>
      </x:c>
      <x:c r="I375" s="48" t="n">
        <x:v>0.45</x:v>
      </x:c>
      <x:c r="J375" s="48" t="n">
        <x:v>0.4</x:v>
      </x:c>
      <x:c r="K375" s="48" t="str">
        <x:v>Yes</x:v>
      </x:c>
      <x:c r="L375" s="48" t="str">
        <x:v>OCR</x:v>
      </x:c>
    </x:row>
    <x:row r="376">
      <x:c r="A376" s="48" t="str">
        <x:v>SILVER-0375</x:v>
      </x:c>
      <x:c r="B376" s="48" t="str">
        <x:v>SILVER</x:v>
      </x:c>
      <x:c r="C376" s="48" t="str">
        <x:v>Indonesian</x:v>
      </x:c>
      <x:c r="D376" s="48" t="n">
        <x:v>59</x:v>
      </x:c>
      <x:c r="E376" s="48" t="str"/>
      <x:c r="F376" s="48" t="str">
        <x:v>PPU BAG Pen Mar Kana Oma</x:v>
      </x:c>
      <x:c r="G376" s="48" t="str">
        <x:v>Obligation</x:v>
      </x:c>
      <x:c r="H376" s="48" t="str">
        <x:v>Shared</x:v>
      </x:c>
      <x:c r="I376" s="48" t="n">
        <x:v>0.45</x:v>
      </x:c>
      <x:c r="J376" s="48" t="n">
        <x:v>0.4</x:v>
      </x:c>
      <x:c r="K376" s="48" t="str">
        <x:v>Yes</x:v>
      </x:c>
      <x:c r="L376" s="48" t="str">
        <x:v>OCR</x:v>
      </x:c>
    </x:row>
    <x:row r="377">
      <x:c r="A377" s="48" t="str">
        <x:v>SILVER-0376</x:v>
      </x:c>
      <x:c r="B377" s="48" t="str">
        <x:v>SILVER</x:v>
      </x:c>
      <x:c r="C377" s="48" t="str">
        <x:v>Indonesian</x:v>
      </x:c>
      <x:c r="D377" s="48" t="n">
        <x:v>59</x:v>
      </x:c>
      <x:c r="E377" s="48" t="str">
        <x:v>0</x:v>
      </x:c>
      <x:c r="F377" s="48" t="str">
        <x:v>0 mono @ meorrg baa pro Galatan Pegara dn wak messwaan membaasa retrtorekan octa.</x:v>
      </x:c>
      <x:c r="G377" s="48" t="str">
        <x:v>Heading</x:v>
      </x:c>
      <x:c r="H377" s="48" t="str"/>
      <x:c r="I377" s="48" t="n">
        <x:v>0.9</x:v>
      </x:c>
      <x:c r="J377" s="48" t="n">
        <x:v>0.99</x:v>
      </x:c>
      <x:c r="K377" s="48" t="str">
        <x:v>No</x:v>
      </x:c>
      <x:c r="L377" s="48" t="str">
        <x:v>OCR</x:v>
      </x:c>
    </x:row>
    <x:row r="378">
      <x:c r="A378" s="48" t="str">
        <x:v>SILVER-0377</x:v>
      </x:c>
      <x:c r="B378" s="48" t="str">
        <x:v>SILVER</x:v>
      </x:c>
      <x:c r="C378" s="48" t="str">
        <x:v>Indonesian</x:v>
      </x:c>
      <x:c r="D378" s="48" t="n">
        <x:v>59</x:v>
      </x:c>
      <x:c r="E378" s="48" t="str"/>
      <x:c r="F378" s="48" t="str">
        <x:v>Tertuatan kkcoisnaPemjanyarg enakan tag Prara.dan 04 mentor menara Pgri (Una ratu Pata Geokan Arga ba Kogan non set Pi Owen Sa Mada 12 Par Wr!</x:v>
      </x:c>
      <x:c r="G378" s="48" t="str">
        <x:v>Obligation</x:v>
      </x:c>
      <x:c r="H378" s="48" t="str">
        <x:v>Shared</x:v>
      </x:c>
      <x:c r="I378" s="48" t="n">
        <x:v>0.45</x:v>
      </x:c>
      <x:c r="J378" s="48" t="n">
        <x:v>0.4</x:v>
      </x:c>
      <x:c r="K378" s="48" t="str">
        <x:v>Yes</x:v>
      </x:c>
      <x:c r="L378" s="48" t="str">
        <x:v>OCR</x:v>
      </x:c>
    </x:row>
    <x:row r="379">
      <x:c r="A379" s="48" t="str">
        <x:v>SILVER-0378</x:v>
      </x:c>
      <x:c r="B379" s="48" t="str">
        <x:v>SILVER</x:v>
      </x:c>
      <x:c r="C379" s="48" t="str">
        <x:v>Indonesian</x:v>
      </x:c>
      <x:c r="D379" s="48" t="n">
        <x:v>60</x:v>
      </x:c>
      <x:c r="E379" s="48" t="str"/>
      <x:c r="F379" s="48" t="str">
        <x:v>Segan Mt Uang</x:v>
      </x:c>
      <x:c r="G379" s="48" t="str">
        <x:v>Obligation</x:v>
      </x:c>
      <x:c r="H379" s="48" t="str">
        <x:v>Shared</x:v>
      </x:c>
      <x:c r="I379" s="48" t="n">
        <x:v>0.45</x:v>
      </x:c>
      <x:c r="J379" s="48" t="n">
        <x:v>0.4</x:v>
      </x:c>
      <x:c r="K379" s="48" t="str">
        <x:v>Yes</x:v>
      </x:c>
      <x:c r="L379" s="48" t="str">
        <x:v>OCR</x:v>
      </x:c>
    </x:row>
    <x:row r="380">
      <x:c r="A380" s="48" t="str">
        <x:v>SILVER-0379</x:v>
      </x:c>
      <x:c r="B380" s="48" t="str">
        <x:v>SILVER</x:v>
      </x:c>
      <x:c r="C380" s="48" t="str">
        <x:v>Indonesian</x:v>
      </x:c>
      <x:c r="D380" s="48" t="n">
        <x:v>60</x:v>
      </x:c>
      <x:c r="E380" s="48" t="str"/>
      <x:c r="F380" s="48" t="str">
        <x:v>Oaracatngan</x:v>
      </x:c>
      <x:c r="G380" s="48" t="str">
        <x:v>Obligation</x:v>
      </x:c>
      <x:c r="H380" s="48" t="str">
        <x:v>Shared</x:v>
      </x:c>
      <x:c r="I380" s="48" t="n">
        <x:v>0.45</x:v>
      </x:c>
      <x:c r="J380" s="48" t="n">
        <x:v>0.4</x:v>
      </x:c>
      <x:c r="K380" s="48" t="str">
        <x:v>Yes</x:v>
      </x:c>
      <x:c r="L380" s="48" t="str">
        <x:v>OCR</x:v>
      </x:c>
    </x:row>
    <x:row r="381">
      <x:c r="A381" s="48" t="str">
        <x:v>SILVER-0380</x:v>
      </x:c>
      <x:c r="B381" s="48" t="str">
        <x:v>SILVER</x:v>
      </x:c>
      <x:c r="C381" s="48" t="str">
        <x:v>Indonesian</x:v>
      </x:c>
      <x:c r="D381" s="48" t="n">
        <x:v>60</x:v>
      </x:c>
      <x:c r="E381" s="48" t="str"/>
      <x:c r="F381" s="48" t="str">
        <x:v>Seto Dra aaron Tana bkn Saraan serum rasun mexgan</x:v>
      </x:c>
      <x:c r="G381" s="48" t="str">
        <x:v>Obligation</x:v>
      </x:c>
      <x:c r="H381" s="48" t="str">
        <x:v>Shared</x:v>
      </x:c>
      <x:c r="I381" s="48" t="n">
        <x:v>0.45</x:v>
      </x:c>
      <x:c r="J381" s="48" t="n">
        <x:v>0.4</x:v>
      </x:c>
      <x:c r="K381" s="48" t="str">
        <x:v>Yes</x:v>
      </x:c>
      <x:c r="L381" s="48" t="str">
        <x:v>OCR</x:v>
      </x:c>
    </x:row>
    <x:row r="382">
      <x:c r="A382" s="48" t="str">
        <x:v>SILVER-0381</x:v>
      </x:c>
      <x:c r="B382" s="48" t="str">
        <x:v>SILVER</x:v>
      </x:c>
      <x:c r="C382" s="48" t="str">
        <x:v>Indonesian</x:v>
      </x:c>
      <x:c r="D382" s="48" t="n">
        <x:v>60</x:v>
      </x:c>
      <x:c r="E382" s="48" t="str"/>
      <x:c r="F382" s="48" t="str">
        <x:v>"ea1i ran rek Pro Ss Sa ga era Ha ra</x:v>
      </x:c>
      <x:c r="G382" s="48" t="str">
        <x:v>Obligation</x:v>
      </x:c>
      <x:c r="H382" s="48" t="str">
        <x:v>Shared</x:v>
      </x:c>
      <x:c r="I382" s="48" t="n">
        <x:v>0.45</x:v>
      </x:c>
      <x:c r="J382" s="48" t="n">
        <x:v>0.4</x:v>
      </x:c>
      <x:c r="K382" s="48" t="str">
        <x:v>Yes</x:v>
      </x:c>
      <x:c r="L382" s="48" t="str">
        <x:v>OCR</x:v>
      </x:c>
    </x:row>
    <x:row r="383">
      <x:c r="A383" s="48" t="str">
        <x:v>SILVER-0382</x:v>
      </x:c>
      <x:c r="B383" s="48" t="str">
        <x:v>SILVER</x:v>
      </x:c>
      <x:c r="C383" s="48" t="str">
        <x:v>Indonesian</x:v>
      </x:c>
      <x:c r="D383" s="48" t="n">
        <x:v>60</x:v>
      </x:c>
      <x:c r="E383" s="48" t="str"/>
      <x:c r="F383" s="48" t="str">
        <x:v>Gentan SMAN bal KryAmaranhepca Kru et mena sn</x:v>
      </x:c>
      <x:c r="G383" s="48" t="str">
        <x:v>Obligation</x:v>
      </x:c>
      <x:c r="H383" s="48" t="str">
        <x:v>Shared</x:v>
      </x:c>
      <x:c r="I383" s="48" t="n">
        <x:v>0.45</x:v>
      </x:c>
      <x:c r="J383" s="48" t="n">
        <x:v>0.4</x:v>
      </x:c>
      <x:c r="K383" s="48" t="str">
        <x:v>Yes</x:v>
      </x:c>
      <x:c r="L383" s="48" t="str">
        <x:v>OCR</x:v>
      </x:c>
    </x:row>
    <x:row r="384">
      <x:c r="A384" s="48" t="str">
        <x:v>SILVER-0383</x:v>
      </x:c>
      <x:c r="B384" s="48" t="str">
        <x:v>SILVER</x:v>
      </x:c>
      <x:c r="C384" s="48" t="str">
        <x:v>Indonesian</x:v>
      </x:c>
      <x:c r="D384" s="48" t="n">
        <x:v>60</x:v>
      </x:c>
      <x:c r="E384" s="48" t="str"/>
      <x:c r="F384" s="48" t="str">
        <x:v>Iran, ak Dewan aan ap ng beta engan Gua Can,</x:v>
      </x:c>
      <x:c r="G384" s="48" t="str">
        <x:v>Obligation</x:v>
      </x:c>
      <x:c r="H384" s="48" t="str">
        <x:v>Shared</x:v>
      </x:c>
      <x:c r="I384" s="48" t="n">
        <x:v>0.45</x:v>
      </x:c>
      <x:c r="J384" s="48" t="n">
        <x:v>0.4</x:v>
      </x:c>
      <x:c r="K384" s="48" t="str">
        <x:v>Yes</x:v>
      </x:c>
      <x:c r="L384" s="48" t="str">
        <x:v>OCR</x:v>
      </x:c>
    </x:row>
    <x:row r="385">
      <x:c r="A385" s="48" t="str">
        <x:v>SILVER-0384</x:v>
      </x:c>
      <x:c r="B385" s="48" t="str">
        <x:v>SILVER</x:v>
      </x:c>
      <x:c r="C385" s="48" t="str">
        <x:v>Indonesian</x:v>
      </x:c>
      <x:c r="D385" s="48" t="n">
        <x:v>60</x:v>
      </x:c>
      <x:c r="E385" s="48" t="str"/>
      <x:c r="F385" s="48" t="str">
        <x:v>“kengaraa an Grundaba ca Pengarahan (rak oewp Dira Gang Prgaro Jaa menerssa (pekan ng tawa ekaraan oran Ptk War at ut ja</x:v>
      </x:c>
      <x:c r="G385" s="48" t="str">
        <x:v>Obligation</x:v>
      </x:c>
      <x:c r="H385" s="48" t="str">
        <x:v>Shared</x:v>
      </x:c>
      <x:c r="I385" s="48" t="n">
        <x:v>0.45</x:v>
      </x:c>
      <x:c r="J385" s="48" t="n">
        <x:v>0.4</x:v>
      </x:c>
      <x:c r="K385" s="48" t="str">
        <x:v>Yes</x:v>
      </x:c>
      <x:c r="L385" s="48" t="str">
        <x:v>OCR</x:v>
      </x:c>
    </x:row>
    <x:row r="386">
      <x:c r="A386" s="48" t="str">
        <x:v>SILVER-0385</x:v>
      </x:c>
      <x:c r="B386" s="48" t="str">
        <x:v>SILVER</x:v>
      </x:c>
      <x:c r="C386" s="48" t="str">
        <x:v>Indonesian</x:v>
      </x:c>
      <x:c r="D386" s="48" t="n">
        <x:v>60</x:v>
      </x:c>
      <x:c r="E386" s="48" t="str"/>
      <x:c r="F386" s="48" t="str">
        <x:v>La Pan Bo en Kri Gan di Data Do Kn AS</x:v>
      </x:c>
      <x:c r="G386" s="48" t="str">
        <x:v>Obligation</x:v>
      </x:c>
      <x:c r="H386" s="48" t="str">
        <x:v>Shared</x:v>
      </x:c>
      <x:c r="I386" s="48" t="n">
        <x:v>0.45</x:v>
      </x:c>
      <x:c r="J386" s="48" t="n">
        <x:v>0.4</x:v>
      </x:c>
      <x:c r="K386" s="48" t="str">
        <x:v>Yes</x:v>
      </x:c>
      <x:c r="L386" s="48" t="str">
        <x:v>OCR</x:v>
      </x:c>
    </x:row>
    <x:row r="387">
      <x:c r="A387" s="48" t="str">
        <x:v>SILVER-0386</x:v>
      </x:c>
      <x:c r="B387" s="48" t="str">
        <x:v>SILVER</x:v>
      </x:c>
      <x:c r="C387" s="48" t="str">
        <x:v>Indonesian</x:v>
      </x:c>
      <x:c r="D387" s="48" t="n">
        <x:v>60</x:v>
      </x:c>
      <x:c r="E387" s="48" t="str"/>
      <x:c r="F387" s="48" t="str">
        <x:v>Pose tr aan,</x:v>
      </x:c>
      <x:c r="G387" s="48" t="str">
        <x:v>Obligation</x:v>
      </x:c>
      <x:c r="H387" s="48" t="str">
        <x:v>Shared</x:v>
      </x:c>
      <x:c r="I387" s="48" t="n">
        <x:v>0.45</x:v>
      </x:c>
      <x:c r="J387" s="48" t="n">
        <x:v>0.4</x:v>
      </x:c>
      <x:c r="K387" s="48" t="str">
        <x:v>Yes</x:v>
      </x:c>
      <x:c r="L387" s="48" t="str">
        <x:v>OCR</x:v>
      </x:c>
    </x:row>
    <x:row r="388">
      <x:c r="A388" s="48" t="str">
        <x:v>SILVER-0387</x:v>
      </x:c>
      <x:c r="B388" s="48" t="str">
        <x:v>SILVER</x:v>
      </x:c>
      <x:c r="C388" s="48" t="str">
        <x:v>Indonesian</x:v>
      </x:c>
      <x:c r="D388" s="48" t="n">
        <x:v>60</x:v>
      </x:c>
      <x:c r="E388" s="48" t="str"/>
      <x:c r="F388" s="48" t="str">
        <x:v>(Ika Ora Jun pr Oa Kran “Samba pa re Krvak deprg rga prm Dira Cara oma &amp;</x:v>
      </x:c>
      <x:c r="G388" s="48" t="str">
        <x:v>Obligation</x:v>
      </x:c>
      <x:c r="H388" s="48" t="str">
        <x:v>Shared</x:v>
      </x:c>
      <x:c r="I388" s="48" t="n">
        <x:v>0.45</x:v>
      </x:c>
      <x:c r="J388" s="48" t="n">
        <x:v>0.4</x:v>
      </x:c>
      <x:c r="K388" s="48" t="str">
        <x:v>Yes</x:v>
      </x:c>
      <x:c r="L388" s="48" t="str">
        <x:v>OCR</x:v>
      </x:c>
    </x:row>
    <x:row r="389">
      <x:c r="A389" s="48" t="str">
        <x:v>SILVER-0388</x:v>
      </x:c>
      <x:c r="B389" s="48" t="str">
        <x:v>SILVER</x:v>
      </x:c>
      <x:c r="C389" s="48" t="str">
        <x:v>Indonesian</x:v>
      </x:c>
      <x:c r="D389" s="48" t="n">
        <x:v>61</x:v>
      </x:c>
      <x:c r="E389" s="48" t="str">
        <x:v>10</x:v>
      </x:c>
      <x:c r="F389" s="48" t="str">
        <x:v>10 kemah yarg semiaguinna Gbajartan latau Pars Ghayaari Oh Kontak,</x:v>
      </x:c>
      <x:c r="G389" s="48" t="str">
        <x:v>Heading</x:v>
      </x:c>
      <x:c r="H389" s="48" t="str"/>
      <x:c r="I389" s="48" t="n">
        <x:v>0.9</x:v>
      </x:c>
      <x:c r="J389" s="48" t="n">
        <x:v>0.99</x:v>
      </x:c>
      <x:c r="K389" s="48" t="str">
        <x:v>No</x:v>
      </x:c>
      <x:c r="L389" s="48" t="str">
        <x:v>OCR</x:v>
      </x:c>
    </x:row>
    <x:row r="390">
      <x:c r="A390" s="48" t="str">
        <x:v>SILVER-0389</x:v>
      </x:c>
      <x:c r="B390" s="48" t="str">
        <x:v>SILVER</x:v>
      </x:c>
      <x:c r="C390" s="48" t="str">
        <x:v>Indonesian</x:v>
      </x:c>
      <x:c r="D390" s="48" t="n">
        <x:v>61</x:v>
      </x:c>
      <x:c r="E390" s="48" t="str"/>
      <x:c r="F390" s="48" t="str">
        <x:v>Wa urin wak baja eta in keuirgan hr seo Satu</x:v>
      </x:c>
      <x:c r="G390" s="48" t="str">
        <x:v>Obligation</x:v>
      </x:c>
      <x:c r="H390" s="48" t="str">
        <x:v>Shared</x:v>
      </x:c>
      <x:c r="I390" s="48" t="n">
        <x:v>0.45</x:v>
      </x:c>
      <x:c r="J390" s="48" t="n">
        <x:v>0.4</x:v>
      </x:c>
      <x:c r="K390" s="48" t="str">
        <x:v>Yes</x:v>
      </x:c>
      <x:c r="L390" s="48" t="str">
        <x:v>OCR</x:v>
      </x:c>
    </x:row>
    <x:row r="391">
      <x:c r="A391" s="48" t="str">
        <x:v>SILVER-0390</x:v>
      </x:c>
      <x:c r="B391" s="48" t="str">
        <x:v>SILVER</x:v>
      </x:c>
      <x:c r="C391" s="48" t="str">
        <x:v>Indonesian</x:v>
      </x:c>
      <x:c r="D391" s="48" t="n">
        <x:v>61</x:v>
      </x:c>
      <x:c r="E391" s="48" t="str"/>
      <x:c r="F391" s="48" t="str">
        <x:v>Amar ame seram ega enBarAn apem</x:v>
      </x:c>
      <x:c r="G391" s="48" t="str">
        <x:v>Obligation</x:v>
      </x:c>
      <x:c r="H391" s="48" t="str">
        <x:v>Shared</x:v>
      </x:c>
      <x:c r="I391" s="48" t="n">
        <x:v>0.45</x:v>
      </x:c>
      <x:c r="J391" s="48" t="n">
        <x:v>0.4</x:v>
      </x:c>
      <x:c r="K391" s="48" t="str">
        <x:v>Yes</x:v>
      </x:c>
      <x:c r="L391" s="48" t="str">
        <x:v>OCR</x:v>
      </x:c>
    </x:row>
    <x:row r="392">
      <x:c r="A392" s="48" t="str">
        <x:v>SILVER-0391</x:v>
      </x:c>
      <x:c r="B392" s="48" t="str">
        <x:v>SILVER</x:v>
      </x:c>
      <x:c r="C392" s="48" t="str">
        <x:v>Indonesian</x:v>
      </x:c>
      <x:c r="D392" s="48" t="n">
        <x:v>61</x:v>
      </x:c>
      <x:c r="E392" s="48" t="str"/>
      <x:c r="F392" s="48" t="str">
        <x:v>ha ar antam amen era orak tuna, son ra ce Pugara Jan renpadutan prmaan (ar Oon born aula mag aren ena, "YAL pn Ga br rOGUBA Pergara Jun pa rergransatan mu Wes unik dkurtan can ber Kat fara Panas ryya andr sa rr eta ba Karan ar we cb K</x:v>
      </x:c>
      <x:c r="G392" s="48" t="str">
        <x:v>Obligation</x:v>
      </x:c>
      <x:c r="H392" s="48" t="str">
        <x:v>Shared</x:v>
      </x:c>
      <x:c r="I392" s="48" t="n">
        <x:v>0.45</x:v>
      </x:c>
      <x:c r="J392" s="48" t="n">
        <x:v>0.4</x:v>
      </x:c>
      <x:c r="K392" s="48" t="str">
        <x:v>Yes</x:v>
      </x:c>
      <x:c r="L392" s="48" t="str">
        <x:v>OCR</x:v>
      </x:c>
    </x:row>
    <x:row r="393">
      <x:c r="A393" s="48" t="str">
        <x:v>SILVER-0392</x:v>
      </x:c>
      <x:c r="B393" s="48" t="str">
        <x:v>SILVER</x:v>
      </x:c>
      <x:c r="C393" s="48" t="str">
        <x:v>Indonesian</x:v>
      </x:c>
      <x:c r="D393" s="48" t="n">
        <x:v>61</x:v>
      </x:c>
      <x:c r="E393" s="48" t="str"/>
      <x:c r="F393" s="48" t="str">
        <x:v>Dow ita Fan bb Pot ca aa Ka ran Meat</x:v>
      </x:c>
      <x:c r="G393" s="48" t="str">
        <x:v>Obligation</x:v>
      </x:c>
      <x:c r="H393" s="48" t="str">
        <x:v>Shared</x:v>
      </x:c>
      <x:c r="I393" s="48" t="n">
        <x:v>0.45</x:v>
      </x:c>
      <x:c r="J393" s="48" t="n">
        <x:v>0.4</x:v>
      </x:c>
      <x:c r="K393" s="48" t="str">
        <x:v>Yes</x:v>
      </x:c>
      <x:c r="L393" s="48" t="str">
        <x:v>OCR</x:v>
      </x:c>
    </x:row>
    <x:row r="394">
      <x:c r="A394" s="48" t="str">
        <x:v>SILVER-0393</x:v>
      </x:c>
      <x:c r="B394" s="48" t="str">
        <x:v>SILVER</x:v>
      </x:c>
      <x:c r="C394" s="48" t="str">
        <x:v>Indonesian</x:v>
      </x:c>
      <x:c r="D394" s="48" t="n">
        <x:v>61</x:v>
      </x:c>
      <x:c r="E394" s="48" t="str"/>
      <x:c r="F394" s="48" t="str">
        <x:v>(Kr mala Da Da</x:v>
      </x:c>
      <x:c r="G394" s="48" t="str">
        <x:v>Obligation</x:v>
      </x:c>
      <x:c r="H394" s="48" t="str">
        <x:v>Shared</x:v>
      </x:c>
      <x:c r="I394" s="48" t="n">
        <x:v>0.45</x:v>
      </x:c>
      <x:c r="J394" s="48" t="n">
        <x:v>0.4</x:v>
      </x:c>
      <x:c r="K394" s="48" t="str">
        <x:v>Yes</x:v>
      </x:c>
      <x:c r="L394" s="48" t="str">
        <x:v>OCR</x:v>
      </x:c>
    </x:row>
    <x:row r="395">
      <x:c r="A395" s="48" t="str">
        <x:v>SILVER-0394</x:v>
      </x:c>
      <x:c r="B395" s="48" t="str">
        <x:v>SILVER</x:v>
      </x:c>
      <x:c r="C395" s="48" t="str">
        <x:v>Indonesian</x:v>
      </x:c>
      <x:c r="D395" s="48" t="n">
        <x:v>61</x:v>
      </x:c>
      <x:c r="E395" s="48" t="str"/>
      <x:c r="F395" s="48" t="str">
        <x:v>Set merasa Bong er rak peran Konate menareatan</x:v>
      </x:c>
      <x:c r="G395" s="48" t="str">
        <x:v>Obligation</x:v>
      </x:c>
      <x:c r="H395" s="48" t="str">
        <x:v>Shared</x:v>
      </x:c>
      <x:c r="I395" s="48" t="n">
        <x:v>0.45</x:v>
      </x:c>
      <x:c r="J395" s="48" t="n">
        <x:v>0.4</x:v>
      </x:c>
      <x:c r="K395" s="48" t="str">
        <x:v>Yes</x:v>
      </x:c>
      <x:c r="L395" s="48" t="str">
        <x:v>OCR</x:v>
      </x:c>
    </x:row>
    <x:row r="396">
      <x:c r="A396" s="48" t="str">
        <x:v>SILVER-0395</x:v>
      </x:c>
      <x:c r="B396" s="48" t="str">
        <x:v>SILVER</x:v>
      </x:c>
      <x:c r="C396" s="48" t="str">
        <x:v>Indonesian</x:v>
      </x:c>
      <x:c r="D396" s="48" t="n">
        <x:v>61</x:v>
      </x:c>
      <x:c r="E396" s="48" t="str"/>
      <x:c r="F396" s="48" t="str">
        <x:v>Ms ankle Pevara asi Kane eyalanpentaman Kemataan</x:v>
      </x:c>
      <x:c r="G396" s="48" t="str">
        <x:v>Obligation</x:v>
      </x:c>
      <x:c r="H396" s="48" t="str">
        <x:v>Shared</x:v>
      </x:c>
      <x:c r="I396" s="48" t="n">
        <x:v>0.45</x:v>
      </x:c>
      <x:c r="J396" s="48" t="n">
        <x:v>0.4</x:v>
      </x:c>
      <x:c r="K396" s="48" t="str">
        <x:v>Yes</x:v>
      </x:c>
      <x:c r="L396" s="48" t="str">
        <x:v>OCR</x:v>
      </x:c>
    </x:row>
    <x:row r="397">
      <x:c r="A397" s="48" t="str">
        <x:v>SILVER-0396</x:v>
      </x:c>
      <x:c r="B397" s="48" t="str">
        <x:v>SILVER</x:v>
      </x:c>
      <x:c r="C397" s="48" t="str">
        <x:v>Indonesian</x:v>
      </x:c>
      <x:c r="D397" s="48" t="n">
        <x:v>61</x:v>
      </x:c>
      <x:c r="E397" s="48" t="str"/>
      <x:c r="F397" s="48" t="str">
        <x:v>menyangakan ar INA Merger AB Bg, ck brrg er kemasan pentan eratn Gb</x:v>
      </x:c>
      <x:c r="G397" s="48" t="str">
        <x:v>Obligation</x:v>
      </x:c>
      <x:c r="H397" s="48" t="str">
        <x:v>Shared</x:v>
      </x:c>
      <x:c r="I397" s="48" t="n">
        <x:v>0.45</x:v>
      </x:c>
      <x:c r="J397" s="48" t="n">
        <x:v>0.4</x:v>
      </x:c>
      <x:c r="K397" s="48" t="str">
        <x:v>Yes</x:v>
      </x:c>
      <x:c r="L397" s="48" t="str">
        <x:v>OCR</x:v>
      </x:c>
    </x:row>
    <x:row r="398">
      <x:c r="A398" s="48" t="str">
        <x:v>SILVER-0397</x:v>
      </x:c>
      <x:c r="B398" s="48" t="str">
        <x:v>SILVER</x:v>
      </x:c>
      <x:c r="C398" s="48" t="str">
        <x:v>Indonesian</x:v>
      </x:c>
      <x:c r="D398" s="48" t="n">
        <x:v>61</x:v>
      </x:c>
      <x:c r="E398" s="48" t="str"/>
      <x:c r="F398" s="48" t="str">
        <x:v>Meonk hr meyangken tosca Penjas Ja pena yang</x:v>
      </x:c>
      <x:c r="G398" s="48" t="str">
        <x:v>Obligation</x:v>
      </x:c>
      <x:c r="H398" s="48" t="str">
        <x:v>Shared</x:v>
      </x:c>
      <x:c r="I398" s="48" t="n">
        <x:v>0.45</x:v>
      </x:c>
      <x:c r="J398" s="48" t="n">
        <x:v>0.4</x:v>
      </x:c>
      <x:c r="K398" s="48" t="str">
        <x:v>Yes</x:v>
      </x:c>
      <x:c r="L398" s="48" t="str">
        <x:v>OCR</x:v>
      </x:c>
    </x:row>
    <x:row r="399">
      <x:c r="A399" s="48" t="str">
        <x:v>SILVER-0398</x:v>
      </x:c>
      <x:c r="B399" s="48" t="str">
        <x:v>SILVER</x:v>
      </x:c>
      <x:c r="C399" s="48" t="str">
        <x:v>Indonesian</x:v>
      </x:c>
      <x:c r="D399" s="48" t="n">
        <x:v>61</x:v>
      </x:c>
      <x:c r="E399" s="48" t="str"/>
      <x:c r="F399" s="48" t="str">
        <x:v>Sk an kara gr ru merarurkan rn urea Gara</x:v>
      </x:c>
      <x:c r="G399" s="48" t="str">
        <x:v>Obligation</x:v>
      </x:c>
      <x:c r="H399" s="48" t="str">
        <x:v>Shared</x:v>
      </x:c>
      <x:c r="I399" s="48" t="n">
        <x:v>0.45</x:v>
      </x:c>
      <x:c r="J399" s="48" t="n">
        <x:v>0.4</x:v>
      </x:c>
      <x:c r="K399" s="48" t="str">
        <x:v>Yes</x:v>
      </x:c>
      <x:c r="L399" s="48" t="str">
        <x:v>OCR</x:v>
      </x:c>
    </x:row>
    <x:row r="400">
      <x:c r="A400" s="48" t="str">
        <x:v>SILVER-0399</x:v>
      </x:c>
      <x:c r="B400" s="48" t="str">
        <x:v>SILVER</x:v>
      </x:c>
      <x:c r="C400" s="48" t="str">
        <x:v>Indonesian</x:v>
      </x:c>
      <x:c r="D400" s="48" t="n">
        <x:v>61</x:v>
      </x:c>
      <x:c r="E400" s="48" t="str"/>
      <x:c r="F400" s="48" t="str">
        <x:v>Atep ken tan MeMey</x:v>
      </x:c>
      <x:c r="G400" s="48" t="str">
        <x:v>Obligation</x:v>
      </x:c>
      <x:c r="H400" s="48" t="str">
        <x:v>Shared</x:v>
      </x:c>
      <x:c r="I400" s="48" t="n">
        <x:v>0.45</x:v>
      </x:c>
      <x:c r="J400" s="48" t="n">
        <x:v>0.4</x:v>
      </x:c>
      <x:c r="K400" s="48" t="str">
        <x:v>Yes</x:v>
      </x:c>
      <x:c r="L400" s="48" t="str">
        <x:v>OCR</x:v>
      </x:c>
    </x:row>
    <x:row r="401">
      <x:c r="A401" s="48" t="str">
        <x:v>SILVER-0400</x:v>
      </x:c>
      <x:c r="B401" s="48" t="str">
        <x:v>SILVER</x:v>
      </x:c>
      <x:c r="C401" s="48" t="str">
        <x:v>Indonesian</x:v>
      </x:c>
      <x:c r="D401" s="48" t="n">
        <x:v>61</x:v>
      </x:c>
      <x:c r="E401" s="48" t="str">
        <x:v>1</x:v>
      </x:c>
      <x:c r="F401" s="48" t="str">
        <x:v>1 tune petnjan vkskaj PesasKorisa, (Bia pr. an wal Devgan rasan Kor ma Pan “dimedan bts Ikon an prgdarsan</x:v>
      </x:c>
      <x:c r="G401" s="48" t="str">
        <x:v>Heading</x:v>
      </x:c>
      <x:c r="H401" s="48" t="str"/>
      <x:c r="I401" s="48" t="n">
        <x:v>0.9</x:v>
      </x:c>
      <x:c r="J401" s="48" t="n">
        <x:v>0.99</x:v>
      </x:c>
      <x:c r="K401" s="48" t="str">
        <x:v>No</x:v>
      </x:c>
      <x:c r="L401" s="48" t="str">
        <x:v>OCR</x:v>
      </x:c>
    </x:row>
    <x:row r="402">
      <x:c r="A402" s="48" t="str">
        <x:v>SILVER-0401</x:v>
      </x:c>
      <x:c r="B402" s="48" t="str">
        <x:v>SILVER</x:v>
      </x:c>
      <x:c r="C402" s="48" t="str">
        <x:v>Indonesian</x:v>
      </x:c>
      <x:c r="D402" s="48" t="n">
        <x:v>61</x:v>
      </x:c>
      <x:c r="E402" s="48" t="str"/>
      <x:c r="F402" s="48" t="str">
        <x:v>SW puMyoaN rab Seberat Serba neng</x:v>
      </x:c>
      <x:c r="G402" s="48" t="str">
        <x:v>Obligation</x:v>
      </x:c>
      <x:c r="H402" s="48" t="str">
        <x:v>Shared</x:v>
      </x:c>
      <x:c r="I402" s="48" t="n">
        <x:v>0.45</x:v>
      </x:c>
      <x:c r="J402" s="48" t="n">
        <x:v>0.4</x:v>
      </x:c>
      <x:c r="K402" s="48" t="str">
        <x:v>Yes</x:v>
      </x:c>
      <x:c r="L402" s="48" t="str">
        <x:v>OCR</x:v>
      </x:c>
    </x:row>
    <x:row r="403">
      <x:c r="A403" s="48" t="str">
        <x:v>SILVER-0402</x:v>
      </x:c>
      <x:c r="B403" s="48" t="str">
        <x:v>SILVER</x:v>
      </x:c>
      <x:c r="C403" s="48" t="str">
        <x:v>Indonesian</x:v>
      </x:c>
      <x:c r="D403" s="48" t="n">
        <x:v>61</x:v>
      </x:c>
      <x:c r="E403" s="48" t="str"/>
      <x:c r="F403" s="48" t="str">
        <x:v>Sen Pegara as On Serbatan mui Kremes Terwnar eema</x:v>
      </x:c>
      <x:c r="G403" s="48" t="str">
        <x:v>Obligation</x:v>
      </x:c>
      <x:c r="H403" s="48" t="str">
        <x:v>Shared</x:v>
      </x:c>
      <x:c r="I403" s="48" t="n">
        <x:v>0.45</x:v>
      </x:c>
      <x:c r="J403" s="48" t="n">
        <x:v>0.4</x:v>
      </x:c>
      <x:c r="K403" s="48" t="str">
        <x:v>Yes</x:v>
      </x:c>
      <x:c r="L403" s="48" t="str">
        <x:v>OCR</x:v>
      </x:c>
    </x:row>
    <x:row r="404">
      <x:c r="A404" s="48" t="str">
        <x:v>SILVER-0403</x:v>
      </x:c>
      <x:c r="B404" s="48" t="str">
        <x:v>SILVER</x:v>
      </x:c>
      <x:c r="C404" s="48" t="str">
        <x:v>Indonesian</x:v>
      </x:c>
      <x:c r="D404" s="48" t="n">
        <x:v>61</x:v>
      </x:c>
      <x:c r="E404" s="48" t="str"/>
      <x:c r="F404" s="48" t="str">
        <x:v>MENTAL BIN TA sun dj Mn ep Pergar d meR</x:v>
      </x:c>
      <x:c r="G404" s="48" t="str">
        <x:v>Obligation</x:v>
      </x:c>
      <x:c r="H404" s="48" t="str">
        <x:v>Shared</x:v>
      </x:c>
      <x:c r="I404" s="48" t="n">
        <x:v>0.45</x:v>
      </x:c>
      <x:c r="J404" s="48" t="n">
        <x:v>0.4</x:v>
      </x:c>
      <x:c r="K404" s="48" t="str">
        <x:v>Yes</x:v>
      </x:c>
      <x:c r="L404" s="48" t="str">
        <x:v>OCR</x:v>
      </x:c>
    </x:row>
    <x:row r="405">
      <x:c r="A405" s="48" t="str">
        <x:v>SILVER-0404</x:v>
      </x:c>
      <x:c r="B405" s="48" t="str">
        <x:v>SILVER</x:v>
      </x:c>
      <x:c r="C405" s="48" t="str">
        <x:v>Indonesian</x:v>
      </x:c>
      <x:c r="D405" s="48" t="n">
        <x:v>61</x:v>
      </x:c>
      <x:c r="E405" s="48" t="str"/>
      <x:c r="F405" s="48" t="str">
        <x:v>raakan Oa Teten tekuaya berita Sp Ona TA KORAN penbamanPerturan</x:v>
      </x:c>
      <x:c r="G405" s="48" t="str">
        <x:v>Obligation</x:v>
      </x:c>
      <x:c r="H405" s="48" t="str">
        <x:v>Shared</x:v>
      </x:c>
      <x:c r="I405" s="48" t="n">
        <x:v>0.45</x:v>
      </x:c>
      <x:c r="J405" s="48" t="n">
        <x:v>0.4</x:v>
      </x:c>
      <x:c r="K405" s="48" t="str">
        <x:v>Yes</x:v>
      </x:c>
      <x:c r="L405" s="48" t="str">
        <x:v>OCR</x:v>
      </x:c>
    </x:row>
    <x:row r="406">
      <x:c r="A406" s="48" t="str">
        <x:v>SILVER-0405</x:v>
      </x:c>
      <x:c r="B406" s="48" t="str">
        <x:v>SILVER</x:v>
      </x:c>
      <x:c r="C406" s="48" t="str">
        <x:v>Indonesian</x:v>
      </x:c>
      <x:c r="D406" s="48" t="n">
        <x:v>61</x:v>
      </x:c>
      <x:c r="E406" s="48" t="str"/>
      <x:c r="F406" s="48" t="str">
        <x:v>Tuna rr tsns aeeaalan Aron mencerargan pewnttan Harun</x:v>
      </x:c>
      <x:c r="G406" s="48" t="str">
        <x:v>Obligation</x:v>
      </x:c>
      <x:c r="H406" s="48" t="str">
        <x:v>Shared</x:v>
      </x:c>
      <x:c r="I406" s="48" t="n">
        <x:v>0.45</x:v>
      </x:c>
      <x:c r="J406" s="48" t="n">
        <x:v>0.4</x:v>
      </x:c>
      <x:c r="K406" s="48" t="str">
        <x:v>Yes</x:v>
      </x:c>
      <x:c r="L406" s="48" t="str">
        <x:v>OCR</x:v>
      </x:c>
    </x:row>
    <x:row r="407">
      <x:c r="A407" s="48" t="str">
        <x:v>SILVER-0406</x:v>
      </x:c>
      <x:c r="B407" s="48" t="str">
        <x:v>SILVER</x:v>
      </x:c>
      <x:c r="C407" s="48" t="str">
        <x:v>Indonesian</x:v>
      </x:c>
      <x:c r="D407" s="48" t="n">
        <x:v>61</x:v>
      </x:c>
      <x:c r="E407" s="48" t="str"/>
      <x:c r="F407" s="48" t="str">
        <x:v>POTO bag kb pewbun Hm reg tom Pemaparan</x:v>
      </x:c>
      <x:c r="G407" s="48" t="str">
        <x:v>Obligation</x:v>
      </x:c>
      <x:c r="H407" s="48" t="str">
        <x:v>Shared</x:v>
      </x:c>
      <x:c r="I407" s="48" t="n">
        <x:v>0.45</x:v>
      </x:c>
      <x:c r="J407" s="48" t="n">
        <x:v>0.4</x:v>
      </x:c>
      <x:c r="K407" s="48" t="str">
        <x:v>Yes</x:v>
      </x:c>
      <x:c r="L407" s="48" t="str">
        <x:v>OCR</x:v>
      </x:c>
    </x:row>
    <x:row r="408">
      <x:c r="A408" s="48" t="str">
        <x:v>SILVER-0407</x:v>
      </x:c>
      <x:c r="B408" s="48" t="str">
        <x:v>SILVER</x:v>
      </x:c>
      <x:c r="C408" s="48" t="str">
        <x:v>Indonesian</x:v>
      </x:c>
      <x:c r="D408" s="48" t="n">
        <x:v>61</x:v>
      </x:c>
      <x:c r="E408" s="48" t="str"/>
      <x:c r="F408" s="48" t="str">
        <x:v>Pakam btuan peranan pewkapen Mn rgoda sa ratan</x:v>
      </x:c>
      <x:c r="G408" s="48" t="str">
        <x:v>Obligation</x:v>
      </x:c>
      <x:c r="H408" s="48" t="str">
        <x:v>Shared</x:v>
      </x:c>
      <x:c r="I408" s="48" t="n">
        <x:v>0.45</x:v>
      </x:c>
      <x:c r="J408" s="48" t="n">
        <x:v>0.4</x:v>
      </x:c>
      <x:c r="K408" s="48" t="str">
        <x:v>Yes</x:v>
      </x:c>
      <x:c r="L408" s="48" t="str">
        <x:v>OCR</x:v>
      </x:c>
    </x:row>
    <x:row r="409">
      <x:c r="A409" s="48" t="str">
        <x:v>SILVER-0408</x:v>
      </x:c>
      <x:c r="B409" s="48" t="str">
        <x:v>SILVER</x:v>
      </x:c>
      <x:c r="C409" s="48" t="str">
        <x:v>Indonesian</x:v>
      </x:c>
      <x:c r="D409" s="48" t="n">
        <x:v>61</x:v>
      </x:c>
      <x:c r="E409" s="48" t="str"/>
      <x:c r="F409" s="48" t="str">
        <x:v>Tutur su pertian meri Pererun ttsto Mun tea. yng laa</x:v>
      </x:c>
      <x:c r="G409" s="48" t="str">
        <x:v>Obligation</x:v>
      </x:c>
      <x:c r="H409" s="48" t="str">
        <x:v>Shared</x:v>
      </x:c>
      <x:c r="I409" s="48" t="n">
        <x:v>0.45</x:v>
      </x:c>
      <x:c r="J409" s="48" t="n">
        <x:v>0.4</x:v>
      </x:c>
      <x:c r="K409" s="48" t="str">
        <x:v>Yes</x:v>
      </x:c>
      <x:c r="L409" s="48" t="str">
        <x:v>OCR</x:v>
      </x:c>
    </x:row>
    <x:row r="410">
      <x:c r="A410" s="48" t="str">
        <x:v>SILVER-0409</x:v>
      </x:c>
      <x:c r="B410" s="48" t="str">
        <x:v>SILVER</x:v>
      </x:c>
      <x:c r="C410" s="48" t="str">
        <x:v>Indonesian</x:v>
      </x:c>
      <x:c r="D410" s="48" t="n">
        <x:v>61</x:v>
      </x:c>
      <x:c r="E410" s="48" t="str"/>
      <x:c r="F410" s="48" t="str">
        <x:v>Sem ra Da Srmereegavi Kara dm pesanan</x:v>
      </x:c>
      <x:c r="G410" s="48" t="str">
        <x:v>Obligation</x:v>
      </x:c>
      <x:c r="H410" s="48" t="str">
        <x:v>Shared</x:v>
      </x:c>
      <x:c r="I410" s="48" t="n">
        <x:v>0.45</x:v>
      </x:c>
      <x:c r="J410" s="48" t="n">
        <x:v>0.4</x:v>
      </x:c>
      <x:c r="K410" s="48" t="str">
        <x:v>Yes</x:v>
      </x:c>
      <x:c r="L410" s="48" t="str">
        <x:v>OCR</x:v>
      </x:c>
    </x:row>
    <x:row r="411">
      <x:c r="A411" s="48" t="str">
        <x:v>SILVER-0410</x:v>
      </x:c>
      <x:c r="B411" s="48" t="str">
        <x:v>SILVER</x:v>
      </x:c>
      <x:c r="C411" s="48" t="str">
        <x:v>Indonesian</x:v>
      </x:c>
      <x:c r="D411" s="48" t="n">
        <x:v>61</x:v>
      </x:c>
      <x:c r="E411" s="48" t="str"/>
      <x:c r="F411" s="48" t="str">
        <x:v>(ELIA ONE IM sana am mngaLatan</x:v>
      </x:c>
      <x:c r="G411" s="48" t="str">
        <x:v>Obligation</x:v>
      </x:c>
      <x:c r="H411" s="48" t="str">
        <x:v>Shared</x:v>
      </x:c>
      <x:c r="I411" s="48" t="n">
        <x:v>0.45</x:v>
      </x:c>
      <x:c r="J411" s="48" t="n">
        <x:v>0.4</x:v>
      </x:c>
      <x:c r="K411" s="48" t="str">
        <x:v>Yes</x:v>
      </x:c>
      <x:c r="L411" s="48" t="str">
        <x:v>OCR</x:v>
      </x:c>
    </x:row>
    <x:row r="412">
      <x:c r="A412" s="48" t="str">
        <x:v>SILVER-0411</x:v>
      </x:c>
      <x:c r="B412" s="48" t="str">
        <x:v>SILVER</x:v>
      </x:c>
      <x:c r="C412" s="48" t="str">
        <x:v>Indonesian</x:v>
      </x:c>
      <x:c r="D412" s="48" t="n">
        <x:v>61</x:v>
      </x:c>
      <x:c r="E412" s="48" t="str"/>
      <x:c r="F412" s="48" t="str">
        <x:v>Ia kan Mergaadori rbaan Bt proper Plum an priwan</x:v>
      </x:c>
      <x:c r="G412" s="48" t="str">
        <x:v>Obligation</x:v>
      </x:c>
      <x:c r="H412" s="48" t="str">
        <x:v>Shared</x:v>
      </x:c>
      <x:c r="I412" s="48" t="n">
        <x:v>0.45</x:v>
      </x:c>
      <x:c r="J412" s="48" t="n">
        <x:v>0.4</x:v>
      </x:c>
      <x:c r="K412" s="48" t="str">
        <x:v>Yes</x:v>
      </x:c>
      <x:c r="L412" s="48" t="str">
        <x:v>OCR</x:v>
      </x:c>
    </x:row>
    <x:row r="413">
      <x:c r="A413" s="48" t="str">
        <x:v>SILVER-0412</x:v>
      </x:c>
      <x:c r="B413" s="48" t="str">
        <x:v>SILVER</x:v>
      </x:c>
      <x:c r="C413" s="48" t="str">
        <x:v>Indonesian</x:v>
      </x:c>
      <x:c r="D413" s="48" t="n">
        <x:v>61</x:v>
      </x:c>
      <x:c r="E413" s="48" t="str"/>
      <x:c r="F413" s="48" t="str">
        <x:v>Iu ra letatan sean Tg Dasar Kost his menjanakan</x:v>
      </x:c>
      <x:c r="G413" s="48" t="str">
        <x:v>Obligation</x:v>
      </x:c>
      <x:c r="H413" s="48" t="str">
        <x:v>Shared</x:v>
      </x:c>
      <x:c r="I413" s="48" t="n">
        <x:v>0.45</x:v>
      </x:c>
      <x:c r="J413" s="48" t="n">
        <x:v>0.4</x:v>
      </x:c>
      <x:c r="K413" s="48" t="str">
        <x:v>Yes</x:v>
      </x:c>
      <x:c r="L413" s="48" t="str">
        <x:v>OCR</x:v>
      </x:c>
    </x:row>
    <x:row r="414">
      <x:c r="A414" s="48" t="str">
        <x:v>SILVER-0413</x:v>
      </x:c>
      <x:c r="B414" s="48" t="str">
        <x:v>SILVER</x:v>
      </x:c>
      <x:c r="C414" s="48" t="str">
        <x:v>Indonesian</x:v>
      </x:c>
      <x:c r="D414" s="48" t="n">
        <x:v>61</x:v>
      </x:c>
      <x:c r="E414" s="48" t="str"/>
      <x:c r="F414" s="48" t="str">
        <x:v>penetnaneraaPrgars oa dn botak se gan S2 MM 21</x:v>
      </x:c>
      <x:c r="G414" s="48" t="str">
        <x:v>Obligation</x:v>
      </x:c>
      <x:c r="H414" s="48" t="str">
        <x:v>Shared</x:v>
      </x:c>
      <x:c r="I414" s="48" t="n">
        <x:v>0.45</x:v>
      </x:c>
      <x:c r="J414" s="48" t="n">
        <x:v>0.4</x:v>
      </x:c>
      <x:c r="K414" s="48" t="str">
        <x:v>Yes</x:v>
      </x:c>
      <x:c r="L414" s="48" t="str">
        <x:v>OCR</x:v>
      </x:c>
    </x:row>
    <x:row r="415">
      <x:c r="A415" s="48" t="str">
        <x:v>SILVER-0414</x:v>
      </x:c>
      <x:c r="B415" s="48" t="str">
        <x:v>SILVER</x:v>
      </x:c>
      <x:c r="C415" s="48" t="str">
        <x:v>Indonesian</x:v>
      </x:c>
      <x:c r="D415" s="48" t="n">
        <x:v>61</x:v>
      </x:c>
      <x:c r="E415" s="48" t="str"/>
      <x:c r="F415" s="48" t="str">
        <x:v>Kamen ea</x:v>
      </x:c>
      <x:c r="G415" s="48" t="str">
        <x:v>Obligation</x:v>
      </x:c>
      <x:c r="H415" s="48" t="str">
        <x:v>Shared</x:v>
      </x:c>
      <x:c r="I415" s="48" t="n">
        <x:v>0.45</x:v>
      </x:c>
      <x:c r="J415" s="48" t="n">
        <x:v>0.4</x:v>
      </x:c>
      <x:c r="K415" s="48" t="str">
        <x:v>Yes</x:v>
      </x:c>
      <x:c r="L415" s="48" t="str">
        <x:v>OCR</x:v>
      </x:c>
    </x:row>
    <x:row r="416">
      <x:c r="A416" s="48" t="str">
        <x:v>SILVER-0415</x:v>
      </x:c>
      <x:c r="B416" s="48" t="str">
        <x:v>SILVER</x:v>
      </x:c>
      <x:c r="C416" s="48" t="str">
        <x:v>Indonesian</x:v>
      </x:c>
      <x:c r="D416" s="48" t="n">
        <x:v>62</x:v>
      </x:c>
      <x:c r="E416" s="48" t="str"/>
      <x:c r="F416" s="48" t="str">
        <x:v>Marga Korea Nct ts Gneskan n Gen Pn</x:v>
      </x:c>
      <x:c r="G416" s="48" t="str">
        <x:v>Obligation</x:v>
      </x:c>
      <x:c r="H416" s="48" t="str">
        <x:v>Shared</x:v>
      </x:c>
      <x:c r="I416" s="48" t="n">
        <x:v>0.45</x:v>
      </x:c>
      <x:c r="J416" s="48" t="n">
        <x:v>0.4</x:v>
      </x:c>
      <x:c r="K416" s="48" t="str">
        <x:v>Yes</x:v>
      </x:c>
      <x:c r="L416" s="48" t="str">
        <x:v>OCR</x:v>
      </x:c>
    </x:row>
    <x:row r="417">
      <x:c r="A417" s="48" t="str">
        <x:v>SILVER-0416</x:v>
      </x:c>
      <x:c r="B417" s="48" t="str">
        <x:v>SILVER</x:v>
      </x:c>
      <x:c r="C417" s="48" t="str">
        <x:v>Indonesian</x:v>
      </x:c>
      <x:c r="D417" s="48" t="n">
        <x:v>62</x:v>
      </x:c>
      <x:c r="E417" s="48" t="str">
        <x:v>1</x:v>
      </x:c>
      <x:c r="F417" s="48" t="str">
        <x:v>1 semboyan ak Pepa ana dilan beduatan Harga Kotak ump um ngan prjamaan go Br pena Er da (Karl Pata eat et ot ban Ga aja ye mn Gejatan tan ons neraka Gensaya alta ba Dwatu ec bagarura Gyakan dan Si wo 17 Preman</x:v>
      </x:c>
      <x:c r="G417" s="48" t="str">
        <x:v>Obligation</x:v>
      </x:c>
      <x:c r="H417" s="48" t="str">
        <x:v>Shared</x:v>
      </x:c>
      <x:c r="I417" s="48" t="n">
        <x:v>0.45</x:v>
      </x:c>
      <x:c r="J417" s="48" t="n">
        <x:v>0.4</x:v>
      </x:c>
      <x:c r="K417" s="48" t="str">
        <x:v>Yes</x:v>
      </x:c>
      <x:c r="L417" s="48" t="str">
        <x:v>OCR</x:v>
      </x:c>
    </x:row>
    <x:row r="418">
      <x:c r="A418" s="48" t="str">
        <x:v>SILVER-0417</x:v>
      </x:c>
      <x:c r="B418" s="48" t="str">
        <x:v>SILVER</x:v>
      </x:c>
      <x:c r="C418" s="48" t="str">
        <x:v>Indonesian</x:v>
      </x:c>
      <x:c r="D418" s="48" t="n">
        <x:v>62</x:v>
      </x:c>
      <x:c r="E418" s="48" t="str"/>
      <x:c r="F418" s="48" t="str">
        <x:v>Sa Anas Pemr</x:v>
      </x:c>
      <x:c r="G418" s="48" t="str">
        <x:v>Obligation</x:v>
      </x:c>
      <x:c r="H418" s="48" t="str">
        <x:v>Shared</x:v>
      </x:c>
      <x:c r="I418" s="48" t="n">
        <x:v>0.45</x:v>
      </x:c>
      <x:c r="J418" s="48" t="n">
        <x:v>0.4</x:v>
      </x:c>
      <x:c r="K418" s="48" t="str">
        <x:v>Yes</x:v>
      </x:c>
      <x:c r="L418" s="48" t="str">
        <x:v>OCR</x:v>
      </x:c>
    </x:row>
    <x:row r="419">
      <x:c r="A419" s="48" t="str">
        <x:v>SILVER-0418</x:v>
      </x:c>
      <x:c r="B419" s="48" t="str">
        <x:v>SILVER</x:v>
      </x:c>
      <x:c r="C419" s="48" t="str">
        <x:v>Indonesian</x:v>
      </x:c>
      <x:c r="D419" s="48" t="n">
        <x:v>62</x:v>
      </x:c>
      <x:c r="E419" s="48" t="str"/>
      <x:c r="F419" s="48" t="str">
        <x:v>Yengitaa Pragra Sa Put merbotan ra mba ep Gram Area ngak.</x:v>
      </x:c>
      <x:c r="G419" s="48" t="str">
        <x:v>Obligation</x:v>
      </x:c>
      <x:c r="H419" s="48" t="str">
        <x:v>Shared</x:v>
      </x:c>
      <x:c r="I419" s="48" t="n">
        <x:v>0.45</x:v>
      </x:c>
      <x:c r="J419" s="48" t="n">
        <x:v>0.4</x:v>
      </x:c>
      <x:c r="K419" s="48" t="str">
        <x:v>Yes</x:v>
      </x:c>
      <x:c r="L419" s="48" t="str">
        <x:v>OCR</x:v>
      </x:c>
    </x:row>
    <x:row r="420">
      <x:c r="A420" s="48" t="str">
        <x:v>SILVER-0419</x:v>
      </x:c>
      <x:c r="B420" s="48" t="str">
        <x:v>SILVER</x:v>
      </x:c>
      <x:c r="C420" s="48" t="str">
        <x:v>Indonesian</x:v>
      </x:c>
      <x:c r="D420" s="48" t="n">
        <x:v>62</x:v>
      </x:c>
      <x:c r="E420" s="48" t="str"/>
      <x:c r="F420" s="48" t="str">
        <x:v>Iebikas La ds cb Korea menyeaiar enra ma en S0.</x:v>
      </x:c>
      <x:c r="G420" s="48" t="str">
        <x:v>Obligation</x:v>
      </x:c>
      <x:c r="H420" s="48" t="str">
        <x:v>Shared</x:v>
      </x:c>
      <x:c r="I420" s="48" t="n">
        <x:v>0.45</x:v>
      </x:c>
      <x:c r="J420" s="48" t="n">
        <x:v>0.4</x:v>
      </x:c>
      <x:c r="K420" s="48" t="str">
        <x:v>Yes</x:v>
      </x:c>
      <x:c r="L420" s="48" t="str">
        <x:v>OCR</x:v>
      </x:c>
    </x:row>
    <x:row r="421">
      <x:c r="A421" s="48" t="str">
        <x:v>SILVER-0420</x:v>
      </x:c>
      <x:c r="B421" s="48" t="str">
        <x:v>SILVER</x:v>
      </x:c>
      <x:c r="C421" s="48" t="str">
        <x:v>Indonesian</x:v>
      </x:c>
      <x:c r="D421" s="48" t="n">
        <x:v>62</x:v>
      </x:c>
      <x:c r="E421" s="48" t="str"/>
      <x:c r="F421" s="48" t="str">
        <x:v>Wawa Fi ask Cas ar yan Gan Pro von Araban</x:v>
      </x:c>
      <x:c r="G421" s="48" t="str">
        <x:v>Obligation</x:v>
      </x:c>
      <x:c r="H421" s="48" t="str">
        <x:v>Shared</x:v>
      </x:c>
      <x:c r="I421" s="48" t="n">
        <x:v>0.45</x:v>
      </x:c>
      <x:c r="J421" s="48" t="n">
        <x:v>0.4</x:v>
      </x:c>
      <x:c r="K421" s="48" t="str">
        <x:v>Yes</x:v>
      </x:c>
      <x:c r="L421" s="48" t="str">
        <x:v>OCR</x:v>
      </x:c>
    </x:row>
    <x:row r="422">
      <x:c r="A422" s="48" t="str">
        <x:v>SILVER-0421</x:v>
      </x:c>
      <x:c r="B422" s="48" t="str">
        <x:v>SILVER</x:v>
      </x:c>
      <x:c r="C422" s="48" t="str">
        <x:v>Indonesian</x:v>
      </x:c>
      <x:c r="D422" s="48" t="n">
        <x:v>62</x:v>
      </x:c>
      <x:c r="E422" s="48" t="str"/>
      <x:c r="F422" s="48" t="str">
        <x:v>PENRMN LAN rendsa</x:v>
      </x:c>
      <x:c r="G422" s="48" t="str">
        <x:v>Obligation</x:v>
      </x:c>
      <x:c r="H422" s="48" t="str">
        <x:v>Shared</x:v>
      </x:c>
      <x:c r="I422" s="48" t="n">
        <x:v>0.45</x:v>
      </x:c>
      <x:c r="J422" s="48" t="n">
        <x:v>0.4</x:v>
      </x:c>
      <x:c r="K422" s="48" t="str">
        <x:v>Yes</x:v>
      </x:c>
      <x:c r="L422" s="48" t="str">
        <x:v>OCR</x:v>
      </x:c>
    </x:row>
    <x:row r="423">
      <x:c r="A423" s="48" t="str">
        <x:v>SILVER-0422</x:v>
      </x:c>
      <x:c r="B423" s="48" t="str">
        <x:v>SILVER</x:v>
      </x:c>
      <x:c r="C423" s="48" t="str">
        <x:v>Indonesian</x:v>
      </x:c>
      <x:c r="D423" s="48" t="n">
        <x:v>62</x:v>
      </x:c>
      <x:c r="E423" s="48" t="str"/>
      <x:c r="F423" s="48" t="str">
        <x:v>(mang sa ma b Kp b (8 mn urg prabu an pecoana. rae perbagoan Pee cam mata oma gn Kana tau (8 FOR parean pegerbawn naa pergantama era dng dngan</x:v>
      </x:c>
      <x:c r="G423" s="48" t="str">
        <x:v>Obligation</x:v>
      </x:c>
      <x:c r="H423" s="48" t="str">
        <x:v>Shared</x:v>
      </x:c>
      <x:c r="I423" s="48" t="n">
        <x:v>0.45</x:v>
      </x:c>
      <x:c r="J423" s="48" t="n">
        <x:v>0.4</x:v>
      </x:c>
      <x:c r="K423" s="48" t="str">
        <x:v>Yes</x:v>
      </x:c>
      <x:c r="L423" s="48" t="str">
        <x:v>OCR</x:v>
      </x:c>
    </x:row>
    <x:row r="424">
      <x:c r="A424" s="48" t="str">
        <x:v>SILVER-0423</x:v>
      </x:c>
      <x:c r="B424" s="48" t="str">
        <x:v>SILVER</x:v>
      </x:c>
      <x:c r="C424" s="48" t="str">
        <x:v>Indonesian</x:v>
      </x:c>
      <x:c r="D424" s="48" t="n">
        <x:v>62</x:v>
      </x:c>
      <x:c r="E424" s="48" t="str"/>
      <x:c r="F424" s="48" t="str">
        <x:v>Mag Lan ng mua ergn He Tr ar aan can</x:v>
      </x:c>
      <x:c r="G424" s="48" t="str">
        <x:v>Obligation</x:v>
      </x:c>
      <x:c r="H424" s="48" t="str">
        <x:v>Shared</x:v>
      </x:c>
      <x:c r="I424" s="48" t="n">
        <x:v>0.45</x:v>
      </x:c>
      <x:c r="J424" s="48" t="n">
        <x:v>0.4</x:v>
      </x:c>
      <x:c r="K424" s="48" t="str">
        <x:v>Yes</x:v>
      </x:c>
      <x:c r="L424" s="48" t="str">
        <x:v>OCR</x:v>
      </x:c>
    </x:row>
    <x:row r="425">
      <x:c r="A425" s="48" t="str">
        <x:v>SILVER-0424</x:v>
      </x:c>
      <x:c r="B425" s="48" t="str">
        <x:v>SILVER</x:v>
      </x:c>
      <x:c r="C425" s="48" t="str">
        <x:v>Indonesian</x:v>
      </x:c>
      <x:c r="D425" s="48" t="n">
        <x:v>62</x:v>
      </x:c>
      <x:c r="E425" s="48" t="str"/>
      <x:c r="F425" s="48" t="str">
        <x:v>eka Kerak dkerg area Dora Casing mama aroma &amp;</x:v>
      </x:c>
      <x:c r="G425" s="48" t="str">
        <x:v>Obligation</x:v>
      </x:c>
      <x:c r="H425" s="48" t="str">
        <x:v>Shared</x:v>
      </x:c>
      <x:c r="I425" s="48" t="n">
        <x:v>0.45</x:v>
      </x:c>
      <x:c r="J425" s="48" t="n">
        <x:v>0.4</x:v>
      </x:c>
      <x:c r="K425" s="48" t="str">
        <x:v>Yes</x:v>
      </x:c>
      <x:c r="L425" s="48" t="str">
        <x:v>OCR</x:v>
      </x:c>
    </x:row>
    <x:row r="426">
      <x:c r="A426" s="48" t="str">
        <x:v>SILVER-0425</x:v>
      </x:c>
      <x:c r="B426" s="48" t="str">
        <x:v>SILVER</x:v>
      </x:c>
      <x:c r="C426" s="48" t="str">
        <x:v>Indonesian</x:v>
      </x:c>
      <x:c r="D426" s="48" t="n">
        <x:v>63</x:v>
      </x:c>
      <x:c r="E426" s="48" t="str"/>
      <x:c r="F426" s="48" t="str">
        <x:v>Keatas na</x:v>
      </x:c>
      <x:c r="G426" s="48" t="str">
        <x:v>Obligation</x:v>
      </x:c>
      <x:c r="H426" s="48" t="str">
        <x:v>Shared</x:v>
      </x:c>
      <x:c r="I426" s="48" t="n">
        <x:v>0.45</x:v>
      </x:c>
      <x:c r="J426" s="48" t="n">
        <x:v>0.4</x:v>
      </x:c>
      <x:c r="K426" s="48" t="str">
        <x:v>Yes</x:v>
      </x:c>
      <x:c r="L426" s="48" t="str">
        <x:v>OCR</x:v>
      </x:c>
    </x:row>
    <x:row r="427">
      <x:c r="A427" s="48" t="str">
        <x:v>SILVER-0426</x:v>
      </x:c>
      <x:c r="B427" s="48" t="str">
        <x:v>SILVER</x:v>
      </x:c>
      <x:c r="C427" s="48" t="str">
        <x:v>Indonesian</x:v>
      </x:c>
      <x:c r="D427" s="48" t="n">
        <x:v>64</x:v>
      </x:c>
      <x:c r="E427" s="48" t="str"/>
      <x:c r="F427" s="48" t="str">
        <x:v>rak pesan</x:v>
      </x:c>
      <x:c r="G427" s="48" t="str">
        <x:v>Obligation</x:v>
      </x:c>
      <x:c r="H427" s="48" t="str">
        <x:v>Shared</x:v>
      </x:c>
      <x:c r="I427" s="48" t="n">
        <x:v>0.45</x:v>
      </x:c>
      <x:c r="J427" s="48" t="n">
        <x:v>0.4</x:v>
      </x:c>
      <x:c r="K427" s="48" t="str">
        <x:v>Yes</x:v>
      </x:c>
      <x:c r="L427" s="48" t="str">
        <x:v>OCR</x:v>
      </x:c>
    </x:row>
    <x:row r="428">
      <x:c r="A428" s="48" t="str">
        <x:v>SILVER-0427</x:v>
      </x:c>
      <x:c r="B428" s="48" t="str">
        <x:v>SILVER</x:v>
      </x:c>
      <x:c r="C428" s="48" t="str">
        <x:v>Indonesian</x:v>
      </x:c>
      <x:c r="D428" s="48" t="n">
        <x:v>64</x:v>
      </x:c>
      <x:c r="E428" s="48" t="str"/>
      <x:c r="F428" s="48" t="str">
        <x:v>Pata rak torak tncsatan Krwa YAK ma Pertjran Saran</x:v>
      </x:c>
      <x:c r="G428" s="48" t="str">
        <x:v>Obligation</x:v>
      </x:c>
      <x:c r="H428" s="48" t="str">
        <x:v>Shared</x:v>
      </x:c>
      <x:c r="I428" s="48" t="n">
        <x:v>0.45</x:v>
      </x:c>
      <x:c r="J428" s="48" t="n">
        <x:v>0.4</x:v>
      </x:c>
      <x:c r="K428" s="48" t="str">
        <x:v>Yes</x:v>
      </x:c>
      <x:c r="L428" s="48" t="str">
        <x:v>OCR</x:v>
      </x:c>
    </x:row>
    <x:row r="429">
      <x:c r="A429" s="48" t="str">
        <x:v>SILVER-0428</x:v>
      </x:c>
      <x:c r="B429" s="48" t="str">
        <x:v>SILVER</x:v>
      </x:c>
      <x:c r="C429" s="48" t="str">
        <x:v>Indonesian</x:v>
      </x:c>
      <x:c r="D429" s="48" t="n">
        <x:v>64</x:v>
      </x:c>
      <x:c r="E429" s="48" t="str"/>
      <x:c r="F429" s="48" t="str">
        <x:v>tg beta Mas Gan Bar jang ba Dena pngen KR Ka</x:v>
      </x:c>
      <x:c r="G429" s="48" t="str">
        <x:v>Obligation</x:v>
      </x:c>
      <x:c r="H429" s="48" t="str">
        <x:v>Shared</x:v>
      </x:c>
      <x:c r="I429" s="48" t="n">
        <x:v>0.45</x:v>
      </x:c>
      <x:c r="J429" s="48" t="n">
        <x:v>0.4</x:v>
      </x:c>
      <x:c r="K429" s="48" t="str">
        <x:v>Yes</x:v>
      </x:c>
      <x:c r="L429" s="48" t="str">
        <x:v>OCR</x:v>
      </x:c>
    </x:row>
    <x:row r="430">
      <x:c r="A430" s="48" t="str">
        <x:v>SILVER-0429</x:v>
      </x:c>
      <x:c r="B430" s="48" t="str">
        <x:v>SILVER</x:v>
      </x:c>
      <x:c r="C430" s="48" t="str">
        <x:v>Indonesian</x:v>
      </x:c>
      <x:c r="D430" s="48" t="n">
        <x:v>64</x:v>
      </x:c>
      <x:c r="E430" s="48" t="str"/>
      <x:c r="F430" s="48" t="str">
        <x:v>Setan port treb Ic</x:v>
      </x:c>
      <x:c r="G430" s="48" t="str">
        <x:v>Obligation</x:v>
      </x:c>
      <x:c r="H430" s="48" t="str">
        <x:v>Shared</x:v>
      </x:c>
      <x:c r="I430" s="48" t="n">
        <x:v>0.45</x:v>
      </x:c>
      <x:c r="J430" s="48" t="n">
        <x:v>0.4</x:v>
      </x:c>
      <x:c r="K430" s="48" t="str">
        <x:v>Yes</x:v>
      </x:c>
      <x:c r="L430" s="48" t="str">
        <x:v>OCR</x:v>
      </x:c>
    </x:row>
    <x:row r="431">
      <x:c r="A431" s="48" t="str">
        <x:v>SILVER-0430</x:v>
      </x:c>
      <x:c r="B431" s="48" t="str">
        <x:v>SILVER</x:v>
      </x:c>
      <x:c r="C431" s="48" t="str">
        <x:v>Indonesian</x:v>
      </x:c>
      <x:c r="D431" s="48" t="n">
        <x:v>64</x:v>
      </x:c>
      <x:c r="E431" s="48" t="str"/>
      <x:c r="F431" s="48" t="str">
        <x:v>(8 Tenkliah an arn sabda dNbora dn an as meng Pak</x:v>
      </x:c>
      <x:c r="G431" s="48" t="str">
        <x:v>Obligation</x:v>
      </x:c>
      <x:c r="H431" s="48" t="str">
        <x:v>Shared</x:v>
      </x:c>
      <x:c r="I431" s="48" t="n">
        <x:v>0.45</x:v>
      </x:c>
      <x:c r="J431" s="48" t="n">
        <x:v>0.4</x:v>
      </x:c>
      <x:c r="K431" s="48" t="str">
        <x:v>Yes</x:v>
      </x:c>
      <x:c r="L431" s="48" t="str">
        <x:v>OCR</x:v>
      </x:c>
    </x:row>
    <x:row r="432">
      <x:c r="A432" s="48" t="str">
        <x:v>SILVER-0431</x:v>
      </x:c>
      <x:c r="B432" s="48" t="str">
        <x:v>SILVER</x:v>
      </x:c>
      <x:c r="C432" s="48" t="str">
        <x:v>Indonesian</x:v>
      </x:c>
      <x:c r="D432" s="48" t="n">
        <x:v>64</x:v>
      </x:c>
      <x:c r="E432" s="48" t="str"/>
      <x:c r="F432" s="48" t="str">
        <x:v>PEG Ja sena dar menk Pegara Ja</x:v>
      </x:c>
      <x:c r="G432" s="48" t="str">
        <x:v>Obligation</x:v>
      </x:c>
      <x:c r="H432" s="48" t="str">
        <x:v>Shared</x:v>
      </x:c>
      <x:c r="I432" s="48" t="n">
        <x:v>0.45</x:v>
      </x:c>
      <x:c r="J432" s="48" t="n">
        <x:v>0.4</x:v>
      </x:c>
      <x:c r="K432" s="48" t="str">
        <x:v>Yes</x:v>
      </x:c>
      <x:c r="L432" s="48" t="str">
        <x:v>OCR</x:v>
      </x:c>
    </x:row>
    <x:row r="433">
      <x:c r="A433" s="48" t="str">
        <x:v>SILVER-0432</x:v>
      </x:c>
      <x:c r="B433" s="48" t="str">
        <x:v>SILVER</x:v>
      </x:c>
      <x:c r="C433" s="48" t="str">
        <x:v>Indonesian</x:v>
      </x:c>
      <x:c r="D433" s="48" t="n">
        <x:v>64</x:v>
      </x:c>
      <x:c r="E433" s="48" t="str"/>
      <x:c r="F433" s="48" t="str">
        <x:v>(AS Ban menga los Praya Aan bs tar dn mat (emun BeK MMO kana Dag rada</x:v>
      </x:c>
      <x:c r="G433" s="48" t="str">
        <x:v>Obligation</x:v>
      </x:c>
      <x:c r="H433" s="48" t="str">
        <x:v>Shared</x:v>
      </x:c>
      <x:c r="I433" s="48" t="n">
        <x:v>0.45</x:v>
      </x:c>
      <x:c r="J433" s="48" t="n">
        <x:v>0.4</x:v>
      </x:c>
      <x:c r="K433" s="48" t="str">
        <x:v>Yes</x:v>
      </x:c>
      <x:c r="L433" s="48" t="str">
        <x:v>OCR</x:v>
      </x:c>
    </x:row>
    <x:row r="434">
      <x:c r="A434" s="48" t="str">
        <x:v>SILVER-0433</x:v>
      </x:c>
      <x:c r="B434" s="48" t="str">
        <x:v>SILVER</x:v>
      </x:c>
      <x:c r="C434" s="48" t="str">
        <x:v>Indonesian</x:v>
      </x:c>
      <x:c r="D434" s="48" t="n">
        <x:v>64</x:v>
      </x:c>
      <x:c r="E434" s="48" t="str"/>
      <x:c r="F434" s="48" t="str">
        <x:v>Para an Gn krn Gn Ta Lg jr cl Sera perban</x:v>
      </x:c>
      <x:c r="G434" s="48" t="str">
        <x:v>Obligation</x:v>
      </x:c>
      <x:c r="H434" s="48" t="str">
        <x:v>Shared</x:v>
      </x:c>
      <x:c r="I434" s="48" t="n">
        <x:v>0.45</x:v>
      </x:c>
      <x:c r="J434" s="48" t="n">
        <x:v>0.4</x:v>
      </x:c>
      <x:c r="K434" s="48" t="str">
        <x:v>Yes</x:v>
      </x:c>
      <x:c r="L434" s="48" t="str">
        <x:v>OCR</x:v>
      </x:c>
    </x:row>
    <x:row r="435">
      <x:c r="A435" s="48" t="str">
        <x:v>SILVER-0434</x:v>
      </x:c>
      <x:c r="B435" s="48" t="str">
        <x:v>SILVER</x:v>
      </x:c>
      <x:c r="C435" s="48" t="str">
        <x:v>Indonesian</x:v>
      </x:c>
      <x:c r="D435" s="48" t="n">
        <x:v>64</x:v>
      </x:c>
      <x:c r="E435" s="48" t="str"/>
      <x:c r="F435" s="48" t="str">
        <x:v>Mag pan al ke br an NAGA DAK KT dn</x:v>
      </x:c>
      <x:c r="G435" s="48" t="str">
        <x:v>Obligation</x:v>
      </x:c>
      <x:c r="H435" s="48" t="str">
        <x:v>Shared</x:v>
      </x:c>
      <x:c r="I435" s="48" t="n">
        <x:v>0.45</x:v>
      </x:c>
      <x:c r="J435" s="48" t="n">
        <x:v>0.4</x:v>
      </x:c>
      <x:c r="K435" s="48" t="str">
        <x:v>Yes</x:v>
      </x:c>
      <x:c r="L435" s="48" t="str">
        <x:v>OCR</x:v>
      </x:c>
    </x:row>
    <x:row r="436">
      <x:c r="A436" s="48" t="str">
        <x:v>SILVER-0435</x:v>
      </x:c>
      <x:c r="B436" s="48" t="str">
        <x:v>SILVER</x:v>
      </x:c>
      <x:c r="C436" s="48" t="str">
        <x:v>Indonesian</x:v>
      </x:c>
      <x:c r="D436" s="48" t="n">
        <x:v>65</x:v>
      </x:c>
      <x:c r="E436" s="48" t="str"/>
      <x:c r="F436" s="48" t="str">
        <x:v>(an Sep nua 12 Pobayuan ar Ml Gn era bru tiga</x:v>
      </x:c>
      <x:c r="G436" s="48" t="str">
        <x:v>Obligation</x:v>
      </x:c>
      <x:c r="H436" s="48" t="str">
        <x:v>Shared</x:v>
      </x:c>
      <x:c r="I436" s="48" t="n">
        <x:v>0.45</x:v>
      </x:c>
      <x:c r="J436" s="48" t="n">
        <x:v>0.4</x:v>
      </x:c>
      <x:c r="K436" s="48" t="str">
        <x:v>Yes</x:v>
      </x:c>
      <x:c r="L436" s="48" t="str">
        <x:v>OCR</x:v>
      </x:c>
    </x:row>
    <x:row r="437">
      <x:c r="A437" s="48" t="str">
        <x:v>SILVER-0436</x:v>
      </x:c>
      <x:c r="B437" s="48" t="str">
        <x:v>SILVER</x:v>
      </x:c>
      <x:c r="C437" s="48" t="str">
        <x:v>Indonesian</x:v>
      </x:c>
      <x:c r="D437" s="48" t="n">
        <x:v>65</x:v>
      </x:c>
      <x:c r="E437" s="48" t="str"/>
      <x:c r="F437" s="48" t="str">
        <x:v>Inka Ken in rn duren can mk Urang an Wang Ga</x:v>
      </x:c>
      <x:c r="G437" s="48" t="str">
        <x:v>Obligation</x:v>
      </x:c>
      <x:c r="H437" s="48" t="str">
        <x:v>Shared</x:v>
      </x:c>
      <x:c r="I437" s="48" t="n">
        <x:v>0.45</x:v>
      </x:c>
      <x:c r="J437" s="48" t="n">
        <x:v>0.4</x:v>
      </x:c>
      <x:c r="K437" s="48" t="str">
        <x:v>Yes</x:v>
      </x:c>
      <x:c r="L437" s="48" t="str">
        <x:v>OCR</x:v>
      </x:c>
    </x:row>
    <x:row r="438">
      <x:c r="A438" s="48" t="str">
        <x:v>SILVER-0437</x:v>
      </x:c>
      <x:c r="B438" s="48" t="str">
        <x:v>SILVER</x:v>
      </x:c>
      <x:c r="C438" s="48" t="str">
        <x:v>Indonesian</x:v>
      </x:c>
      <x:c r="D438" s="48" t="n">
        <x:v>65</x:v>
      </x:c>
      <x:c r="E438" s="48" t="str"/>
      <x:c r="F438" s="48" t="str">
        <x:v>(enngrantarg kekal erramana.</x:v>
      </x:c>
      <x:c r="G438" s="48" t="str">
        <x:v>Obligation</x:v>
      </x:c>
      <x:c r="H438" s="48" t="str">
        <x:v>Shared</x:v>
      </x:c>
      <x:c r="I438" s="48" t="n">
        <x:v>0.45</x:v>
      </x:c>
      <x:c r="J438" s="48" t="n">
        <x:v>0.4</x:v>
      </x:c>
      <x:c r="K438" s="48" t="str">
        <x:v>Yes</x:v>
      </x:c>
      <x:c r="L438" s="48" t="str">
        <x:v>OCR</x:v>
      </x:c>
    </x:row>
    <x:row r="439">
      <x:c r="A439" s="48" t="str">
        <x:v>SILVER-0438</x:v>
      </x:c>
      <x:c r="B439" s="48" t="str">
        <x:v>SILVER</x:v>
      </x:c>
      <x:c r="C439" s="48" t="str">
        <x:v>Indonesian</x:v>
      </x:c>
      <x:c r="D439" s="48" t="n">
        <x:v>65</x:v>
      </x:c>
      <x:c r="E439" s="48" t="str"/>
      <x:c r="F439" s="48" t="str">
        <x:v>EA aa maa</x:v>
      </x:c>
      <x:c r="G439" s="48" t="str">
        <x:v>Obligation</x:v>
      </x:c>
      <x:c r="H439" s="48" t="str">
        <x:v>Shared</x:v>
      </x:c>
      <x:c r="I439" s="48" t="n">
        <x:v>0.45</x:v>
      </x:c>
      <x:c r="J439" s="48" t="n">
        <x:v>0.4</x:v>
      </x:c>
      <x:c r="K439" s="48" t="str">
        <x:v>Yes</x:v>
      </x:c>
      <x:c r="L439" s="48" t="str">
        <x:v>OCR</x:v>
      </x:c>
    </x:row>
    <x:row r="440">
      <x:c r="A440" s="48" t="str">
        <x:v>SILVER-0439</x:v>
      </x:c>
      <x:c r="B440" s="48" t="str">
        <x:v>SILVER</x:v>
      </x:c>
      <x:c r="C440" s="48" t="str">
        <x:v>Indonesian</x:v>
      </x:c>
      <x:c r="D440" s="48" t="n">
        <x:v>65</x:v>
      </x:c>
      <x:c r="E440" s="48" t="str"/>
      <x:c r="F440" s="48" t="str">
        <x:v>Ea angan</x:v>
      </x:c>
      <x:c r="G440" s="48" t="str">
        <x:v>Obligation</x:v>
      </x:c>
      <x:c r="H440" s="48" t="str">
        <x:v>Shared</x:v>
      </x:c>
      <x:c r="I440" s="48" t="n">
        <x:v>0.45</x:v>
      </x:c>
      <x:c r="J440" s="48" t="n">
        <x:v>0.4</x:v>
      </x:c>
      <x:c r="K440" s="48" t="str">
        <x:v>Yes</x:v>
      </x:c>
      <x:c r="L440" s="48" t="str">
        <x:v>OCR</x:v>
      </x:c>
    </x:row>
    <x:row r="441">
      <x:c r="A441" s="48" t="str">
        <x:v>SILVER-0440</x:v>
      </x:c>
      <x:c r="B441" s="48" t="str">
        <x:v>SILVER</x:v>
      </x:c>
      <x:c r="C441" s="48" t="str">
        <x:v>Indonesian</x:v>
      </x:c>
      <x:c r="D441" s="48" t="n">
        <x:v>65</x:v>
      </x:c>
      <x:c r="E441" s="48" t="str"/>
      <x:c r="F441" s="48" t="str">
        <x:v>| Aan aer !</x:v>
      </x:c>
      <x:c r="G441" s="48" t="str">
        <x:v>Obligation</x:v>
      </x:c>
      <x:c r="H441" s="48" t="str">
        <x:v>Shared</x:v>
      </x:c>
      <x:c r="I441" s="48" t="n">
        <x:v>0.45</x:v>
      </x:c>
      <x:c r="J441" s="48" t="n">
        <x:v>0.4</x:v>
      </x:c>
      <x:c r="K441" s="48" t="str">
        <x:v>Yes</x:v>
      </x:c>
      <x:c r="L441" s="48" t="str">
        <x:v>OCR</x:v>
      </x:c>
    </x:row>
    <x:row r="442">
      <x:c r="A442" s="48" t="str">
        <x:v>SILVER-0441</x:v>
      </x:c>
      <x:c r="B442" s="48" t="str">
        <x:v>SILVER</x:v>
      </x:c>
      <x:c r="C442" s="48" t="str">
        <x:v>Indonesian</x:v>
      </x:c>
      <x:c r="D442" s="48" t="n">
        <x:v>65</x:v>
      </x:c>
      <x:c r="E442" s="48" t="str"/>
      <x:c r="F442" s="48" t="str">
        <x:v>Penbanran Wak tok dar kesan</x:v>
      </x:c>
      <x:c r="G442" s="48" t="str">
        <x:v>Obligation</x:v>
      </x:c>
      <x:c r="H442" s="48" t="str">
        <x:v>Shared</x:v>
      </x:c>
      <x:c r="I442" s="48" t="n">
        <x:v>0.45</x:v>
      </x:c>
      <x:c r="J442" s="48" t="n">
        <x:v>0.4</x:v>
      </x:c>
      <x:c r="K442" s="48" t="str">
        <x:v>Yes</x:v>
      </x:c>
      <x:c r="L442" s="48" t="str">
        <x:v>OCR</x:v>
      </x:c>
    </x:row>
    <x:row r="443">
      <x:c r="A443" s="48" t="str">
        <x:v>SILVER-0442</x:v>
      </x:c>
      <x:c r="B443" s="48" t="str">
        <x:v>SILVER</x:v>
      </x:c>
      <x:c r="C443" s="48" t="str">
        <x:v>Indonesian</x:v>
      </x:c>
      <x:c r="D443" s="48" t="n">
        <x:v>65</x:v>
      </x:c>
      <x:c r="E443" s="48" t="str"/>
      <x:c r="F443" s="48" t="str">
        <x:v>(obeng er Oom mu eka jang scar ca Kerar (sena Organ Kiri, iga petakan 1 peweata ira aan</x:v>
      </x:c>
      <x:c r="G443" s="48" t="str">
        <x:v>Obligation</x:v>
      </x:c>
      <x:c r="H443" s="48" t="str">
        <x:v>Shared</x:v>
      </x:c>
      <x:c r="I443" s="48" t="n">
        <x:v>0.45</x:v>
      </x:c>
      <x:c r="J443" s="48" t="n">
        <x:v>0.4</x:v>
      </x:c>
      <x:c r="K443" s="48" t="str">
        <x:v>Yes</x:v>
      </x:c>
      <x:c r="L443" s="48" t="str">
        <x:v>OCR</x:v>
      </x:c>
    </x:row>
    <x:row r="444">
      <x:c r="A444" s="48" t="str">
        <x:v>SILVER-0443</x:v>
      </x:c>
      <x:c r="B444" s="48" t="str">
        <x:v>SILVER</x:v>
      </x:c>
      <x:c r="C444" s="48" t="str">
        <x:v>Indonesian</x:v>
      </x:c>
      <x:c r="D444" s="48" t="n">
        <x:v>65</x:v>
      </x:c>
      <x:c r="E444" s="48" t="str"/>
      <x:c r="F444" s="48" t="str">
        <x:v>Iga pebaln ma pegat dadokan Ga</x:v>
      </x:c>
      <x:c r="G444" s="48" t="str">
        <x:v>Obligation</x:v>
      </x:c>
      <x:c r="H444" s="48" t="str">
        <x:v>Shared</x:v>
      </x:c>
      <x:c r="I444" s="48" t="n">
        <x:v>0.45</x:v>
      </x:c>
      <x:c r="J444" s="48" t="n">
        <x:v>0.4</x:v>
      </x:c>
      <x:c r="K444" s="48" t="str">
        <x:v>Yes</x:v>
      </x:c>
      <x:c r="L444" s="48" t="str">
        <x:v>OCR</x:v>
      </x:c>
    </x:row>
    <x:row r="445">
      <x:c r="A445" s="48" t="str">
        <x:v>SILVER-0444</x:v>
      </x:c>
      <x:c r="B445" s="48" t="str">
        <x:v>SILVER</x:v>
      </x:c>
      <x:c r="C445" s="48" t="str">
        <x:v>Indonesian</x:v>
      </x:c>
      <x:c r="D445" s="48" t="n">
        <x:v>65</x:v>
      </x:c>
      <x:c r="E445" s="48" t="str"/>
      <x:c r="F445" s="48" t="str">
        <x:v>BI MEEIOLAM Mn pOLmeerden papan datonaban mi drgan</x:v>
      </x:c>
      <x:c r="G445" s="48" t="str">
        <x:v>Obligation</x:v>
      </x:c>
      <x:c r="H445" s="48" t="str">
        <x:v>Shared</x:v>
      </x:c>
      <x:c r="I445" s="48" t="n">
        <x:v>0.45</x:v>
      </x:c>
      <x:c r="J445" s="48" t="n">
        <x:v>0.4</x:v>
      </x:c>
      <x:c r="K445" s="48" t="str">
        <x:v>Yes</x:v>
      </x:c>
      <x:c r="L445" s="48" t="str">
        <x:v>OCR</x:v>
      </x:c>
    </x:row>
    <x:row r="446">
      <x:c r="A446" s="48" t="str">
        <x:v>SILVER-0445</x:v>
      </x:c>
      <x:c r="B446" s="48" t="str">
        <x:v>SILVER</x:v>
      </x:c>
      <x:c r="C446" s="48" t="str">
        <x:v>Indonesian</x:v>
      </x:c>
      <x:c r="D446" s="48" t="n">
        <x:v>65</x:v>
      </x:c>
      <x:c r="E446" s="48" t="str"/>
      <x:c r="F446" s="48" t="str">
        <x:v>Iertak dn an abtruan gn Pyar la pajangan</x:v>
      </x:c>
      <x:c r="G446" s="48" t="str">
        <x:v>Obligation</x:v>
      </x:c>
      <x:c r="H446" s="48" t="str">
        <x:v>Shared</x:v>
      </x:c>
      <x:c r="I446" s="48" t="n">
        <x:v>0.45</x:v>
      </x:c>
      <x:c r="J446" s="48" t="n">
        <x:v>0.4</x:v>
      </x:c>
      <x:c r="K446" s="48" t="str">
        <x:v>Yes</x:v>
      </x:c>
      <x:c r="L446" s="48" t="str">
        <x:v>OCR</x:v>
      </x:c>
    </x:row>
    <x:row r="447">
      <x:c r="A447" s="48" t="str">
        <x:v>SILVER-0446</x:v>
      </x:c>
      <x:c r="B447" s="48" t="str">
        <x:v>SILVER</x:v>
      </x:c>
      <x:c r="C447" s="48" t="str">
        <x:v>Indonesian</x:v>
      </x:c>
      <x:c r="D447" s="48" t="n">
        <x:v>65</x:v>
      </x:c>
      <x:c r="E447" s="48" t="str"/>
      <x:c r="F447" s="48" t="str">
        <x:v>MOU aga dan og Diajan anakan ntu dota</x:v>
      </x:c>
      <x:c r="G447" s="48" t="str">
        <x:v>Obligation</x:v>
      </x:c>
      <x:c r="H447" s="48" t="str">
        <x:v>Shared</x:v>
      </x:c>
      <x:c r="I447" s="48" t="n">
        <x:v>0.45</x:v>
      </x:c>
      <x:c r="J447" s="48" t="n">
        <x:v>0.4</x:v>
      </x:c>
      <x:c r="K447" s="48" t="str">
        <x:v>Yes</x:v>
      </x:c>
      <x:c r="L447" s="48" t="str">
        <x:v>OCR</x:v>
      </x:c>
    </x:row>
    <x:row r="448">
      <x:c r="A448" s="48" t="str">
        <x:v>SILVER-0447</x:v>
      </x:c>
      <x:c r="B448" s="48" t="str">
        <x:v>SILVER</x:v>
      </x:c>
      <x:c r="C448" s="48" t="str">
        <x:v>Indonesian</x:v>
      </x:c>
      <x:c r="D448" s="48" t="n">
        <x:v>65</x:v>
      </x:c>
      <x:c r="E448" s="48" t="str"/>
      <x:c r="F448" s="48" t="str">
        <x:v>Peran ka dpt mk pertejan yarg rar sh, mkn Kera</x:v>
      </x:c>
      <x:c r="G448" s="48" t="str">
        <x:v>Obligation</x:v>
      </x:c>
      <x:c r="H448" s="48" t="str">
        <x:v>Shared</x:v>
      </x:c>
      <x:c r="I448" s="48" t="n">
        <x:v>0.45</x:v>
      </x:c>
      <x:c r="J448" s="48" t="n">
        <x:v>0.4</x:v>
      </x:c>
      <x:c r="K448" s="48" t="str">
        <x:v>Yes</x:v>
      </x:c>
      <x:c r="L448" s="48" t="str">
        <x:v>OCR</x:v>
      </x:c>
    </x:row>
    <x:row r="449">
      <x:c r="A449" s="48" t="str">
        <x:v>SILVER-0448</x:v>
      </x:c>
      <x:c r="B449" s="48" t="str">
        <x:v>SILVER</x:v>
      </x:c>
      <x:c r="C449" s="48" t="str">
        <x:v>Indonesian</x:v>
      </x:c>
      <x:c r="D449" s="48" t="n">
        <x:v>65</x:v>
      </x:c>
      <x:c r="E449" s="48" t="str"/>
      <x:c r="F449" s="48" t="str">
        <x:v>Pebatan tao Ibn yng ebaLmadergos het bat Pentajan</x:v>
      </x:c>
      <x:c r="G449" s="48" t="str">
        <x:v>Obligation</x:v>
      </x:c>
      <x:c r="H449" s="48" t="str">
        <x:v>Shared</x:v>
      </x:c>
      <x:c r="I449" s="48" t="n">
        <x:v>0.45</x:v>
      </x:c>
      <x:c r="J449" s="48" t="n">
        <x:v>0.4</x:v>
      </x:c>
      <x:c r="K449" s="48" t="str">
        <x:v>Yes</x:v>
      </x:c>
      <x:c r="L449" s="48" t="str">
        <x:v>OCR</x:v>
      </x:c>
    </x:row>
    <x:row r="450">
      <x:c r="A450" s="48" t="str">
        <x:v>SILVER-0449</x:v>
      </x:c>
      <x:c r="B450" s="48" t="str">
        <x:v>SILVER</x:v>
      </x:c>
      <x:c r="C450" s="48" t="str">
        <x:v>Indonesian</x:v>
      </x:c>
      <x:c r="D450" s="48" t="n">
        <x:v>65</x:v>
      </x:c>
      <x:c r="E450" s="48" t="str"/>
      <x:c r="F450" s="48" t="str">
        <x:v>“Sak ara Goro age preman menahan nm Denata pan dat</x:v>
      </x:c>
      <x:c r="G450" s="48" t="str">
        <x:v>Obligation</x:v>
      </x:c>
      <x:c r="H450" s="48" t="str">
        <x:v>Shared</x:v>
      </x:c>
      <x:c r="I450" s="48" t="n">
        <x:v>0.45</x:v>
      </x:c>
      <x:c r="J450" s="48" t="n">
        <x:v>0.4</x:v>
      </x:c>
      <x:c r="K450" s="48" t="str">
        <x:v>Yes</x:v>
      </x:c>
      <x:c r="L450" s="48" t="str">
        <x:v>OCR</x:v>
      </x:c>
    </x:row>
    <x:row r="451">
      <x:c r="A451" s="48" t="str">
        <x:v>SILVER-0450</x:v>
      </x:c>
      <x:c r="B451" s="48" t="str">
        <x:v>SILVER</x:v>
      </x:c>
      <x:c r="C451" s="48" t="str">
        <x:v>Indonesian</x:v>
      </x:c>
      <x:c r="D451" s="48" t="n">
        <x:v>65</x:v>
      </x:c>
      <x:c r="E451" s="48" t="str"/>
      <x:c r="F451" s="48" t="str">
        <x:v>Pecorasea</x:v>
      </x:c>
      <x:c r="G451" s="48" t="str">
        <x:v>Obligation</x:v>
      </x:c>
      <x:c r="H451" s="48" t="str">
        <x:v>Shared</x:v>
      </x:c>
      <x:c r="I451" s="48" t="n">
        <x:v>0.45</x:v>
      </x:c>
      <x:c r="J451" s="48" t="n">
        <x:v>0.4</x:v>
      </x:c>
      <x:c r="K451" s="48" t="str">
        <x:v>Yes</x:v>
      </x:c>
      <x:c r="L451" s="48" t="str">
        <x:v>OCR</x:v>
      </x:c>
    </x:row>
    <x:row r="452">
      <x:c r="A452" s="48" t="str">
        <x:v>SILVER-0451</x:v>
      </x:c>
      <x:c r="B452" s="48" t="str">
        <x:v>SILVER</x:v>
      </x:c>
      <x:c r="C452" s="48" t="str">
        <x:v>Indonesian</x:v>
      </x:c>
      <x:c r="D452" s="48" t="n">
        <x:v>65</x:v>
      </x:c>
      <x:c r="E452" s="48" t="str"/>
      <x:c r="F452" s="48" t="str">
        <x:v>WNA Pembayaran Ketat eka an cam Sman 26 (Kam ce Png dd.</x:v>
      </x:c>
      <x:c r="G452" s="48" t="str">
        <x:v>Obligation</x:v>
      </x:c>
      <x:c r="H452" s="48" t="str">
        <x:v>Shared</x:v>
      </x:c>
      <x:c r="I452" s="48" t="n">
        <x:v>0.55</x:v>
      </x:c>
      <x:c r="J452" s="48" t="n">
        <x:v>0.4</x:v>
      </x:c>
      <x:c r="K452" s="48" t="str">
        <x:v>Yes</x:v>
      </x:c>
      <x:c r="L452" s="48" t="str">
        <x:v>OCR</x:v>
      </x:c>
    </x:row>
    <x:row r="453">
      <x:c r="A453" s="48" t="str">
        <x:v>SILVER-0452</x:v>
      </x:c>
      <x:c r="B453" s="48" t="str">
        <x:v>SILVER</x:v>
      </x:c>
      <x:c r="C453" s="48" t="str">
        <x:v>Indonesian</x:v>
      </x:c>
      <x:c r="D453" s="48" t="n">
        <x:v>65</x:v>
      </x:c>
      <x:c r="E453" s="48" t="str"/>
      <x:c r="F453" s="48" t="str">
        <x:v>Peoana keatata membara ora</x:v>
      </x:c>
      <x:c r="G453" s="48" t="str">
        <x:v>Obligation</x:v>
      </x:c>
      <x:c r="H453" s="48" t="str">
        <x:v>Shared</x:v>
      </x:c>
      <x:c r="I453" s="48" t="n">
        <x:v>0.45</x:v>
      </x:c>
      <x:c r="J453" s="48" t="n">
        <x:v>0.4</x:v>
      </x:c>
      <x:c r="K453" s="48" t="str">
        <x:v>Yes</x:v>
      </x:c>
      <x:c r="L453" s="48" t="str">
        <x:v>OCR</x:v>
      </x:c>
    </x:row>
    <x:row r="454">
      <x:c r="A454" s="48" t="str">
        <x:v>SILVER-0453</x:v>
      </x:c>
      <x:c r="B454" s="48" t="str">
        <x:v>SILVER</x:v>
      </x:c>
      <x:c r="C454" s="48" t="str">
        <x:v>Indonesian</x:v>
      </x:c>
      <x:c r="D454" s="48" t="n">
        <x:v>65</x:v>
      </x:c>
      <x:c r="E454" s="48" t="str"/>
      <x:c r="F454" s="48" t="str">
        <x:v>(8 Penta petang ma ker wkt 42 ha toa tra rara mr bola por li Gw 21 ta san Pra Tea Klu Sena degan SD KAL 12 Lantan Pasar can ipin</x:v>
      </x:c>
      <x:c r="G454" s="48" t="str">
        <x:v>Obligation</x:v>
      </x:c>
      <x:c r="H454" s="48" t="str">
        <x:v>Shared</x:v>
      </x:c>
      <x:c r="I454" s="48" t="n">
        <x:v>0.45</x:v>
      </x:c>
      <x:c r="J454" s="48" t="n">
        <x:v>0.4</x:v>
      </x:c>
      <x:c r="K454" s="48" t="str">
        <x:v>Yes</x:v>
      </x:c>
      <x:c r="L454" s="48" t="str">
        <x:v>OCR</x:v>
      </x:c>
    </x:row>
    <x:row r="455">
      <x:c r="A455" s="48" t="str">
        <x:v>SILVER-0454</x:v>
      </x:c>
      <x:c r="B455" s="48" t="str">
        <x:v>SILVER</x:v>
      </x:c>
      <x:c r="C455" s="48" t="str">
        <x:v>Indonesian</x:v>
      </x:c>
      <x:c r="D455" s="48" t="n">
        <x:v>65</x:v>
      </x:c>
      <x:c r="E455" s="48" t="str">
        <x:v>1.2</x:v>
      </x:c>
      <x:c r="F455" s="48" t="str">
        <x:v>1.2 Lag Ma. mur nyang bea tiara Saat At, Gn a r2m enmaa Pyahan Bean Ga</x:v>
      </x:c>
      <x:c r="G455" s="48" t="str">
        <x:v>Heading</x:v>
      </x:c>
      <x:c r="H455" s="48" t="str"/>
      <x:c r="I455" s="48" t="n">
        <x:v>0.9</x:v>
      </x:c>
      <x:c r="J455" s="48" t="n">
        <x:v>0.99</x:v>
      </x:c>
      <x:c r="K455" s="48" t="str">
        <x:v>No</x:v>
      </x:c>
      <x:c r="L455" s="48" t="str">
        <x:v>OCR</x:v>
      </x:c>
    </x:row>
    <x:row r="456">
      <x:c r="A456" s="48" t="str">
        <x:v>SILVER-0455</x:v>
      </x:c>
      <x:c r="B456" s="48" t="str">
        <x:v>SILVER</x:v>
      </x:c>
      <x:c r="C456" s="48" t="str">
        <x:v>Indonesian</x:v>
      </x:c>
      <x:c r="D456" s="48" t="n">
        <x:v>65</x:v>
      </x:c>
      <x:c r="E456" s="48" t="str"/>
      <x:c r="F456" s="48" t="str">
        <x:v>(kmu ate pr bata Baja, Gn wb 2 ta sean preman</x:v>
      </x:c>
      <x:c r="G456" s="48" t="str">
        <x:v>Obligation</x:v>
      </x:c>
      <x:c r="H456" s="48" t="str">
        <x:v>Shared</x:v>
      </x:c>
      <x:c r="I456" s="48" t="n">
        <x:v>0.45</x:v>
      </x:c>
      <x:c r="J456" s="48" t="n">
        <x:v>0.4</x:v>
      </x:c>
      <x:c r="K456" s="48" t="str">
        <x:v>Yes</x:v>
      </x:c>
      <x:c r="L456" s="48" t="str">
        <x:v>OCR</x:v>
      </x:c>
    </x:row>
    <x:row r="457">
      <x:c r="A457" s="48" t="str">
        <x:v>SILVER-0456</x:v>
      </x:c>
      <x:c r="B457" s="48" t="str">
        <x:v>SILVER</x:v>
      </x:c>
      <x:c r="C457" s="48" t="str">
        <x:v>Indonesian</x:v>
      </x:c>
      <x:c r="D457" s="48" t="n">
        <x:v>65</x:v>
      </x:c>
      <x:c r="E457" s="48" t="str"/>
      <x:c r="F457" s="48" t="str">
        <x:v>Panja Teten Ate Gn berbataan Get kenon roti</x:v>
      </x:c>
      <x:c r="G457" s="48" t="str">
        <x:v>Obligation</x:v>
      </x:c>
      <x:c r="H457" s="48" t="str">
        <x:v>Shared</x:v>
      </x:c>
      <x:c r="I457" s="48" t="n">
        <x:v>0.45</x:v>
      </x:c>
      <x:c r="J457" s="48" t="n">
        <x:v>0.4</x:v>
      </x:c>
      <x:c r="K457" s="48" t="str">
        <x:v>Yes</x:v>
      </x:c>
      <x:c r="L457" s="48" t="str">
        <x:v>OCR</x:v>
      </x:c>
    </x:row>
    <x:row r="458">
      <x:c r="A458" s="48" t="str">
        <x:v>SILVER-0457</x:v>
      </x:c>
      <x:c r="B458" s="48" t="str">
        <x:v>SILVER</x:v>
      </x:c>
      <x:c r="C458" s="48" t="str">
        <x:v>Indonesian</x:v>
      </x:c>
      <x:c r="D458" s="48" t="n">
        <x:v>65</x:v>
      </x:c>
      <x:c r="E458" s="48" t="str"/>
      <x:c r="F458" s="48" t="str">
        <x:v>jeratan Sib Gs 141 sad Praja Ak Gan GO ag 112 Pentet dang</x:v>
      </x:c>
      <x:c r="G458" s="48" t="str">
        <x:v>Obligation</x:v>
      </x:c>
      <x:c r="H458" s="48" t="str">
        <x:v>Shared</x:v>
      </x:c>
      <x:c r="I458" s="48" t="n">
        <x:v>0.45</x:v>
      </x:c>
      <x:c r="J458" s="48" t="n">
        <x:v>0.4</x:v>
      </x:c>
      <x:c r="K458" s="48" t="str">
        <x:v>Yes</x:v>
      </x:c>
      <x:c r="L458" s="48" t="str">
        <x:v>OCR</x:v>
      </x:c>
    </x:row>
    <x:row r="459">
      <x:c r="A459" s="48" t="str">
        <x:v>SILVER-0458</x:v>
      </x:c>
      <x:c r="B459" s="48" t="str">
        <x:v>SILVER</x:v>
      </x:c>
      <x:c r="C459" s="48" t="str">
        <x:v>Indonesian</x:v>
      </x:c>
      <x:c r="D459" s="48" t="n">
        <x:v>65</x:v>
      </x:c>
      <x:c r="E459" s="48" t="str"/>
      <x:c r="F459" s="48" t="str">
        <x:v>PebAMIN Gun man urgen SkantantorBorngLa ang Aausan</x:v>
      </x:c>
      <x:c r="G459" s="48" t="str">
        <x:v>Obligation</x:v>
      </x:c>
      <x:c r="H459" s="48" t="str">
        <x:v>Shared</x:v>
      </x:c>
      <x:c r="I459" s="48" t="n">
        <x:v>0.45</x:v>
      </x:c>
      <x:c r="J459" s="48" t="n">
        <x:v>0.4</x:v>
      </x:c>
      <x:c r="K459" s="48" t="str">
        <x:v>Yes</x:v>
      </x:c>
      <x:c r="L459" s="48" t="str">
        <x:v>OCR</x:v>
      </x:c>
    </x:row>
    <x:row r="460">
      <x:c r="A460" s="48" t="str">
        <x:v>SILVER-0459</x:v>
      </x:c>
      <x:c r="B460" s="48" t="str">
        <x:v>SILVER</x:v>
      </x:c>
      <x:c r="C460" s="48" t="str">
        <x:v>Indonesian</x:v>
      </x:c>
      <x:c r="D460" s="48" t="n">
        <x:v>65</x:v>
      </x:c>
      <x:c r="E460" s="48" t="str"/>
      <x:c r="F460" s="48" t="str">
        <x:v>Mi1c, dngan ros Jom ertojan Irak ml rang kemanan Dota Kart YO rerama portawan sos Srgn SKM 147</x:v>
      </x:c>
      <x:c r="G460" s="48" t="str">
        <x:v>Obligation</x:v>
      </x:c>
      <x:c r="H460" s="48" t="str">
        <x:v>Shared</x:v>
      </x:c>
      <x:c r="I460" s="48" t="n">
        <x:v>0.45</x:v>
      </x:c>
      <x:c r="J460" s="48" t="n">
        <x:v>0.4</x:v>
      </x:c>
      <x:c r="K460" s="48" t="str">
        <x:v>Yes</x:v>
      </x:c>
      <x:c r="L460" s="48" t="str">
        <x:v>OCR</x:v>
      </x:c>
    </x:row>
    <x:row r="461">
      <x:c r="A461" s="48" t="str">
        <x:v>SILVER-0460</x:v>
      </x:c>
      <x:c r="B461" s="48" t="str">
        <x:v>SILVER</x:v>
      </x:c>
      <x:c r="C461" s="48" t="str">
        <x:v>Indonesian</x:v>
      </x:c>
      <x:c r="D461" s="48" t="n">
        <x:v>65</x:v>
      </x:c>
      <x:c r="E461" s="48" t="str"/>
      <x:c r="F461" s="48" t="str">
        <x:v>Panen WVorfontasar Krmmartota momen png ran</x:v>
      </x:c>
      <x:c r="G461" s="48" t="str">
        <x:v>Obligation</x:v>
      </x:c>
      <x:c r="H461" s="48" t="str">
        <x:v>Shared</x:v>
      </x:c>
      <x:c r="I461" s="48" t="n">
        <x:v>0.45</x:v>
      </x:c>
      <x:c r="J461" s="48" t="n">
        <x:v>0.4</x:v>
      </x:c>
      <x:c r="K461" s="48" t="str">
        <x:v>Yes</x:v>
      </x:c>
      <x:c r="L461" s="48" t="str">
        <x:v>OCR</x:v>
      </x:c>
    </x:row>
    <x:row r="462">
      <x:c r="A462" s="48" t="str">
        <x:v>SILVER-0461</x:v>
      </x:c>
      <x:c r="B462" s="48" t="str">
        <x:v>SILVER</x:v>
      </x:c>
      <x:c r="C462" s="48" t="str">
        <x:v>Indonesian</x:v>
      </x:c>
      <x:c r="D462" s="48" t="n">
        <x:v>65</x:v>
      </x:c>
      <x:c r="E462" s="48" t="str"/>
      <x:c r="F462" s="48" t="str">
        <x:v>esa krn pa erbajn er Bee Bra Sya Nenn snaa.</x:v>
      </x:c>
      <x:c r="G462" s="48" t="str">
        <x:v>Obligation</x:v>
      </x:c>
      <x:c r="H462" s="48" t="str">
        <x:v>Shared</x:v>
      </x:c>
      <x:c r="I462" s="48" t="n">
        <x:v>0.45</x:v>
      </x:c>
      <x:c r="J462" s="48" t="n">
        <x:v>0.4</x:v>
      </x:c>
      <x:c r="K462" s="48" t="str">
        <x:v>Yes</x:v>
      </x:c>
      <x:c r="L462" s="48" t="str">
        <x:v>OCR</x:v>
      </x:c>
    </x:row>
    <x:row r="463">
      <x:c r="A463" s="48" t="str">
        <x:v>SILVER-0462</x:v>
      </x:c>
      <x:c r="B463" s="48" t="str">
        <x:v>SILVER</x:v>
      </x:c>
      <x:c r="C463" s="48" t="str">
        <x:v>Indonesian</x:v>
      </x:c>
      <x:c r="D463" s="48" t="n">
        <x:v>66</x:v>
      </x:c>
      <x:c r="E463" s="48" t="str"/>
      <x:c r="F463" s="48" t="str">
        <x:v>at seb naa an Gan Pena Ka Ba tra Fi cra</x:v>
      </x:c>
      <x:c r="G463" s="48" t="str">
        <x:v>Obligation</x:v>
      </x:c>
      <x:c r="H463" s="48" t="str">
        <x:v>Shared</x:v>
      </x:c>
      <x:c r="I463" s="48" t="n">
        <x:v>0.45</x:v>
      </x:c>
      <x:c r="J463" s="48" t="n">
        <x:v>0.4</x:v>
      </x:c>
      <x:c r="K463" s="48" t="str">
        <x:v>Yes</x:v>
      </x:c>
      <x:c r="L463" s="48" t="str">
        <x:v>OCR</x:v>
      </x:c>
    </x:row>
    <x:row r="464">
      <x:c r="A464" s="48" t="str">
        <x:v>SILVER-0463</x:v>
      </x:c>
      <x:c r="B464" s="48" t="str">
        <x:v>SILVER</x:v>
      </x:c>
      <x:c r="C464" s="48" t="str">
        <x:v>Indonesian</x:v>
      </x:c>
      <x:c r="D464" s="48" t="n">
        <x:v>66</x:v>
      </x:c>
      <x:c r="E464" s="48" t="str"/>
      <x:c r="F464" s="48" t="str">
        <x:v>MTA Bira ur Rn Deva Kn Ina Gta Da bara bar Sena</x:v>
      </x:c>
      <x:c r="G464" s="48" t="str">
        <x:v>Obligation</x:v>
      </x:c>
      <x:c r="H464" s="48" t="str">
        <x:v>Shared</x:v>
      </x:c>
      <x:c r="I464" s="48" t="n">
        <x:v>0.45</x:v>
      </x:c>
      <x:c r="J464" s="48" t="n">
        <x:v>0.4</x:v>
      </x:c>
      <x:c r="K464" s="48" t="str">
        <x:v>Yes</x:v>
      </x:c>
      <x:c r="L464" s="48" t="str">
        <x:v>OCR</x:v>
      </x:c>
    </x:row>
    <x:row r="465">
      <x:c r="A465" s="48" t="str">
        <x:v>SILVER-0464</x:v>
      </x:c>
      <x:c r="B465" s="48" t="str">
        <x:v>SILVER</x:v>
      </x:c>
      <x:c r="C465" s="48" t="str">
        <x:v>Indonesian</x:v>
      </x:c>
      <x:c r="D465" s="48" t="n">
        <x:v>66</x:v>
      </x:c>
      <x:c r="E465" s="48" t="str"/>
      <x:c r="F465" s="48" t="str">
        <x:v>“vegan Segan mal ar pertama, can ana dbeatan am me ar rta tata 9 perban Pi been perban meri an wrna merasa reka peruran ma 1 -</x:v>
      </x:c>
      <x:c r="G465" s="48" t="str">
        <x:v>Obligation</x:v>
      </x:c>
      <x:c r="H465" s="48" t="str">
        <x:v>Shared</x:v>
      </x:c>
      <x:c r="I465" s="48" t="n">
        <x:v>0.45</x:v>
      </x:c>
      <x:c r="J465" s="48" t="n">
        <x:v>0.4</x:v>
      </x:c>
      <x:c r="K465" s="48" t="str">
        <x:v>Yes</x:v>
      </x:c>
      <x:c r="L465" s="48" t="str">
        <x:v>OCR</x:v>
      </x:c>
    </x:row>
    <x:row r="466">
      <x:c r="A466" s="48" t="str">
        <x:v>SILVER-0465</x:v>
      </x:c>
      <x:c r="B466" s="48" t="str">
        <x:v>SILVER</x:v>
      </x:c>
      <x:c r="C466" s="48" t="str">
        <x:v>Indonesian</x:v>
      </x:c>
      <x:c r="D466" s="48" t="n">
        <x:v>66</x:v>
      </x:c>
      <x:c r="E466" s="48" t="str"/>
      <x:c r="F466" s="48" t="str">
        <x:v>Pemaarn De De Aca Ser Tara Pkn Sa Gta, Gan Pj ta</x:v>
      </x:c>
      <x:c r="G466" s="48" t="str">
        <x:v>Obligation</x:v>
      </x:c>
      <x:c r="H466" s="48" t="str">
        <x:v>Shared</x:v>
      </x:c>
      <x:c r="I466" s="48" t="n">
        <x:v>0.45</x:v>
      </x:c>
      <x:c r="J466" s="48" t="n">
        <x:v>0.4</x:v>
      </x:c>
      <x:c r="K466" s="48" t="str">
        <x:v>Yes</x:v>
      </x:c>
      <x:c r="L466" s="48" t="str">
        <x:v>OCR</x:v>
      </x:c>
    </x:row>
    <x:row r="467">
      <x:c r="A467" s="48" t="str">
        <x:v>SILVER-0466</x:v>
      </x:c>
      <x:c r="B467" s="48" t="str">
        <x:v>SILVER</x:v>
      </x:c>
      <x:c r="C467" s="48" t="str">
        <x:v>Indonesian</x:v>
      </x:c>
      <x:c r="D467" s="48" t="n">
        <x:v>66</x:v>
      </x:c>
      <x:c r="E467" s="48" t="str"/>
      <x:c r="F467" s="48" t="str">
        <x:v>Yang otursi 100 sap Peran yg akan Dara Perda Stan Prykasan</x:v>
      </x:c>
      <x:c r="G467" s="48" t="str">
        <x:v>Obligation</x:v>
      </x:c>
      <x:c r="H467" s="48" t="str">
        <x:v>Shared</x:v>
      </x:c>
      <x:c r="I467" s="48" t="n">
        <x:v>0.45</x:v>
      </x:c>
      <x:c r="J467" s="48" t="n">
        <x:v>0.4</x:v>
      </x:c>
      <x:c r="K467" s="48" t="str">
        <x:v>Yes</x:v>
      </x:c>
      <x:c r="L467" s="48" t="str">
        <x:v>OCR</x:v>
      </x:c>
    </x:row>
    <x:row r="468">
      <x:c r="A468" s="48" t="str">
        <x:v>SILVER-0467</x:v>
      </x:c>
      <x:c r="B468" s="48" t="str">
        <x:v>SILVER</x:v>
      </x:c>
      <x:c r="C468" s="48" t="str">
        <x:v>Indonesian</x:v>
      </x:c>
      <x:c r="D468" s="48" t="n">
        <x:v>66</x:v>
      </x:c>
      <x:c r="E468" s="48" t="str"/>
      <x:c r="F468" s="48" t="str">
        <x:v>Pa, ta SIM segan pama at Ur Ft Pata degan loan</x:v>
      </x:c>
      <x:c r="G468" s="48" t="str">
        <x:v>Obligation</x:v>
      </x:c>
      <x:c r="H468" s="48" t="str">
        <x:v>Shared</x:v>
      </x:c>
      <x:c r="I468" s="48" t="n">
        <x:v>0.45</x:v>
      </x:c>
      <x:c r="J468" s="48" t="n">
        <x:v>0.4</x:v>
      </x:c>
      <x:c r="K468" s="48" t="str">
        <x:v>Yes</x:v>
      </x:c>
      <x:c r="L468" s="48" t="str">
        <x:v>OCR</x:v>
      </x:c>
    </x:row>
    <x:row r="469">
      <x:c r="A469" s="48" t="str">
        <x:v>SILVER-0468</x:v>
      </x:c>
      <x:c r="B469" s="48" t="str">
        <x:v>SILVER</x:v>
      </x:c>
      <x:c r="C469" s="48" t="str">
        <x:v>Indonesian</x:v>
      </x:c>
      <x:c r="D469" s="48" t="n">
        <x:v>66</x:v>
      </x:c>
      <x:c r="E469" s="48" t="str"/>
      <x:c r="F469" s="48" t="str">
        <x:v>Keemaappda at ta ho Sun Tana Patam kta wak Sagan</x:v>
      </x:c>
      <x:c r="G469" s="48" t="str">
        <x:v>Obligation</x:v>
      </x:c>
      <x:c r="H469" s="48" t="str">
        <x:v>Shared</x:v>
      </x:c>
      <x:c r="I469" s="48" t="n">
        <x:v>0.45</x:v>
      </x:c>
      <x:c r="J469" s="48" t="n">
        <x:v>0.4</x:v>
      </x:c>
      <x:c r="K469" s="48" t="str">
        <x:v>Yes</x:v>
      </x:c>
      <x:c r="L469" s="48" t="str">
        <x:v>OCR</x:v>
      </x:c>
    </x:row>
    <x:row r="470">
      <x:c r="A470" s="48" t="str">
        <x:v>SILVER-0469</x:v>
      </x:c>
      <x:c r="B470" s="48" t="str">
        <x:v>SILVER</x:v>
      </x:c>
      <x:c r="C470" s="48" t="str">
        <x:v>Indonesian</x:v>
      </x:c>
      <x:c r="D470" s="48" t="n">
        <x:v>66</x:v>
      </x:c>
      <x:c r="E470" s="48" t="str"/>
      <x:c r="F470" s="48" t="str">
        <x:v>Plaju, erna skrg pra Gr Lag Petra ha dok jln</x:v>
      </x:c>
      <x:c r="G470" s="48" t="str">
        <x:v>Obligation</x:v>
      </x:c>
      <x:c r="H470" s="48" t="str">
        <x:v>Shared</x:v>
      </x:c>
      <x:c r="I470" s="48" t="n">
        <x:v>0.45</x:v>
      </x:c>
      <x:c r="J470" s="48" t="n">
        <x:v>0.4</x:v>
      </x:c>
      <x:c r="K470" s="48" t="str">
        <x:v>Yes</x:v>
      </x:c>
      <x:c r="L470" s="48" t="str">
        <x:v>OCR</x:v>
      </x:c>
    </x:row>
    <x:row r="471">
      <x:c r="A471" s="48" t="str">
        <x:v>SILVER-0470</x:v>
      </x:c>
      <x:c r="B471" s="48" t="str">
        <x:v>SILVER</x:v>
      </x:c>
      <x:c r="C471" s="48" t="str">
        <x:v>Indonesian</x:v>
      </x:c>
      <x:c r="D471" s="48" t="n">
        <x:v>66</x:v>
      </x:c>
      <x:c r="E471" s="48" t="str"/>
      <x:c r="F471" s="48" t="str">
        <x:v>Da Aam Sena Ra era</x:v>
      </x:c>
      <x:c r="G471" s="48" t="str">
        <x:v>Obligation</x:v>
      </x:c>
      <x:c r="H471" s="48" t="str">
        <x:v>Shared</x:v>
      </x:c>
      <x:c r="I471" s="48" t="n">
        <x:v>0.45</x:v>
      </x:c>
      <x:c r="J471" s="48" t="n">
        <x:v>0.4</x:v>
      </x:c>
      <x:c r="K471" s="48" t="str">
        <x:v>Yes</x:v>
      </x:c>
      <x:c r="L471" s="48" t="str">
        <x:v>OCR</x:v>
      </x:c>
    </x:row>
    <x:row r="472">
      <x:c r="A472" s="48" t="str">
        <x:v>SILVER-0471</x:v>
      </x:c>
      <x:c r="B472" s="48" t="str">
        <x:v>SILVER</x:v>
      </x:c>
      <x:c r="C472" s="48" t="str">
        <x:v>Indonesian</x:v>
      </x:c>
      <x:c r="D472" s="48" t="n">
        <x:v>66</x:v>
      </x:c>
      <x:c r="E472" s="48" t="str"/>
      <x:c r="F472" s="48" t="str">
        <x:v>koma sen ro Wii bkin Masa Perstan Ca Ma an “ra Powre tan Sayatan tra Kyo Acbia mu Du As Gran</x:v>
      </x:c>
      <x:c r="G472" s="48" t="str">
        <x:v>Obligation</x:v>
      </x:c>
      <x:c r="H472" s="48" t="str">
        <x:v>Shared</x:v>
      </x:c>
      <x:c r="I472" s="48" t="n">
        <x:v>0.45</x:v>
      </x:c>
      <x:c r="J472" s="48" t="n">
        <x:v>0.4</x:v>
      </x:c>
      <x:c r="K472" s="48" t="str">
        <x:v>Yes</x:v>
      </x:c>
      <x:c r="L472" s="48" t="str">
        <x:v>OCR</x:v>
      </x:c>
    </x:row>
    <x:row r="473">
      <x:c r="A473" s="48" t="str">
        <x:v>SILVER-0472</x:v>
      </x:c>
      <x:c r="B473" s="48" t="str">
        <x:v>SILVER</x:v>
      </x:c>
      <x:c r="C473" s="48" t="str">
        <x:v>Indonesian</x:v>
      </x:c>
      <x:c r="D473" s="48" t="n">
        <x:v>66</x:v>
      </x:c>
      <x:c r="E473" s="48" t="str"/>
      <x:c r="F473" s="48" t="str">
        <x:v>MIMIN YK Ba) Bag Pam peran mn ea Lang,</x:v>
      </x:c>
      <x:c r="G473" s="48" t="str">
        <x:v>Obligation</x:v>
      </x:c>
      <x:c r="H473" s="48" t="str">
        <x:v>Shared</x:v>
      </x:c>
      <x:c r="I473" s="48" t="n">
        <x:v>0.45</x:v>
      </x:c>
      <x:c r="J473" s="48" t="n">
        <x:v>0.4</x:v>
      </x:c>
      <x:c r="K473" s="48" t="str">
        <x:v>Yes</x:v>
      </x:c>
      <x:c r="L473" s="48" t="str">
        <x:v>OCR</x:v>
      </x:c>
    </x:row>
    <x:row r="474">
      <x:c r="A474" s="48" t="str">
        <x:v>SILVER-0473</x:v>
      </x:c>
      <x:c r="B474" s="48" t="str">
        <x:v>SILVER</x:v>
      </x:c>
      <x:c r="C474" s="48" t="str">
        <x:v>Indonesian</x:v>
      </x:c>
      <x:c r="D474" s="48" t="n">
        <x:v>66</x:v>
      </x:c>
      <x:c r="E474" s="48" t="str"/>
      <x:c r="F474" s="48" t="str">
        <x:v>Peran sega Setan mn brp beronya Maa Peter</x:v>
      </x:c>
      <x:c r="G474" s="48" t="str">
        <x:v>Obligation</x:v>
      </x:c>
      <x:c r="H474" s="48" t="str">
        <x:v>Shared</x:v>
      </x:c>
      <x:c r="I474" s="48" t="n">
        <x:v>0.45</x:v>
      </x:c>
      <x:c r="J474" s="48" t="n">
        <x:v>0.4</x:v>
      </x:c>
      <x:c r="K474" s="48" t="str">
        <x:v>Yes</x:v>
      </x:c>
      <x:c r="L474" s="48" t="str">
        <x:v>OCR</x:v>
      </x:c>
    </x:row>
    <x:row r="475">
      <x:c r="A475" s="48" t="str">
        <x:v>SILVER-0474</x:v>
      </x:c>
      <x:c r="B475" s="48" t="str">
        <x:v>SILVER</x:v>
      </x:c>
      <x:c r="C475" s="48" t="str">
        <x:v>Indonesian</x:v>
      </x:c>
      <x:c r="D475" s="48" t="n">
        <x:v>66</x:v>
      </x:c>
      <x:c r="E475" s="48" t="str"/>
      <x:c r="F475" s="48" t="str">
        <x:v>(SMS TA Bagan Pora Wa.</x:v>
      </x:c>
      <x:c r="G475" s="48" t="str">
        <x:v>Obligation</x:v>
      </x:c>
      <x:c r="H475" s="48" t="str">
        <x:v>Shared</x:v>
      </x:c>
      <x:c r="I475" s="48" t="n">
        <x:v>0.45</x:v>
      </x:c>
      <x:c r="J475" s="48" t="n">
        <x:v>0.4</x:v>
      </x:c>
      <x:c r="K475" s="48" t="str">
        <x:v>Yes</x:v>
      </x:c>
      <x:c r="L475" s="48" t="str">
        <x:v>OCR</x:v>
      </x:c>
    </x:row>
    <x:row r="476">
      <x:c r="A476" s="48" t="str">
        <x:v>SILVER-0475</x:v>
      </x:c>
      <x:c r="B476" s="48" t="str">
        <x:v>SILVER</x:v>
      </x:c>
      <x:c r="C476" s="48" t="str">
        <x:v>Indonesian</x:v>
      </x:c>
      <x:c r="D476" s="48" t="n">
        <x:v>66</x:v>
      </x:c>
      <x:c r="E476" s="48" t="str"/>
      <x:c r="F476" s="48" t="str">
        <x:v>(Man xp abis beton pebepan trus hain Gkalan brisatan Kania 11 (rggrg daa Cost IAAI sai Kana "2 Pra Saman “enakan Feat Pegora man beta wak rerata mara peta pke Bra plan Bas Sekaran</x:v>
      </x:c>
      <x:c r="G476" s="48" t="str">
        <x:v>Obligation</x:v>
      </x:c>
      <x:c r="H476" s="48" t="str">
        <x:v>Shared</x:v>
      </x:c>
      <x:c r="I476" s="48" t="n">
        <x:v>0.45</x:v>
      </x:c>
      <x:c r="J476" s="48" t="n">
        <x:v>0.4</x:v>
      </x:c>
      <x:c r="K476" s="48" t="str">
        <x:v>Yes</x:v>
      </x:c>
      <x:c r="L476" s="48" t="str">
        <x:v>OCR</x:v>
      </x:c>
    </x:row>
    <x:row r="477">
      <x:c r="A477" s="48" t="str">
        <x:v>SILVER-0476</x:v>
      </x:c>
      <x:c r="B477" s="48" t="str">
        <x:v>SILVER</x:v>
      </x:c>
      <x:c r="C477" s="48" t="str">
        <x:v>Indonesian</x:v>
      </x:c>
      <x:c r="D477" s="48" t="n">
        <x:v>66</x:v>
      </x:c>
      <x:c r="E477" s="48" t="str"/>
      <x:c r="F477" s="48" t="str">
        <x:v>Penetan Ik ttsn edan Plan Pns ri Deras cal Bagan</x:v>
      </x:c>
      <x:c r="G477" s="48" t="str">
        <x:v>Obligation</x:v>
      </x:c>
      <x:c r="H477" s="48" t="str">
        <x:v>Shared</x:v>
      </x:c>
      <x:c r="I477" s="48" t="n">
        <x:v>0.45</x:v>
      </x:c>
      <x:c r="J477" s="48" t="n">
        <x:v>0.4</x:v>
      </x:c>
      <x:c r="K477" s="48" t="str">
        <x:v>Yes</x:v>
      </x:c>
      <x:c r="L477" s="48" t="str">
        <x:v>OCR</x:v>
      </x:c>
    </x:row>
    <x:row r="478">
      <x:c r="A478" s="48" t="str">
        <x:v>SILVER-0477</x:v>
      </x:c>
      <x:c r="B478" s="48" t="str">
        <x:v>SILVER</x:v>
      </x:c>
      <x:c r="C478" s="48" t="str">
        <x:v>Indonesian</x:v>
      </x:c>
      <x:c r="D478" s="48" t="n">
        <x:v>66</x:v>
      </x:c>
      <x:c r="E478" s="48" t="str"/>
      <x:c r="F478" s="48" t="str">
        <x:v>Paajan Setara dngan daan Kota, Aa rs Perarte SA</x:v>
      </x:c>
      <x:c r="G478" s="48" t="str">
        <x:v>Obligation</x:v>
      </x:c>
      <x:c r="H478" s="48" t="str">
        <x:v>Shared</x:v>
      </x:c>
      <x:c r="I478" s="48" t="n">
        <x:v>0.45</x:v>
      </x:c>
      <x:c r="J478" s="48" t="n">
        <x:v>0.4</x:v>
      </x:c>
      <x:c r="K478" s="48" t="str">
        <x:v>Yes</x:v>
      </x:c>
      <x:c r="L478" s="48" t="str">
        <x:v>OCR</x:v>
      </x:c>
    </x:row>
    <x:row r="479">
      <x:c r="A479" s="48" t="str">
        <x:v>SILVER-0478</x:v>
      </x:c>
      <x:c r="B479" s="48" t="str">
        <x:v>SILVER</x:v>
      </x:c>
      <x:c r="C479" s="48" t="str">
        <x:v>Indonesian</x:v>
      </x:c>
      <x:c r="D479" s="48" t="n">
        <x:v>66</x:v>
      </x:c>
      <x:c r="E479" s="48" t="str"/>
      <x:c r="F479" s="48" t="str">
        <x:v>(ga Peeran okay demen ba penanda sa 1krg Patra jr tan bauton tecaatan So Ka cm Kota</x:v>
      </x:c>
      <x:c r="G479" s="48" t="str">
        <x:v>Obligation</x:v>
      </x:c>
      <x:c r="H479" s="48" t="str">
        <x:v>Shared</x:v>
      </x:c>
      <x:c r="I479" s="48" t="n">
        <x:v>0.45</x:v>
      </x:c>
      <x:c r="J479" s="48" t="n">
        <x:v>0.4</x:v>
      </x:c>
      <x:c r="K479" s="48" t="str">
        <x:v>Yes</x:v>
      </x:c>
      <x:c r="L479" s="48" t="str">
        <x:v>OCR</x:v>
      </x:c>
    </x:row>
    <x:row r="480">
      <x:c r="A480" s="48" t="str">
        <x:v>SILVER-0479</x:v>
      </x:c>
      <x:c r="B480" s="48" t="str">
        <x:v>SILVER</x:v>
      </x:c>
      <x:c r="C480" s="48" t="str">
        <x:v>Indonesian</x:v>
      </x:c>
      <x:c r="D480" s="48" t="n">
        <x:v>66</x:v>
      </x:c>
      <x:c r="E480" s="48" t="str"/>
      <x:c r="F480" s="48" t="str">
        <x:v>Sena Matan ma</x:v>
      </x:c>
      <x:c r="G480" s="48" t="str">
        <x:v>Obligation</x:v>
      </x:c>
      <x:c r="H480" s="48" t="str">
        <x:v>Shared</x:v>
      </x:c>
      <x:c r="I480" s="48" t="n">
        <x:v>0.45</x:v>
      </x:c>
      <x:c r="J480" s="48" t="n">
        <x:v>0.4</x:v>
      </x:c>
      <x:c r="K480" s="48" t="str">
        <x:v>Yes</x:v>
      </x:c>
      <x:c r="L480" s="48" t="str">
        <x:v>OCR</x:v>
      </x:c>
    </x:row>
    <x:row r="481">
      <x:c r="A481" s="48" t="str">
        <x:v>SILVER-0480</x:v>
      </x:c>
      <x:c r="B481" s="48" t="str">
        <x:v>SILVER</x:v>
      </x:c>
      <x:c r="C481" s="48" t="str">
        <x:v>Indonesian</x:v>
      </x:c>
      <x:c r="D481" s="48" t="n">
        <x:v>66</x:v>
      </x:c>
      <x:c r="E481" s="48" t="str"/>
      <x:c r="F481" s="48" t="str">
        <x:v>Tnatan pasa Dim jga va Bat Sen paretna Beta Aca Sea Tara Peran. penratan Naru Pin mejangakan toa Pyar Je tam saran Faryaan</x:v>
      </x:c>
      <x:c r="G481" s="48" t="str">
        <x:v>Obligation</x:v>
      </x:c>
      <x:c r="H481" s="48" t="str">
        <x:v>Shared</x:v>
      </x:c>
      <x:c r="I481" s="48" t="n">
        <x:v>0.45</x:v>
      </x:c>
      <x:c r="J481" s="48" t="n">
        <x:v>0.4</x:v>
      </x:c>
      <x:c r="K481" s="48" t="str">
        <x:v>Yes</x:v>
      </x:c>
      <x:c r="L481" s="48" t="str">
        <x:v>OCR</x:v>
      </x:c>
    </x:row>
    <x:row r="482">
      <x:c r="A482" s="48" t="str">
        <x:v>SILVER-0481</x:v>
      </x:c>
      <x:c r="B482" s="48" t="str">
        <x:v>SILVER</x:v>
      </x:c>
      <x:c r="C482" s="48" t="str">
        <x:v>Indonesian</x:v>
      </x:c>
      <x:c r="D482" s="48" t="n">
        <x:v>66</x:v>
      </x:c>
      <x:c r="E482" s="48" t="str"/>
      <x:c r="F482" s="48" t="str">
        <x:v>Tgk pada eka Brg lumen prdlurg Sat ran BAN</x:v>
      </x:c>
      <x:c r="G482" s="48" t="str">
        <x:v>Obligation</x:v>
      </x:c>
      <x:c r="H482" s="48" t="str">
        <x:v>Shared</x:v>
      </x:c>
      <x:c r="I482" s="48" t="n">
        <x:v>0.45</x:v>
      </x:c>
      <x:c r="J482" s="48" t="n">
        <x:v>0.4</x:v>
      </x:c>
      <x:c r="K482" s="48" t="str">
        <x:v>Yes</x:v>
      </x:c>
      <x:c r="L482" s="48" t="str">
        <x:v>OCR</x:v>
      </x:c>
    </x:row>
    <x:row r="483">
      <x:c r="A483" s="48" t="str">
        <x:v>SILVER-0482</x:v>
      </x:c>
      <x:c r="B483" s="48" t="str">
        <x:v>SILVER</x:v>
      </x:c>
      <x:c r="C483" s="48" t="str">
        <x:v>Indonesian</x:v>
      </x:c>
      <x:c r="D483" s="48" t="n">
        <x:v>66</x:v>
      </x:c>
      <x:c r="E483" s="48" t="str"/>
      <x:c r="F483" s="48" t="str">
        <x:v>Ha Mokasurak Perbaaan Semar png metasan</x:v>
      </x:c>
      <x:c r="G483" s="48" t="str">
        <x:v>Obligation</x:v>
      </x:c>
      <x:c r="H483" s="48" t="str">
        <x:v>Shared</x:v>
      </x:c>
      <x:c r="I483" s="48" t="n">
        <x:v>0.45</x:v>
      </x:c>
      <x:c r="J483" s="48" t="n">
        <x:v>0.4</x:v>
      </x:c>
      <x:c r="K483" s="48" t="str">
        <x:v>Yes</x:v>
      </x:c>
      <x:c r="L483" s="48" t="str">
        <x:v>OCR</x:v>
      </x:c>
    </x:row>
    <x:row r="484">
      <x:c r="A484" s="48" t="str">
        <x:v>SILVER-0483</x:v>
      </x:c>
      <x:c r="B484" s="48" t="str">
        <x:v>SILVER</x:v>
      </x:c>
      <x:c r="C484" s="48" t="str">
        <x:v>Indonesian</x:v>
      </x:c>
      <x:c r="D484" s="48" t="n">
        <x:v>66</x:v>
      </x:c>
      <x:c r="E484" s="48" t="str"/>
      <x:c r="F484" s="48" t="str">
        <x:v>(8 A8 AA pion ng an kran seni Gran Kertak Nan (raga ryan pa Beta Ac San "ma Pala, (Aan ngieraa Ke merahnya 1 petani anyng mer Kran ln ar Hanya ersentan Kawat Urin yg rotan an Gan setan Maan an.</x:v>
      </x:c>
      <x:c r="G484" s="48" t="str">
        <x:v>Obligation</x:v>
      </x:c>
      <x:c r="H484" s="48" t="str">
        <x:v>Shared</x:v>
      </x:c>
      <x:c r="I484" s="48" t="n">
        <x:v>0.45</x:v>
      </x:c>
      <x:c r="J484" s="48" t="n">
        <x:v>0.4</x:v>
      </x:c>
      <x:c r="K484" s="48" t="str">
        <x:v>Yes</x:v>
      </x:c>
      <x:c r="L484" s="48" t="str">
        <x:v>OCR</x:v>
      </x:c>
    </x:row>
    <x:row r="485">
      <x:c r="A485" s="48" t="str">
        <x:v>SILVER-0484</x:v>
      </x:c>
      <x:c r="B485" s="48" t="str">
        <x:v>SILVER</x:v>
      </x:c>
      <x:c r="C485" s="48" t="str">
        <x:v>Indonesian</x:v>
      </x:c>
      <x:c r="D485" s="48" t="n">
        <x:v>66</x:v>
      </x:c>
      <x:c r="E485" s="48" t="str"/>
      <x:c r="F485" s="48" t="str">
        <x:v>Pemakan tanpa at as,</x:v>
      </x:c>
      <x:c r="G485" s="48" t="str">
        <x:v>Obligation</x:v>
      </x:c>
      <x:c r="H485" s="48" t="str">
        <x:v>Shared</x:v>
      </x:c>
      <x:c r="I485" s="48" t="n">
        <x:v>0.45</x:v>
      </x:c>
      <x:c r="J485" s="48" t="n">
        <x:v>0.4</x:v>
      </x:c>
      <x:c r="K485" s="48" t="str">
        <x:v>Yes</x:v>
      </x:c>
      <x:c r="L485" s="48" t="str">
        <x:v>OCR</x:v>
      </x:c>
    </x:row>
    <x:row r="486">
      <x:c r="A486" s="48" t="str">
        <x:v>SILVER-0485</x:v>
      </x:c>
      <x:c r="B486" s="48" t="str">
        <x:v>SILVER</x:v>
      </x:c>
      <x:c r="C486" s="48" t="str">
        <x:v>Indonesian</x:v>
      </x:c>
      <x:c r="D486" s="48" t="n">
        <x:v>66</x:v>
      </x:c>
      <x:c r="E486" s="48" t="str"/>
      <x:c r="F486" s="48" t="str">
        <x:v>Pngora Ina skeuna n meengkan pendataan ed Krn</x:v>
      </x:c>
      <x:c r="G486" s="48" t="str">
        <x:v>Obligation</x:v>
      </x:c>
      <x:c r="H486" s="48" t="str">
        <x:v>Shared</x:v>
      </x:c>
      <x:c r="I486" s="48" t="n">
        <x:v>0.45</x:v>
      </x:c>
      <x:c r="J486" s="48" t="n">
        <x:v>0.4</x:v>
      </x:c>
      <x:c r="K486" s="48" t="str">
        <x:v>Yes</x:v>
      </x:c>
      <x:c r="L486" s="48" t="str">
        <x:v>OCR</x:v>
      </x:c>
    </x:row>
    <x:row r="487">
      <x:c r="A487" s="48" t="str">
        <x:v>SILVER-0486</x:v>
      </x:c>
      <x:c r="B487" s="48" t="str">
        <x:v>SILVER</x:v>
      </x:c>
      <x:c r="C487" s="48" t="str">
        <x:v>Indonesian</x:v>
      </x:c>
      <x:c r="D487" s="48" t="n">
        <x:v>66</x:v>
      </x:c>
      <x:c r="E487" s="48" t="str"/>
      <x:c r="F487" s="48" t="str">
        <x:v>Sar Ab kan arema Oren ammalanganaaan</x:v>
      </x:c>
      <x:c r="G487" s="48" t="str">
        <x:v>Obligation</x:v>
      </x:c>
      <x:c r="H487" s="48" t="str">
        <x:v>Shared</x:v>
      </x:c>
      <x:c r="I487" s="48" t="n">
        <x:v>0.45</x:v>
      </x:c>
      <x:c r="J487" s="48" t="n">
        <x:v>0.4</x:v>
      </x:c>
      <x:c r="K487" s="48" t="str">
        <x:v>Yes</x:v>
      </x:c>
      <x:c r="L487" s="48" t="str">
        <x:v>OCR</x:v>
      </x:c>
    </x:row>
    <x:row r="488">
      <x:c r="A488" s="48" t="str">
        <x:v>SILVER-0487</x:v>
      </x:c>
      <x:c r="B488" s="48" t="str">
        <x:v>SILVER</x:v>
      </x:c>
      <x:c r="C488" s="48" t="str">
        <x:v>Indonesian</x:v>
      </x:c>
      <x:c r="D488" s="48" t="n">
        <x:v>66</x:v>
      </x:c>
      <x:c r="E488" s="48" t="str"/>
      <x:c r="F488" s="48" t="str">
        <x:v>Sebatan ant Ma Parama</x:v>
      </x:c>
      <x:c r="G488" s="48" t="str">
        <x:v>Obligation</x:v>
      </x:c>
      <x:c r="H488" s="48" t="str">
        <x:v>Shared</x:v>
      </x:c>
      <x:c r="I488" s="48" t="n">
        <x:v>0.45</x:v>
      </x:c>
      <x:c r="J488" s="48" t="n">
        <x:v>0.4</x:v>
      </x:c>
      <x:c r="K488" s="48" t="str">
        <x:v>Yes</x:v>
      </x:c>
      <x:c r="L488" s="48" t="str">
        <x:v>OCR</x:v>
      </x:c>
    </x:row>
    <x:row r="489">
      <x:c r="A489" s="48" t="str">
        <x:v>SILVER-0488</x:v>
      </x:c>
      <x:c r="B489" s="48" t="str">
        <x:v>SILVER</x:v>
      </x:c>
      <x:c r="C489" s="48" t="str">
        <x:v>Indonesian</x:v>
      </x:c>
      <x:c r="D489" s="48" t="n">
        <x:v>67</x:v>
      </x:c>
      <x:c r="E489" s="48" t="str"/>
      <x:c r="F489" s="48" t="str">
        <x:v>Dean Da ega el 8 an mrerra Dra Aa Prakasa Keran</x:v>
      </x:c>
      <x:c r="G489" s="48" t="str">
        <x:v>Obligation</x:v>
      </x:c>
      <x:c r="H489" s="48" t="str">
        <x:v>Shared</x:v>
      </x:c>
      <x:c r="I489" s="48" t="n">
        <x:v>0.45</x:v>
      </x:c>
      <x:c r="J489" s="48" t="n">
        <x:v>0.4</x:v>
      </x:c>
      <x:c r="K489" s="48" t="str">
        <x:v>Yes</x:v>
      </x:c>
      <x:c r="L489" s="48" t="str">
        <x:v>OCR</x:v>
      </x:c>
    </x:row>
    <x:row r="490">
      <x:c r="A490" s="48" t="str">
        <x:v>SILVER-0489</x:v>
      </x:c>
      <x:c r="B490" s="48" t="str">
        <x:v>SILVER</x:v>
      </x:c>
      <x:c r="C490" s="48" t="str">
        <x:v>Indonesian</x:v>
      </x:c>
      <x:c r="D490" s="48" t="n">
        <x:v>67</x:v>
      </x:c>
      <x:c r="E490" s="48" t="str"/>
      <x:c r="F490" s="48" t="str">
        <x:v>TES Pegiat aren Me</x:v>
      </x:c>
      <x:c r="G490" s="48" t="str">
        <x:v>Obligation</x:v>
      </x:c>
      <x:c r="H490" s="48" t="str">
        <x:v>Shared</x:v>
      </x:c>
      <x:c r="I490" s="48" t="n">
        <x:v>0.45</x:v>
      </x:c>
      <x:c r="J490" s="48" t="n">
        <x:v>0.4</x:v>
      </x:c>
      <x:c r="K490" s="48" t="str">
        <x:v>Yes</x:v>
      </x:c>
      <x:c r="L490" s="48" t="str">
        <x:v>OCR</x:v>
      </x:c>
    </x:row>
    <x:row r="491">
      <x:c r="A491" s="48" t="str">
        <x:v>SILVER-0490</x:v>
      </x:c>
      <x:c r="B491" s="48" t="str">
        <x:v>SILVER</x:v>
      </x:c>
      <x:c r="C491" s="48" t="str">
        <x:v>Indonesian</x:v>
      </x:c>
      <x:c r="D491" s="48" t="n">
        <x:v>67</x:v>
      </x:c>
      <x:c r="E491" s="48" t="str"/>
      <x:c r="F491" s="48" t="str">
        <x:v>pembebasan Tata menyancakan heran re Kran tuna menynatan peran dakorakan “unt Ketrg pntabaan Gr lewtan jong meralan tua oran Pendant Sem drg Sanga WS Sya 147 Mts fertear.</x:v>
      </x:c>
      <x:c r="G491" s="48" t="str">
        <x:v>Obligation</x:v>
      </x:c>
      <x:c r="H491" s="48" t="str">
        <x:v>Shared</x:v>
      </x:c>
      <x:c r="I491" s="48" t="n">
        <x:v>0.45</x:v>
      </x:c>
      <x:c r="J491" s="48" t="n">
        <x:v>0.4</x:v>
      </x:c>
      <x:c r="K491" s="48" t="str">
        <x:v>Yes</x:v>
      </x:c>
      <x:c r="L491" s="48" t="str">
        <x:v>OCR</x:v>
      </x:c>
    </x:row>
    <x:row r="492">
      <x:c r="A492" s="48" t="str">
        <x:v>SILVER-0491</x:v>
      </x:c>
      <x:c r="B492" s="48" t="str">
        <x:v>SILVER</x:v>
      </x:c>
      <x:c r="C492" s="48" t="str">
        <x:v>Indonesian</x:v>
      </x:c>
      <x:c r="D492" s="48" t="n">
        <x:v>67</x:v>
      </x:c>
      <x:c r="E492" s="48" t="str"/>
      <x:c r="F492" s="48" t="str">
        <x:v>Pengentan Kawan Feraro Lan Wu mera hewan Ica Ker WAK aa Yara</x:v>
      </x:c>
      <x:c r="G492" s="48" t="str">
        <x:v>Obligation</x:v>
      </x:c>
      <x:c r="H492" s="48" t="str">
        <x:v>Shared</x:v>
      </x:c>
      <x:c r="I492" s="48" t="n">
        <x:v>0.45</x:v>
      </x:c>
      <x:c r="J492" s="48" t="n">
        <x:v>0.4</x:v>
      </x:c>
      <x:c r="K492" s="48" t="str">
        <x:v>Yes</x:v>
      </x:c>
      <x:c r="L492" s="48" t="str">
        <x:v>OCR</x:v>
      </x:c>
    </x:row>
    <x:row r="493">
      <x:c r="A493" s="48" t="str">
        <x:v>SILVER-0492</x:v>
      </x:c>
      <x:c r="B493" s="48" t="str">
        <x:v>SILVER</x:v>
      </x:c>
      <x:c r="C493" s="48" t="str">
        <x:v>Indonesian</x:v>
      </x:c>
      <x:c r="D493" s="48" t="n">
        <x:v>67</x:v>
      </x:c>
      <x:c r="E493" s="48" t="str"/>
      <x:c r="F493" s="48" t="str">
        <x:v>penanda terimatan sa betta Kotor au pemeran Pejantan &amp; oreemn Men Lunn maaa enam</x:v>
      </x:c>
      <x:c r="G493" s="48" t="str">
        <x:v>Obligation</x:v>
      </x:c>
      <x:c r="H493" s="48" t="str">
        <x:v>Shared</x:v>
      </x:c>
      <x:c r="I493" s="48" t="n">
        <x:v>0.45</x:v>
      </x:c>
      <x:c r="J493" s="48" t="n">
        <x:v>0.4</x:v>
      </x:c>
      <x:c r="K493" s="48" t="str">
        <x:v>Yes</x:v>
      </x:c>
      <x:c r="L493" s="48" t="str">
        <x:v>OCR</x:v>
      </x:c>
    </x:row>
    <x:row r="494">
      <x:c r="A494" s="48" t="str">
        <x:v>SILVER-0493</x:v>
      </x:c>
      <x:c r="B494" s="48" t="str">
        <x:v>SILVER</x:v>
      </x:c>
      <x:c r="C494" s="48" t="str">
        <x:v>Indonesian</x:v>
      </x:c>
      <x:c r="D494" s="48" t="n">
        <x:v>68</x:v>
      </x:c>
      <x:c r="E494" s="48" t="str"/>
      <x:c r="F494" s="48" t="str">
        <x:v>(8 san oran ten) (ac It yag In sa prt Dat cra So Ter,</x:v>
      </x:c>
      <x:c r="G494" s="48" t="str">
        <x:v>Obligation</x:v>
      </x:c>
      <x:c r="H494" s="48" t="str">
        <x:v>Shared</x:v>
      </x:c>
      <x:c r="I494" s="48" t="n">
        <x:v>0.45</x:v>
      </x:c>
      <x:c r="J494" s="48" t="n">
        <x:v>0.4</x:v>
      </x:c>
      <x:c r="K494" s="48" t="str">
        <x:v>Yes</x:v>
      </x:c>
      <x:c r="L494" s="48" t="str">
        <x:v>OCR</x:v>
      </x:c>
    </x:row>
    <x:row r="495">
      <x:c r="A495" s="48" t="str">
        <x:v>SILVER-0494</x:v>
      </x:c>
      <x:c r="B495" s="48" t="str">
        <x:v>SILVER</x:v>
      </x:c>
      <x:c r="C495" s="48" t="str">
        <x:v>Indonesian</x:v>
      </x:c>
      <x:c r="D495" s="48" t="n">
        <x:v>68</x:v>
      </x:c>
      <x:c r="E495" s="48" t="str"/>
      <x:c r="F495" s="48" t="str">
        <x:v>PAMA daan Tn Pa as bar eyang Si Mada</x:v>
      </x:c>
      <x:c r="G495" s="48" t="str">
        <x:v>Obligation</x:v>
      </x:c>
      <x:c r="H495" s="48" t="str">
        <x:v>Shared</x:v>
      </x:c>
      <x:c r="I495" s="48" t="n">
        <x:v>0.45</x:v>
      </x:c>
      <x:c r="J495" s="48" t="n">
        <x:v>0.4</x:v>
      </x:c>
      <x:c r="K495" s="48" t="str">
        <x:v>Yes</x:v>
      </x:c>
      <x:c r="L495" s="48" t="str">
        <x:v>OCR</x:v>
      </x:c>
    </x:row>
    <x:row r="496">
      <x:c r="A496" s="48" t="str">
        <x:v>SILVER-0495</x:v>
      </x:c>
      <x:c r="B496" s="48" t="str">
        <x:v>SILVER</x:v>
      </x:c>
      <x:c r="C496" s="48" t="str">
        <x:v>Indonesian</x:v>
      </x:c>
      <x:c r="D496" s="48" t="n">
        <x:v>68</x:v>
      </x:c>
      <x:c r="E496" s="48" t="str"/>
      <x:c r="F496" s="48" t="str">
        <x:v>Man wi Sibibunta 1 Kak on mental loan Pargara teramat kwnta yrg meras broordarasna, da henakan Praira “aradken taon On panbawanyageLergana enymeanan ea Arga La abang</x:v>
      </x:c>
      <x:c r="G496" s="48" t="str">
        <x:v>Obligation</x:v>
      </x:c>
      <x:c r="H496" s="48" t="str">
        <x:v>Shared</x:v>
      </x:c>
      <x:c r="I496" s="48" t="n">
        <x:v>0.45</x:v>
      </x:c>
      <x:c r="J496" s="48" t="n">
        <x:v>0.4</x:v>
      </x:c>
      <x:c r="K496" s="48" t="str">
        <x:v>Yes</x:v>
      </x:c>
      <x:c r="L496" s="48" t="str">
        <x:v>OCR</x:v>
      </x:c>
    </x:row>
    <x:row r="497">
      <x:c r="A497" s="48" t="str">
        <x:v>SILVER-0496</x:v>
      </x:c>
      <x:c r="B497" s="48" t="str">
        <x:v>SILVER</x:v>
      </x:c>
      <x:c r="C497" s="48" t="str">
        <x:v>Indonesian</x:v>
      </x:c>
      <x:c r="D497" s="48" t="n">
        <x:v>68</x:v>
      </x:c>
      <x:c r="E497" s="48" t="str"/>
      <x:c r="F497" s="48" t="str">
        <x:v>Tara Ku ata Batan daan ma ra yng oaukan ck Peetan</x:v>
      </x:c>
      <x:c r="G497" s="48" t="str">
        <x:v>Obligation</x:v>
      </x:c>
      <x:c r="H497" s="48" t="str">
        <x:v>Shared</x:v>
      </x:c>
      <x:c r="I497" s="48" t="n">
        <x:v>0.45</x:v>
      </x:c>
      <x:c r="J497" s="48" t="n">
        <x:v>0.4</x:v>
      </x:c>
      <x:c r="K497" s="48" t="str">
        <x:v>Yes</x:v>
      </x:c>
      <x:c r="L497" s="48" t="str">
        <x:v>OCR</x:v>
      </x:c>
    </x:row>
    <x:row r="498">
      <x:c r="A498" s="48" t="str">
        <x:v>SILVER-0497</x:v>
      </x:c>
      <x:c r="B498" s="48" t="str">
        <x:v>SILVER</x:v>
      </x:c>
      <x:c r="C498" s="48" t="str">
        <x:v>Indonesian</x:v>
      </x:c>
      <x:c r="D498" s="48" t="n">
        <x:v>68</x:v>
      </x:c>
      <x:c r="E498" s="48" t="str"/>
      <x:c r="F498" s="48" t="str">
        <x:v>Karvak Kos pb loan nam Pony Kuan #reta mcact</x:v>
      </x:c>
      <x:c r="G498" s="48" t="str">
        <x:v>Obligation</x:v>
      </x:c>
      <x:c r="H498" s="48" t="str">
        <x:v>Shared</x:v>
      </x:c>
      <x:c r="I498" s="48" t="n">
        <x:v>0.45</x:v>
      </x:c>
      <x:c r="J498" s="48" t="n">
        <x:v>0.4</x:v>
      </x:c>
      <x:c r="K498" s="48" t="str">
        <x:v>Yes</x:v>
      </x:c>
      <x:c r="L498" s="48" t="str">
        <x:v>OCR</x:v>
      </x:c>
    </x:row>
    <x:row r="499">
      <x:c r="A499" s="48" t="str">
        <x:v>SILVER-0498</x:v>
      </x:c>
      <x:c r="B499" s="48" t="str">
        <x:v>SILVER</x:v>
      </x:c>
      <x:c r="C499" s="48" t="str">
        <x:v>Indonesian</x:v>
      </x:c>
      <x:c r="D499" s="48" t="n">
        <x:v>68</x:v>
      </x:c>
      <x:c r="E499" s="48" t="str"/>
      <x:c r="F499" s="48" t="str">
        <x:v>Lem antem urg pertaa Pana daan eaga tt</x:v>
      </x:c>
      <x:c r="G499" s="48" t="str">
        <x:v>Obligation</x:v>
      </x:c>
      <x:c r="H499" s="48" t="str">
        <x:v>Shared</x:v>
      </x:c>
      <x:c r="I499" s="48" t="n">
        <x:v>0.45</x:v>
      </x:c>
      <x:c r="J499" s="48" t="n">
        <x:v>0.4</x:v>
      </x:c>
      <x:c r="K499" s="48" t="str">
        <x:v>Yes</x:v>
      </x:c>
      <x:c r="L499" s="48" t="str">
        <x:v>OCR</x:v>
      </x:c>
    </x:row>
    <x:row r="500">
      <x:c r="A500" s="48" t="str">
        <x:v>SILVER-0499</x:v>
      </x:c>
      <x:c r="B500" s="48" t="str">
        <x:v>SILVER</x:v>
      </x:c>
      <x:c r="C500" s="48" t="str">
        <x:v>Indonesian</x:v>
      </x:c>
      <x:c r="D500" s="48" t="n">
        <x:v>68</x:v>
      </x:c>
      <x:c r="E500" s="48" t="str"/>
      <x:c r="F500" s="48" t="str">
        <x:v>(8 Sebatas Kerak daan ana Gn an rgs:</x:v>
      </x:c>
      <x:c r="G500" s="48" t="str">
        <x:v>Obligation</x:v>
      </x:c>
      <x:c r="H500" s="48" t="str">
        <x:v>Shared</x:v>
      </x:c>
      <x:c r="I500" s="48" t="n">
        <x:v>0.45</x:v>
      </x:c>
      <x:c r="J500" s="48" t="n">
        <x:v>0.4</x:v>
      </x:c>
      <x:c r="K500" s="48" t="str">
        <x:v>Yes</x:v>
      </x:c>
      <x:c r="L500" s="48" t="str">
        <x:v>OCR</x:v>
      </x:c>
    </x:row>
    <x:row r="501">
      <x:c r="A501" s="48" t="str">
        <x:v>SILVER-0500</x:v>
      </x:c>
      <x:c r="B501" s="48" t="str">
        <x:v>SILVER</x:v>
      </x:c>
      <x:c r="C501" s="48" t="str">
        <x:v>Indonesian</x:v>
      </x:c>
      <x:c r="D501" s="48" t="n">
        <x:v>68</x:v>
      </x:c>
      <x:c r="E501" s="48" t="str">
        <x:v>0</x:v>
      </x:c>
      <x:c r="F501" s="48" t="str">
        <x:v>0 PEDE Ia era kt Lag La can Ara Gan</x:v>
      </x:c>
      <x:c r="G501" s="48" t="str">
        <x:v>Heading</x:v>
      </x:c>
      <x:c r="H501" s="48" t="str"/>
      <x:c r="I501" s="48" t="n">
        <x:v>0.9</x:v>
      </x:c>
      <x:c r="J501" s="48" t="n">
        <x:v>0.99</x:v>
      </x:c>
      <x:c r="K501" s="48" t="str">
        <x:v>No</x:v>
      </x:c>
      <x:c r="L501" s="48" t="str">
        <x:v>OCR</x:v>
      </x:c>
    </x:row>
    <x:row r="502">
      <x:c r="A502" s="48" t="str">
        <x:v>SILVER-0501</x:v>
      </x:c>
      <x:c r="B502" s="48" t="str">
        <x:v>SILVER</x:v>
      </x:c>
      <x:c r="C502" s="48" t="str">
        <x:v>Indonesian</x:v>
      </x:c>
      <x:c r="D502" s="48" t="n">
        <x:v>68</x:v>
      </x:c>
      <x:c r="E502" s="48" t="str"/>
      <x:c r="F502" s="48" t="str">
        <x:v>Iki Ur Ktp jang Batan ian beftnganterbajan Tawa</x:v>
      </x:c>
      <x:c r="G502" s="48" t="str">
        <x:v>Obligation</x:v>
      </x:c>
      <x:c r="H502" s="48" t="str">
        <x:v>Shared</x:v>
      </x:c>
      <x:c r="I502" s="48" t="n">
        <x:v>0.45</x:v>
      </x:c>
      <x:c r="J502" s="48" t="n">
        <x:v>0.4</x:v>
      </x:c>
      <x:c r="K502" s="48" t="str">
        <x:v>Yes</x:v>
      </x:c>
      <x:c r="L502" s="48" t="str">
        <x:v>OCR</x:v>
      </x:c>
    </x:row>
    <x:row r="503">
      <x:c r="A503" s="48" t="str">
        <x:v>SILVER-0502</x:v>
      </x:c>
      <x:c r="B503" s="48" t="str">
        <x:v>SILVER</x:v>
      </x:c>
      <x:c r="C503" s="48" t="str">
        <x:v>Indonesian</x:v>
      </x:c>
      <x:c r="D503" s="48" t="n">
        <x:v>68</x:v>
      </x:c>
      <x:c r="E503" s="48" t="str"/>
      <x:c r="F503" s="48" t="str">
        <x:v>Dear antanen ken ran con Ma aslam</x:v>
      </x:c>
      <x:c r="G503" s="48" t="str">
        <x:v>Obligation</x:v>
      </x:c>
      <x:c r="H503" s="48" t="str">
        <x:v>Shared</x:v>
      </x:c>
      <x:c r="I503" s="48" t="n">
        <x:v>0.45</x:v>
      </x:c>
      <x:c r="J503" s="48" t="n">
        <x:v>0.4</x:v>
      </x:c>
      <x:c r="K503" s="48" t="str">
        <x:v>Yes</x:v>
      </x:c>
      <x:c r="L503" s="48" t="str">
        <x:v>OCR</x:v>
      </x:c>
    </x:row>
    <x:row r="504">
      <x:c r="A504" s="48" t="str">
        <x:v>SILVER-0503</x:v>
      </x:c>
      <x:c r="B504" s="48" t="str">
        <x:v>SILVER</x:v>
      </x:c>
      <x:c r="C504" s="48" t="str">
        <x:v>Indonesian</x:v>
      </x:c>
      <x:c r="D504" s="48" t="n">
        <x:v>68</x:v>
      </x:c>
      <x:c r="E504" s="48" t="str"/>
      <x:c r="F504" s="48" t="str">
        <x:v>(endenaaban na. tenbagam din pewangan berasa SiKorusa Ya Dia Catrgr d1 MO Mam 137 PeneuamnataPonenPra</x:v>
      </x:c>
      <x:c r="G504" s="48" t="str">
        <x:v>Obligation</x:v>
      </x:c>
      <x:c r="H504" s="48" t="str">
        <x:v>Shared</x:v>
      </x:c>
      <x:c r="I504" s="48" t="n">
        <x:v>0.45</x:v>
      </x:c>
      <x:c r="J504" s="48" t="n">
        <x:v>0.4</x:v>
      </x:c>
      <x:c r="K504" s="48" t="str">
        <x:v>Yes</x:v>
      </x:c>
      <x:c r="L504" s="48" t="str">
        <x:v>OCR</x:v>
      </x:c>
    </x:row>
    <x:row r="505">
      <x:c r="A505" s="48" t="str">
        <x:v>SILVER-0504</x:v>
      </x:c>
      <x:c r="B505" s="48" t="str">
        <x:v>SILVER</x:v>
      </x:c>
      <x:c r="C505" s="48" t="str">
        <x:v>Indonesian</x:v>
      </x:c>
      <x:c r="D505" s="48" t="n">
        <x:v>68</x:v>
      </x:c>
      <x:c r="E505" s="48" t="str"/>
      <x:c r="F505" s="48" t="str">
        <x:v>Par Dan Gam LS Pra La So</x:v>
      </x:c>
      <x:c r="G505" s="48" t="str">
        <x:v>Obligation</x:v>
      </x:c>
      <x:c r="H505" s="48" t="str">
        <x:v>Shared</x:v>
      </x:c>
      <x:c r="I505" s="48" t="n">
        <x:v>0.45</x:v>
      </x:c>
      <x:c r="J505" s="48" t="n">
        <x:v>0.4</x:v>
      </x:c>
      <x:c r="K505" s="48" t="str">
        <x:v>Yes</x:v>
      </x:c>
      <x:c r="L505" s="48" t="str">
        <x:v>OCR</x:v>
      </x:c>
    </x:row>
    <x:row r="506">
      <x:c r="A506" s="48" t="str">
        <x:v>SILVER-0505</x:v>
      </x:c>
      <x:c r="B506" s="48" t="str">
        <x:v>SILVER</x:v>
      </x:c>
      <x:c r="C506" s="48" t="str">
        <x:v>Indonesian</x:v>
      </x:c>
      <x:c r="D506" s="48" t="n">
        <x:v>68</x:v>
      </x:c>
      <x:c r="E506" s="48" t="str"/>
      <x:c r="F506" s="48" t="str">
        <x:v>(@ ente perguruan bacaan pongaPnag Kl Biak 14 Dota wak Pujaan Sunu Ps nba (kurir dn pes ntagarar Gnytaan dam Meng tas</x:v>
      </x:c>
      <x:c r="G506" s="48" t="str">
        <x:v>Obligation</x:v>
      </x:c>
      <x:c r="H506" s="48" t="str">
        <x:v>Shared</x:v>
      </x:c>
      <x:c r="I506" s="48" t="n">
        <x:v>0.45</x:v>
      </x:c>
      <x:c r="J506" s="48" t="n">
        <x:v>0.4</x:v>
      </x:c>
      <x:c r="K506" s="48" t="str">
        <x:v>Yes</x:v>
      </x:c>
      <x:c r="L506" s="48" t="str">
        <x:v>OCR</x:v>
      </x:c>
    </x:row>
    <x:row r="507">
      <x:c r="A507" s="48" t="str">
        <x:v>SILVER-0506</x:v>
      </x:c>
      <x:c r="B507" s="48" t="str">
        <x:v>SILVER</x:v>
      </x:c>
      <x:c r="C507" s="48" t="str">
        <x:v>Indonesian</x:v>
      </x:c>
      <x:c r="D507" s="48" t="n">
        <x:v>68</x:v>
      </x:c>
      <x:c r="E507" s="48" t="str"/>
      <x:c r="F507" s="48" t="str">
        <x:v>II perban era segara oditan dn Penanaman aan</x:v>
      </x:c>
      <x:c r="G507" s="48" t="str">
        <x:v>Obligation</x:v>
      </x:c>
      <x:c r="H507" s="48" t="str">
        <x:v>Shared</x:v>
      </x:c>
      <x:c r="I507" s="48" t="n">
        <x:v>0.45</x:v>
      </x:c>
      <x:c r="J507" s="48" t="n">
        <x:v>0.4</x:v>
      </x:c>
      <x:c r="K507" s="48" t="str">
        <x:v>Yes</x:v>
      </x:c>
      <x:c r="L507" s="48" t="str">
        <x:v>OCR</x:v>
      </x:c>
    </x:row>
    <x:row r="508">
      <x:c r="A508" s="48" t="str">
        <x:v>SILVER-0507</x:v>
      </x:c>
      <x:c r="B508" s="48" t="str">
        <x:v>SILVER</x:v>
      </x:c>
      <x:c r="C508" s="48" t="str">
        <x:v>Indonesian</x:v>
      </x:c>
      <x:c r="D508" s="48" t="n">
        <x:v>68</x:v>
      </x:c>
      <x:c r="E508" s="48" t="str"/>
      <x:c r="F508" s="48" t="str">
        <x:v>ular Gb ra ng Gan DOTOT bsa Gabusan Gak</x:v>
      </x:c>
      <x:c r="G508" s="48" t="str">
        <x:v>Obligation</x:v>
      </x:c>
      <x:c r="H508" s="48" t="str">
        <x:v>Shared</x:v>
      </x:c>
      <x:c r="I508" s="48" t="n">
        <x:v>0.45</x:v>
      </x:c>
      <x:c r="J508" s="48" t="n">
        <x:v>0.4</x:v>
      </x:c>
      <x:c r="K508" s="48" t="str">
        <x:v>Yes</x:v>
      </x:c>
      <x:c r="L508" s="48" t="str">
        <x:v>OCR</x:v>
      </x:c>
    </x:row>
    <x:row r="509">
      <x:c r="A509" s="48" t="str">
        <x:v>SILVER-0508</x:v>
      </x:c>
      <x:c r="B509" s="48" t="str">
        <x:v>SILVER</x:v>
      </x:c>
      <x:c r="C509" s="48" t="str">
        <x:v>Indonesian</x:v>
      </x:c>
      <x:c r="D509" s="48" t="n">
        <x:v>68</x:v>
      </x:c>
      <x:c r="E509" s="48" t="str"/>
      <x:c r="F509" s="48" t="str">
        <x:v>Pengaman</x:v>
      </x:c>
      <x:c r="G509" s="48" t="str">
        <x:v>Obligation</x:v>
      </x:c>
      <x:c r="H509" s="48" t="str">
        <x:v>Shared</x:v>
      </x:c>
      <x:c r="I509" s="48" t="n">
        <x:v>0.45</x:v>
      </x:c>
      <x:c r="J509" s="48" t="n">
        <x:v>0.4</x:v>
      </x:c>
      <x:c r="K509" s="48" t="str">
        <x:v>Yes</x:v>
      </x:c>
      <x:c r="L509" s="48" t="str">
        <x:v>OCR</x:v>
      </x:c>
    </x:row>
    <x:row r="510">
      <x:c r="A510" s="48" t="str">
        <x:v>SILVER-0509</x:v>
      </x:c>
      <x:c r="B510" s="48" t="str">
        <x:v>SILVER</x:v>
      </x:c>
      <x:c r="C510" s="48" t="str">
        <x:v>Indonesian</x:v>
      </x:c>
      <x:c r="D510" s="48" t="n">
        <x:v>68</x:v>
      </x:c>
      <x:c r="E510" s="48" t="str">
        <x:v>1</x:v>
      </x:c>
      <x:c r="F510" s="48" t="str">
        <x:v>1 Sean ac PergaIn De Kr ea alasan Gen</x:v>
      </x:c>
      <x:c r="G510" s="48" t="str">
        <x:v>Heading</x:v>
      </x:c>
      <x:c r="H510" s="48" t="str"/>
      <x:c r="I510" s="48" t="n">
        <x:v>0.9</x:v>
      </x:c>
      <x:c r="J510" s="48" t="n">
        <x:v>0.99</x:v>
      </x:c>
      <x:c r="K510" s="48" t="str">
        <x:v>No</x:v>
      </x:c>
      <x:c r="L510" s="48" t="str">
        <x:v>OCR</x:v>
      </x:c>
    </x:row>
    <x:row r="511">
      <x:c r="A511" s="48" t="str">
        <x:v>SILVER-0510</x:v>
      </x:c>
      <x:c r="B511" s="48" t="str">
        <x:v>SILVER</x:v>
      </x:c>
      <x:c r="C511" s="48" t="str">
        <x:v>Indonesian</x:v>
      </x:c>
      <x:c r="D511" s="48" t="n">
        <x:v>68</x:v>
      </x:c>
      <x:c r="E511" s="48" t="str"/>
      <x:c r="F511" s="48" t="str">
        <x:v>Menur mar IMAN AU Gkokatan ch Pengaya Jan dam</x:v>
      </x:c>
      <x:c r="G511" s="48" t="str">
        <x:v>Obligation</x:v>
      </x:c>
      <x:c r="H511" s="48" t="str">
        <x:v>Shared</x:v>
      </x:c>
      <x:c r="I511" s="48" t="n">
        <x:v>0.45</x:v>
      </x:c>
      <x:c r="J511" s="48" t="n">
        <x:v>0.4</x:v>
      </x:c>
      <x:c r="K511" s="48" t="str">
        <x:v>Yes</x:v>
      </x:c>
      <x:c r="L511" s="48" t="str">
        <x:v>OCR</x:v>
      </x:c>
    </x:row>
    <x:row r="512">
      <x:c r="A512" s="48" t="str">
        <x:v>SILVER-0511</x:v>
      </x:c>
      <x:c r="B512" s="48" t="str">
        <x:v>SILVER</x:v>
      </x:c>
      <x:c r="C512" s="48" t="str">
        <x:v>Indonesian</x:v>
      </x:c>
      <x:c r="D512" s="48" t="n">
        <x:v>68</x:v>
      </x:c>
      <x:c r="E512" s="48" t="str"/>
      <x:c r="F512" s="48" t="str">
        <x:v>Pan Uru pLana go Untan Sen bag PP</x:v>
      </x:c>
      <x:c r="G512" s="48" t="str">
        <x:v>Obligation</x:v>
      </x:c>
      <x:c r="H512" s="48" t="str">
        <x:v>Shared</x:v>
      </x:c>
      <x:c r="I512" s="48" t="n">
        <x:v>0.45</x:v>
      </x:c>
      <x:c r="J512" s="48" t="n">
        <x:v>0.4</x:v>
      </x:c>
      <x:c r="K512" s="48" t="str">
        <x:v>Yes</x:v>
      </x:c>
      <x:c r="L512" s="48" t="str">
        <x:v>OCR</x:v>
      </x:c>
    </x:row>
    <x:row r="513">
      <x:c r="A513" s="48" t="str">
        <x:v>SILVER-0512</x:v>
      </x:c>
      <x:c r="B513" s="48" t="str">
        <x:v>SILVER</x:v>
      </x:c>
      <x:c r="C513" s="48" t="str">
        <x:v>Indonesian</x:v>
      </x:c>
      <x:c r="D513" s="48" t="n">
        <x:v>68</x:v>
      </x:c>
      <x:c r="E513" s="48" t="str"/>
      <x:c r="F513" s="48" t="str">
        <x:v>(eta an yag Pata Gan can Ker oa Porara Jasa Akan at mana Merta mama kr year darma Prgara.</x:v>
      </x:c>
      <x:c r="G513" s="48" t="str">
        <x:v>Obligation</x:v>
      </x:c>
      <x:c r="H513" s="48" t="str">
        <x:v>Shared</x:v>
      </x:c>
      <x:c r="I513" s="48" t="n">
        <x:v>0.45</x:v>
      </x:c>
      <x:c r="J513" s="48" t="n">
        <x:v>0.4</x:v>
      </x:c>
      <x:c r="K513" s="48" t="str">
        <x:v>Yes</x:v>
      </x:c>
      <x:c r="L513" s="48" t="str">
        <x:v>OCR</x:v>
      </x:c>
    </x:row>
    <x:row r="514">
      <x:c r="A514" s="48" t="str">
        <x:v>SILVER-0513</x:v>
      </x:c>
      <x:c r="B514" s="48" t="str">
        <x:v>SILVER</x:v>
      </x:c>
      <x:c r="C514" s="48" t="str">
        <x:v>Indonesian</x:v>
      </x:c>
      <x:c r="D514" s="48" t="n">
        <x:v>68</x:v>
      </x:c>
      <x:c r="E514" s="48" t="str"/>
      <x:c r="F514" s="48" t="str">
        <x:v>Sam hasi Kotak diam ma Lerg Web, Pra aa Gr</x:v>
      </x:c>
      <x:c r="G514" s="48" t="str">
        <x:v>Obligation</x:v>
      </x:c>
      <x:c r="H514" s="48" t="str">
        <x:v>Shared</x:v>
      </x:c>
      <x:c r="I514" s="48" t="n">
        <x:v>0.45</x:v>
      </x:c>
      <x:c r="J514" s="48" t="n">
        <x:v>0.4</x:v>
      </x:c>
      <x:c r="K514" s="48" t="str">
        <x:v>Yes</x:v>
      </x:c>
      <x:c r="L514" s="48" t="str">
        <x:v>OCR</x:v>
      </x:c>
    </x:row>
    <x:row r="515">
      <x:c r="A515" s="48" t="str">
        <x:v>SILVER-0514</x:v>
      </x:c>
      <x:c r="B515" s="48" t="str">
        <x:v>SILVER</x:v>
      </x:c>
      <x:c r="C515" s="48" t="str">
        <x:v>Indonesian</x:v>
      </x:c>
      <x:c r="D515" s="48" t="n">
        <x:v>68</x:v>
      </x:c>
      <x:c r="E515" s="48" t="str"/>
      <x:c r="F515" s="48" t="str">
        <x:v>En Mr La ang Me Bai</x:v>
      </x:c>
      <x:c r="G515" s="48" t="str">
        <x:v>Obligation</x:v>
      </x:c>
      <x:c r="H515" s="48" t="str">
        <x:v>Shared</x:v>
      </x:c>
      <x:c r="I515" s="48" t="n">
        <x:v>0.45</x:v>
      </x:c>
      <x:c r="J515" s="48" t="n">
        <x:v>0.4</x:v>
      </x:c>
      <x:c r="K515" s="48" t="str">
        <x:v>Yes</x:v>
      </x:c>
      <x:c r="L515" s="48" t="str">
        <x:v>OCR</x:v>
      </x:c>
    </x:row>
    <x:row r="516">
      <x:c r="A516" s="48" t="str">
        <x:v>SILVER-0515</x:v>
      </x:c>
      <x:c r="B516" s="48" t="str">
        <x:v>SILVER</x:v>
      </x:c>
      <x:c r="C516" s="48" t="str">
        <x:v>Indonesian</x:v>
      </x:c>
      <x:c r="D516" s="48" t="n">
        <x:v>68</x:v>
      </x:c>
      <x:c r="E516" s="48" t="str"/>
      <x:c r="F516" s="48" t="str">
        <x:v>Meri Gg mam ran</x:v>
      </x:c>
      <x:c r="G516" s="48" t="str">
        <x:v>Obligation</x:v>
      </x:c>
      <x:c r="H516" s="48" t="str">
        <x:v>Shared</x:v>
      </x:c>
      <x:c r="I516" s="48" t="n">
        <x:v>0.45</x:v>
      </x:c>
      <x:c r="J516" s="48" t="n">
        <x:v>0.4</x:v>
      </x:c>
      <x:c r="K516" s="48" t="str">
        <x:v>Yes</x:v>
      </x:c>
      <x:c r="L516" s="48" t="str">
        <x:v>OCR</x:v>
      </x:c>
    </x:row>
    <x:row r="517">
      <x:c r="A517" s="48" t="str">
        <x:v>SILVER-0516</x:v>
      </x:c>
      <x:c r="B517" s="48" t="str">
        <x:v>SILVER</x:v>
      </x:c>
      <x:c r="C517" s="48" t="str">
        <x:v>Indonesian</x:v>
      </x:c>
      <x:c r="D517" s="48" t="n">
        <x:v>68</x:v>
      </x:c>
      <x:c r="E517" s="48" t="str"/>
      <x:c r="F517" s="48" t="str">
        <x:v>ja en satosparta Larpngaryaan Gaunkerm rasa tenaan</x:v>
      </x:c>
      <x:c r="G517" s="48" t="str">
        <x:v>Obligation</x:v>
      </x:c>
      <x:c r="H517" s="48" t="str">
        <x:v>Shared</x:v>
      </x:c>
      <x:c r="I517" s="48" t="n">
        <x:v>0.45</x:v>
      </x:c>
      <x:c r="J517" s="48" t="n">
        <x:v>0.4</x:v>
      </x:c>
      <x:c r="K517" s="48" t="str">
        <x:v>Yes</x:v>
      </x:c>
      <x:c r="L517" s="48" t="str">
        <x:v>OCR</x:v>
      </x:c>
    </x:row>
    <x:row r="518">
      <x:c r="A518" s="48" t="str">
        <x:v>SILVER-0517</x:v>
      </x:c>
      <x:c r="B518" s="48" t="str">
        <x:v>SILVER</x:v>
      </x:c>
      <x:c r="C518" s="48" t="str">
        <x:v>Indonesian</x:v>
      </x:c>
      <x:c r="D518" s="48" t="n">
        <x:v>68</x:v>
      </x:c>
      <x:c r="E518" s="48" t="str"/>
      <x:c r="F518" s="48" t="str">
        <x:v>Iu beku paca Trggs Dan Gin aan cah De sr Nagan</x:v>
      </x:c>
      <x:c r="G518" s="48" t="str">
        <x:v>Obligation</x:v>
      </x:c>
      <x:c r="H518" s="48" t="str">
        <x:v>Shared</x:v>
      </x:c>
      <x:c r="I518" s="48" t="n">
        <x:v>0.45</x:v>
      </x:c>
      <x:c r="J518" s="48" t="n">
        <x:v>0.4</x:v>
      </x:c>
      <x:c r="K518" s="48" t="str">
        <x:v>Yes</x:v>
      </x:c>
      <x:c r="L518" s="48" t="str">
        <x:v>OCR</x:v>
      </x:c>
    </x:row>
    <x:row r="519">
      <x:c r="A519" s="48" t="str">
        <x:v>SILVER-0518</x:v>
      </x:c>
      <x:c r="B519" s="48" t="str">
        <x:v>SILVER</x:v>
      </x:c>
      <x:c r="C519" s="48" t="str">
        <x:v>Indonesian</x:v>
      </x:c>
      <x:c r="D519" s="48" t="n">
        <x:v>69</x:v>
      </x:c>
      <x:c r="E519" s="48" t="str"/>
      <x:c r="F519" s="48" t="str">
        <x:v>Amtk Petakan “as Gro pontfuan Gt meme Krmaer ur menga ga</x:v>
      </x:c>
      <x:c r="G519" s="48" t="str">
        <x:v>Obligation</x:v>
      </x:c>
      <x:c r="H519" s="48" t="str">
        <x:v>Shared</x:v>
      </x:c>
      <x:c r="I519" s="48" t="n">
        <x:v>0.45</x:v>
      </x:c>
      <x:c r="J519" s="48" t="n">
        <x:v>0.4</x:v>
      </x:c>
      <x:c r="K519" s="48" t="str">
        <x:v>Yes</x:v>
      </x:c>
      <x:c r="L519" s="48" t="str">
        <x:v>OCR</x:v>
      </x:c>
    </x:row>
    <x:row r="520">
      <x:c r="A520" s="48" t="str">
        <x:v>SILVER-0519</x:v>
      </x:c>
      <x:c r="B520" s="48" t="str">
        <x:v>SILVER</x:v>
      </x:c>
      <x:c r="C520" s="48" t="str">
        <x:v>Indonesian</x:v>
      </x:c>
      <x:c r="D520" s="48" t="n">
        <x:v>69</x:v>
      </x:c>
      <x:c r="E520" s="48" t="str"/>
      <x:c r="F520" s="48" t="str">
        <x:v>Pemiinan dah PENAK DNKULA Mean pemAsaN Ketat Kama</x:v>
      </x:c>
      <x:c r="G520" s="48" t="str">
        <x:v>Obligation</x:v>
      </x:c>
      <x:c r="H520" s="48" t="str">
        <x:v>Shared</x:v>
      </x:c>
      <x:c r="I520" s="48" t="n">
        <x:v>0.45</x:v>
      </x:c>
      <x:c r="J520" s="48" t="n">
        <x:v>0.4</x:v>
      </x:c>
      <x:c r="K520" s="48" t="str">
        <x:v>Yes</x:v>
      </x:c>
      <x:c r="L520" s="48" t="str">
        <x:v>OCR</x:v>
      </x:c>
    </x:row>
    <x:row r="521">
      <x:c r="A521" s="48" t="str">
        <x:v>SILVER-0520</x:v>
      </x:c>
      <x:c r="B521" s="48" t="str">
        <x:v>SILVER</x:v>
      </x:c>
      <x:c r="C521" s="48" t="str">
        <x:v>Indonesian</x:v>
      </x:c>
      <x:c r="D521" s="48" t="n">
        <x:v>70</x:v>
      </x:c>
      <x:c r="E521" s="48" t="str"/>
      <x:c r="F521" s="48" t="str">
        <x:v>Pevita asn</x:v>
      </x:c>
      <x:c r="G521" s="48" t="str">
        <x:v>Obligation</x:v>
      </x:c>
      <x:c r="H521" s="48" t="str">
        <x:v>Shared</x:v>
      </x:c>
      <x:c r="I521" s="48" t="n">
        <x:v>0.45</x:v>
      </x:c>
      <x:c r="J521" s="48" t="n">
        <x:v>0.4</x:v>
      </x:c>
      <x:c r="K521" s="48" t="str">
        <x:v>Yes</x:v>
      </x:c>
      <x:c r="L521" s="48" t="str">
        <x:v>OCR</x:v>
      </x:c>
    </x:row>
    <x:row r="522">
      <x:c r="A522" s="48" t="str">
        <x:v>SILVER-0521</x:v>
      </x:c>
      <x:c r="B522" s="48" t="str">
        <x:v>SILVER</x:v>
      </x:c>
      <x:c r="C522" s="48" t="str">
        <x:v>Indonesian</x:v>
      </x:c>
      <x:c r="D522" s="48" t="n">
        <x:v>70</x:v>
      </x:c>
      <x:c r="E522" s="48" t="str"/>
      <x:c r="F522" s="48" t="str">
        <x:v>Tangga Penuaan</x:v>
      </x:c>
      <x:c r="G522" s="48" t="str">
        <x:v>Obligation</x:v>
      </x:c>
      <x:c r="H522" s="48" t="str">
        <x:v>Shared</x:v>
      </x:c>
      <x:c r="I522" s="48" t="n">
        <x:v>0.45</x:v>
      </x:c>
      <x:c r="J522" s="48" t="n">
        <x:v>0.4</x:v>
      </x:c>
      <x:c r="K522" s="48" t="str">
        <x:v>Yes</x:v>
      </x:c>
      <x:c r="L522" s="48" t="str">
        <x:v>OCR</x:v>
      </x:c>
    </x:row>
    <x:row r="523">
      <x:c r="A523" s="48" t="str">
        <x:v>SILVER-0522</x:v>
      </x:c>
      <x:c r="B523" s="48" t="str">
        <x:v>SILVER</x:v>
      </x:c>
      <x:c r="C523" s="48" t="str">
        <x:v>Indonesian</x:v>
      </x:c>
      <x:c r="D523" s="48" t="n">
        <x:v>70</x:v>
      </x:c>
      <x:c r="E523" s="48" t="str"/>
      <x:c r="F523" s="48" t="str">
        <x:v>Mak pengun da</x:v>
      </x:c>
      <x:c r="G523" s="48" t="str">
        <x:v>Obligation</x:v>
      </x:c>
      <x:c r="H523" s="48" t="str">
        <x:v>Shared</x:v>
      </x:c>
      <x:c r="I523" s="48" t="n">
        <x:v>0.45</x:v>
      </x:c>
      <x:c r="J523" s="48" t="n">
        <x:v>0.4</x:v>
      </x:c>
      <x:c r="K523" s="48" t="str">
        <x:v>Yes</x:v>
      </x:c>
      <x:c r="L523" s="48" t="str">
        <x:v>OCR</x:v>
      </x:c>
    </x:row>
    <x:row r="524">
      <x:c r="A524" s="48" t="str">
        <x:v>SILVER-0523</x:v>
      </x:c>
      <x:c r="B524" s="48" t="str">
        <x:v>SILVER</x:v>
      </x:c>
      <x:c r="C524" s="48" t="str">
        <x:v>Indonesian</x:v>
      </x:c>
      <x:c r="D524" s="48" t="n">
        <x:v>71</x:v>
      </x:c>
      <x:c r="E524" s="48" t="str"/>
      <x:c r="F524" s="48" t="str">
        <x:v>Perggira Jon mengemban Jariran Pekaaraa.</x:v>
      </x:c>
      <x:c r="G524" s="48" t="str">
        <x:v>Obligation</x:v>
      </x:c>
      <x:c r="H524" s="48" t="str">
        <x:v>Shared</x:v>
      </x:c>
      <x:c r="I524" s="48" t="n">
        <x:v>0.45</x:v>
      </x:c>
      <x:c r="J524" s="48" t="n">
        <x:v>0.4</x:v>
      </x:c>
      <x:c r="K524" s="48" t="str">
        <x:v>Yes</x:v>
      </x:c>
      <x:c r="L524" s="48" t="str">
        <x:v>OCR</x:v>
      </x:c>
    </x:row>
    <x:row r="525">
      <x:c r="A525" s="48" t="str">
        <x:v>SILVER-0524</x:v>
      </x:c>
      <x:c r="B525" s="48" t="str">
        <x:v>SILVER</x:v>
      </x:c>
      <x:c r="C525" s="48" t="str">
        <x:v>Indonesian</x:v>
      </x:c>
      <x:c r="D525" s="48" t="n">
        <x:v>71</x:v>
      </x:c>
      <x:c r="E525" s="48" t="str"/>
      <x:c r="F525" s="48" t="str">
        <x:v>Pergna Jasa tak boh ebian Denasa erik mruu 20 Kata Fi La matra ara</x:v>
      </x:c>
      <x:c r="G525" s="48" t="str">
        <x:v>Obligation</x:v>
      </x:c>
      <x:c r="H525" s="48" t="str">
        <x:v>Shared</x:v>
      </x:c>
      <x:c r="I525" s="48" t="n">
        <x:v>0.45</x:v>
      </x:c>
      <x:c r="J525" s="48" t="n">
        <x:v>0.4</x:v>
      </x:c>
      <x:c r="K525" s="48" t="str">
        <x:v>Yes</x:v>
      </x:c>
      <x:c r="L525" s="48" t="str">
        <x:v>OCR</x:v>
      </x:c>
    </x:row>
    <x:row r="526">
      <x:c r="A526" s="48" t="str">
        <x:v>SILVER-0525</x:v>
      </x:c>
      <x:c r="B526" s="48" t="str">
        <x:v>SILVER</x:v>
      </x:c>
      <x:c r="C526" s="48" t="str">
        <x:v>Indonesian</x:v>
      </x:c>
      <x:c r="D526" s="48" t="n">
        <x:v>71</x:v>
      </x:c>
      <x:c r="E526" s="48" t="str"/>
      <x:c r="F526" s="48" t="str">
        <x:v>Pena Taro apn Pan dksandan Oo keren</x:v>
      </x:c>
      <x:c r="G526" s="48" t="str">
        <x:v>Obligation</x:v>
      </x:c>
      <x:c r="H526" s="48" t="str">
        <x:v>Shared</x:v>
      </x:c>
      <x:c r="I526" s="48" t="n">
        <x:v>0.45</x:v>
      </x:c>
      <x:c r="J526" s="48" t="n">
        <x:v>0.4</x:v>
      </x:c>
      <x:c r="K526" s="48" t="str">
        <x:v>Yes</x:v>
      </x:c>
      <x:c r="L526" s="48" t="str">
        <x:v>OCR</x:v>
      </x:c>
    </x:row>
    <x:row r="527">
      <x:c r="A527" s="48" t="str">
        <x:v>SILVER-0526</x:v>
      </x:c>
      <x:c r="B527" s="48" t="str">
        <x:v>SILVER</x:v>
      </x:c>
      <x:c r="C527" s="48" t="str">
        <x:v>Indonesian</x:v>
      </x:c>
      <x:c r="D527" s="48" t="n">
        <x:v>71</x:v>
      </x:c>
      <x:c r="E527" s="48" t="str"/>
      <x:c r="F527" s="48" t="str">
        <x:v>Semu emisi Kerak Pata mena em Gran bada</x:v>
      </x:c>
      <x:c r="G527" s="48" t="str">
        <x:v>Obligation</x:v>
      </x:c>
      <x:c r="H527" s="48" t="str">
        <x:v>Shared</x:v>
      </x:c>
      <x:c r="I527" s="48" t="n">
        <x:v>0.45</x:v>
      </x:c>
      <x:c r="J527" s="48" t="n">
        <x:v>0.4</x:v>
      </x:c>
      <x:c r="K527" s="48" t="str">
        <x:v>Yes</x:v>
      </x:c>
      <x:c r="L527" s="48" t="str">
        <x:v>OCR</x:v>
      </x:c>
    </x:row>
    <x:row r="528">
      <x:c r="A528" s="48" t="str">
        <x:v>SILVER-0527</x:v>
      </x:c>
      <x:c r="B528" s="48" t="str">
        <x:v>SILVER</x:v>
      </x:c>
      <x:c r="C528" s="48" t="str">
        <x:v>Indonesian</x:v>
      </x:c>
      <x:c r="D528" s="48" t="n">
        <x:v>71</x:v>
      </x:c>
      <x:c r="E528" s="48" t="str"/>
      <x:c r="F528" s="48" t="str">
        <x:v>1063 Pauntn Pwejan din Perntan Prman Konate Tuna abaya ti ran So Kagada 15 Lrslax Pemutaran can</x:v>
      </x:c>
      <x:c r="G528" s="48" t="str">
        <x:v>Obligation</x:v>
      </x:c>
      <x:c r="H528" s="48" t="str">
        <x:v>Shared</x:v>
      </x:c>
      <x:c r="I528" s="48" t="n">
        <x:v>0.45</x:v>
      </x:c>
      <x:c r="J528" s="48" t="n">
        <x:v>0.4</x:v>
      </x:c>
      <x:c r="K528" s="48" t="str">
        <x:v>Yes</x:v>
      </x:c>
      <x:c r="L528" s="48" t="str">
        <x:v>OCR</x:v>
      </x:c>
    </x:row>
    <x:row r="529">
      <x:c r="A529" s="48" t="str">
        <x:v>SILVER-0528</x:v>
      </x:c>
      <x:c r="B529" s="48" t="str">
        <x:v>SILVER</x:v>
      </x:c>
      <x:c r="C529" s="48" t="str">
        <x:v>Indonesian</x:v>
      </x:c>
      <x:c r="D529" s="48" t="n">
        <x:v>71</x:v>
      </x:c>
      <x:c r="E529" s="48" t="str"/>
      <x:c r="F529" s="48" t="str">
        <x:v>Pembesar</x:v>
      </x:c>
      <x:c r="G529" s="48" t="str">
        <x:v>Obligation</x:v>
      </x:c>
      <x:c r="H529" s="48" t="str">
        <x:v>Shared</x:v>
      </x:c>
      <x:c r="I529" s="48" t="n">
        <x:v>0.45</x:v>
      </x:c>
      <x:c r="J529" s="48" t="n">
        <x:v>0.4</x:v>
      </x:c>
      <x:c r="K529" s="48" t="str">
        <x:v>Yes</x:v>
      </x:c>
      <x:c r="L529" s="48" t="str">
        <x:v>OCR</x:v>
      </x:c>
    </x:row>
    <x:row r="530">
      <x:c r="A530" s="48" t="str">
        <x:v>SILVER-0529</x:v>
      </x:c>
      <x:c r="B530" s="48" t="str">
        <x:v>SILVER</x:v>
      </x:c>
      <x:c r="C530" s="48" t="str">
        <x:v>Indonesian</x:v>
      </x:c>
      <x:c r="D530" s="48" t="n">
        <x:v>71</x:v>
      </x:c>
      <x:c r="E530" s="48" t="str"/>
      <x:c r="F530" s="48" t="str">
        <x:v>No oma srt</x:v>
      </x:c>
      <x:c r="G530" s="48" t="str">
        <x:v>Obligation</x:v>
      </x:c>
      <x:c r="H530" s="48" t="str">
        <x:v>Shared</x:v>
      </x:c>
      <x:c r="I530" s="48" t="n">
        <x:v>0.45</x:v>
      </x:c>
      <x:c r="J530" s="48" t="n">
        <x:v>0.4</x:v>
      </x:c>
      <x:c r="K530" s="48" t="str">
        <x:v>Yes</x:v>
      </x:c>
      <x:c r="L530" s="48" t="str">
        <x:v>OCR</x:v>
      </x:c>
    </x:row>
    <x:row r="531">
      <x:c r="A531" s="48" t="str">
        <x:v>SILVER-0530</x:v>
      </x:c>
      <x:c r="B531" s="48" t="str">
        <x:v>SILVER</x:v>
      </x:c>
      <x:c r="C531" s="48" t="str">
        <x:v>Indonesian</x:v>
      </x:c>
      <x:c r="D531" s="48" t="n">
        <x:v>71</x:v>
      </x:c>
      <x:c r="E531" s="48" t="str"/>
      <x:c r="F531" s="48" t="str">
        <x:v>Mak Kontan</x:v>
      </x:c>
      <x:c r="G531" s="48" t="str">
        <x:v>Obligation</x:v>
      </x:c>
      <x:c r="H531" s="48" t="str">
        <x:v>Shared</x:v>
      </x:c>
      <x:c r="I531" s="48" t="n">
        <x:v>0.45</x:v>
      </x:c>
      <x:c r="J531" s="48" t="n">
        <x:v>0.4</x:v>
      </x:c>
      <x:c r="K531" s="48" t="str">
        <x:v>Yes</x:v>
      </x:c>
      <x:c r="L531" s="48" t="str">
        <x:v>OCR</x:v>
      </x:c>
    </x:row>
    <x:row r="532">
      <x:c r="A532" s="48" t="str">
        <x:v>SILVER-0531</x:v>
      </x:c>
      <x:c r="B532" s="48" t="str">
        <x:v>SILVER</x:v>
      </x:c>
      <x:c r="C532" s="48" t="str">
        <x:v>Indonesian</x:v>
      </x:c>
      <x:c r="D532" s="48" t="n">
        <x:v>71</x:v>
      </x:c>
      <x:c r="E532" s="48" t="str"/>
      <x:c r="F532" s="48" t="str">
        <x:v>“ea Mongratian</x:v>
      </x:c>
      <x:c r="G532" s="48" t="str">
        <x:v>Obligation</x:v>
      </x:c>
      <x:c r="H532" s="48" t="str">
        <x:v>Shared</x:v>
      </x:c>
      <x:c r="I532" s="48" t="n">
        <x:v>0.45</x:v>
      </x:c>
      <x:c r="J532" s="48" t="n">
        <x:v>0.4</x:v>
      </x:c>
      <x:c r="K532" s="48" t="str">
        <x:v>Yes</x:v>
      </x:c>
      <x:c r="L532" s="48" t="str">
        <x:v>OCR</x:v>
      </x:c>
    </x:row>
    <x:row r="533">
      <x:c r="A533" s="48" t="str">
        <x:v>SILVER-0532</x:v>
      </x:c>
      <x:c r="B533" s="48" t="str">
        <x:v>SILVER</x:v>
      </x:c>
      <x:c r="C533" s="48" t="str">
        <x:v>Indonesian</x:v>
      </x:c>
      <x:c r="D533" s="48" t="n">
        <x:v>71</x:v>
      </x:c>
      <x:c r="E533" s="48" t="str"/>
      <x:c r="F533" s="48" t="str">
        <x:v>PEMPEGITKANBELLAKMETENNN SA KAM APrgasnkgan</x:v>
      </x:c>
      <x:c r="G533" s="48" t="str">
        <x:v>Obligation</x:v>
      </x:c>
      <x:c r="H533" s="48" t="str">
        <x:v>Shared</x:v>
      </x:c>
      <x:c r="I533" s="48" t="n">
        <x:v>0.45</x:v>
      </x:c>
      <x:c r="J533" s="48" t="n">
        <x:v>0.4</x:v>
      </x:c>
      <x:c r="K533" s="48" t="str">
        <x:v>Yes</x:v>
      </x:c>
      <x:c r="L533" s="48" t="str">
        <x:v>OCR</x:v>
      </x:c>
    </x:row>
    <x:row r="534">
      <x:c r="A534" s="48" t="str">
        <x:v>SILVER-0533</x:v>
      </x:c>
      <x:c r="B534" s="48" t="str">
        <x:v>SILVER</x:v>
      </x:c>
      <x:c r="C534" s="48" t="str">
        <x:v>Indonesian</x:v>
      </x:c>
      <x:c r="D534" s="48" t="n">
        <x:v>71</x:v>
      </x:c>
      <x:c r="E534" s="48" t="str"/>
      <x:c r="F534" s="48" t="str">
        <x:v>Prgara sd sai Samin 167 Iheay Arbani Krnatr ea kkn manarvakan pertataan Sk org Omi 2 Pat ee Arga .X mergurkan pekan bts mentan can pkai te Gan</x:v>
      </x:c>
      <x:c r="G534" s="48" t="str">
        <x:v>Obligation</x:v>
      </x:c>
      <x:c r="H534" s="48" t="str">
        <x:v>Shared</x:v>
      </x:c>
      <x:c r="I534" s="48" t="n">
        <x:v>0.45</x:v>
      </x:c>
      <x:c r="J534" s="48" t="n">
        <x:v>0.4</x:v>
      </x:c>
      <x:c r="K534" s="48" t="str">
        <x:v>Yes</x:v>
      </x:c>
      <x:c r="L534" s="48" t="str">
        <x:v>OCR</x:v>
      </x:c>
    </x:row>
    <x:row r="535">
      <x:c r="A535" s="48" t="str">
        <x:v>SILVER-0534</x:v>
      </x:c>
      <x:c r="B535" s="48" t="str">
        <x:v>SILVER</x:v>
      </x:c>
      <x:c r="C535" s="48" t="str">
        <x:v>Indonesian</x:v>
      </x:c>
      <x:c r="D535" s="48" t="n">
        <x:v>71</x:v>
      </x:c>
      <x:c r="E535" s="48" t="str"/>
      <x:c r="F535" s="48" t="str">
        <x:v>Dag KN mar Da yang Ga Ga at pentn bin</x:v>
      </x:c>
      <x:c r="G535" s="48" t="str">
        <x:v>Obligation</x:v>
      </x:c>
      <x:c r="H535" s="48" t="str">
        <x:v>Shared</x:v>
      </x:c>
      <x:c r="I535" s="48" t="n">
        <x:v>0.45</x:v>
      </x:c>
      <x:c r="J535" s="48" t="n">
        <x:v>0.4</x:v>
      </x:c>
      <x:c r="K535" s="48" t="str">
        <x:v>Yes</x:v>
      </x:c>
      <x:c r="L535" s="48" t="str">
        <x:v>OCR</x:v>
      </x:c>
    </x:row>
    <x:row r="536">
      <x:c r="A536" s="48" t="str">
        <x:v>SILVER-0535</x:v>
      </x:c>
      <x:c r="B536" s="48" t="str">
        <x:v>SILVER</x:v>
      </x:c>
      <x:c r="C536" s="48" t="str">
        <x:v>Indonesian</x:v>
      </x:c>
      <x:c r="D536" s="48" t="n">
        <x:v>71</x:v>
      </x:c>
      <x:c r="E536" s="48" t="str"/>
      <x:c r="F536" s="48" t="str">
        <x:v>IMInp3 an eagunwu dnelaan km ertetanan Tekken tas Lk mean ea das ba br becwatan SD.</x:v>
      </x:c>
      <x:c r="G536" s="48" t="str">
        <x:v>Obligation</x:v>
      </x:c>
      <x:c r="H536" s="48" t="str">
        <x:v>Shared</x:v>
      </x:c>
      <x:c r="I536" s="48" t="n">
        <x:v>0.45</x:v>
      </x:c>
      <x:c r="J536" s="48" t="n">
        <x:v>0.4</x:v>
      </x:c>
      <x:c r="K536" s="48" t="str">
        <x:v>Yes</x:v>
      </x:c>
      <x:c r="L536" s="48" t="str">
        <x:v>OCR</x:v>
      </x:c>
    </x:row>
    <x:row r="537">
      <x:c r="A537" s="48" t="str">
        <x:v>SILVER-0536</x:v>
      </x:c>
      <x:c r="B537" s="48" t="str">
        <x:v>SILVER</x:v>
      </x:c>
      <x:c r="C537" s="48" t="str">
        <x:v>Indonesian</x:v>
      </x:c>
      <x:c r="D537" s="48" t="n">
        <x:v>71</x:v>
      </x:c>
      <x:c r="E537" s="48" t="str"/>
      <x:c r="F537" s="48" t="str">
        <x:v>Wana 148 Patront Serta ce pemuaa becatan Sl kada “og pemuamekn eren</x:v>
      </x:c>
      <x:c r="G537" s="48" t="str">
        <x:v>Obligation</x:v>
      </x:c>
      <x:c r="H537" s="48" t="str">
        <x:v>Shared</x:v>
      </x:c>
      <x:c r="I537" s="48" t="n">
        <x:v>0.45</x:v>
      </x:c>
      <x:c r="J537" s="48" t="n">
        <x:v>0.4</x:v>
      </x:c>
      <x:c r="K537" s="48" t="str">
        <x:v>Yes</x:v>
      </x:c>
      <x:c r="L537" s="48" t="str">
        <x:v>OCR</x:v>
      </x:c>
    </x:row>
    <x:row r="538">
      <x:c r="A538" s="48" t="str">
        <x:v>SILVER-0537</x:v>
      </x:c>
      <x:c r="B538" s="48" t="str">
        <x:v>SILVER</x:v>
      </x:c>
      <x:c r="C538" s="48" t="str">
        <x:v>Indonesian</x:v>
      </x:c>
      <x:c r="D538" s="48" t="n">
        <x:v>72</x:v>
      </x:c>
      <x:c r="E538" s="48" t="str"/>
      <x:c r="F538" s="48" t="str">
        <x:v>pon en Pemutaan</x:v>
      </x:c>
      <x:c r="G538" s="48" t="str">
        <x:v>Obligation</x:v>
      </x:c>
      <x:c r="H538" s="48" t="str">
        <x:v>Shared</x:v>
      </x:c>
      <x:c r="I538" s="48" t="n">
        <x:v>0.45</x:v>
      </x:c>
      <x:c r="J538" s="48" t="n">
        <x:v>0.4</x:v>
      </x:c>
      <x:c r="K538" s="48" t="str">
        <x:v>Yes</x:v>
      </x:c>
      <x:c r="L538" s="48" t="str">
        <x:v>OCR</x:v>
      </x:c>
    </x:row>
    <x:row r="539">
      <x:c r="A539" s="48" t="str">
        <x:v>SILVER-0538</x:v>
      </x:c>
      <x:c r="B539" s="48" t="str">
        <x:v>SILVER</x:v>
      </x:c>
      <x:c r="C539" s="48" t="str">
        <x:v>Indonesian</x:v>
      </x:c>
      <x:c r="D539" s="48" t="n">
        <x:v>73</x:v>
      </x:c>
      <x:c r="E539" s="48" t="str"/>
      <x:c r="F539" s="48" t="str">
        <x:v>Redko gan Tanggungjawab</x:v>
      </x:c>
      <x:c r="G539" s="48" t="str">
        <x:v>Obligation</x:v>
      </x:c>
      <x:c r="H539" s="48" t="str">
        <x:v>Shared</x:v>
      </x:c>
      <x:c r="I539" s="48" t="n">
        <x:v>0.45</x:v>
      </x:c>
      <x:c r="J539" s="48" t="n">
        <x:v>0.4</x:v>
      </x:c>
      <x:c r="K539" s="48" t="str">
        <x:v>Yes</x:v>
      </x:c>
      <x:c r="L539" s="48" t="str">
        <x:v>OCR</x:v>
      </x:c>
    </x:row>
    <x:row r="540">
      <x:c r="A540" s="48" t="str">
        <x:v>SILVER-0539</x:v>
      </x:c>
      <x:c r="B540" s="48" t="str">
        <x:v>SILVER</x:v>
      </x:c>
      <x:c r="C540" s="48" t="str">
        <x:v>Indonesian</x:v>
      </x:c>
      <x:c r="D540" s="48" t="n">
        <x:v>73</x:v>
      </x:c>
      <x:c r="E540" s="48" t="str"/>
      <x:c r="F540" s="48" t="str">
        <x:v>Pembatan Gan Rugi Kanak tara menbekan Bi Ng An menang PMT aa Peagil</x:v>
      </x:c>
      <x:c r="G540" s="48" t="str">
        <x:v>Obligation</x:v>
      </x:c>
      <x:c r="H540" s="48" t="str">
        <x:v>Shared</x:v>
      </x:c>
      <x:c r="I540" s="48" t="n">
        <x:v>0.45</x:v>
      </x:c>
      <x:c r="J540" s="48" t="n">
        <x:v>0.4</x:v>
      </x:c>
      <x:c r="K540" s="48" t="str">
        <x:v>Yes</x:v>
      </x:c>
      <x:c r="L540" s="48" t="str">
        <x:v>OCR</x:v>
      </x:c>
    </x:row>
    <x:row r="541">
      <x:c r="A541" s="48" t="str">
        <x:v>SILVER-0540</x:v>
      </x:c>
      <x:c r="B541" s="48" t="str">
        <x:v>SILVER</x:v>
      </x:c>
      <x:c r="C541" s="48" t="str">
        <x:v>Indonesian</x:v>
      </x:c>
      <x:c r="D541" s="48" t="n">
        <x:v>73</x:v>
      </x:c>
      <x:c r="E541" s="48" t="str"/>
      <x:c r="F541" s="48" t="str">
        <x:v>(ega Jaa Oa ed mera mesng muara tetep Gan dosa Ham.</x:v>
      </x:c>
      <x:c r="G541" s="48" t="str">
        <x:v>Obligation</x:v>
      </x:c>
      <x:c r="H541" s="48" t="str">
        <x:v>Shared</x:v>
      </x:c>
      <x:c r="I541" s="48" t="n">
        <x:v>0.45</x:v>
      </x:c>
      <x:c r="J541" s="48" t="n">
        <x:v>0.4</x:v>
      </x:c>
      <x:c r="K541" s="48" t="str">
        <x:v>Yes</x:v>
      </x:c>
      <x:c r="L541" s="48" t="str">
        <x:v>OCR</x:v>
      </x:c>
    </x:row>
    <x:row r="542">
      <x:c r="A542" s="48" t="str">
        <x:v>SILVER-0541</x:v>
      </x:c>
      <x:c r="B542" s="48" t="str">
        <x:v>SILVER</x:v>
      </x:c>
      <x:c r="C542" s="48" t="str">
        <x:v>Indonesian</x:v>
      </x:c>
      <x:c r="D542" s="48" t="n">
        <x:v>73</x:v>
      </x:c>
      <x:c r="E542" s="48" t="str"/>
      <x:c r="F542" s="48" t="str">
        <x:v>Gedangan dngn bemeai band opa nara teraan</x:v>
      </x:c>
      <x:c r="G542" s="48" t="str">
        <x:v>Obligation</x:v>
      </x:c>
      <x:c r="H542" s="48" t="str">
        <x:v>Shared</x:v>
      </x:c>
      <x:c r="I542" s="48" t="n">
        <x:v>0.45</x:v>
      </x:c>
      <x:c r="J542" s="48" t="n">
        <x:v>0.4</x:v>
      </x:c>
      <x:c r="K542" s="48" t="str">
        <x:v>Yes</x:v>
      </x:c>
      <x:c r="L542" s="48" t="str">
        <x:v>OCR</x:v>
      </x:c>
    </x:row>
    <x:row r="543">
      <x:c r="A543" s="48" t="str">
        <x:v>SILVER-0542</x:v>
      </x:c>
      <x:c r="B543" s="48" t="str">
        <x:v>SILVER</x:v>
      </x:c>
      <x:c r="C543" s="48" t="str">
        <x:v>Indonesian</x:v>
      </x:c>
      <x:c r="D543" s="48" t="n">
        <x:v>73</x:v>
      </x:c>
      <x:c r="E543" s="48" t="str"/>
      <x:c r="F543" s="48" t="str">
        <x:v>It, en Wan ban aer anu Get ls Gakan</x:v>
      </x:c>
      <x:c r="G543" s="48" t="str">
        <x:v>Obligation</x:v>
      </x:c>
      <x:c r="H543" s="48" t="str">
        <x:v>Shared</x:v>
      </x:c>
      <x:c r="I543" s="48" t="n">
        <x:v>0.45</x:v>
      </x:c>
      <x:c r="J543" s="48" t="n">
        <x:v>0.4</x:v>
      </x:c>
      <x:c r="K543" s="48" t="str">
        <x:v>Yes</x:v>
      </x:c>
      <x:c r="L543" s="48" t="str">
        <x:v>OCR</x:v>
      </x:c>
    </x:row>
    <x:row r="544">
      <x:c r="A544" s="48" t="str">
        <x:v>SILVER-0543</x:v>
      </x:c>
      <x:c r="B544" s="48" t="str">
        <x:v>SILVER</x:v>
      </x:c>
      <x:c r="C544" s="48" t="str">
        <x:v>Indonesian</x:v>
      </x:c>
      <x:c r="D544" s="48" t="n">
        <x:v>73</x:v>
      </x:c>
      <x:c r="E544" s="48" t="str"/>
      <x:c r="F544" s="48" t="str">
        <x:v>Dearan di bet oa, pebaram c edan etpan sr</x:v>
      </x:c>
      <x:c r="G544" s="48" t="str">
        <x:v>Obligation</x:v>
      </x:c>
      <x:c r="H544" s="48" t="str">
        <x:v>Shared</x:v>
      </x:c>
      <x:c r="I544" s="48" t="n">
        <x:v>0.45</x:v>
      </x:c>
      <x:c r="J544" s="48" t="n">
        <x:v>0.4</x:v>
      </x:c>
      <x:c r="K544" s="48" t="str">
        <x:v>Yes</x:v>
      </x:c>
      <x:c r="L544" s="48" t="str">
        <x:v>OCR</x:v>
      </x:c>
    </x:row>
    <x:row r="545">
      <x:c r="A545" s="48" t="str">
        <x:v>SILVER-0544</x:v>
      </x:c>
      <x:c r="B545" s="48" t="str">
        <x:v>SILVER</x:v>
      </x:c>
      <x:c r="C545" s="48" t="str">
        <x:v>Indonesian</x:v>
      </x:c>
      <x:c r="D545" s="48" t="n">
        <x:v>73</x:v>
      </x:c>
      <x:c r="E545" s="48" t="str"/>
      <x:c r="F545" s="48" t="str">
        <x:v>mba De Tt lc yg erdutan ON Haa, maros as peroguan Kota den Prgara daa Poso Praya Ja sa</x:v>
      </x:c>
      <x:c r="G545" s="48" t="str">
        <x:v>Obligation</x:v>
      </x:c>
      <x:c r="H545" s="48" t="str">
        <x:v>Shared</x:v>
      </x:c>
      <x:c r="I545" s="48" t="n">
        <x:v>0.45</x:v>
      </x:c>
      <x:c r="J545" s="48" t="n">
        <x:v>0.4</x:v>
      </x:c>
      <x:c r="K545" s="48" t="str">
        <x:v>Yes</x:v>
      </x:c>
      <x:c r="L545" s="48" t="str">
        <x:v>OCR</x:v>
      </x:c>
    </x:row>
    <x:row r="546">
      <x:c r="A546" s="48" t="str">
        <x:v>SILVER-0545</x:v>
      </x:c>
      <x:c r="B546" s="48" t="str">
        <x:v>SILVER</x:v>
      </x:c>
      <x:c r="C546" s="48" t="str">
        <x:v>Indonesian</x:v>
      </x:c>
      <x:c r="D546" s="48" t="n">
        <x:v>73</x:v>
      </x:c>
      <x:c r="E546" s="48" t="str"/>
      <x:c r="F546" s="48" t="str">
        <x:v>Dena Mamasa car</x:v>
      </x:c>
      <x:c r="G546" s="48" t="str">
        <x:v>Obligation</x:v>
      </x:c>
      <x:c r="H546" s="48" t="str">
        <x:v>Shared</x:v>
      </x:c>
      <x:c r="I546" s="48" t="n">
        <x:v>0.45</x:v>
      </x:c>
      <x:c r="J546" s="48" t="n">
        <x:v>0.4</x:v>
      </x:c>
      <x:c r="K546" s="48" t="str">
        <x:v>Yes</x:v>
      </x:c>
      <x:c r="L546" s="48" t="str">
        <x:v>OCR</x:v>
      </x:c>
    </x:row>
    <x:row r="547">
      <x:c r="A547" s="48" t="str">
        <x:v>SILVER-0546</x:v>
      </x:c>
      <x:c r="B547" s="48" t="str">
        <x:v>SILVER</x:v>
      </x:c>
      <x:c r="C547" s="48" t="str">
        <x:v>Indonesian</x:v>
      </x:c>
      <x:c r="D547" s="48" t="n">
        <x:v>73</x:v>
      </x:c>
      <x:c r="E547" s="48" t="str"/>
      <x:c r="F547" s="48" t="str">
        <x:v>(Matan aa lara Tata Dera bong Kk bego as brng (ra maan man! mena setan ea era er @ euoutaassampssuransauOrtetanoenean pksaran kar Puma Me Detak rm (tak Setan On Isa, Iecogaan li peran Karma (kn Pergara Ia ifa aa seorg ang ena asastaktroara cosoman aa reva.</x:v>
      </x:c>
      <x:c r="G547" s="48" t="str">
        <x:v>Obligation</x:v>
      </x:c>
      <x:c r="H547" s="48" t="str">
        <x:v>Shared</x:v>
      </x:c>
      <x:c r="I547" s="48" t="n">
        <x:v>0.45</x:v>
      </x:c>
      <x:c r="J547" s="48" t="n">
        <x:v>0.4</x:v>
      </x:c>
      <x:c r="K547" s="48" t="str">
        <x:v>Yes</x:v>
      </x:c>
      <x:c r="L547" s="48" t="str">
        <x:v>OCR</x:v>
      </x:c>
    </x:row>
    <x:row r="548">
      <x:c r="A548" s="48" t="str">
        <x:v>SILVER-0547</x:v>
      </x:c>
      <x:c r="B548" s="48" t="str">
        <x:v>SILVER</x:v>
      </x:c>
      <x:c r="C548" s="48" t="str">
        <x:v>Indonesian</x:v>
      </x:c>
      <x:c r="D548" s="48" t="n">
        <x:v>73</x:v>
      </x:c>
      <x:c r="E548" s="48" t="str"/>
      <x:c r="F548" s="48" t="str">
        <x:v>Perma Ina tata merbetan Ori 1g Gn menang Kwan, Pesoi Keenan ane mera Mr rn aa Gn Ba ama kam.</x:v>
      </x:c>
      <x:c r="G548" s="48" t="str">
        <x:v>Obligation</x:v>
      </x:c>
      <x:c r="H548" s="48" t="str">
        <x:v>Shared</x:v>
      </x:c>
      <x:c r="I548" s="48" t="n">
        <x:v>0.45</x:v>
      </x:c>
      <x:c r="J548" s="48" t="n">
        <x:v>0.4</x:v>
      </x:c>
      <x:c r="K548" s="48" t="str">
        <x:v>Yes</x:v>
      </x:c>
      <x:c r="L548" s="48" t="str">
        <x:v>OCR</x:v>
      </x:c>
    </x:row>
    <x:row r="549">
      <x:c r="A549" s="48" t="str">
        <x:v>SILVER-0548</x:v>
      </x:c>
      <x:c r="B549" s="48" t="str">
        <x:v>SILVER</x:v>
      </x:c>
      <x:c r="C549" s="48" t="str">
        <x:v>Indonesian</x:v>
      </x:c>
      <x:c r="D549" s="48" t="n">
        <x:v>73</x:v>
      </x:c>
      <x:c r="E549" s="48" t="str"/>
      <x:c r="F549" s="48" t="str">
        <x:v>Oa. hang Gin Drg Menaak San Gin Gios Karin eter ke (1 Mate.ot penaitamyaratan erodetatan ente losronan (at percouan Kor dan Prgara sasa Pon Arya Jaa Ba</x:v>
      </x:c>
      <x:c r="G549" s="48" t="str">
        <x:v>Obligation</x:v>
      </x:c>
      <x:c r="H549" s="48" t="str">
        <x:v>Shared</x:v>
      </x:c>
      <x:c r="I549" s="48" t="n">
        <x:v>0.45</x:v>
      </x:c>
      <x:c r="J549" s="48" t="n">
        <x:v>0.4</x:v>
      </x:c>
      <x:c r="K549" s="48" t="str">
        <x:v>Yes</x:v>
      </x:c>
      <x:c r="L549" s="48" t="str">
        <x:v>OCR</x:v>
      </x:c>
    </x:row>
    <x:row r="550">
      <x:c r="A550" s="48" t="str">
        <x:v>SILVER-0549</x:v>
      </x:c>
      <x:c r="B550" s="48" t="str">
        <x:v>SILVER</x:v>
      </x:c>
      <x:c r="C550" s="48" t="str">
        <x:v>Indonesian</x:v>
      </x:c>
      <x:c r="D550" s="48" t="n">
        <x:v>73</x:v>
      </x:c>
      <x:c r="E550" s="48" t="str"/>
      <x:c r="F550" s="48" t="str">
        <x:v>Aa meunanamara dn</x:v>
      </x:c>
      <x:c r="G550" s="48" t="str">
        <x:v>Obligation</x:v>
      </x:c>
      <x:c r="H550" s="48" t="str">
        <x:v>Shared</x:v>
      </x:c>
      <x:c r="I550" s="48" t="n">
        <x:v>0.45</x:v>
      </x:c>
      <x:c r="J550" s="48" t="n">
        <x:v>0.4</x:v>
      </x:c>
      <x:c r="K550" s="48" t="str">
        <x:v>Yes</x:v>
      </x:c>
      <x:c r="L550" s="48" t="str">
        <x:v>OCR</x:v>
      </x:c>
    </x:row>
    <x:row r="551">
      <x:c r="A551" s="48" t="str">
        <x:v>SILVER-0550</x:v>
      </x:c>
      <x:c r="B551" s="48" t="str">
        <x:v>SILVER</x:v>
      </x:c>
      <x:c r="C551" s="48" t="str">
        <x:v>Indonesian</x:v>
      </x:c>
      <x:c r="D551" s="48" t="n">
        <x:v>73</x:v>
      </x:c>
      <x:c r="E551" s="48" t="str"/>
      <x:c r="F551" s="48" t="str">
        <x:v>Gt Pata yag petrogroana man lak berak Gde sur,</x:v>
      </x:c>
      <x:c r="G551" s="48" t="str">
        <x:v>Obligation</x:v>
      </x:c>
      <x:c r="H551" s="48" t="str">
        <x:v>Shared</x:v>
      </x:c>
      <x:c r="I551" s="48" t="n">
        <x:v>0.45</x:v>
      </x:c>
      <x:c r="J551" s="48" t="n">
        <x:v>0.4</x:v>
      </x:c>
      <x:c r="K551" s="48" t="str">
        <x:v>Yes</x:v>
      </x:c>
      <x:c r="L551" s="48" t="str">
        <x:v>OCR</x:v>
      </x:c>
    </x:row>
    <x:row r="552">
      <x:c r="A552" s="48" t="str">
        <x:v>SILVER-0551</x:v>
      </x:c>
      <x:c r="B552" s="48" t="str">
        <x:v>SILVER</x:v>
      </x:c>
      <x:c r="C552" s="48" t="str">
        <x:v>Indonesian</x:v>
      </x:c>
      <x:c r="D552" s="48" t="n">
        <x:v>73</x:v>
      </x:c>
      <x:c r="E552" s="48" t="str"/>
      <x:c r="F552" s="48" t="str">
        <x:v>Sekagarra ryaan Gan pa HO at Sergai</x:v>
      </x:c>
      <x:c r="G552" s="48" t="str">
        <x:v>Obligation</x:v>
      </x:c>
      <x:c r="H552" s="48" t="str">
        <x:v>Shared</x:v>
      </x:c>
      <x:c r="I552" s="48" t="n">
        <x:v>0.45</x:v>
      </x:c>
      <x:c r="J552" s="48" t="n">
        <x:v>0.4</x:v>
      </x:c>
      <x:c r="K552" s="48" t="str">
        <x:v>Yes</x:v>
      </x:c>
      <x:c r="L552" s="48" t="str">
        <x:v>OCR</x:v>
      </x:c>
    </x:row>
    <x:row r="553">
      <x:c r="A553" s="48" t="str">
        <x:v>SILVER-0552</x:v>
      </x:c>
      <x:c r="B553" s="48" t="str">
        <x:v>SILVER</x:v>
      </x:c>
      <x:c r="C553" s="48" t="str">
        <x:v>Indonesian</x:v>
      </x:c>
      <x:c r="D553" s="48" t="n">
        <x:v>73</x:v>
      </x:c>
      <x:c r="E553" s="48" t="str"/>
      <x:c r="F553" s="48" t="str">
        <x:v>“ra net Kcetaen Ltd Katakan Peru Berat</x:v>
      </x:c>
      <x:c r="G553" s="48" t="str">
        <x:v>Obligation</x:v>
      </x:c>
      <x:c r="H553" s="48" t="str">
        <x:v>Shared</x:v>
      </x:c>
      <x:c r="I553" s="48" t="n">
        <x:v>0.45</x:v>
      </x:c>
      <x:c r="J553" s="48" t="n">
        <x:v>0.4</x:v>
      </x:c>
      <x:c r="K553" s="48" t="str">
        <x:v>Yes</x:v>
      </x:c>
      <x:c r="L553" s="48" t="str">
        <x:v>OCR</x:v>
      </x:c>
    </x:row>
    <x:row r="554">
      <x:c r="A554" s="48" t="str">
        <x:v>SILVER-0553</x:v>
      </x:c>
      <x:c r="B554" s="48" t="str">
        <x:v>SILVER</x:v>
      </x:c>
      <x:c r="C554" s="48" t="str">
        <x:v>Indonesian</x:v>
      </x:c>
      <x:c r="D554" s="48" t="n">
        <x:v>73</x:v>
      </x:c>
      <x:c r="E554" s="48" t="str"/>
      <x:c r="F554" s="48" t="str">
        <x:v>Pumetarsan Ter tanatetraga ngamen ga teneraan Par an ra</x:v>
      </x:c>
      <x:c r="G554" s="48" t="str">
        <x:v>Obligation</x:v>
      </x:c>
      <x:c r="H554" s="48" t="str">
        <x:v>Shared</x:v>
      </x:c>
      <x:c r="I554" s="48" t="n">
        <x:v>0.45</x:v>
      </x:c>
      <x:c r="J554" s="48" t="n">
        <x:v>0.4</x:v>
      </x:c>
      <x:c r="K554" s="48" t="str">
        <x:v>Yes</x:v>
      </x:c>
      <x:c r="L554" s="48" t="str">
        <x:v>OCR</x:v>
      </x:c>
    </x:row>
    <x:row r="555">
      <x:c r="A555" s="48" t="str">
        <x:v>SILVER-0554</x:v>
      </x:c>
      <x:c r="B555" s="48" t="str">
        <x:v>SILVER</x:v>
      </x:c>
      <x:c r="C555" s="48" t="str">
        <x:v>Indonesian</x:v>
      </x:c>
      <x:c r="D555" s="48" t="n">
        <x:v>73</x:v>
      </x:c>
      <x:c r="E555" s="48" t="str"/>
      <x:c r="F555" s="48" t="str">
        <x:v>para 3g apk Tr MM Par Prog Gbrya Bts Aan an ra</x:v>
      </x:c>
      <x:c r="G555" s="48" t="str">
        <x:v>Obligation</x:v>
      </x:c>
      <x:c r="H555" s="48" t="str">
        <x:v>Shared</x:v>
      </x:c>
      <x:c r="I555" s="48" t="n">
        <x:v>0.45</x:v>
      </x:c>
      <x:c r="J555" s="48" t="n">
        <x:v>0.4</x:v>
      </x:c>
      <x:c r="K555" s="48" t="str">
        <x:v>Yes</x:v>
      </x:c>
      <x:c r="L555" s="48" t="str">
        <x:v>OCR</x:v>
      </x:c>
    </x:row>
    <x:row r="556">
      <x:c r="A556" s="48" t="str">
        <x:v>SILVER-0555</x:v>
      </x:c>
      <x:c r="B556" s="48" t="str">
        <x:v>SILVER</x:v>
      </x:c>
      <x:c r="C556" s="48" t="str">
        <x:v>Indonesian</x:v>
      </x:c>
      <x:c r="D556" s="48" t="n">
        <x:v>73</x:v>
      </x:c>
      <x:c r="E556" s="48" t="str"/>
      <x:c r="F556" s="48" t="str">
        <x:v>Komar Par hiu er lan Batita meruu Sis Ka IIS ema</x:v>
      </x:c>
      <x:c r="G556" s="48" t="str">
        <x:v>Obligation</x:v>
      </x:c>
      <x:c r="H556" s="48" t="str">
        <x:v>Shared</x:v>
      </x:c>
      <x:c r="I556" s="48" t="n">
        <x:v>0.45</x:v>
      </x:c>
      <x:c r="J556" s="48" t="n">
        <x:v>0.4</x:v>
      </x:c>
      <x:c r="K556" s="48" t="str">
        <x:v>Yes</x:v>
      </x:c>
      <x:c r="L556" s="48" t="str">
        <x:v>OCR</x:v>
      </x:c>
    </x:row>
    <x:row r="557">
      <x:c r="A557" s="48" t="str">
        <x:v>SILVER-0556</x:v>
      </x:c>
      <x:c r="B557" s="48" t="str">
        <x:v>SILVER</x:v>
      </x:c>
      <x:c r="C557" s="48" t="str">
        <x:v>Indonesian</x:v>
      </x:c>
      <x:c r="D557" s="48" t="n">
        <x:v>73</x:v>
      </x:c>
      <x:c r="E557" s="48" t="str"/>
      <x:c r="F557" s="48" t="str">
        <x:v>Daan ikon Peran kebatrgargman erat ujan dan</x:v>
      </x:c>
      <x:c r="G557" s="48" t="str">
        <x:v>Obligation</x:v>
      </x:c>
      <x:c r="H557" s="48" t="str">
        <x:v>Shared</x:v>
      </x:c>
      <x:c r="I557" s="48" t="n">
        <x:v>0.45</x:v>
      </x:c>
      <x:c r="J557" s="48" t="n">
        <x:v>0.4</x:v>
      </x:c>
      <x:c r="K557" s="48" t="str">
        <x:v>Yes</x:v>
      </x:c>
      <x:c r="L557" s="48" t="str">
        <x:v>OCR</x:v>
      </x:c>
    </x:row>
    <x:row r="558">
      <x:c r="A558" s="48" t="str">
        <x:v>SILVER-0557</x:v>
      </x:c>
      <x:c r="B558" s="48" t="str">
        <x:v>SILVER</x:v>
      </x:c>
      <x:c r="C558" s="48" t="str">
        <x:v>Indonesian</x:v>
      </x:c>
      <x:c r="D558" s="48" t="n">
        <x:v>73</x:v>
      </x:c>
      <x:c r="E558" s="48" t="str"/>
      <x:c r="F558" s="48" t="str">
        <x:v>lari lp Peng ta Arta ot Oris Aca San Tora Gian (kn rpp an tk Lk Dn tgn Peran rogatdneh ea Band baga Pe Br nya Wan tarah ala ega mn ngan ben Ita Pras Jasa Ker an mangan “egardmeb perataan paman yr bikin asbes tra urgen (ian cam bt Aa Se Tema Mn pln er ok Sa</x:v>
      </x:c>
      <x:c r="G558" s="48" t="str">
        <x:v>Obligation</x:v>
      </x:c>
      <x:c r="H558" s="48" t="str">
        <x:v>Shared</x:v>
      </x:c>
      <x:c r="I558" s="48" t="n">
        <x:v>0.45</x:v>
      </x:c>
      <x:c r="J558" s="48" t="n">
        <x:v>0.4</x:v>
      </x:c>
      <x:c r="K558" s="48" t="str">
        <x:v>Yes</x:v>
      </x:c>
      <x:c r="L558" s="48" t="str">
        <x:v>OCR</x:v>
      </x:c>
    </x:row>
    <x:row r="559">
      <x:c r="A559" s="48" t="str">
        <x:v>SILVER-0558</x:v>
      </x:c>
      <x:c r="B559" s="48" t="str">
        <x:v>SILVER</x:v>
      </x:c>
      <x:c r="C559" s="48" t="str">
        <x:v>Indonesian</x:v>
      </x:c>
      <x:c r="D559" s="48" t="n">
        <x:v>74</x:v>
      </x:c>
      <x:c r="E559" s="48" t="str"/>
      <x:c r="F559" s="48" t="str">
        <x:v>PeRAngn hana esa Drg SnngaDhamen</x:v>
      </x:c>
      <x:c r="G559" s="48" t="str">
        <x:v>Obligation</x:v>
      </x:c>
      <x:c r="H559" s="48" t="str">
        <x:v>Shared</x:v>
      </x:c>
      <x:c r="I559" s="48" t="n">
        <x:v>0.45</x:v>
      </x:c>
      <x:c r="J559" s="48" t="n">
        <x:v>0.4</x:v>
      </x:c>
      <x:c r="K559" s="48" t="str">
        <x:v>Yes</x:v>
      </x:c>
      <x:c r="L559" s="48" t="str">
        <x:v>OCR</x:v>
      </x:c>
    </x:row>
    <x:row r="560">
      <x:c r="A560" s="48" t="str">
        <x:v>SILVER-0559</x:v>
      </x:c>
      <x:c r="B560" s="48" t="str">
        <x:v>SILVER</x:v>
      </x:c>
      <x:c r="C560" s="48" t="str">
        <x:v>Indonesian</x:v>
      </x:c>
      <x:c r="D560" s="48" t="n">
        <x:v>74</x:v>
      </x:c>
      <x:c r="E560" s="48" t="str"/>
      <x:c r="F560" s="48" t="str">
        <x:v>Kerak semar imra Kamar otr ab sa perebenarna.</x:v>
      </x:c>
      <x:c r="G560" s="48" t="str">
        <x:v>Obligation</x:v>
      </x:c>
      <x:c r="H560" s="48" t="str">
        <x:v>Shared</x:v>
      </x:c>
      <x:c r="I560" s="48" t="n">
        <x:v>0.45</x:v>
      </x:c>
      <x:c r="J560" s="48" t="n">
        <x:v>0.4</x:v>
      </x:c>
      <x:c r="K560" s="48" t="str">
        <x:v>Yes</x:v>
      </x:c>
      <x:c r="L560" s="48" t="str">
        <x:v>OCR</x:v>
      </x:c>
    </x:row>
    <x:row r="561">
      <x:c r="A561" s="48" t="str">
        <x:v>SILVER-0560</x:v>
      </x:c>
      <x:c r="B561" s="48" t="str">
        <x:v>SILVER</x:v>
      </x:c>
      <x:c r="C561" s="48" t="str">
        <x:v>Indonesian</x:v>
      </x:c>
      <x:c r="D561" s="48" t="n">
        <x:v>74</x:v>
      </x:c>
      <x:c r="E561" s="48" t="str"/>
      <x:c r="F561" s="48" t="str">
        <x:v>Dana seab jer Kok arm Gan Sion 13 P0 PU as Kerak tra mergarilaturon merata kanan gan baja. ame Kota, bovgga Pukan Brroasr Ga Dome Krn mud am ro ora. eren na erangan tenan yr dematan</x:v>
      </x:c>
      <x:c r="G561" s="48" t="str">
        <x:v>Obligation</x:v>
      </x:c>
      <x:c r="H561" s="48" t="str">
        <x:v>Shared</x:v>
      </x:c>
      <x:c r="I561" s="48" t="n">
        <x:v>0.45</x:v>
      </x:c>
      <x:c r="J561" s="48" t="n">
        <x:v>0.4</x:v>
      </x:c>
      <x:c r="K561" s="48" t="str">
        <x:v>Yes</x:v>
      </x:c>
      <x:c r="L561" s="48" t="str">
        <x:v>OCR</x:v>
      </x:c>
    </x:row>
    <x:row r="562">
      <x:c r="A562" s="48" t="str">
        <x:v>SILVER-0561</x:v>
      </x:c>
      <x:c r="B562" s="48" t="str">
        <x:v>SILVER</x:v>
      </x:c>
      <x:c r="C562" s="48" t="str">
        <x:v>Indonesian</x:v>
      </x:c>
      <x:c r="D562" s="48" t="n">
        <x:v>74</x:v>
      </x:c>
      <x:c r="E562" s="48" t="str"/>
      <x:c r="F562" s="48" t="str">
        <x:v>Sehtradan ar dklan ck rm san Gotarya Bal Dara tera</x:v>
      </x:c>
      <x:c r="G562" s="48" t="str">
        <x:v>Obligation</x:v>
      </x:c>
      <x:c r="H562" s="48" t="str">
        <x:v>Shared</x:v>
      </x:c>
      <x:c r="I562" s="48" t="n">
        <x:v>0.45</x:v>
      </x:c>
      <x:c r="J562" s="48" t="n">
        <x:v>0.4</x:v>
      </x:c>
      <x:c r="K562" s="48" t="str">
        <x:v>Yes</x:v>
      </x:c>
      <x:c r="L562" s="48" t="str">
        <x:v>OCR</x:v>
      </x:c>
    </x:row>
    <x:row r="563">
      <x:c r="A563" s="48" t="str">
        <x:v>SILVER-0562</x:v>
      </x:c>
      <x:c r="B563" s="48" t="str">
        <x:v>SILVER</x:v>
      </x:c>
      <x:c r="C563" s="48" t="str">
        <x:v>Indonesian</x:v>
      </x:c>
      <x:c r="D563" s="48" t="n">
        <x:v>74</x:v>
      </x:c>
      <x:c r="E563" s="48" t="str"/>
      <x:c r="F563" s="48" t="str">
        <x:v>“Sean Ketat oarmus rrgar pub afgan ukk 1g pa se hara Sana Aca Se Tara da An</x:v>
      </x:c>
      <x:c r="G563" s="48" t="str">
        <x:v>Obligation</x:v>
      </x:c>
      <x:c r="H563" s="48" t="str">
        <x:v>Shared</x:v>
      </x:c>
      <x:c r="I563" s="48" t="n">
        <x:v>0.45</x:v>
      </x:c>
      <x:c r="J563" s="48" t="n">
        <x:v>0.4</x:v>
      </x:c>
      <x:c r="K563" s="48" t="str">
        <x:v>Yes</x:v>
      </x:c>
      <x:c r="L563" s="48" t="str">
        <x:v>OCR</x:v>
      </x:c>
    </x:row>
    <x:row r="564">
      <x:c r="A564" s="48" t="str">
        <x:v>SILVER-0563</x:v>
      </x:c>
      <x:c r="B564" s="48" t="str">
        <x:v>SILVER</x:v>
      </x:c>
      <x:c r="C564" s="48" t="str">
        <x:v>Indonesian</x:v>
      </x:c>
      <x:c r="D564" s="48" t="n">
        <x:v>74</x:v>
      </x:c>
      <x:c r="E564" s="48" t="str"/>
      <x:c r="F564" s="48" t="str">
        <x:v>Tahan starya yr mena Irgardawa Korsa</x:v>
      </x:c>
      <x:c r="G564" s="48" t="str">
        <x:v>Obligation</x:v>
      </x:c>
      <x:c r="H564" s="48" t="str">
        <x:v>Shared</x:v>
      </x:c>
      <x:c r="I564" s="48" t="n">
        <x:v>0.45</x:v>
      </x:c>
      <x:c r="J564" s="48" t="n">
        <x:v>0.4</x:v>
      </x:c>
      <x:c r="K564" s="48" t="str">
        <x:v>Yes</x:v>
      </x:c>
      <x:c r="L564" s="48" t="str">
        <x:v>OCR</x:v>
      </x:c>
    </x:row>
    <x:row r="565">
      <x:c r="A565" s="48" t="str">
        <x:v>SILVER-0564</x:v>
      </x:c>
      <x:c r="B565" s="48" t="str">
        <x:v>SILVER</x:v>
      </x:c>
      <x:c r="C565" s="48" t="str">
        <x:v>Indonesian</x:v>
      </x:c>
      <x:c r="D565" s="48" t="n">
        <x:v>74</x:v>
      </x:c>
      <x:c r="E565" s="48" t="str"/>
      <x:c r="F565" s="48" t="str">
        <x:v>Pesta Penggna ———PENOMNO OGAN AMAN TA 1 sewooetain bergastteeapenaun prlihss seOaman (1 perborrusan wrtame mek hrta kis md ergnekatan</x:v>
      </x:c>
      <x:c r="G565" s="48" t="str">
        <x:v>Obligation</x:v>
      </x:c>
      <x:c r="H565" s="48" t="str">
        <x:v>Shared</x:v>
      </x:c>
      <x:c r="I565" s="48" t="n">
        <x:v>0.45</x:v>
      </x:c>
      <x:c r="J565" s="48" t="n">
        <x:v>0.4</x:v>
      </x:c>
      <x:c r="K565" s="48" t="str">
        <x:v>Yes</x:v>
      </x:c>
      <x:c r="L565" s="48" t="str">
        <x:v>OCR</x:v>
      </x:c>
    </x:row>
    <x:row r="566">
      <x:c r="A566" s="48" t="str">
        <x:v>SILVER-0565</x:v>
      </x:c>
      <x:c r="B566" s="48" t="str">
        <x:v>SILVER</x:v>
      </x:c>
      <x:c r="C566" s="48" t="str">
        <x:v>Indonesian</x:v>
      </x:c>
      <x:c r="D566" s="48" t="n">
        <x:v>74</x:v>
      </x:c>
      <x:c r="E566" s="48" t="str"/>
      <x:c r="F566" s="48" t="str">
        <x:v>Ietasan aa pesrg obi Sctemwd Ino,</x:v>
      </x:c>
      <x:c r="G566" s="48" t="str">
        <x:v>Obligation</x:v>
      </x:c>
      <x:c r="H566" s="48" t="str">
        <x:v>Shared</x:v>
      </x:c>
      <x:c r="I566" s="48" t="n">
        <x:v>0.45</x:v>
      </x:c>
      <x:c r="J566" s="48" t="n">
        <x:v>0.4</x:v>
      </x:c>
      <x:c r="K566" s="48" t="str">
        <x:v>Yes</x:v>
      </x:c>
      <x:c r="L566" s="48" t="str">
        <x:v>OCR</x:v>
      </x:c>
    </x:row>
    <x:row r="567">
      <x:c r="A567" s="48" t="str">
        <x:v>SILVER-0566</x:v>
      </x:c>
      <x:c r="B567" s="48" t="str">
        <x:v>SILVER</x:v>
      </x:c>
      <x:c r="C567" s="48" t="str">
        <x:v>Indonesian</x:v>
      </x:c>
      <x:c r="D567" s="48" t="n">
        <x:v>74</x:v>
      </x:c>
      <x:c r="E567" s="48" t="str"/>
      <x:c r="F567" s="48" t="str">
        <x:v>(0 Hanan, Maba, an helacaan ken map Nero oeh care</x:v>
      </x:c>
      <x:c r="G567" s="48" t="str">
        <x:v>Obligation</x:v>
      </x:c>
      <x:c r="H567" s="48" t="str">
        <x:v>Shared</x:v>
      </x:c>
      <x:c r="I567" s="48" t="n">
        <x:v>0.45</x:v>
      </x:c>
      <x:c r="J567" s="48" t="n">
        <x:v>0.4</x:v>
      </x:c>
      <x:c r="K567" s="48" t="str">
        <x:v>Yes</x:v>
      </x:c>
      <x:c r="L567" s="48" t="str">
        <x:v>OCR</x:v>
      </x:c>
    </x:row>
    <x:row r="568">
      <x:c r="A568" s="48" t="str">
        <x:v>SILVER-0567</x:v>
      </x:c>
      <x:c r="B568" s="48" t="str">
        <x:v>SILVER</x:v>
      </x:c>
      <x:c r="C568" s="48" t="str">
        <x:v>Indonesian</x:v>
      </x:c>
      <x:c r="D568" s="48" t="n">
        <x:v>74</x:v>
      </x:c>
      <x:c r="E568" s="48" t="str"/>
      <x:c r="F568" s="48" t="str">
        <x:v>TO Dan pan Kabar dn para ee an da Kera an</x:v>
      </x:c>
      <x:c r="G568" s="48" t="str">
        <x:v>Obligation</x:v>
      </x:c>
      <x:c r="H568" s="48" t="str">
        <x:v>Shared</x:v>
      </x:c>
      <x:c r="I568" s="48" t="n">
        <x:v>0.45</x:v>
      </x:c>
      <x:c r="J568" s="48" t="n">
        <x:v>0.4</x:v>
      </x:c>
      <x:c r="K568" s="48" t="str">
        <x:v>Yes</x:v>
      </x:c>
      <x:c r="L568" s="48" t="str">
        <x:v>OCR</x:v>
      </x:c>
    </x:row>
    <x:row r="569">
      <x:c r="A569" s="48" t="str">
        <x:v>SILVER-0568</x:v>
      </x:c>
      <x:c r="B569" s="48" t="str">
        <x:v>SILVER</x:v>
      </x:c>
      <x:c r="C569" s="48" t="str">
        <x:v>Indonesian</x:v>
      </x:c>
      <x:c r="D569" s="48" t="n">
        <x:v>74</x:v>
      </x:c>
      <x:c r="E569" s="48" t="str"/>
      <x:c r="F569" s="48" t="str">
        <x:v>perban 1 murtipowa bian past na c wa trambas mo &amp; san</x:v>
      </x:c>
      <x:c r="G569" s="48" t="str">
        <x:v>Obligation</x:v>
      </x:c>
      <x:c r="H569" s="48" t="str">
        <x:v>Shared</x:v>
      </x:c>
      <x:c r="I569" s="48" t="n">
        <x:v>0.45</x:v>
      </x:c>
      <x:c r="J569" s="48" t="n">
        <x:v>0.4</x:v>
      </x:c>
      <x:c r="K569" s="48" t="str">
        <x:v>Yes</x:v>
      </x:c>
      <x:c r="L569" s="48" t="str">
        <x:v>OCR</x:v>
      </x:c>
    </x:row>
    <x:row r="570">
      <x:c r="A570" s="48" t="str">
        <x:v>SILVER-0569</x:v>
      </x:c>
      <x:c r="B570" s="48" t="str">
        <x:v>SILVER</x:v>
      </x:c>
      <x:c r="C570" s="48" t="str">
        <x:v>Indonesian</x:v>
      </x:c>
      <x:c r="D570" s="48" t="n">
        <x:v>74</x:v>
      </x:c>
      <x:c r="E570" s="48" t="str"/>
      <x:c r="F570" s="48" t="str">
        <x:v>Kanekuaa da Ab Gn ralat bw to ng WM Glam Sb Mama 173 pung “as meoakatan harga dan tanaka Pee Own ng Ya Perggnsdaan —— Dotrun Keras Kowdt tata tepeamnamoala pentnan cad</x:v>
      </x:c>
      <x:c r="G570" s="48" t="str">
        <x:v>Obligation</x:v>
      </x:c>
      <x:c r="H570" s="48" t="str">
        <x:v>Shared</x:v>
      </x:c>
      <x:c r="I570" s="48" t="n">
        <x:v>0.45</x:v>
      </x:c>
      <x:c r="J570" s="48" t="n">
        <x:v>0.4</x:v>
      </x:c>
      <x:c r="K570" s="48" t="str">
        <x:v>Yes</x:v>
      </x:c>
      <x:c r="L570" s="48" t="str">
        <x:v>OCR</x:v>
      </x:c>
    </x:row>
    <x:row r="571">
      <x:c r="A571" s="48" t="str">
        <x:v>SILVER-0570</x:v>
      </x:c>
      <x:c r="B571" s="48" t="str">
        <x:v>SILVER</x:v>
      </x:c>
      <x:c r="C571" s="48" t="str">
        <x:v>Indonesian</x:v>
      </x:c>
      <x:c r="D571" s="48" t="n">
        <x:v>75</x:v>
      </x:c>
      <x:c r="E571" s="48" t="str"/>
      <x:c r="F571" s="48" t="str">
        <x:v>Hutatas Kekayaan</x:v>
      </x:c>
      <x:c r="G571" s="48" t="str">
        <x:v>Obligation</x:v>
      </x:c>
      <x:c r="H571" s="48" t="str">
        <x:v>Shared</x:v>
      </x:c>
      <x:c r="I571" s="48" t="n">
        <x:v>0.45</x:v>
      </x:c>
      <x:c r="J571" s="48" t="n">
        <x:v>0.4</x:v>
      </x:c>
      <x:c r="K571" s="48" t="str">
        <x:v>Yes</x:v>
      </x:c>
      <x:c r="L571" s="48" t="str">
        <x:v>OCR</x:v>
      </x:c>
    </x:row>
    <x:row r="572">
      <x:c r="A572" s="48" t="str">
        <x:v>SILVER-0571</x:v>
      </x:c>
      <x:c r="B572" s="48" t="str">
        <x:v>SILVER</x:v>
      </x:c>
      <x:c r="C572" s="48" t="str">
        <x:v>Indonesian</x:v>
      </x:c>
      <x:c r="D572" s="48" t="n">
        <x:v>75</x:v>
      </x:c>
      <x:c r="E572" s="48" t="str"/>
      <x:c r="F572" s="48" t="str">
        <x:v>Troging Jawab</x:v>
      </x:c>
      <x:c r="G572" s="48" t="str">
        <x:v>Obligation</x:v>
      </x:c>
      <x:c r="H572" s="48" t="str">
        <x:v>Shared</x:v>
      </x:c>
      <x:c r="I572" s="48" t="n">
        <x:v>0.45</x:v>
      </x:c>
      <x:c r="J572" s="48" t="n">
        <x:v>0.4</x:v>
      </x:c>
      <x:c r="K572" s="48" t="str">
        <x:v>Yes</x:v>
      </x:c>
      <x:c r="L572" s="48" t="str">
        <x:v>OCR</x:v>
      </x:c>
    </x:row>
    <x:row r="573">
      <x:c r="A573" s="48" t="str">
        <x:v>SILVER-0572</x:v>
      </x:c>
      <x:c r="B573" s="48" t="str">
        <x:v>SILVER</x:v>
      </x:c>
      <x:c r="C573" s="48" t="str">
        <x:v>Indonesian</x:v>
      </x:c>
      <x:c r="D573" s="48" t="n">
        <x:v>76</x:v>
      </x:c>
      <x:c r="E573" s="48" t="str"/>
      <x:c r="F573" s="48" t="str">
        <x:v>Pempantan Umum Oam Masih Hi. tuk yng Megan ben, Ak en pr pam Snp Pak yr brrooraiuan Yak mengapa di menpeakan</x:v>
      </x:c>
      <x:c r="G573" s="48" t="str">
        <x:v>Obligation</x:v>
      </x:c>
      <x:c r="H573" s="48" t="str">
        <x:v>Shared</x:v>
      </x:c>
      <x:c r="I573" s="48" t="n">
        <x:v>0.45</x:v>
      </x:c>
      <x:c r="J573" s="48" t="n">
        <x:v>0.4</x:v>
      </x:c>
      <x:c r="K573" s="48" t="str">
        <x:v>Yes</x:v>
      </x:c>
      <x:c r="L573" s="48" t="str">
        <x:v>OCR</x:v>
      </x:c>
    </x:row>
    <x:row r="574">
      <x:c r="A574" s="48" t="str">
        <x:v>SILVER-0573</x:v>
      </x:c>
      <x:c r="B574" s="48" t="str">
        <x:v>SILVER</x:v>
      </x:c>
      <x:c r="C574" s="48" t="str">
        <x:v>Indonesian</x:v>
      </x:c>
      <x:c r="D574" s="48" t="n">
        <x:v>76</x:v>
      </x:c>
      <x:c r="E574" s="48" t="str"/>
      <x:c r="F574" s="48" t="str">
        <x:v>EGA sr er dan mn Sl Ka ana</x:v>
      </x:c>
      <x:c r="G574" s="48" t="str">
        <x:v>Obligation</x:v>
      </x:c>
      <x:c r="H574" s="48" t="str">
        <x:v>Shared</x:v>
      </x:c>
      <x:c r="I574" s="48" t="n">
        <x:v>0.45</x:v>
      </x:c>
      <x:c r="J574" s="48" t="n">
        <x:v>0.4</x:v>
      </x:c>
      <x:c r="K574" s="48" t="str">
        <x:v>Yes</x:v>
      </x:c>
      <x:c r="L574" s="48" t="str">
        <x:v>OCR</x:v>
      </x:c>
    </x:row>
    <x:row r="575">
      <x:c r="A575" s="48" t="str">
        <x:v>SILVER-0574</x:v>
      </x:c>
      <x:c r="B575" s="48" t="str">
        <x:v>SILVER</x:v>
      </x:c>
      <x:c r="C575" s="48" t="str">
        <x:v>Indonesian</x:v>
      </x:c>
      <x:c r="D575" s="48" t="n">
        <x:v>76</x:v>
      </x:c>
      <x:c r="E575" s="48" t="str"/>
      <x:c r="F575" s="48" t="str">
        <x:v>Dsn term menakan Pr org mengatakan tk arasitonn</x:v>
      </x:c>
      <x:c r="G575" s="48" t="str">
        <x:v>Obligation</x:v>
      </x:c>
      <x:c r="H575" s="48" t="str">
        <x:v>Shared</x:v>
      </x:c>
      <x:c r="I575" s="48" t="n">
        <x:v>0.45</x:v>
      </x:c>
      <x:c r="J575" s="48" t="n">
        <x:v>0.4</x:v>
      </x:c>
      <x:c r="K575" s="48" t="str">
        <x:v>Yes</x:v>
      </x:c>
      <x:c r="L575" s="48" t="str">
        <x:v>OCR</x:v>
      </x:c>
    </x:row>
    <x:row r="576">
      <x:c r="A576" s="48" t="str">
        <x:v>SILVER-0575</x:v>
      </x:c>
      <x:c r="B576" s="48" t="str">
        <x:v>SILVER</x:v>
      </x:c>
      <x:c r="C576" s="48" t="str">
        <x:v>Indonesian</x:v>
      </x:c>
      <x:c r="D576" s="48" t="n">
        <x:v>76</x:v>
      </x:c>
      <x:c r="E576" s="48" t="str"/>
      <x:c r="F576" s="48" t="str">
        <x:v>Sekian argo ptk pewraang dm Grgn ntar jr Semi Oa</x:v>
      </x:c>
      <x:c r="G576" s="48" t="str">
        <x:v>Obligation</x:v>
      </x:c>
      <x:c r="H576" s="48" t="str">
        <x:v>Shared</x:v>
      </x:c>
      <x:c r="I576" s="48" t="n">
        <x:v>0.45</x:v>
      </x:c>
      <x:c r="J576" s="48" t="n">
        <x:v>0.4</x:v>
      </x:c>
      <x:c r="K576" s="48" t="str">
        <x:v>Yes</x:v>
      </x:c>
      <x:c r="L576" s="48" t="str">
        <x:v>OCR</x:v>
      </x:c>
    </x:row>
    <x:row r="577">
      <x:c r="A577" s="48" t="str">
        <x:v>SILVER-0576</x:v>
      </x:c>
      <x:c r="B577" s="48" t="str">
        <x:v>SILVER</x:v>
      </x:c>
      <x:c r="C577" s="48" t="str">
        <x:v>Indonesian</x:v>
      </x:c>
      <x:c r="D577" s="48" t="n">
        <x:v>76</x:v>
      </x:c>
      <x:c r="E577" s="48" t="str"/>
      <x:c r="F577" s="48" t="str">
        <x:v>Prog mat Siap Fhoto te Green aa Jr deatan</x:v>
      </x:c>
      <x:c r="G577" s="48" t="str">
        <x:v>Obligation</x:v>
      </x:c>
      <x:c r="H577" s="48" t="str">
        <x:v>Shared</x:v>
      </x:c>
      <x:c r="I577" s="48" t="n">
        <x:v>0.45</x:v>
      </x:c>
      <x:c r="J577" s="48" t="n">
        <x:v>0.4</x:v>
      </x:c>
      <x:c r="K577" s="48" t="str">
        <x:v>Yes</x:v>
      </x:c>
      <x:c r="L577" s="48" t="str">
        <x:v>OCR</x:v>
      </x:c>
    </x:row>
    <x:row r="578">
      <x:c r="A578" s="48" t="str">
        <x:v>SILVER-0577</x:v>
      </x:c>
      <x:c r="B578" s="48" t="str">
        <x:v>SILVER</x:v>
      </x:c>
      <x:c r="C578" s="48" t="str">
        <x:v>Indonesian</x:v>
      </x:c>
      <x:c r="D578" s="48" t="n">
        <x:v>76</x:v>
      </x:c>
      <x:c r="E578" s="48" t="str"/>
      <x:c r="F578" s="48" t="str">
        <x:v>toa Dean Prk en goa Pekan Kerta Keeosaan mengena</x:v>
      </x:c>
      <x:c r="G578" s="48" t="str">
        <x:v>Obligation</x:v>
      </x:c>
      <x:c r="H578" s="48" t="str">
        <x:v>Shared</x:v>
      </x:c>
      <x:c r="I578" s="48" t="n">
        <x:v>0.45</x:v>
      </x:c>
      <x:c r="J578" s="48" t="n">
        <x:v>0.4</x:v>
      </x:c>
      <x:c r="K578" s="48" t="str">
        <x:v>Yes</x:v>
      </x:c>
      <x:c r="L578" s="48" t="str">
        <x:v>OCR</x:v>
      </x:c>
    </x:row>
    <x:row r="579">
      <x:c r="A579" s="48" t="str">
        <x:v>SILVER-0578</x:v>
      </x:c>
      <x:c r="B579" s="48" t="str">
        <x:v>SILVER</x:v>
      </x:c>
      <x:c r="C579" s="48" t="str">
        <x:v>Indonesian</x:v>
      </x:c>
      <x:c r="D579" s="48" t="n">
        <x:v>76</x:v>
      </x:c>
      <x:c r="E579" s="48" t="str"/>
      <x:c r="F579" s="48" t="str">
        <x:v>Duag N fa dergpo Ka Hg Hi BAAK Garang Sega</x:v>
      </x:c>
      <x:c r="G579" s="48" t="str">
        <x:v>Obligation</x:v>
      </x:c>
      <x:c r="H579" s="48" t="str">
        <x:v>Shared</x:v>
      </x:c>
      <x:c r="I579" s="48" t="n">
        <x:v>0.45</x:v>
      </x:c>
      <x:c r="J579" s="48" t="n">
        <x:v>0.4</x:v>
      </x:c>
      <x:c r="K579" s="48" t="str">
        <x:v>Yes</x:v>
      </x:c>
      <x:c r="L579" s="48" t="str">
        <x:v>OCR</x:v>
      </x:c>
    </x:row>
    <x:row r="580">
      <x:c r="A580" s="48" t="str">
        <x:v>SILVER-0579</x:v>
      </x:c>
      <x:c r="B580" s="48" t="str">
        <x:v>SILVER</x:v>
      </x:c>
      <x:c r="C580" s="48" t="str">
        <x:v>Indonesian</x:v>
      </x:c>
      <x:c r="D580" s="48" t="n">
        <x:v>76</x:v>
      </x:c>
      <x:c r="E580" s="48" t="str"/>
      <x:c r="F580" s="48" t="str">
        <x:v>Dewa Pergara Ja mangan Pk yng mergaarrla. et areal</x:v>
      </x:c>
      <x:c r="G580" s="48" t="str">
        <x:v>Obligation</x:v>
      </x:c>
      <x:c r="H580" s="48" t="str">
        <x:v>Shared</x:v>
      </x:c>
      <x:c r="I580" s="48" t="n">
        <x:v>0.45</x:v>
      </x:c>
      <x:c r="J580" s="48" t="n">
        <x:v>0.4</x:v>
      </x:c>
      <x:c r="K580" s="48" t="str">
        <x:v>Yes</x:v>
      </x:c>
      <x:c r="L580" s="48" t="str">
        <x:v>OCR</x:v>
      </x:c>
    </x:row>
    <x:row r="581">
      <x:c r="A581" s="48" t="str">
        <x:v>SILVER-0580</x:v>
      </x:c>
      <x:c r="B581" s="48" t="str">
        <x:v>SILVER</x:v>
      </x:c>
      <x:c r="C581" s="48" t="str">
        <x:v>Indonesian</x:v>
      </x:c>
      <x:c r="D581" s="48" t="n">
        <x:v>76</x:v>
      </x:c>
      <x:c r="E581" s="48" t="str"/>
      <x:c r="F581" s="48" t="str">
        <x:v>Tar dksan an Bf bewngara Gn ngan mantap ega</x:v>
      </x:c>
      <x:c r="G581" s="48" t="str">
        <x:v>Obligation</x:v>
      </x:c>
      <x:c r="H581" s="48" t="str">
        <x:v>Shared</x:v>
      </x:c>
      <x:c r="I581" s="48" t="n">
        <x:v>0.45</x:v>
      </x:c>
      <x:c r="J581" s="48" t="n">
        <x:v>0.4</x:v>
      </x:c>
      <x:c r="K581" s="48" t="str">
        <x:v>Yes</x:v>
      </x:c>
      <x:c r="L581" s="48" t="str">
        <x:v>OCR</x:v>
      </x:c>
    </x:row>
    <x:row r="582">
      <x:c r="A582" s="48" t="str">
        <x:v>SILVER-0581</x:v>
      </x:c>
      <x:c r="B582" s="48" t="str">
        <x:v>SILVER</x:v>
      </x:c>
      <x:c r="C582" s="48" t="str">
        <x:v>Indonesian</x:v>
      </x:c>
      <x:c r="D582" s="48" t="n">
        <x:v>76</x:v>
      </x:c>
      <x:c r="E582" s="48" t="str"/>
      <x:c r="F582" s="48" t="str">
        <x:v>Organ ru leretan oz nara Kuan” kata atu pl Gowatan AK merarn ptk ag danyrsan benar,</x:v>
      </x:c>
      <x:c r="G582" s="48" t="str">
        <x:v>Obligation</x:v>
      </x:c>
      <x:c r="H582" s="48" t="str">
        <x:v>Shared</x:v>
      </x:c>
      <x:c r="I582" s="48" t="n">
        <x:v>0.45</x:v>
      </x:c>
      <x:c r="J582" s="48" t="n">
        <x:v>0.4</x:v>
      </x:c>
      <x:c r="K582" s="48" t="str">
        <x:v>Yes</x:v>
      </x:c>
      <x:c r="L582" s="48" t="str">
        <x:v>OCR</x:v>
      </x:c>
    </x:row>
    <x:row r="583">
      <x:c r="A583" s="48" t="str">
        <x:v>SILVER-0582</x:v>
      </x:c>
      <x:c r="B583" s="48" t="str">
        <x:v>SILVER</x:v>
      </x:c>
      <x:c r="C583" s="48" t="str">
        <x:v>Indonesian</x:v>
      </x:c>
      <x:c r="D583" s="48" t="n">
        <x:v>76</x:v>
      </x:c>
      <x:c r="E583" s="48" t="str"/>
      <x:c r="F583" s="48" t="str">
        <x:v>PMA Pane Datu can lap rak ta tar ar danyralan</x:v>
      </x:c>
      <x:c r="G583" s="48" t="str">
        <x:v>Obligation</x:v>
      </x:c>
      <x:c r="H583" s="48" t="str">
        <x:v>Shared</x:v>
      </x:c>
      <x:c r="I583" s="48" t="n">
        <x:v>0.45</x:v>
      </x:c>
      <x:c r="J583" s="48" t="n">
        <x:v>0.4</x:v>
      </x:c>
      <x:c r="K583" s="48" t="str">
        <x:v>Yes</x:v>
      </x:c>
      <x:c r="L583" s="48" t="str">
        <x:v>OCR</x:v>
      </x:c>
    </x:row>
    <x:row r="584">
      <x:c r="A584" s="48" t="str">
        <x:v>SILVER-0583</x:v>
      </x:c>
      <x:c r="B584" s="48" t="str">
        <x:v>SILVER</x:v>
      </x:c>
      <x:c r="C584" s="48" t="str">
        <x:v>Indonesian</x:v>
      </x:c>
      <x:c r="D584" s="48" t="n">
        <x:v>76</x:v>
      </x:c>
      <x:c r="E584" s="48" t="str"/>
      <x:c r="F584" s="48" t="str">
        <x:v>ian bla Getton scan Mp Ls mara CNg Blak yag</x:v>
      </x:c>
      <x:c r="G584" s="48" t="str">
        <x:v>Obligation</x:v>
      </x:c>
      <x:c r="H584" s="48" t="str">
        <x:v>Shared</x:v>
      </x:c>
      <x:c r="I584" s="48" t="n">
        <x:v>0.45</x:v>
      </x:c>
      <x:c r="J584" s="48" t="n">
        <x:v>0.4</x:v>
      </x:c>
      <x:c r="K584" s="48" t="str">
        <x:v>Yes</x:v>
      </x:c>
      <x:c r="L584" s="48" t="str">
        <x:v>OCR</x:v>
      </x:c>
    </x:row>
    <x:row r="585">
      <x:c r="A585" s="48" t="str">
        <x:v>SILVER-0584</x:v>
      </x:c>
      <x:c r="B585" s="48" t="str">
        <x:v>SILVER</x:v>
      </x:c>
      <x:c r="C585" s="48" t="str">
        <x:v>Indonesian</x:v>
      </x:c>
      <x:c r="D585" s="48" t="n">
        <x:v>76</x:v>
      </x:c>
      <x:c r="E585" s="48" t="str"/>
      <x:c r="F585" s="48" t="str">
        <x:v>Serkan berana KANAL Sele meemnorek near daur</x:v>
      </x:c>
      <x:c r="G585" s="48" t="str">
        <x:v>Obligation</x:v>
      </x:c>
      <x:c r="H585" s="48" t="str">
        <x:v>Shared</x:v>
      </x:c>
      <x:c r="I585" s="48" t="n">
        <x:v>0.45</x:v>
      </x:c>
      <x:c r="J585" s="48" t="n">
        <x:v>0.4</x:v>
      </x:c>
      <x:c r="K585" s="48" t="str">
        <x:v>Yes</x:v>
      </x:c>
      <x:c r="L585" s="48" t="str">
        <x:v>OCR</x:v>
      </x:c>
    </x:row>
    <x:row r="586">
      <x:c r="A586" s="48" t="str">
        <x:v>SILVER-0585</x:v>
      </x:c>
      <x:c r="B586" s="48" t="str">
        <x:v>SILVER</x:v>
      </x:c>
      <x:c r="C586" s="48" t="str">
        <x:v>Indonesian</x:v>
      </x:c>
      <x:c r="D586" s="48" t="n">
        <x:v>76</x:v>
      </x:c>
      <x:c r="E586" s="48" t="str"/>
      <x:c r="F586" s="48" t="str">
        <x:v>rama Ji rta ln pr yg Gmuaasan empat duatan</x:v>
      </x:c>
      <x:c r="G586" s="48" t="str">
        <x:v>Obligation</x:v>
      </x:c>
      <x:c r="H586" s="48" t="str">
        <x:v>Shared</x:v>
      </x:c>
      <x:c r="I586" s="48" t="n">
        <x:v>0.45</x:v>
      </x:c>
      <x:c r="J586" s="48" t="n">
        <x:v>0.4</x:v>
      </x:c>
      <x:c r="K586" s="48" t="str">
        <x:v>Yes</x:v>
      </x:c>
      <x:c r="L586" s="48" t="str">
        <x:v>OCR</x:v>
      </x:c>
    </x:row>
    <x:row r="587">
      <x:c r="A587" s="48" t="str">
        <x:v>SILVER-0586</x:v>
      </x:c>
      <x:c r="B587" s="48" t="str">
        <x:v>SILVER</x:v>
      </x:c>
      <x:c r="C587" s="48" t="str">
        <x:v>Indonesian</x:v>
      </x:c>
      <x:c r="D587" s="48" t="n">
        <x:v>76</x:v>
      </x:c>
      <x:c r="E587" s="48" t="str"/>
      <x:c r="F587" s="48" t="str">
        <x:v>Kera an btr bermtn poe datana tenbtan Gk yang</x:v>
      </x:c>
      <x:c r="G587" s="48" t="str">
        <x:v>Obligation</x:v>
      </x:c>
      <x:c r="H587" s="48" t="str">
        <x:v>Shared</x:v>
      </x:c>
      <x:c r="I587" s="48" t="n">
        <x:v>0.45</x:v>
      </x:c>
      <x:c r="J587" s="48" t="n">
        <x:v>0.4</x:v>
      </x:c>
      <x:c r="K587" s="48" t="str">
        <x:v>Yes</x:v>
      </x:c>
      <x:c r="L587" s="48" t="str">
        <x:v>OCR</x:v>
      </x:c>
    </x:row>
    <x:row r="588">
      <x:c r="A588" s="48" t="str">
        <x:v>SILVER-0587</x:v>
      </x:c>
      <x:c r="B588" s="48" t="str">
        <x:v>SILVER</x:v>
      </x:c>
      <x:c r="C588" s="48" t="str">
        <x:v>Indonesian</x:v>
      </x:c>
      <x:c r="D588" s="48" t="n">
        <x:v>76</x:v>
      </x:c>
      <x:c r="E588" s="48" t="str"/>
      <x:c r="F588" s="48" t="str">
        <x:v>enakan ena kesat cai Pegara ban man tw Lu.</x:v>
      </x:c>
      <x:c r="G588" s="48" t="str">
        <x:v>Obligation</x:v>
      </x:c>
      <x:c r="H588" s="48" t="str">
        <x:v>Shared</x:v>
      </x:c>
      <x:c r="I588" s="48" t="n">
        <x:v>0.45</x:v>
      </x:c>
      <x:c r="J588" s="48" t="n">
        <x:v>0.4</x:v>
      </x:c>
      <x:c r="K588" s="48" t="str">
        <x:v>Yes</x:v>
      </x:c>
      <x:c r="L588" s="48" t="str">
        <x:v>OCR</x:v>
      </x:c>
    </x:row>
    <x:row r="589">
      <x:c r="A589" s="48" t="str">
        <x:v>SILVER-0588</x:v>
      </x:c>
      <x:c r="B589" s="48" t="str">
        <x:v>SILVER</x:v>
      </x:c>
      <x:c r="C589" s="48" t="str">
        <x:v>Indonesian</x:v>
      </x:c>
      <x:c r="D589" s="48" t="n">
        <x:v>76</x:v>
      </x:c>
      <x:c r="E589" s="48" t="str"/>
      <x:c r="F589" s="48" t="str">
        <x:v>Panen Pergara ka</x:v>
      </x:c>
      <x:c r="G589" s="48" t="str">
        <x:v>Obligation</x:v>
      </x:c>
      <x:c r="H589" s="48" t="str">
        <x:v>Shared</x:v>
      </x:c>
      <x:c r="I589" s="48" t="n">
        <x:v>0.45</x:v>
      </x:c>
      <x:c r="J589" s="48" t="n">
        <x:v>0.4</x:v>
      </x:c>
      <x:c r="K589" s="48" t="str">
        <x:v>Yes</x:v>
      </x:c>
      <x:c r="L589" s="48" t="str">
        <x:v>OCR</x:v>
      </x:c>
    </x:row>
    <x:row r="590">
      <x:c r="A590" s="48" t="str">
        <x:v>SILVER-0589</x:v>
      </x:c>
      <x:c r="B590" s="48" t="str">
        <x:v>SILVER</x:v>
      </x:c>
      <x:c r="C590" s="48" t="str">
        <x:v>Indonesian</x:v>
      </x:c>
      <x:c r="D590" s="48" t="n">
        <x:v>76</x:v>
      </x:c>
      <x:c r="E590" s="48" t="str"/>
      <x:c r="F590" s="48" t="str">
        <x:v>@ Petambaen yag ananrehan beranak beta menata benbaran</x:v>
      </x:c>
      <x:c r="G590" s="48" t="str">
        <x:v>Obligation</x:v>
      </x:c>
      <x:c r="H590" s="48" t="str">
        <x:v>Shared</x:v>
      </x:c>
      <x:c r="I590" s="48" t="n">
        <x:v>0.45</x:v>
      </x:c>
      <x:c r="J590" s="48" t="n">
        <x:v>0.4</x:v>
      </x:c>
      <x:c r="K590" s="48" t="str">
        <x:v>Yes</x:v>
      </x:c>
      <x:c r="L590" s="48" t="str">
        <x:v>OCR</x:v>
      </x:c>
    </x:row>
    <x:row r="591">
      <x:c r="A591" s="48" t="str">
        <x:v>SILVER-0590</x:v>
      </x:c>
      <x:c r="B591" s="48" t="str">
        <x:v>SILVER</x:v>
      </x:c>
      <x:c r="C591" s="48" t="str">
        <x:v>Indonesian</x:v>
      </x:c>
      <x:c r="D591" s="48" t="n">
        <x:v>76</x:v>
      </x:c>
      <x:c r="E591" s="48" t="str"/>
      <x:c r="F591" s="48" t="str">
        <x:v>Invnng amen sa mergusga hdurga nyang angan pra</x:v>
      </x:c>
      <x:c r="G591" s="48" t="str">
        <x:v>Obligation</x:v>
      </x:c>
      <x:c r="H591" s="48" t="str">
        <x:v>Shared</x:v>
      </x:c>
      <x:c r="I591" s="48" t="n">
        <x:v>0.45</x:v>
      </x:c>
      <x:c r="J591" s="48" t="n">
        <x:v>0.4</x:v>
      </x:c>
      <x:c r="K591" s="48" t="str">
        <x:v>Yes</x:v>
      </x:c>
      <x:c r="L591" s="48" t="str">
        <x:v>OCR</x:v>
      </x:c>
    </x:row>
    <x:row r="592">
      <x:c r="A592" s="48" t="str">
        <x:v>SILVER-0591</x:v>
      </x:c>
      <x:c r="B592" s="48" t="str">
        <x:v>SILVER</x:v>
      </x:c>
      <x:c r="C592" s="48" t="str">
        <x:v>Indonesian</x:v>
      </x:c>
      <x:c r="D592" s="48" t="n">
        <x:v>76</x:v>
      </x:c>
      <x:c r="E592" s="48" t="str"/>
      <x:c r="F592" s="48" t="str">
        <x:v>(cra Teransarutan dan memakan ta ratan Bh ang uban batang Ira Ark Sa pemangku da sea</x:v>
      </x:c>
      <x:c r="G592" s="48" t="str">
        <x:v>Obligation</x:v>
      </x:c>
      <x:c r="H592" s="48" t="str">
        <x:v>Shared</x:v>
      </x:c>
      <x:c r="I592" s="48" t="n">
        <x:v>0.45</x:v>
      </x:c>
      <x:c r="J592" s="48" t="n">
        <x:v>0.4</x:v>
      </x:c>
      <x:c r="K592" s="48" t="str">
        <x:v>Yes</x:v>
      </x:c>
      <x:c r="L592" s="48" t="str">
        <x:v>OCR</x:v>
      </x:c>
    </x:row>
    <x:row r="593">
      <x:c r="A593" s="48" t="str">
        <x:v>SILVER-0592</x:v>
      </x:c>
      <x:c r="B593" s="48" t="str">
        <x:v>SILVER</x:v>
      </x:c>
      <x:c r="C593" s="48" t="str">
        <x:v>Indonesian</x:v>
      </x:c>
      <x:c r="D593" s="48" t="n">
        <x:v>76</x:v>
      </x:c>
      <x:c r="E593" s="48" t="str"/>
      <x:c r="F593" s="48" t="str">
        <x:v>Seto sn ro Peraga Ietngan das tenan ten mrngakan</x:v>
      </x:c>
      <x:c r="G593" s="48" t="str">
        <x:v>Obligation</x:v>
      </x:c>
      <x:c r="H593" s="48" t="str">
        <x:v>Shared</x:v>
      </x:c>
      <x:c r="I593" s="48" t="n">
        <x:v>0.45</x:v>
      </x:c>
      <x:c r="J593" s="48" t="n">
        <x:v>0.4</x:v>
      </x:c>
      <x:c r="K593" s="48" t="str">
        <x:v>Yes</x:v>
      </x:c>
      <x:c r="L593" s="48" t="str">
        <x:v>OCR</x:v>
      </x:c>
    </x:row>
    <x:row r="594">
      <x:c r="A594" s="48" t="str">
        <x:v>SILVER-0593</x:v>
      </x:c>
      <x:c r="B594" s="48" t="str">
        <x:v>SILVER</x:v>
      </x:c>
      <x:c r="C594" s="48" t="str">
        <x:v>Indonesian</x:v>
      </x:c>
      <x:c r="D594" s="48" t="n">
        <x:v>76</x:v>
      </x:c>
      <x:c r="E594" s="48" t="str"/>
      <x:c r="F594" s="48" t="str">
        <x:v>perban akn mala lrg yg GBAfIan Lk mega Senang ah Tenvetahi tera.</x:v>
      </x:c>
      <x:c r="G594" s="48" t="str">
        <x:v>Obligation</x:v>
      </x:c>
      <x:c r="H594" s="48" t="str">
        <x:v>Shared</x:v>
      </x:c>
      <x:c r="I594" s="48" t="n">
        <x:v>0.45</x:v>
      </x:c>
      <x:c r="J594" s="48" t="n">
        <x:v>0.4</x:v>
      </x:c>
      <x:c r="K594" s="48" t="str">
        <x:v>Yes</x:v>
      </x:c>
      <x:c r="L594" s="48" t="str">
        <x:v>OCR</x:v>
      </x:c>
    </x:row>
    <x:row r="595">
      <x:c r="A595" s="48" t="str">
        <x:v>SILVER-0594</x:v>
      </x:c>
      <x:c r="B595" s="48" t="str">
        <x:v>SILVER</x:v>
      </x:c>
      <x:c r="C595" s="48" t="str">
        <x:v>Indonesian</x:v>
      </x:c>
      <x:c r="D595" s="48" t="n">
        <x:v>76</x:v>
      </x:c>
      <x:c r="E595" s="48" t="str"/>
      <x:c r="F595" s="48" t="str">
        <x:v>Perbeman yag Burma Sat ru perpran ana</x:v>
      </x:c>
      <x:c r="G595" s="48" t="str">
        <x:v>Obligation</x:v>
      </x:c>
      <x:c r="H595" s="48" t="str">
        <x:v>Shared</x:v>
      </x:c>
      <x:c r="I595" s="48" t="n">
        <x:v>0.45</x:v>
      </x:c>
      <x:c r="J595" s="48" t="n">
        <x:v>0.4</x:v>
      </x:c>
      <x:c r="K595" s="48" t="str">
        <x:v>Yes</x:v>
      </x:c>
      <x:c r="L595" s="48" t="str">
        <x:v>OCR</x:v>
      </x:c>
    </x:row>
    <x:row r="596">
      <x:c r="A596" s="48" t="str">
        <x:v>SILVER-0595</x:v>
      </x:c>
      <x:c r="B596" s="48" t="str">
        <x:v>SILVER</x:v>
      </x:c>
      <x:c r="C596" s="48" t="str">
        <x:v>Indonesian</x:v>
      </x:c>
      <x:c r="D596" s="48" t="n">
        <x:v>76</x:v>
      </x:c>
      <x:c r="E596" s="48" t="str"/>
      <x:c r="F596" s="48" t="str">
        <x:v>IBAN UK MengOK IPA au manga an</x:v>
      </x:c>
      <x:c r="G596" s="48" t="str">
        <x:v>Obligation</x:v>
      </x:c>
      <x:c r="H596" s="48" t="str">
        <x:v>Shared</x:v>
      </x:c>
      <x:c r="I596" s="48" t="n">
        <x:v>0.45</x:v>
      </x:c>
      <x:c r="J596" s="48" t="n">
        <x:v>0.4</x:v>
      </x:c>
      <x:c r="K596" s="48" t="str">
        <x:v>Yes</x:v>
      </x:c>
      <x:c r="L596" s="48" t="str">
        <x:v>OCR</x:v>
      </x:c>
    </x:row>
    <x:row r="597">
      <x:c r="A597" s="48" t="str">
        <x:v>SILVER-0596</x:v>
      </x:c>
      <x:c r="B597" s="48" t="str">
        <x:v>SILVER</x:v>
      </x:c>
      <x:c r="C597" s="48" t="str">
        <x:v>Indonesian</x:v>
      </x:c>
      <x:c r="D597" s="48" t="n">
        <x:v>77</x:v>
      </x:c>
      <x:c r="E597" s="48" t="str"/>
      <x:c r="F597" s="48" t="str">
        <x:v>Ptakyarg merenarerakan. caam waktu er dnyaakn dm Pmprtan</x:v>
      </x:c>
      <x:c r="G597" s="48" t="str">
        <x:v>Obligation</x:v>
      </x:c>
      <x:c r="H597" s="48" t="str">
        <x:v>Shared</x:v>
      </x:c>
      <x:c r="I597" s="48" t="n">
        <x:v>0.45</x:v>
      </x:c>
      <x:c r="J597" s="48" t="n">
        <x:v>0.4</x:v>
      </x:c>
      <x:c r="K597" s="48" t="str">
        <x:v>Yes</x:v>
      </x:c>
      <x:c r="L597" s="48" t="str">
        <x:v>OCR</x:v>
      </x:c>
    </x:row>
    <x:row r="598">
      <x:c r="A598" s="48" t="str">
        <x:v>SILVER-0597</x:v>
      </x:c>
      <x:c r="B598" s="48" t="str">
        <x:v>SILVER</x:v>
      </x:c>
      <x:c r="C598" s="48" t="str">
        <x:v>Indonesian</x:v>
      </x:c>
      <x:c r="D598" s="48" t="n">
        <x:v>77</x:v>
      </x:c>
      <x:c r="E598" s="48" t="str"/>
      <x:c r="F598" s="48" t="str">
        <x:v>Ius Brg sg Tren MA Pekan, meangatan usa Mar</x:v>
      </x:c>
      <x:c r="G598" s="48" t="str">
        <x:v>Obligation</x:v>
      </x:c>
      <x:c r="H598" s="48" t="str">
        <x:v>Shared</x:v>
      </x:c>
      <x:c r="I598" s="48" t="n">
        <x:v>0.45</x:v>
      </x:c>
      <x:c r="J598" s="48" t="n">
        <x:v>0.4</x:v>
      </x:c>
      <x:c r="K598" s="48" t="str">
        <x:v>Yes</x:v>
      </x:c>
      <x:c r="L598" s="48" t="str">
        <x:v>OCR</x:v>
      </x:c>
    </x:row>
    <x:row r="599">
      <x:c r="A599" s="48" t="str">
        <x:v>SILVER-0598</x:v>
      </x:c>
      <x:c r="B599" s="48" t="str">
        <x:v>SILVER</x:v>
      </x:c>
      <x:c r="C599" s="48" t="str">
        <x:v>Indonesian</x:v>
      </x:c>
      <x:c r="D599" s="48" t="n">
        <x:v>77</x:v>
      </x:c>
      <x:c r="E599" s="48" t="str"/>
      <x:c r="F599" s="48" t="str">
        <x:v>(8 tua ba kar ra utan Gan Kla bet la, (Sian Ol san yang detutan Gan Kas 182 ar rak saja On Peran Kerta an Sr Mania Ta rr ma : aceh dan Kuat ba ena</x:v>
      </x:c>
      <x:c r="G599" s="48" t="str">
        <x:v>Obligation</x:v>
      </x:c>
      <x:c r="H599" s="48" t="str">
        <x:v>Shared</x:v>
      </x:c>
      <x:c r="I599" s="48" t="n">
        <x:v>0.45</x:v>
      </x:c>
      <x:c r="J599" s="48" t="n">
        <x:v>0.4</x:v>
      </x:c>
      <x:c r="K599" s="48" t="str">
        <x:v>Yes</x:v>
      </x:c>
      <x:c r="L599" s="48" t="str">
        <x:v>OCR</x:v>
      </x:c>
    </x:row>
    <x:row r="600">
      <x:c r="A600" s="48" t="str">
        <x:v>SILVER-0599</x:v>
      </x:c>
      <x:c r="B600" s="48" t="str">
        <x:v>SILVER</x:v>
      </x:c>
      <x:c r="C600" s="48" t="str">
        <x:v>Indonesian</x:v>
      </x:c>
      <x:c r="D600" s="48" t="n">
        <x:v>77</x:v>
      </x:c>
      <x:c r="E600" s="48" t="str"/>
      <x:c r="F600" s="48" t="str">
        <x:v>Data pari Geatan, Sta rg mergaararkan has menyngakan tki</x:v>
      </x:c>
      <x:c r="G600" s="48" t="str">
        <x:v>Obligation</x:v>
      </x:c>
      <x:c r="H600" s="48" t="str">
        <x:v>Shared</x:v>
      </x:c>
      <x:c r="I600" s="48" t="n">
        <x:v>0.45</x:v>
      </x:c>
      <x:c r="J600" s="48" t="n">
        <x:v>0.4</x:v>
      </x:c>
      <x:c r="K600" s="48" t="str">
        <x:v>Yes</x:v>
      </x:c>
      <x:c r="L600" s="48" t="str">
        <x:v>OCR</x:v>
      </x:c>
    </x:row>
    <x:row r="601">
      <x:c r="A601" s="48" t="str">
        <x:v>SILVER-0600</x:v>
      </x:c>
      <x:c r="B601" s="48" t="str">
        <x:v>SILVER</x:v>
      </x:c>
      <x:c r="C601" s="48" t="str">
        <x:v>Indonesian</x:v>
      </x:c>
      <x:c r="D601" s="48" t="n">
        <x:v>77</x:v>
      </x:c>
      <x:c r="E601" s="48" t="str"/>
      <x:c r="F601" s="48" t="str">
        <x:v>pentas makan</x:v>
      </x:c>
      <x:c r="G601" s="48" t="str">
        <x:v>Obligation</x:v>
      </x:c>
      <x:c r="H601" s="48" t="str">
        <x:v>Shared</x:v>
      </x:c>
      <x:c r="I601" s="48" t="n">
        <x:v>0.45</x:v>
      </x:c>
      <x:c r="J601" s="48" t="n">
        <x:v>0.4</x:v>
      </x:c>
      <x:c r="K601" s="48" t="str">
        <x:v>Yes</x:v>
      </x:c>
      <x:c r="L601" s="48" t="str">
        <x:v>OCR</x:v>
      </x:c>
    </x:row>
    <x:row r="602">
      <x:c r="A602" s="48" t="str">
        <x:v>SILVER-0601</x:v>
      </x:c>
      <x:c r="B602" s="48" t="str">
        <x:v>SILVER</x:v>
      </x:c>
      <x:c r="C602" s="48" t="str">
        <x:v>Indonesian</x:v>
      </x:c>
      <x:c r="D602" s="48" t="n">
        <x:v>77</x:v>
      </x:c>
      <x:c r="E602" s="48" t="str"/>
      <x:c r="F602" s="48" t="str">
        <x:v>SEPRAILEOndapeNunaN yr msanam edan,</x:v>
      </x:c>
      <x:c r="G602" s="48" t="str">
        <x:v>Obligation</x:v>
      </x:c>
      <x:c r="H602" s="48" t="str">
        <x:v>Shared</x:v>
      </x:c>
      <x:c r="I602" s="48" t="n">
        <x:v>0.45</x:v>
      </x:c>
      <x:c r="J602" s="48" t="n">
        <x:v>0.4</x:v>
      </x:c>
      <x:c r="K602" s="48" t="str">
        <x:v>Yes</x:v>
      </x:c>
      <x:c r="L602" s="48" t="str">
        <x:v>OCR</x:v>
      </x:c>
    </x:row>
    <x:row r="603">
      <x:c r="A603" s="48" t="str">
        <x:v>SILVER-0602</x:v>
      </x:c>
      <x:c r="B603" s="48" t="str">
        <x:v>SILVER</x:v>
      </x:c>
      <x:c r="C603" s="48" t="str">
        <x:v>Indonesian</x:v>
      </x:c>
      <x:c r="D603" s="48" t="n">
        <x:v>77</x:v>
      </x:c>
      <x:c r="E603" s="48" t="str"/>
      <x:c r="F603" s="48" t="str">
        <x:v>Pte yag merganrakan hana Sewa menbwnan tunas laman pra</x:v>
      </x:c>
      <x:c r="G603" s="48" t="str">
        <x:v>Obligation</x:v>
      </x:c>
      <x:c r="H603" s="48" t="str">
        <x:v>Shared</x:v>
      </x:c>
      <x:c r="I603" s="48" t="n">
        <x:v>0.45</x:v>
      </x:c>
      <x:c r="J603" s="48" t="n">
        <x:v>0.4</x:v>
      </x:c>
      <x:c r="K603" s="48" t="str">
        <x:v>Yes</x:v>
      </x:c>
      <x:c r="L603" s="48" t="str">
        <x:v>OCR</x:v>
      </x:c>
    </x:row>
    <x:row r="604">
      <x:c r="A604" s="48" t="str">
        <x:v>SILVER-0603</x:v>
      </x:c>
      <x:c r="B604" s="48" t="str">
        <x:v>SILVER</x:v>
      </x:c>
      <x:c r="C604" s="48" t="str">
        <x:v>Indonesian</x:v>
      </x:c>
      <x:c r="D604" s="48" t="n">
        <x:v>77</x:v>
      </x:c>
      <x:c r="E604" s="48" t="str"/>
      <x:c r="F604" s="48" t="str">
        <x:v>PEGANG MOU pena Gam pekan Pagar dn mana</x:v>
      </x:c>
      <x:c r="G604" s="48" t="str">
        <x:v>Obligation</x:v>
      </x:c>
      <x:c r="H604" s="48" t="str">
        <x:v>Shared</x:v>
      </x:c>
      <x:c r="I604" s="48" t="n">
        <x:v>0.45</x:v>
      </x:c>
      <x:c r="J604" s="48" t="n">
        <x:v>0.4</x:v>
      </x:c>
      <x:c r="K604" s="48" t="str">
        <x:v>Yes</x:v>
      </x:c>
      <x:c r="L604" s="48" t="str">
        <x:v>OCR</x:v>
      </x:c>
    </x:row>
    <x:row r="605">
      <x:c r="A605" s="48" t="str">
        <x:v>SILVER-0604</x:v>
      </x:c>
      <x:c r="B605" s="48" t="str">
        <x:v>SILVER</x:v>
      </x:c>
      <x:c r="C605" s="48" t="str">
        <x:v>Indonesian</x:v>
      </x:c>
      <x:c r="D605" s="48" t="n">
        <x:v>77</x:v>
      </x:c>
      <x:c r="E605" s="48" t="str"/>
      <x:c r="F605" s="48" t="str">
        <x:v>Terasa Gharguman ski dayan asa</x:v>
      </x:c>
      <x:c r="G605" s="48" t="str">
        <x:v>Obligation</x:v>
      </x:c>
      <x:c r="H605" s="48" t="str">
        <x:v>Shared</x:v>
      </x:c>
      <x:c r="I605" s="48" t="n">
        <x:v>0.45</x:v>
      </x:c>
      <x:c r="J605" s="48" t="n">
        <x:v>0.4</x:v>
      </x:c>
      <x:c r="K605" s="48" t="str">
        <x:v>Yes</x:v>
      </x:c>
      <x:c r="L605" s="48" t="str">
        <x:v>OCR</x:v>
      </x:c>
    </x:row>
    <x:row r="606">
      <x:c r="A606" s="48" t="str">
        <x:v>SILVER-0605</x:v>
      </x:c>
      <x:c r="B606" s="48" t="str">
        <x:v>SILVER</x:v>
      </x:c>
      <x:c r="C606" s="48" t="str">
        <x:v>Indonesian</x:v>
      </x:c>
      <x:c r="D606" s="48" t="n">
        <x:v>77</x:v>
      </x:c>
      <x:c r="E606" s="48" t="str"/>
      <x:c r="F606" s="48" t="str">
        <x:v>Toska sa Pata ar ek ekhsan patner me nasa</x:v>
      </x:c>
      <x:c r="G606" s="48" t="str">
        <x:v>Obligation</x:v>
      </x:c>
      <x:c r="H606" s="48" t="str">
        <x:v>Shared</x:v>
      </x:c>
      <x:c r="I606" s="48" t="n">
        <x:v>0.45</x:v>
      </x:c>
      <x:c r="J606" s="48" t="n">
        <x:v>0.4</x:v>
      </x:c>
      <x:c r="K606" s="48" t="str">
        <x:v>Yes</x:v>
      </x:c>
      <x:c r="L606" s="48" t="str">
        <x:v>OCR</x:v>
      </x:c>
    </x:row>
    <x:row r="607">
      <x:c r="A607" s="48" t="str">
        <x:v>SILVER-0606</x:v>
      </x:c>
      <x:c r="B607" s="48" t="str">
        <x:v>SILVER</x:v>
      </x:c>
      <x:c r="C607" s="48" t="str">
        <x:v>Indonesian</x:v>
      </x:c>
      <x:c r="D607" s="48" t="n">
        <x:v>77</x:v>
      </x:c>
      <x:c r="E607" s="48" t="str"/>
      <x:c r="F607" s="48" t="str">
        <x:v>Deitapa ana va Desakan an en On Pra Lab pn</x:v>
      </x:c>
      <x:c r="G607" s="48" t="str">
        <x:v>Obligation</x:v>
      </x:c>
      <x:c r="H607" s="48" t="str">
        <x:v>Shared</x:v>
      </x:c>
      <x:c r="I607" s="48" t="n">
        <x:v>0.45</x:v>
      </x:c>
      <x:c r="J607" s="48" t="n">
        <x:v>0.4</x:v>
      </x:c>
      <x:c r="K607" s="48" t="str">
        <x:v>Yes</x:v>
      </x:c>
      <x:c r="L607" s="48" t="str">
        <x:v>OCR</x:v>
      </x:c>
    </x:row>
    <x:row r="608">
      <x:c r="A608" s="48" t="str">
        <x:v>SILVER-0607</x:v>
      </x:c>
      <x:c r="B608" s="48" t="str">
        <x:v>SILVER</x:v>
      </x:c>
      <x:c r="C608" s="48" t="str">
        <x:v>Indonesian</x:v>
      </x:c>
      <x:c r="D608" s="48" t="n">
        <x:v>77</x:v>
      </x:c>
      <x:c r="E608" s="48" t="str"/>
      <x:c r="F608" s="48" t="str">
        <x:v>PIA mika lt trwaru mean petakan Pal yag pena</x:v>
      </x:c>
      <x:c r="G608" s="48" t="str">
        <x:v>Obligation</x:v>
      </x:c>
      <x:c r="H608" s="48" t="str">
        <x:v>Shared</x:v>
      </x:c>
      <x:c r="I608" s="48" t="n">
        <x:v>0.45</x:v>
      </x:c>
      <x:c r="J608" s="48" t="n">
        <x:v>0.4</x:v>
      </x:c>
      <x:c r="K608" s="48" t="str">
        <x:v>Yes</x:v>
      </x:c>
      <x:c r="L608" s="48" t="str">
        <x:v>OCR</x:v>
      </x:c>
    </x:row>
    <x:row r="609">
      <x:c r="A609" s="48" t="str">
        <x:v>SILVER-0608</x:v>
      </x:c>
      <x:c r="B609" s="48" t="str">
        <x:v>SILVER</x:v>
      </x:c>
      <x:c r="C609" s="48" t="str">
        <x:v>Indonesian</x:v>
      </x:c>
      <x:c r="D609" s="48" t="n">
        <x:v>77</x:v>
      </x:c>
      <x:c r="E609" s="48" t="str"/>
      <x:c r="F609" s="48" t="str">
        <x:v>out sn ptepewgarg Ima meamangaanertenguna penang s0 eter yrg doprkan ak delta Ga bansren ana Keruai Bai (On mena Ia yr memuaskan da man tea mus degan Se</x:v>
      </x:c>
      <x:c r="G609" s="48" t="str">
        <x:v>Obligation</x:v>
      </x:c>
      <x:c r="H609" s="48" t="str">
        <x:v>Shared</x:v>
      </x:c>
      <x:c r="I609" s="48" t="n">
        <x:v>0.45</x:v>
      </x:c>
      <x:c r="J609" s="48" t="n">
        <x:v>0.4</x:v>
      </x:c>
      <x:c r="K609" s="48" t="str">
        <x:v>Yes</x:v>
      </x:c>
      <x:c r="L609" s="48" t="str">
        <x:v>OCR</x:v>
      </x:c>
    </x:row>
    <x:row r="610">
      <x:c r="A610" s="48" t="str">
        <x:v>SILVER-0609</x:v>
      </x:c>
      <x:c r="B610" s="48" t="str">
        <x:v>SILVER</x:v>
      </x:c>
      <x:c r="C610" s="48" t="str">
        <x:v>Indonesian</x:v>
      </x:c>
      <x:c r="D610" s="48" t="n">
        <x:v>77</x:v>
      </x:c>
      <x:c r="E610" s="48" t="str"/>
      <x:c r="F610" s="48" t="str">
        <x:v>Mma Pan cp tara Gmn tr mer Pk puan</x:v>
      </x:c>
      <x:c r="G610" s="48" t="str">
        <x:v>Obligation</x:v>
      </x:c>
      <x:c r="H610" s="48" t="str">
        <x:v>Shared</x:v>
      </x:c>
      <x:c r="I610" s="48" t="n">
        <x:v>0.45</x:v>
      </x:c>
      <x:c r="J610" s="48" t="n">
        <x:v>0.4</x:v>
      </x:c>
      <x:c r="K610" s="48" t="str">
        <x:v>Yes</x:v>
      </x:c>
      <x:c r="L610" s="48" t="str">
        <x:v>OCR</x:v>
      </x:c>
    </x:row>
    <x:row r="611">
      <x:c r="A611" s="48" t="str">
        <x:v>SILVER-0610</x:v>
      </x:c>
      <x:c r="B611" s="48" t="str">
        <x:v>SILVER</x:v>
      </x:c>
      <x:c r="C611" s="48" t="str">
        <x:v>Indonesian</x:v>
      </x:c>
      <x:c r="D611" s="48" t="n">
        <x:v>77</x:v>
      </x:c>
      <x:c r="E611" s="48" t="str"/>
      <x:c r="F611" s="48" t="str">
        <x:v>“amal meroisttan oarra Organ etrgargn yng sat an matan gann Pang mrosesaan ena mana La Dena (Com Pr Kroak paya an data</x:v>
      </x:c>
      <x:c r="G611" s="48" t="str">
        <x:v>Obligation</x:v>
      </x:c>
      <x:c r="H611" s="48" t="str">
        <x:v>Shared</x:v>
      </x:c>
      <x:c r="I611" s="48" t="n">
        <x:v>0.45</x:v>
      </x:c>
      <x:c r="J611" s="48" t="n">
        <x:v>0.4</x:v>
      </x:c>
      <x:c r="K611" s="48" t="str">
        <x:v>Yes</x:v>
      </x:c>
      <x:c r="L611" s="48" t="str">
        <x:v>OCR</x:v>
      </x:c>
    </x:row>
    <x:row r="612">
      <x:c r="A612" s="48" t="str">
        <x:v>SILVER-0611</x:v>
      </x:c>
      <x:c r="B612" s="48" t="str">
        <x:v>SILVER</x:v>
      </x:c>
      <x:c r="C612" s="48" t="str">
        <x:v>Indonesian</x:v>
      </x:c>
      <x:c r="D612" s="48" t="n">
        <x:v>77</x:v>
      </x:c>
      <x:c r="E612" s="48" t="str"/>
      <x:c r="F612" s="48" t="str">
        <x:v>Tak en Shan Gian Mania Ii yrg mantan lensan Urgargaes</x:v>
      </x:c>
      <x:c r="G612" s="48" t="str">
        <x:v>Obligation</x:v>
      </x:c>
      <x:c r="H612" s="48" t="str">
        <x:v>Shared</x:v>
      </x:c>
      <x:c r="I612" s="48" t="n">
        <x:v>0.45</x:v>
      </x:c>
      <x:c r="J612" s="48" t="n">
        <x:v>0.4</x:v>
      </x:c>
      <x:c r="K612" s="48" t="str">
        <x:v>Yes</x:v>
      </x:c>
      <x:c r="L612" s="48" t="str">
        <x:v>OCR</x:v>
      </x:c>
    </x:row>
    <x:row r="613">
      <x:c r="A613" s="48" t="str">
        <x:v>SILVER-0612</x:v>
      </x:c>
      <x:c r="B613" s="48" t="str">
        <x:v>SILVER</x:v>
      </x:c>
      <x:c r="C613" s="48" t="str">
        <x:v>Indonesian</x:v>
      </x:c>
      <x:c r="D613" s="48" t="n">
        <x:v>77</x:v>
      </x:c>
      <x:c r="E613" s="48" t="str"/>
      <x:c r="F613" s="48" t="str">
        <x:v>Ietunatatungargaab Letak ami Peras mena Dana apaan</x:v>
      </x:c>
      <x:c r="G613" s="48" t="str">
        <x:v>Obligation</x:v>
      </x:c>
      <x:c r="H613" s="48" t="str">
        <x:v>Shared</x:v>
      </x:c>
      <x:c r="I613" s="48" t="n">
        <x:v>0.45</x:v>
      </x:c>
      <x:c r="J613" s="48" t="n">
        <x:v>0.4</x:v>
      </x:c>
      <x:c r="K613" s="48" t="str">
        <x:v>Yes</x:v>
      </x:c>
      <x:c r="L613" s="48" t="str">
        <x:v>OCR</x:v>
      </x:c>
    </x:row>
    <x:row r="614">
      <x:c r="A614" s="48" t="str">
        <x:v>SILVER-0613</x:v>
      </x:c>
      <x:c r="B614" s="48" t="str">
        <x:v>SILVER</x:v>
      </x:c>
      <x:c r="C614" s="48" t="str">
        <x:v>Indonesian</x:v>
      </x:c>
      <x:c r="D614" s="48" t="n">
        <x:v>77</x:v>
      </x:c>
      <x:c r="E614" s="48" t="str"/>
      <x:c r="F614" s="48" t="str">
        <x:v>(Kr an ma anjar Wa ata Lam dekan</x:v>
      </x:c>
      <x:c r="G614" s="48" t="str">
        <x:v>Obligation</x:v>
      </x:c>
      <x:c r="H614" s="48" t="str">
        <x:v>Shared</x:v>
      </x:c>
      <x:c r="I614" s="48" t="n">
        <x:v>0.45</x:v>
      </x:c>
      <x:c r="J614" s="48" t="n">
        <x:v>0.4</x:v>
      </x:c>
      <x:c r="K614" s="48" t="str">
        <x:v>Yes</x:v>
      </x:c>
      <x:c r="L614" s="48" t="str">
        <x:v>OCR</x:v>
      </x:c>
    </x:row>
    <x:row r="615">
      <x:c r="A615" s="48" t="str">
        <x:v>SILVER-0614</x:v>
      </x:c>
      <x:c r="B615" s="48" t="str">
        <x:v>SILVER</x:v>
      </x:c>
      <x:c r="C615" s="48" t="str">
        <x:v>Indonesian</x:v>
      </x:c>
      <x:c r="D615" s="48" t="n">
        <x:v>77</x:v>
      </x:c>
      <x:c r="E615" s="48" t="str"/>
      <x:c r="F615" s="48" t="str">
        <x:v>Sen ptk pearuaso one dngarg dan Kanvas da</x:v>
      </x:c>
      <x:c r="G615" s="48" t="str">
        <x:v>Obligation</x:v>
      </x:c>
      <x:c r="H615" s="48" t="str">
        <x:v>Shared</x:v>
      </x:c>
      <x:c r="I615" s="48" t="n">
        <x:v>0.45</x:v>
      </x:c>
      <x:c r="J615" s="48" t="n">
        <x:v>0.4</x:v>
      </x:c>
      <x:c r="K615" s="48" t="str">
        <x:v>Yes</x:v>
      </x:c>
      <x:c r="L615" s="48" t="str">
        <x:v>OCR</x:v>
      </x:c>
    </x:row>
    <x:row r="616">
      <x:c r="A616" s="48" t="str">
        <x:v>SILVER-0615</x:v>
      </x:c>
      <x:c r="B616" s="48" t="str">
        <x:v>SILVER</x:v>
      </x:c>
      <x:c r="C616" s="48" t="str">
        <x:v>Indonesian</x:v>
      </x:c>
      <x:c r="D616" s="48" t="n">
        <x:v>77</x:v>
      </x:c>
      <x:c r="E616" s="48" t="str"/>
      <x:c r="F616" s="48" t="str">
        <x:v>SEL Gro kesakan roda human urgaryam Fl Manasi</x:v>
      </x:c>
      <x:c r="G616" s="48" t="str">
        <x:v>Obligation</x:v>
      </x:c>
      <x:c r="H616" s="48" t="str">
        <x:v>Shared</x:v>
      </x:c>
      <x:c r="I616" s="48" t="n">
        <x:v>0.45</x:v>
      </x:c>
      <x:c r="J616" s="48" t="n">
        <x:v>0.4</x:v>
      </x:c>
      <x:c r="K616" s="48" t="str">
        <x:v>Yes</x:v>
      </x:c>
      <x:c r="L616" s="48" t="str">
        <x:v>OCR</x:v>
      </x:c>
    </x:row>
    <x:row r="617">
      <x:c r="A617" s="48" t="str">
        <x:v>SILVER-0616</x:v>
      </x:c>
      <x:c r="B617" s="48" t="str">
        <x:v>SILVER</x:v>
      </x:c>
      <x:c r="C617" s="48" t="str">
        <x:v>Indonesian</x:v>
      </x:c>
      <x:c r="D617" s="48" t="n">
        <x:v>77</x:v>
      </x:c>
      <x:c r="E617" s="48" t="str"/>
      <x:c r="F617" s="48" t="str">
        <x:v>(Se Pak yg mergakarkan Opi mergetanan Gn meetnetan knp ar nye doyan ak Selatan ce tan mena Nerta. an Ptk ca menpadiberguosanmurun engaltan anjani</x:v>
      </x:c>
      <x:c r="G617" s="48" t="str">
        <x:v>Obligation</x:v>
      </x:c>
      <x:c r="H617" s="48" t="str">
        <x:v>Shared</x:v>
      </x:c>
      <x:c r="I617" s="48" t="n">
        <x:v>0.45</x:v>
      </x:c>
      <x:c r="J617" s="48" t="n">
        <x:v>0.4</x:v>
      </x:c>
      <x:c r="K617" s="48" t="str">
        <x:v>Yes</x:v>
      </x:c>
      <x:c r="L617" s="48" t="str">
        <x:v>OCR</x:v>
      </x:c>
    </x:row>
    <x:row r="618">
      <x:c r="A618" s="48" t="str">
        <x:v>SILVER-0617</x:v>
      </x:c>
      <x:c r="B618" s="48" t="str">
        <x:v>SILVER</x:v>
      </x:c>
      <x:c r="C618" s="48" t="str">
        <x:v>Indonesian</x:v>
      </x:c>
      <x:c r="D618" s="48" t="n">
        <x:v>77</x:v>
      </x:c>
      <x:c r="E618" s="48" t="str"/>
      <x:c r="F618" s="48" t="str">
        <x:v>ILK engan la aan Pang yeg rat Org mELaA</x:v>
      </x:c>
      <x:c r="G618" s="48" t="str">
        <x:v>Obligation</x:v>
      </x:c>
      <x:c r="H618" s="48" t="str">
        <x:v>Shared</x:v>
      </x:c>
      <x:c r="I618" s="48" t="n">
        <x:v>0.45</x:v>
      </x:c>
      <x:c r="J618" s="48" t="n">
        <x:v>0.4</x:v>
      </x:c>
      <x:c r="K618" s="48" t="str">
        <x:v>Yes</x:v>
      </x:c>
      <x:c r="L618" s="48" t="str">
        <x:v>OCR</x:v>
      </x:c>
    </x:row>
    <x:row r="619">
      <x:c r="A619" s="48" t="str">
        <x:v>SILVER-0618</x:v>
      </x:c>
      <x:c r="B619" s="48" t="str">
        <x:v>SILVER</x:v>
      </x:c>
      <x:c r="C619" s="48" t="str">
        <x:v>Indonesian</x:v>
      </x:c>
      <x:c r="D619" s="48" t="n">
        <x:v>77</x:v>
      </x:c>
      <x:c r="E619" s="48" t="str"/>
      <x:c r="F619" s="48" t="str">
        <x:v>SANA Ke Ga Pkyag menga</x:v>
      </x:c>
      <x:c r="G619" s="48" t="str">
        <x:v>Obligation</x:v>
      </x:c>
      <x:c r="H619" s="48" t="str">
        <x:v>Shared</x:v>
      </x:c>
      <x:c r="I619" s="48" t="n">
        <x:v>0.45</x:v>
      </x:c>
      <x:c r="J619" s="48" t="n">
        <x:v>0.4</x:v>
      </x:c>
      <x:c r="K619" s="48" t="str">
        <x:v>Yes</x:v>
      </x:c>
      <x:c r="L619" s="48" t="str">
        <x:v>OCR</x:v>
      </x:c>
    </x:row>
    <x:row r="620">
      <x:c r="A620" s="48" t="str">
        <x:v>SILVER-0619</x:v>
      </x:c>
      <x:c r="B620" s="48" t="str">
        <x:v>SILVER</x:v>
      </x:c>
      <x:c r="C620" s="48" t="str">
        <x:v>Indonesian</x:v>
      </x:c>
      <x:c r="D620" s="48" t="n">
        <x:v>77</x:v>
      </x:c>
      <x:c r="E620" s="48" t="str"/>
      <x:c r="F620" s="48" t="str">
        <x:v>Pentagran Gt au Pat supada Pak Ian has erkentan SubiCasda</x:v>
      </x:c>
      <x:c r="G620" s="48" t="str">
        <x:v>Obligation</x:v>
      </x:c>
      <x:c r="H620" s="48" t="str">
        <x:v>Shared</x:v>
      </x:c>
      <x:c r="I620" s="48" t="n">
        <x:v>0.45</x:v>
      </x:c>
      <x:c r="J620" s="48" t="n">
        <x:v>0.4</x:v>
      </x:c>
      <x:c r="K620" s="48" t="str">
        <x:v>Yes</x:v>
      </x:c>
      <x:c r="L620" s="48" t="str">
        <x:v>OCR</x:v>
      </x:c>
    </x:row>
    <x:row r="621">
      <x:c r="A621" s="48" t="str">
        <x:v>SILVER-0620</x:v>
      </x:c>
      <x:c r="B621" s="48" t="str">
        <x:v>SILVER</x:v>
      </x:c>
      <x:c r="C621" s="48" t="str">
        <x:v>Indonesian</x:v>
      </x:c>
      <x:c r="D621" s="48" t="n">
        <x:v>77</x:v>
      </x:c>
      <x:c r="E621" s="48" t="str">
        <x:v>28</x:v>
      </x:c>
      <x:c r="F621" s="48" t="str">
        <x:v>28 Im Oh PGA Ls ls Bb Aman PI PA en Kera</x:v>
      </x:c>
      <x:c r="G621" s="48" t="str">
        <x:v>Heading</x:v>
      </x:c>
      <x:c r="H621" s="48" t="str"/>
      <x:c r="I621" s="48" t="n">
        <x:v>0.9</x:v>
      </x:c>
      <x:c r="J621" s="48" t="n">
        <x:v>0.99</x:v>
      </x:c>
      <x:c r="K621" s="48" t="str">
        <x:v>No</x:v>
      </x:c>
      <x:c r="L621" s="48" t="str">
        <x:v>OCR</x:v>
      </x:c>
    </x:row>
    <x:row r="622">
      <x:c r="A622" s="48" t="str">
        <x:v>SILVER-0621</x:v>
      </x:c>
      <x:c r="B622" s="48" t="str">
        <x:v>SILVER</x:v>
      </x:c>
      <x:c r="C622" s="48" t="str">
        <x:v>Indonesian</x:v>
      </x:c>
      <x:c r="D622" s="48" t="n">
        <x:v>77</x:v>
      </x:c>
      <x:c r="E622" s="48" t="str"/>
      <x:c r="F622" s="48" t="str">
        <x:v>menara peemtan Pra aro mengamaraan tata mergaaswetan Puja Pa Man,</x:v>
      </x:c>
      <x:c r="G622" s="48" t="str">
        <x:v>Obligation</x:v>
      </x:c>
      <x:c r="H622" s="48" t="str">
        <x:v>Shared</x:v>
      </x:c>
      <x:c r="I622" s="48" t="n">
        <x:v>0.45</x:v>
      </x:c>
      <x:c r="J622" s="48" t="n">
        <x:v>0.4</x:v>
      </x:c>
      <x:c r="K622" s="48" t="str">
        <x:v>Yes</x:v>
      </x:c>
      <x:c r="L622" s="48" t="str">
        <x:v>OCR</x:v>
      </x:c>
    </x:row>
    <x:row r="623">
      <x:c r="A623" s="48" t="str">
        <x:v>SILVER-0622</x:v>
      </x:c>
      <x:c r="B623" s="48" t="str">
        <x:v>SILVER</x:v>
      </x:c>
      <x:c r="C623" s="48" t="str">
        <x:v>Indonesian</x:v>
      </x:c>
      <x:c r="D623" s="48" t="n">
        <x:v>77</x:v>
      </x:c>
      <x:c r="E623" s="48" t="str"/>
      <x:c r="F623" s="48" t="str">
        <x:v>Peta dan (ten Dikta Kertak on rng pemanenan</x:v>
      </x:c>
      <x:c r="G623" s="48" t="str">
        <x:v>Obligation</x:v>
      </x:c>
      <x:c r="H623" s="48" t="str">
        <x:v>Shared</x:v>
      </x:c>
      <x:c r="I623" s="48" t="n">
        <x:v>0.45</x:v>
      </x:c>
      <x:c r="J623" s="48" t="n">
        <x:v>0.4</x:v>
      </x:c>
      <x:c r="K623" s="48" t="str">
        <x:v>Yes</x:v>
      </x:c>
      <x:c r="L623" s="48" t="str">
        <x:v>OCR</x:v>
      </x:c>
    </x:row>
    <x:row r="624">
      <x:c r="A624" s="48" t="str">
        <x:v>SILVER-0623</x:v>
      </x:c>
      <x:c r="B624" s="48" t="str">
        <x:v>SILVER</x:v>
      </x:c>
      <x:c r="C624" s="48" t="str">
        <x:v>Indonesian</x:v>
      </x:c>
      <x:c r="D624" s="48" t="n">
        <x:v>77</x:v>
      </x:c>
      <x:c r="E624" s="48" t="str"/>
      <x:c r="F624" s="48" t="str">
        <x:v>Peritan Konrtr USA ita Sembada Perean bra de Ju Dea Gn</x:v>
      </x:c>
      <x:c r="G624" s="48" t="str">
        <x:v>Obligation</x:v>
      </x:c>
      <x:c r="H624" s="48" t="str">
        <x:v>Shared</x:v>
      </x:c>
      <x:c r="I624" s="48" t="n">
        <x:v>0.45</x:v>
      </x:c>
      <x:c r="J624" s="48" t="n">
        <x:v>0.4</x:v>
      </x:c>
      <x:c r="K624" s="48" t="str">
        <x:v>Yes</x:v>
      </x:c>
      <x:c r="L624" s="48" t="str">
        <x:v>OCR</x:v>
      </x:c>
    </x:row>
    <x:row r="625">
      <x:c r="A625" s="48" t="str">
        <x:v>SILVER-0624</x:v>
      </x:c>
      <x:c r="B625" s="48" t="str">
        <x:v>SILVER</x:v>
      </x:c>
      <x:c r="C625" s="48" t="str">
        <x:v>Indonesian</x:v>
      </x:c>
      <x:c r="D625" s="48" t="n">
        <x:v>78</x:v>
      </x:c>
      <x:c r="E625" s="48" t="str"/>
      <x:c r="F625" s="48" t="str">
        <x:v>Merr Aa Fr Bt ta Ur penaraan pl</x:v>
      </x:c>
      <x:c r="G625" s="48" t="str">
        <x:v>Obligation</x:v>
      </x:c>
      <x:c r="H625" s="48" t="str">
        <x:v>Shared</x:v>
      </x:c>
      <x:c r="I625" s="48" t="n">
        <x:v>0.45</x:v>
      </x:c>
      <x:c r="J625" s="48" t="n">
        <x:v>0.4</x:v>
      </x:c>
      <x:c r="K625" s="48" t="str">
        <x:v>Yes</x:v>
      </x:c>
      <x:c r="L625" s="48" t="str">
        <x:v>OCR</x:v>
      </x:c>
    </x:row>
    <x:row r="626">
      <x:c r="A626" s="48" t="str">
        <x:v>SILVER-0625</x:v>
      </x:c>
      <x:c r="B626" s="48" t="str">
        <x:v>SILVER</x:v>
      </x:c>
      <x:c r="C626" s="48" t="str">
        <x:v>Indonesian</x:v>
      </x:c>
      <x:c r="D626" s="48" t="n">
        <x:v>78</x:v>
      </x:c>
      <x:c r="E626" s="48" t="str"/>
      <x:c r="F626" s="48" t="str">
        <x:v>Pangan Oon nga Sottarnya Be aa Peyang</x:v>
      </x:c>
      <x:c r="G626" s="48" t="str">
        <x:v>Obligation</x:v>
      </x:c>
      <x:c r="H626" s="48" t="str">
        <x:v>Shared</x:v>
      </x:c>
      <x:c r="I626" s="48" t="n">
        <x:v>0.45</x:v>
      </x:c>
      <x:c r="J626" s="48" t="n">
        <x:v>0.4</x:v>
      </x:c>
      <x:c r="K626" s="48" t="str">
        <x:v>Yes</x:v>
      </x:c>
      <x:c r="L626" s="48" t="str">
        <x:v>OCR</x:v>
      </x:c>
    </x:row>
    <x:row r="627">
      <x:c r="A627" s="48" t="str">
        <x:v>SILVER-0626</x:v>
      </x:c>
      <x:c r="B627" s="48" t="str">
        <x:v>SILVER</x:v>
      </x:c>
      <x:c r="C627" s="48" t="str">
        <x:v>Indonesian</x:v>
      </x:c>
      <x:c r="D627" s="48" t="n">
        <x:v>78</x:v>
      </x:c>
      <x:c r="E627" s="48" t="str"/>
      <x:c r="F627" s="48" t="str">
        <x:v>(kanan yr mena tegar Kera gr db pa mob tc dkakterya Oa Ae Se Tn dn kera (an bran yng dewan ce er tara pan lega Semak ang Dedsatn Kao 11 onggrgaseb sar Carr Mal Gen Ika 12 Pran Son Pa</x:v>
      </x:c>
      <x:c r="G627" s="48" t="str">
        <x:v>Obligation</x:v>
      </x:c>
      <x:c r="H627" s="48" t="str">
        <x:v>Shared</x:v>
      </x:c>
      <x:c r="I627" s="48" t="n">
        <x:v>0.45</x:v>
      </x:c>
      <x:c r="J627" s="48" t="n">
        <x:v>0.4</x:v>
      </x:c>
      <x:c r="K627" s="48" t="str">
        <x:v>Yes</x:v>
      </x:c>
      <x:c r="L627" s="48" t="str">
        <x:v>OCR</x:v>
      </x:c>
    </x:row>
    <x:row r="628">
      <x:c r="A628" s="48" t="str">
        <x:v>SILVER-0627</x:v>
      </x:c>
      <x:c r="B628" s="48" t="str">
        <x:v>SILVER</x:v>
      </x:c>
      <x:c r="C628" s="48" t="str">
        <x:v>Indonesian</x:v>
      </x:c>
      <x:c r="D628" s="48" t="n">
        <x:v>78</x:v>
      </x:c>
      <x:c r="E628" s="48" t="str"/>
      <x:c r="F628" s="48" t="str">
        <x:v>Prana mrgsnsandan ta merganpraan Pesan Kemat sera Kk</x:v>
      </x:c>
      <x:c r="G628" s="48" t="str">
        <x:v>Obligation</x:v>
      </x:c>
      <x:c r="H628" s="48" t="str">
        <x:v>Shared</x:v>
      </x:c>
      <x:c r="I628" s="48" t="n">
        <x:v>0.45</x:v>
      </x:c>
      <x:c r="J628" s="48" t="n">
        <x:v>0.4</x:v>
      </x:c>
      <x:c r="K628" s="48" t="str">
        <x:v>Yes</x:v>
      </x:c>
      <x:c r="L628" s="48" t="str">
        <x:v>OCR</x:v>
      </x:c>
    </x:row>
    <x:row r="629">
      <x:c r="A629" s="48" t="str">
        <x:v>SILVER-0628</x:v>
      </x:c>
      <x:c r="B629" s="48" t="str">
        <x:v>SILVER</x:v>
      </x:c>
      <x:c r="C629" s="48" t="str">
        <x:v>Indonesian</x:v>
      </x:c>
      <x:c r="D629" s="48" t="n">
        <x:v>78</x:v>
      </x:c>
      <x:c r="E629" s="48" t="str"/>
      <x:c r="F629" s="48" t="str">
        <x:v>Ikang iri erat can pen tera preman Acuan UK</x:v>
      </x:c>
      <x:c r="G629" s="48" t="str">
        <x:v>Obligation</x:v>
      </x:c>
      <x:c r="H629" s="48" t="str">
        <x:v>Shared</x:v>
      </x:c>
      <x:c r="I629" s="48" t="n">
        <x:v>0.45</x:v>
      </x:c>
      <x:c r="J629" s="48" t="n">
        <x:v>0.4</x:v>
      </x:c>
      <x:c r="K629" s="48" t="str">
        <x:v>Yes</x:v>
      </x:c>
      <x:c r="L629" s="48" t="str">
        <x:v>OCR</x:v>
      </x:c>
    </x:row>
    <x:row r="630">
      <x:c r="A630" s="48" t="str">
        <x:v>SILVER-0629</x:v>
      </x:c>
      <x:c r="B630" s="48" t="str">
        <x:v>SILVER</x:v>
      </x:c>
      <x:c r="C630" s="48" t="str">
        <x:v>Indonesian</x:v>
      </x:c>
      <x:c r="D630" s="48" t="n">
        <x:v>78</x:v>
      </x:c>
      <x:c r="E630" s="48" t="str"/>
      <x:c r="F630" s="48" t="str">
        <x:v>Sea pr Pena Kere, ara hara Me Da toa drgut</x:v>
      </x:c>
      <x:c r="G630" s="48" t="str">
        <x:v>Obligation</x:v>
      </x:c>
      <x:c r="H630" s="48" t="str">
        <x:v>Shared</x:v>
      </x:c>
      <x:c r="I630" s="48" t="n">
        <x:v>0.45</x:v>
      </x:c>
      <x:c r="J630" s="48" t="n">
        <x:v>0.4</x:v>
      </x:c>
      <x:c r="K630" s="48" t="str">
        <x:v>Yes</x:v>
      </x:c>
      <x:c r="L630" s="48" t="str">
        <x:v>OCR</x:v>
      </x:c>
    </x:row>
    <x:row r="631">
      <x:c r="A631" s="48" t="str">
        <x:v>SILVER-0630</x:v>
      </x:c>
      <x:c r="B631" s="48" t="str">
        <x:v>SILVER</x:v>
      </x:c>
      <x:c r="C631" s="48" t="str">
        <x:v>Indonesian</x:v>
      </x:c>
      <x:c r="D631" s="48" t="n">
        <x:v>78</x:v>
      </x:c>
      <x:c r="E631" s="48" t="str"/>
      <x:c r="F631" s="48" t="str">
        <x:v>Pa Agro aen Prog Ka dak bag Pn er</x:v>
      </x:c>
      <x:c r="G631" s="48" t="str">
        <x:v>Obligation</x:v>
      </x:c>
      <x:c r="H631" s="48" t="str">
        <x:v>Shared</x:v>
      </x:c>
      <x:c r="I631" s="48" t="n">
        <x:v>0.45</x:v>
      </x:c>
      <x:c r="J631" s="48" t="n">
        <x:v>0.4</x:v>
      </x:c>
      <x:c r="K631" s="48" t="str">
        <x:v>Yes</x:v>
      </x:c>
      <x:c r="L631" s="48" t="str">
        <x:v>OCR</x:v>
      </x:c>
    </x:row>
    <x:row r="632">
      <x:c r="A632" s="48" t="str">
        <x:v>SILVER-0631</x:v>
      </x:c>
      <x:c r="B632" s="48" t="str">
        <x:v>SILVER</x:v>
      </x:c>
      <x:c r="C632" s="48" t="str">
        <x:v>Indonesian</x:v>
      </x:c>
      <x:c r="D632" s="48" t="n">
        <x:v>78</x:v>
      </x:c>
      <x:c r="E632" s="48" t="str"/>
      <x:c r="F632" s="48" t="str">
        <x:v>Mecu waba nyaman un en Ker an ari bedaatan S0 (8 Pena dksthan dan Gorabatan Oh Ketan ng Pak ara</x:v>
      </x:c>
      <x:c r="G632" s="48" t="str">
        <x:v>Obligation</x:v>
      </x:c>
      <x:c r="H632" s="48" t="str">
        <x:v>Shared</x:v>
      </x:c>
      <x:c r="I632" s="48" t="n">
        <x:v>0.45</x:v>
      </x:c>
      <x:c r="J632" s="48" t="n">
        <x:v>0.4</x:v>
      </x:c>
      <x:c r="K632" s="48" t="str">
        <x:v>Yes</x:v>
      </x:c>
      <x:c r="L632" s="48" t="str">
        <x:v>OCR</x:v>
      </x:c>
    </x:row>
    <x:row r="633">
      <x:c r="A633" s="48" t="str">
        <x:v>SILVER-0632</x:v>
      </x:c>
      <x:c r="B633" s="48" t="str">
        <x:v>SILVER</x:v>
      </x:c>
      <x:c r="C633" s="48" t="str">
        <x:v>Indonesian</x:v>
      </x:c>
      <x:c r="D633" s="48" t="n">
        <x:v>78</x:v>
      </x:c>
      <x:c r="E633" s="48" t="str">
        <x:v>1</x:v>
      </x:c>
      <x:c r="F633" s="48" t="str">
        <x:v>1 Pengimarera ar Pbat yng seorabesana car aan tuk merasra</x:v>
      </x:c>
      <x:c r="G633" s="48" t="str">
        <x:v>Heading</x:v>
      </x:c>
      <x:c r="H633" s="48" t="str"/>
      <x:c r="I633" s="48" t="n">
        <x:v>0.9</x:v>
      </x:c>
      <x:c r="J633" s="48" t="n">
        <x:v>0.99</x:v>
      </x:c>
      <x:c r="K633" s="48" t="str">
        <x:v>No</x:v>
      </x:c>
      <x:c r="L633" s="48" t="str">
        <x:v>OCR</x:v>
      </x:c>
    </x:row>
    <x:row r="634">
      <x:c r="A634" s="48" t="str">
        <x:v>SILVER-0633</x:v>
      </x:c>
      <x:c r="B634" s="48" t="str">
        <x:v>SILVER</x:v>
      </x:c>
      <x:c r="C634" s="48" t="str">
        <x:v>Indonesian</x:v>
      </x:c>
      <x:c r="D634" s="48" t="n">
        <x:v>78</x:v>
      </x:c>
      <x:c r="E634" s="48" t="str"/>
      <x:c r="F634" s="48" t="str">
        <x:v>pertama Cat stek pewUarD. peraaan yg Suuban adan Ora pre Ou rAk an Yara pia endang (&amp; P1 MAN SATA heigan din keran it penebar Kak Mean aan Go 1 Yaa Prosa ogangal 4 S1 bata 173 Pest Pegangan</x:v>
      </x:c>
      <x:c r="G634" s="48" t="str">
        <x:v>Obligation</x:v>
      </x:c>
      <x:c r="H634" s="48" t="str">
        <x:v>Shared</x:v>
      </x:c>
      <x:c r="I634" s="48" t="n">
        <x:v>0.45</x:v>
      </x:c>
      <x:c r="J634" s="48" t="n">
        <x:v>0.4</x:v>
      </x:c>
      <x:c r="K634" s="48" t="str">
        <x:v>Yes</x:v>
      </x:c>
      <x:c r="L634" s="48" t="str">
        <x:v>OCR</x:v>
      </x:c>
    </x:row>
    <x:row r="635">
      <x:c r="A635" s="48" t="str">
        <x:v>SILVER-0634</x:v>
      </x:c>
      <x:c r="B635" s="48" t="str">
        <x:v>SILVER</x:v>
      </x:c>
      <x:c r="C635" s="48" t="str">
        <x:v>Indonesian</x:v>
      </x:c>
      <x:c r="D635" s="48" t="n">
        <x:v>78</x:v>
      </x:c>
      <x:c r="E635" s="48" t="str"/>
      <x:c r="F635" s="48" t="str">
        <x:v>Senen yng dan chat pink KO men inka yag ajakan</x:v>
      </x:c>
      <x:c r="G635" s="48" t="str">
        <x:v>Obligation</x:v>
      </x:c>
      <x:c r="H635" s="48" t="str">
        <x:v>Shared</x:v>
      </x:c>
      <x:c r="I635" s="48" t="n">
        <x:v>0.45</x:v>
      </x:c>
      <x:c r="J635" s="48" t="n">
        <x:v>0.4</x:v>
      </x:c>
      <x:c r="K635" s="48" t="str">
        <x:v>Yes</x:v>
      </x:c>
      <x:c r="L635" s="48" t="str">
        <x:v>OCR</x:v>
      </x:c>
    </x:row>
    <x:row r="636">
      <x:c r="A636" s="48" t="str">
        <x:v>SILVER-0635</x:v>
      </x:c>
      <x:c r="B636" s="48" t="str">
        <x:v>SILVER</x:v>
      </x:c>
      <x:c r="C636" s="48" t="str">
        <x:v>Indonesian</x:v>
      </x:c>
      <x:c r="D636" s="48" t="n">
        <x:v>78</x:v>
      </x:c>
      <x:c r="E636" s="48" t="str"/>
      <x:c r="F636" s="48" t="str">
        <x:v>Men penaan Ona rata imei ayasan pan</x:v>
      </x:c>
      <x:c r="G636" s="48" t="str">
        <x:v>Obligation</x:v>
      </x:c>
      <x:c r="H636" s="48" t="str">
        <x:v>Shared</x:v>
      </x:c>
      <x:c r="I636" s="48" t="n">
        <x:v>0.45</x:v>
      </x:c>
      <x:c r="J636" s="48" t="n">
        <x:v>0.4</x:v>
      </x:c>
      <x:c r="K636" s="48" t="str">
        <x:v>Yes</x:v>
      </x:c>
      <x:c r="L636" s="48" t="str">
        <x:v>OCR</x:v>
      </x:c>
    </x:row>
    <x:row r="637">
      <x:c r="A637" s="48" t="str">
        <x:v>SILVER-0636</x:v>
      </x:c>
      <x:c r="B637" s="48" t="str">
        <x:v>SILVER</x:v>
      </x:c>
      <x:c r="C637" s="48" t="str">
        <x:v>Indonesian</x:v>
      </x:c>
      <x:c r="D637" s="48" t="n">
        <x:v>78</x:v>
      </x:c>
      <x:c r="E637" s="48" t="str"/>
      <x:c r="F637" s="48" t="str">
        <x:v>umat. can</x:v>
      </x:c>
      <x:c r="G637" s="48" t="str">
        <x:v>Obligation</x:v>
      </x:c>
      <x:c r="H637" s="48" t="str">
        <x:v>Shared</x:v>
      </x:c>
      <x:c r="I637" s="48" t="n">
        <x:v>0.45</x:v>
      </x:c>
      <x:c r="J637" s="48" t="n">
        <x:v>0.4</x:v>
      </x:c>
      <x:c r="K637" s="48" t="str">
        <x:v>Yes</x:v>
      </x:c>
      <x:c r="L637" s="48" t="str">
        <x:v>OCR</x:v>
      </x:c>
    </x:row>
    <x:row r="638">
      <x:c r="A638" s="48" t="str">
        <x:v>SILVER-0637</x:v>
      </x:c>
      <x:c r="B638" s="48" t="str">
        <x:v>SILVER</x:v>
      </x:c>
      <x:c r="C638" s="48" t="str">
        <x:v>Indonesian</x:v>
      </x:c>
      <x:c r="D638" s="48" t="n">
        <x:v>78</x:v>
      </x:c>
      <x:c r="E638" s="48" t="str">
        <x:v>1</x:v>
      </x:c>
      <x:c r="F638" s="48" t="str">
        <x:v>1 San mi Ga ak emak Iga su kran Ga pena</x:v>
      </x:c>
      <x:c r="G638" s="48" t="str">
        <x:v>Heading</x:v>
      </x:c>
      <x:c r="H638" s="48" t="str"/>
      <x:c r="I638" s="48" t="n">
        <x:v>0.9</x:v>
      </x:c>
      <x:c r="J638" s="48" t="n">
        <x:v>0.99</x:v>
      </x:c>
      <x:c r="K638" s="48" t="str">
        <x:v>No</x:v>
      </x:c>
      <x:c r="L638" s="48" t="str">
        <x:v>OCR</x:v>
      </x:c>
    </x:row>
    <x:row r="639">
      <x:c r="A639" s="48" t="str">
        <x:v>SILVER-0638</x:v>
      </x:c>
      <x:c r="B639" s="48" t="str">
        <x:v>SILVER</x:v>
      </x:c>
      <x:c r="C639" s="48" t="str">
        <x:v>Indonesian</x:v>
      </x:c>
      <x:c r="D639" s="48" t="n">
        <x:v>78</x:v>
      </x:c>
      <x:c r="E639" s="48" t="str"/>
      <x:c r="F639" s="48" t="str">
        <x:v>(engan Pon yr br Gt Ian Ce mutu kt cacat .mansan branusicanproejan en putragn tenstonaak “gn ar rgs og ita Bar on ceat (MAL in Dhan bkgwrura yan dm Kp pung Hd ban 8 iaganPanjanyrarng ku sek cun ang men bagan</x:v>
      </x:c>
      <x:c r="G639" s="48" t="str">
        <x:v>Obligation</x:v>
      </x:c>
      <x:c r="H639" s="48" t="str">
        <x:v>Shared</x:v>
      </x:c>
      <x:c r="I639" s="48" t="n">
        <x:v>0.45</x:v>
      </x:c>
      <x:c r="J639" s="48" t="n">
        <x:v>0.4</x:v>
      </x:c>
      <x:c r="K639" s="48" t="str">
        <x:v>Yes</x:v>
      </x:c>
      <x:c r="L639" s="48" t="str">
        <x:v>OCR</x:v>
      </x:c>
    </x:row>
    <x:row r="640">
      <x:c r="A640" s="48" t="str">
        <x:v>SILVER-0639</x:v>
      </x:c>
      <x:c r="B640" s="48" t="str">
        <x:v>SILVER</x:v>
      </x:c>
      <x:c r="C640" s="48" t="str">
        <x:v>Indonesian</x:v>
      </x:c>
      <x:c r="D640" s="48" t="n">
        <x:v>78</x:v>
      </x:c>
      <x:c r="E640" s="48" t="str"/>
      <x:c r="F640" s="48" t="str">
        <x:v>Tanpa soda jr renda Gan bean crime</x:v>
      </x:c>
      <x:c r="G640" s="48" t="str">
        <x:v>Obligation</x:v>
      </x:c>
      <x:c r="H640" s="48" t="str">
        <x:v>Shared</x:v>
      </x:c>
      <x:c r="I640" s="48" t="n">
        <x:v>0.45</x:v>
      </x:c>
      <x:c r="J640" s="48" t="n">
        <x:v>0.4</x:v>
      </x:c>
      <x:c r="K640" s="48" t="str">
        <x:v>Yes</x:v>
      </x:c>
      <x:c r="L640" s="48" t="str">
        <x:v>OCR</x:v>
      </x:c>
    </x:row>
    <x:row r="641">
      <x:c r="A641" s="48" t="str">
        <x:v>SILVER-0640</x:v>
      </x:c>
      <x:c r="B641" s="48" t="str">
        <x:v>SILVER</x:v>
      </x:c>
      <x:c r="C641" s="48" t="str">
        <x:v>Indonesian</x:v>
      </x:c>
      <x:c r="D641" s="48" t="n">
        <x:v>78</x:v>
      </x:c>
      <x:c r="E641" s="48" t="str"/>
      <x:c r="F641" s="48" t="str">
        <x:v>Sa Sk oran btanawpn wsproan</x:v>
      </x:c>
      <x:c r="G641" s="48" t="str">
        <x:v>Obligation</x:v>
      </x:c>
      <x:c r="H641" s="48" t="str">
        <x:v>Shared</x:v>
      </x:c>
      <x:c r="I641" s="48" t="n">
        <x:v>0.45</x:v>
      </x:c>
      <x:c r="J641" s="48" t="n">
        <x:v>0.4</x:v>
      </x:c>
      <x:c r="K641" s="48" t="str">
        <x:v>Yes</x:v>
      </x:c>
      <x:c r="L641" s="48" t="str">
        <x:v>OCR</x:v>
      </x:c>
    </x:row>
    <x:row r="642">
      <x:c r="A642" s="48" t="str">
        <x:v>SILVER-0641</x:v>
      </x:c>
      <x:c r="B642" s="48" t="str">
        <x:v>SILVER</x:v>
      </x:c>
      <x:c r="C642" s="48" t="str">
        <x:v>Indonesian</x:v>
      </x:c>
      <x:c r="D642" s="48" t="n">
        <x:v>78</x:v>
      </x:c>
      <x:c r="E642" s="48" t="str"/>
      <x:c r="F642" s="48" t="str">
        <x:v>Tentara setan Amor Kran Brargardman angan</x:v>
      </x:c>
      <x:c r="G642" s="48" t="str">
        <x:v>Obligation</x:v>
      </x:c>
      <x:c r="H642" s="48" t="str">
        <x:v>Shared</x:v>
      </x:c>
      <x:c r="I642" s="48" t="n">
        <x:v>0.45</x:v>
      </x:c>
      <x:c r="J642" s="48" t="n">
        <x:v>0.4</x:v>
      </x:c>
      <x:c r="K642" s="48" t="str">
        <x:v>Yes</x:v>
      </x:c>
      <x:c r="L642" s="48" t="str">
        <x:v>OCR</x:v>
      </x:c>
    </x:row>
    <x:row r="643">
      <x:c r="A643" s="48" t="str">
        <x:v>SILVER-0642</x:v>
      </x:c>
      <x:c r="B643" s="48" t="str">
        <x:v>SILVER</x:v>
      </x:c>
      <x:c r="C643" s="48" t="str">
        <x:v>Indonesian</x:v>
      </x:c>
      <x:c r="D643" s="48" t="n">
        <x:v>78</x:v>
      </x:c>
      <x:c r="E643" s="48" t="str"/>
      <x:c r="F643" s="48" t="str">
        <x:v>enam Pra Ga</x:v>
      </x:c>
      <x:c r="G643" s="48" t="str">
        <x:v>Obligation</x:v>
      </x:c>
      <x:c r="H643" s="48" t="str">
        <x:v>Shared</x:v>
      </x:c>
      <x:c r="I643" s="48" t="n">
        <x:v>0.45</x:v>
      </x:c>
      <x:c r="J643" s="48" t="n">
        <x:v>0.4</x:v>
      </x:c>
      <x:c r="K643" s="48" t="str">
        <x:v>Yes</x:v>
      </x:c>
      <x:c r="L643" s="48" t="str">
        <x:v>OCR</x:v>
      </x:c>
    </x:row>
    <x:row r="644">
      <x:c r="A644" s="48" t="str">
        <x:v>SILVER-0643</x:v>
      </x:c>
      <x:c r="B644" s="48" t="str">
        <x:v>SILVER</x:v>
      </x:c>
      <x:c r="C644" s="48" t="str">
        <x:v>Indonesian</x:v>
      </x:c>
      <x:c r="D644" s="48" t="n">
        <x:v>78</x:v>
      </x:c>
      <x:c r="E644" s="48" t="str">
        <x:v>04</x:v>
      </x:c>
      <x:c r="F644" s="48" t="str">
        <x:v>04 Brangbanrg Isa bk banda dion wigan Nigun bercsatan</x:v>
      </x:c>
      <x:c r="G644" s="48" t="str">
        <x:v>Heading</x:v>
      </x:c>
      <x:c r="H644" s="48" t="str"/>
      <x:c r="I644" s="48" t="n">
        <x:v>0.9</x:v>
      </x:c>
      <x:c r="J644" s="48" t="n">
        <x:v>0.99</x:v>
      </x:c>
      <x:c r="K644" s="48" t="str">
        <x:v>No</x:v>
      </x:c>
      <x:c r="L644" s="48" t="str">
        <x:v>OCR</x:v>
      </x:c>
    </x:row>
    <x:row r="645">
      <x:c r="A645" s="48" t="str">
        <x:v>SILVER-0644</x:v>
      </x:c>
      <x:c r="B645" s="48" t="str">
        <x:v>SILVER</x:v>
      </x:c>
      <x:c r="C645" s="48" t="str">
        <x:v>Indonesian</x:v>
      </x:c>
      <x:c r="D645" s="48" t="n">
        <x:v>79</x:v>
      </x:c>
      <x:c r="E645" s="48" t="str">
        <x:v>0</x:v>
      </x:c>
      <x:c r="F645" s="48" t="str">
        <x:v>0 benktstastanSib Kam 5PRaNceNPargara dam paraaan</x:v>
      </x:c>
      <x:c r="G645" s="48" t="str">
        <x:v>Heading</x:v>
      </x:c>
      <x:c r="H645" s="48" t="str"/>
      <x:c r="I645" s="48" t="n">
        <x:v>0.9</x:v>
      </x:c>
      <x:c r="J645" s="48" t="n">
        <x:v>0.99</x:v>
      </x:c>
      <x:c r="K645" s="48" t="str">
        <x:v>No</x:v>
      </x:c>
      <x:c r="L645" s="48" t="str">
        <x:v>OCR</x:v>
      </x:c>
    </x:row>
    <x:row r="646">
      <x:c r="A646" s="48" t="str">
        <x:v>SILVER-0645</x:v>
      </x:c>
      <x:c r="B646" s="48" t="str">
        <x:v>SILVER</x:v>
      </x:c>
      <x:c r="C646" s="48" t="str">
        <x:v>Indonesian</x:v>
      </x:c>
      <x:c r="D646" s="48" t="n">
        <x:v>79</x:v>
      </x:c>
      <x:c r="E646" s="48" t="str"/>
      <x:c r="F646" s="48" t="str">
        <x:v>Jah yag sa Aron prtrgarOa men eganan ca,</x:v>
      </x:c>
      <x:c r="G646" s="48" t="str">
        <x:v>Obligation</x:v>
      </x:c>
      <x:c r="H646" s="48" t="str">
        <x:v>Shared</x:v>
      </x:c>
      <x:c r="I646" s="48" t="n">
        <x:v>0.45</x:v>
      </x:c>
      <x:c r="J646" s="48" t="n">
        <x:v>0.4</x:v>
      </x:c>
      <x:c r="K646" s="48" t="str">
        <x:v>Yes</x:v>
      </x:c>
      <x:c r="L646" s="48" t="str">
        <x:v>OCR</x:v>
      </x:c>
    </x:row>
    <x:row r="647">
      <x:c r="A647" s="48" t="str">
        <x:v>SILVER-0646</x:v>
      </x:c>
      <x:c r="B647" s="48" t="str">
        <x:v>SILVER</x:v>
      </x:c>
      <x:c r="C647" s="48" t="str">
        <x:v>Indonesian</x:v>
      </x:c>
      <x:c r="D647" s="48" t="n">
        <x:v>79</x:v>
      </x:c>
      <x:c r="E647" s="48" t="str"/>
      <x:c r="F647" s="48" t="str">
        <x:v>IU ek yr Gran Ge Krn Gran mena Dra</x:v>
      </x:c>
      <x:c r="G647" s="48" t="str">
        <x:v>Obligation</x:v>
      </x:c>
      <x:c r="H647" s="48" t="str">
        <x:v>Shared</x:v>
      </x:c>
      <x:c r="I647" s="48" t="n">
        <x:v>0.45</x:v>
      </x:c>
      <x:c r="J647" s="48" t="n">
        <x:v>0.4</x:v>
      </x:c>
      <x:c r="K647" s="48" t="str">
        <x:v>Yes</x:v>
      </x:c>
      <x:c r="L647" s="48" t="str">
        <x:v>OCR</x:v>
      </x:c>
    </x:row>
    <x:row r="648">
      <x:c r="A648" s="48" t="str">
        <x:v>SILVER-0647</x:v>
      </x:c>
      <x:c r="B648" s="48" t="str">
        <x:v>SILVER</x:v>
      </x:c>
      <x:c r="C648" s="48" t="str">
        <x:v>Indonesian</x:v>
      </x:c>
      <x:c r="D648" s="48" t="n">
        <x:v>79</x:v>
      </x:c>
      <x:c r="E648" s="48" t="str"/>
      <x:c r="F648" s="48" t="str">
        <x:v>Goo, metal ata Pergi da remOarun petrgaaa pemutar epe0 pr va h meNmUR penganan menua Ma</x:v>
      </x:c>
      <x:c r="G648" s="48" t="str">
        <x:v>Obligation</x:v>
      </x:c>
      <x:c r="H648" s="48" t="str">
        <x:v>Shared</x:v>
      </x:c>
      <x:c r="I648" s="48" t="n">
        <x:v>0.45</x:v>
      </x:c>
      <x:c r="J648" s="48" t="n">
        <x:v>0.4</x:v>
      </x:c>
      <x:c r="K648" s="48" t="str">
        <x:v>Yes</x:v>
      </x:c>
      <x:c r="L648" s="48" t="str">
        <x:v>OCR</x:v>
      </x:c>
    </x:row>
    <x:row r="649">
      <x:c r="A649" s="48" t="str">
        <x:v>SILVER-0648</x:v>
      </x:c>
      <x:c r="B649" s="48" t="str">
        <x:v>SILVER</x:v>
      </x:c>
      <x:c r="C649" s="48" t="str">
        <x:v>Indonesian</x:v>
      </x:c>
      <x:c r="D649" s="48" t="n">
        <x:v>79</x:v>
      </x:c>
      <x:c r="E649" s="48" t="str"/>
      <x:c r="F649" s="48" t="str">
        <x:v>KN Pememan Unud</x:v>
      </x:c>
      <x:c r="G649" s="48" t="str">
        <x:v>Obligation</x:v>
      </x:c>
      <x:c r="H649" s="48" t="str">
        <x:v>Shared</x:v>
      </x:c>
      <x:c r="I649" s="48" t="n">
        <x:v>0.45</x:v>
      </x:c>
      <x:c r="J649" s="48" t="n">
        <x:v>0.4</x:v>
      </x:c>
      <x:c r="K649" s="48" t="str">
        <x:v>Yes</x:v>
      </x:c>
      <x:c r="L649" s="48" t="str">
        <x:v>OCR</x:v>
      </x:c>
    </x:row>
    <x:row r="650">
      <x:c r="A650" s="48" t="str">
        <x:v>SILVER-0649</x:v>
      </x:c>
      <x:c r="B650" s="48" t="str">
        <x:v>SILVER</x:v>
      </x:c>
      <x:c r="C650" s="48" t="str">
        <x:v>Indonesian</x:v>
      </x:c>
      <x:c r="D650" s="48" t="n">
        <x:v>79</x:v>
      </x:c>
      <x:c r="E650" s="48" t="str"/>
      <x:c r="F650" s="48" t="str">
        <x:v>Merstetadan</x:v>
      </x:c>
      <x:c r="G650" s="48" t="str">
        <x:v>Obligation</x:v>
      </x:c>
      <x:c r="H650" s="48" t="str">
        <x:v>Shared</x:v>
      </x:c>
      <x:c r="I650" s="48" t="n">
        <x:v>0.45</x:v>
      </x:c>
      <x:c r="J650" s="48" t="n">
        <x:v>0.4</x:v>
      </x:c>
      <x:c r="K650" s="48" t="str">
        <x:v>Yes</x:v>
      </x:c>
      <x:c r="L650" s="48" t="str">
        <x:v>OCR</x:v>
      </x:c>
    </x:row>
    <x:row r="651">
      <x:c r="A651" s="48" t="str">
        <x:v>SILVER-0650</x:v>
      </x:c>
      <x:c r="B651" s="48" t="str">
        <x:v>SILVER</x:v>
      </x:c>
      <x:c r="C651" s="48" t="str">
        <x:v>Indonesian</x:v>
      </x:c>
      <x:c r="D651" s="48" t="n">
        <x:v>79</x:v>
      </x:c>
      <x:c r="E651" s="48" t="str"/>
      <x:c r="F651" s="48" t="str">
        <x:v>dan erat</x:v>
      </x:c>
      <x:c r="G651" s="48" t="str">
        <x:v>Obligation</x:v>
      </x:c>
      <x:c r="H651" s="48" t="str">
        <x:v>Shared</x:v>
      </x:c>
      <x:c r="I651" s="48" t="n">
        <x:v>0.45</x:v>
      </x:c>
      <x:c r="J651" s="48" t="n">
        <x:v>0.4</x:v>
      </x:c>
      <x:c r="K651" s="48" t="str">
        <x:v>Yes</x:v>
      </x:c>
      <x:c r="L651" s="48" t="str">
        <x:v>OCR</x:v>
      </x:c>
    </x:row>
    <x:row r="652">
      <x:c r="A652" s="48" t="str">
        <x:v>SILVER-0651</x:v>
      </x:c>
      <x:c r="B652" s="48" t="str">
        <x:v>SILVER</x:v>
      </x:c>
      <x:c r="C652" s="48" t="str">
        <x:v>Indonesian</x:v>
      </x:c>
      <x:c r="D652" s="48" t="n">
        <x:v>79</x:v>
      </x:c>
      <x:c r="E652" s="48" t="str"/>
      <x:c r="F652" s="48" t="str">
        <x:v>Pra aro merosnrrkan tata mengakali Pm ma Pak</x:v>
      </x:c>
      <x:c r="G652" s="48" t="str">
        <x:v>Obligation</x:v>
      </x:c>
      <x:c r="H652" s="48" t="str">
        <x:v>Shared</x:v>
      </x:c>
      <x:c r="I652" s="48" t="n">
        <x:v>0.45</x:v>
      </x:c>
      <x:c r="J652" s="48" t="n">
        <x:v>0.4</x:v>
      </x:c>
      <x:c r="K652" s="48" t="str">
        <x:v>Yes</x:v>
      </x:c>
      <x:c r="L652" s="48" t="str">
        <x:v>OCR</x:v>
      </x:c>
    </x:row>
    <x:row r="653">
      <x:c r="A653" s="48" t="str">
        <x:v>SILVER-0652</x:v>
      </x:c>
      <x:c r="B653" s="48" t="str">
        <x:v>SILVER</x:v>
      </x:c>
      <x:c r="C653" s="48" t="str">
        <x:v>Indonesian</x:v>
      </x:c>
      <x:c r="D653" s="48" t="n">
        <x:v>79</x:v>
      </x:c>
      <x:c r="E653" s="48" t="str"/>
      <x:c r="F653" s="48" t="str">
        <x:v>Ariklongan Ira erat sa sa krg menga jd ras ama</x:v>
      </x:c>
      <x:c r="G653" s="48" t="str">
        <x:v>Obligation</x:v>
      </x:c>
      <x:c r="H653" s="48" t="str">
        <x:v>Shared</x:v>
      </x:c>
      <x:c r="I653" s="48" t="n">
        <x:v>0.45</x:v>
      </x:c>
      <x:c r="J653" s="48" t="n">
        <x:v>0.4</x:v>
      </x:c>
      <x:c r="K653" s="48" t="str">
        <x:v>Yes</x:v>
      </x:c>
      <x:c r="L653" s="48" t="str">
        <x:v>OCR</x:v>
      </x:c>
    </x:row>
    <x:row r="654">
      <x:c r="A654" s="48" t="str">
        <x:v>SILVER-0653</x:v>
      </x:c>
      <x:c r="B654" s="48" t="str">
        <x:v>SILVER</x:v>
      </x:c>
      <x:c r="C654" s="48" t="str">
        <x:v>Indonesian</x:v>
      </x:c>
      <x:c r="D654" s="48" t="n">
        <x:v>79</x:v>
      </x:c>
      <x:c r="E654" s="48" t="str"/>
      <x:c r="F654" s="48" t="str">
        <x:v>tera ha bedatartn pegdaareran PENA Mama 12 er</x:v>
      </x:c>
      <x:c r="G654" s="48" t="str">
        <x:v>Obligation</x:v>
      </x:c>
      <x:c r="H654" s="48" t="str">
        <x:v>Shared</x:v>
      </x:c>
      <x:c r="I654" s="48" t="n">
        <x:v>0.45</x:v>
      </x:c>
      <x:c r="J654" s="48" t="n">
        <x:v>0.4</x:v>
      </x:c>
      <x:c r="K654" s="48" t="str">
        <x:v>Yes</x:v>
      </x:c>
      <x:c r="L654" s="48" t="str">
        <x:v>OCR</x:v>
      </x:c>
    </x:row>
    <x:row r="655">
      <x:c r="A655" s="48" t="str">
        <x:v>SILVER-0654</x:v>
      </x:c>
      <x:c r="B655" s="48" t="str">
        <x:v>SILVER</x:v>
      </x:c>
      <x:c r="C655" s="48" t="str">
        <x:v>Indonesian</x:v>
      </x:c>
      <x:c r="D655" s="48" t="n">
        <x:v>79</x:v>
      </x:c>
      <x:c r="E655" s="48" t="str"/>
      <x:c r="F655" s="48" t="str">
        <x:v>LTAK Peoja can Pok Kere sai orgonng Prodi tg cara</x:v>
      </x:c>
      <x:c r="G655" s="48" t="str">
        <x:v>Obligation</x:v>
      </x:c>
      <x:c r="H655" s="48" t="str">
        <x:v>Shared</x:v>
      </x:c>
      <x:c r="I655" s="48" t="n">
        <x:v>0.45</x:v>
      </x:c>
      <x:c r="J655" s="48" t="n">
        <x:v>0.4</x:v>
      </x:c>
      <x:c r="K655" s="48" t="str">
        <x:v>Yes</x:v>
      </x:c>
      <x:c r="L655" s="48" t="str">
        <x:v>OCR</x:v>
      </x:c>
    </x:row>
    <x:row r="656">
      <x:c r="A656" s="48" t="str">
        <x:v>SILVER-0655</x:v>
      </x:c>
      <x:c r="B656" s="48" t="str">
        <x:v>SILVER</x:v>
      </x:c>
      <x:c r="C656" s="48" t="str">
        <x:v>Indonesian</x:v>
      </x:c>
      <x:c r="D656" s="48" t="n">
        <x:v>79</x:v>
      </x:c>
      <x:c r="E656" s="48" t="str"/>
      <x:c r="F656" s="48" t="str">
        <x:v>Wr danuatn mena Sio Ka 14 Mana YA Peer erna</x:v>
      </x:c>
      <x:c r="G656" s="48" t="str">
        <x:v>Obligation</x:v>
      </x:c>
      <x:c r="H656" s="48" t="str">
        <x:v>Shared</x:v>
      </x:c>
      <x:c r="I656" s="48" t="n">
        <x:v>0.45</x:v>
      </x:c>
      <x:c r="J656" s="48" t="n">
        <x:v>0.4</x:v>
      </x:c>
      <x:c r="K656" s="48" t="str">
        <x:v>Yes</x:v>
      </x:c>
      <x:c r="L656" s="48" t="str">
        <x:v>OCR</x:v>
      </x:c>
    </x:row>
    <x:row r="657">
      <x:c r="A657" s="48" t="str">
        <x:v>SILVER-0656</x:v>
      </x:c>
      <x:c r="B657" s="48" t="str">
        <x:v>SILVER</x:v>
      </x:c>
      <x:c r="C657" s="48" t="str">
        <x:v>Indonesian</x:v>
      </x:c>
      <x:c r="D657" s="48" t="n">
        <x:v>79</x:v>
      </x:c>
      <x:c r="E657" s="48" t="str"/>
      <x:c r="F657" s="48" t="str">
        <x:v>Dmna IMO ea para eror dana meMaN</x:v>
      </x:c>
      <x:c r="G657" s="48" t="str">
        <x:v>Obligation</x:v>
      </x:c>
      <x:c r="H657" s="48" t="str">
        <x:v>Shared</x:v>
      </x:c>
      <x:c r="I657" s="48" t="n">
        <x:v>0.45</x:v>
      </x:c>
      <x:c r="J657" s="48" t="n">
        <x:v>0.4</x:v>
      </x:c>
      <x:c r="K657" s="48" t="str">
        <x:v>Yes</x:v>
      </x:c>
      <x:c r="L657" s="48" t="str">
        <x:v>OCR</x:v>
      </x:c>
    </x:row>
    <x:row r="658">
      <x:c r="A658" s="48" t="str">
        <x:v>SILVER-0657</x:v>
      </x:c>
      <x:c r="B658" s="48" t="str">
        <x:v>SILVER</x:v>
      </x:c>
      <x:c r="C658" s="48" t="str">
        <x:v>Indonesian</x:v>
      </x:c>
      <x:c r="D658" s="48" t="n">
        <x:v>79</x:v>
      </x:c>
      <x:c r="E658" s="48" t="str"/>
      <x:c r="F658" s="48" t="str">
        <x:v>Sekam serah</x:v>
      </x:c>
      <x:c r="G658" s="48" t="str">
        <x:v>Obligation</x:v>
      </x:c>
      <x:c r="H658" s="48" t="str">
        <x:v>Shared</x:v>
      </x:c>
      <x:c r="I658" s="48" t="n">
        <x:v>0.45</x:v>
      </x:c>
      <x:c r="J658" s="48" t="n">
        <x:v>0.4</x:v>
      </x:c>
      <x:c r="K658" s="48" t="str">
        <x:v>Yes</x:v>
      </x:c>
      <x:c r="L658" s="48" t="str">
        <x:v>OCR</x:v>
      </x:c>
    </x:row>
    <x:row r="659">
      <x:c r="A659" s="48" t="str">
        <x:v>SILVER-0658</x:v>
      </x:c>
      <x:c r="B659" s="48" t="str">
        <x:v>SILVER</x:v>
      </x:c>
      <x:c r="C659" s="48" t="str">
        <x:v>Indonesian</x:v>
      </x:c>
      <x:c r="D659" s="48" t="n">
        <x:v>80</x:v>
      </x:c>
      <x:c r="E659" s="48" t="str"/>
      <x:c r="F659" s="48" t="str">
        <x:v>(baya Kia rg Kr Bat Wa Dea teman car wayru dodormen an Kemala ai Pi Kena Bana,</x:v>
      </x:c>
      <x:c r="G659" s="48" t="str">
        <x:v>Obligation</x:v>
      </x:c>
      <x:c r="H659" s="48" t="str">
        <x:v>Shared</x:v>
      </x:c>
      <x:c r="I659" s="48" t="n">
        <x:v>0.45</x:v>
      </x:c>
      <x:c r="J659" s="48" t="n">
        <x:v>0.4</x:v>
      </x:c>
      <x:c r="K659" s="48" t="str">
        <x:v>Yes</x:v>
      </x:c>
      <x:c r="L659" s="48" t="str">
        <x:v>OCR</x:v>
      </x:c>
    </x:row>
    <x:row r="660">
      <x:c r="A660" s="48" t="str">
        <x:v>SILVER-0659</x:v>
      </x:c>
      <x:c r="B660" s="48" t="str">
        <x:v>SILVER</x:v>
      </x:c>
      <x:c r="C660" s="48" t="str">
        <x:v>Indonesian</x:v>
      </x:c>
      <x:c r="D660" s="48" t="n">
        <x:v>80</x:v>
      </x:c>
      <x:c r="E660" s="48" t="str"/>
      <x:c r="F660" s="48" t="str">
        <x:v>PegaaJaPu hg ba ar ntt oa Or Kou ain</x:v>
      </x:c>
      <x:c r="G660" s="48" t="str">
        <x:v>Obligation</x:v>
      </x:c>
      <x:c r="H660" s="48" t="str">
        <x:v>Shared</x:v>
      </x:c>
      <x:c r="I660" s="48" t="n">
        <x:v>0.45</x:v>
      </x:c>
      <x:c r="J660" s="48" t="n">
        <x:v>0.4</x:v>
      </x:c>
      <x:c r="K660" s="48" t="str">
        <x:v>Yes</x:v>
      </x:c>
      <x:c r="L660" s="48" t="str">
        <x:v>OCR</x:v>
      </x:c>
    </x:row>
    <x:row r="661">
      <x:c r="A661" s="48" t="str">
        <x:v>SILVER-0660</x:v>
      </x:c>
      <x:c r="B661" s="48" t="str">
        <x:v>SILVER</x:v>
      </x:c>
      <x:c r="C661" s="48" t="str">
        <x:v>Indonesian</x:v>
      </x:c>
      <x:c r="D661" s="48" t="n">
        <x:v>80</x:v>
      </x:c>
      <x:c r="E661" s="48" t="str"/>
      <x:c r="F661" s="48" t="str">
        <x:v>Sekar Pk menulkan Ian Gn Ham aer ten ma Bina.</x:v>
      </x:c>
      <x:c r="G661" s="48" t="str">
        <x:v>Obligation</x:v>
      </x:c>
      <x:c r="H661" s="48" t="str">
        <x:v>Shared</x:v>
      </x:c>
      <x:c r="I661" s="48" t="n">
        <x:v>0.45</x:v>
      </x:c>
      <x:c r="J661" s="48" t="n">
        <x:v>0.4</x:v>
      </x:c>
      <x:c r="K661" s="48" t="str">
        <x:v>Yes</x:v>
      </x:c>
      <x:c r="L661" s="48" t="str">
        <x:v>OCR</x:v>
      </x:c>
    </x:row>
    <x:row r="662">
      <x:c r="A662" s="48" t="str">
        <x:v>SILVER-0661</x:v>
      </x:c>
      <x:c r="B662" s="48" t="str">
        <x:v>SILVER</x:v>
      </x:c>
      <x:c r="C662" s="48" t="str">
        <x:v>Indonesian</x:v>
      </x:c>
      <x:c r="D662" s="48" t="n">
        <x:v>80</x:v>
      </x:c>
      <x:c r="E662" s="48" t="str"/>
      <x:c r="F662" s="48" t="str">
        <x:v>Waka en Ian da kesan Prog aa sa rara Pengya</x:v>
      </x:c>
      <x:c r="G662" s="48" t="str">
        <x:v>Obligation</x:v>
      </x:c>
      <x:c r="H662" s="48" t="str">
        <x:v>Shared</x:v>
      </x:c>
      <x:c r="I662" s="48" t="n">
        <x:v>0.45</x:v>
      </x:c>
      <x:c r="J662" s="48" t="n">
        <x:v>0.4</x:v>
      </x:c>
      <x:c r="K662" s="48" t="str">
        <x:v>Yes</x:v>
      </x:c>
      <x:c r="L662" s="48" t="str">
        <x:v>OCR</x:v>
      </x:c>
    </x:row>
    <x:row r="663">
      <x:c r="A663" s="48" t="str">
        <x:v>SILVER-0662</x:v>
      </x:c>
      <x:c r="B663" s="48" t="str">
        <x:v>SILVER</x:v>
      </x:c>
      <x:c r="C663" s="48" t="str">
        <x:v>Indonesian</x:v>
      </x:c>
      <x:c r="D663" s="48" t="n">
        <x:v>80</x:v>
      </x:c>
      <x:c r="E663" s="48" t="str"/>
      <x:c r="F663" s="48" t="str">
        <x:v>Panai ana Gpentuian tecra pruh din tp batu sana pena</x:v>
      </x:c>
      <x:c r="G663" s="48" t="str">
        <x:v>Obligation</x:v>
      </x:c>
      <x:c r="H663" s="48" t="str">
        <x:v>Shared</x:v>
      </x:c>
      <x:c r="I663" s="48" t="n">
        <x:v>0.45</x:v>
      </x:c>
      <x:c r="J663" s="48" t="n">
        <x:v>0.4</x:v>
      </x:c>
      <x:c r="K663" s="48" t="str">
        <x:v>Yes</x:v>
      </x:c>
      <x:c r="L663" s="48" t="str">
        <x:v>OCR</x:v>
      </x:c>
    </x:row>
    <x:row r="664">
      <x:c r="A664" s="48" t="str">
        <x:v>SILVER-0663</x:v>
      </x:c>
      <x:c r="B664" s="48" t="str">
        <x:v>SILVER</x:v>
      </x:c>
      <x:c r="C664" s="48" t="str">
        <x:v>Indonesian</x:v>
      </x:c>
      <x:c r="D664" s="48" t="n">
        <x:v>80</x:v>
      </x:c>
      <x:c r="E664" s="48" t="str"/>
      <x:c r="F664" s="48" t="str">
        <x:v>(1 mentari pekaram Peoan Uak teywan Sesermaex dara (kei atitan oa Slorato, wi Krvako, Arga Kania Fi Fota (ENGKAU MeMaNLI Bd (ON Oi Kekar Dam on nh (8 yeratemtn dhan san Ptk.</x:v>
      </x:c>
      <x:c r="G664" s="48" t="str">
        <x:v>Obligation</x:v>
      </x:c>
      <x:c r="H664" s="48" t="str">
        <x:v>Shared</x:v>
      </x:c>
      <x:c r="I664" s="48" t="n">
        <x:v>0.45</x:v>
      </x:c>
      <x:c r="J664" s="48" t="n">
        <x:v>0.4</x:v>
      </x:c>
      <x:c r="K664" s="48" t="str">
        <x:v>Yes</x:v>
      </x:c>
      <x:c r="L664" s="48" t="str">
        <x:v>OCR</x:v>
      </x:c>
    </x:row>
    <x:row r="665">
      <x:c r="A665" s="48" t="str">
        <x:v>SILVER-0664</x:v>
      </x:c>
      <x:c r="B665" s="48" t="str">
        <x:v>SILVER</x:v>
      </x:c>
      <x:c r="C665" s="48" t="str">
        <x:v>Indonesian</x:v>
      </x:c>
      <x:c r="D665" s="48" t="n">
        <x:v>80</x:v>
      </x:c>
      <x:c r="E665" s="48" t="str"/>
      <x:c r="F665" s="48" t="str">
        <x:v>AI SG Brg Ka ap rai Gn Pra Was, sebaum merana</x:v>
      </x:c>
      <x:c r="G665" s="48" t="str">
        <x:v>Obligation</x:v>
      </x:c>
      <x:c r="H665" s="48" t="str">
        <x:v>Shared</x:v>
      </x:c>
      <x:c r="I665" s="48" t="n">
        <x:v>0.45</x:v>
      </x:c>
      <x:c r="J665" s="48" t="n">
        <x:v>0.4</x:v>
      </x:c>
      <x:c r="K665" s="48" t="str">
        <x:v>Yes</x:v>
      </x:c>
      <x:c r="L665" s="48" t="str">
        <x:v>OCR</x:v>
      </x:c>
    </x:row>
    <x:row r="666">
      <x:c r="A666" s="48" t="str">
        <x:v>SILVER-0665</x:v>
      </x:c>
      <x:c r="B666" s="48" t="str">
        <x:v>SILVER</x:v>
      </x:c>
      <x:c r="C666" s="48" t="str">
        <x:v>Indonesian</x:v>
      </x:c>
      <x:c r="D666" s="48" t="n">
        <x:v>80</x:v>
      </x:c>
      <x:c r="E666" s="48" t="str"/>
      <x:c r="F666" s="48" t="str">
        <x:v>(SA, ear Bina Kat Gn aa Gta ch Pake</x:v>
      </x:c>
      <x:c r="G666" s="48" t="str">
        <x:v>Obligation</x:v>
      </x:c>
      <x:c r="H666" s="48" t="str">
        <x:v>Shared</x:v>
      </x:c>
      <x:c r="I666" s="48" t="n">
        <x:v>0.45</x:v>
      </x:c>
      <x:c r="J666" s="48" t="n">
        <x:v>0.4</x:v>
      </x:c>
      <x:c r="K666" s="48" t="str">
        <x:v>Yes</x:v>
      </x:c>
      <x:c r="L666" s="48" t="str">
        <x:v>OCR</x:v>
      </x:c>
    </x:row>
    <x:row r="667">
      <x:c r="A667" s="48" t="str">
        <x:v>SILVER-0666</x:v>
      </x:c>
      <x:c r="B667" s="48" t="str">
        <x:v>SILVER</x:v>
      </x:c>
      <x:c r="C667" s="48" t="str">
        <x:v>Indonesian</x:v>
      </x:c>
      <x:c r="D667" s="48" t="n">
        <x:v>80</x:v>
      </x:c>
      <x:c r="E667" s="48" t="str"/>
      <x:c r="F667" s="48" t="str">
        <x:v>IG yenincra mendaratkan an Pakan</x:v>
      </x:c>
      <x:c r="G667" s="48" t="str">
        <x:v>Obligation</x:v>
      </x:c>
      <x:c r="H667" s="48" t="str">
        <x:v>Shared</x:v>
      </x:c>
      <x:c r="I667" s="48" t="n">
        <x:v>0.45</x:v>
      </x:c>
      <x:c r="J667" s="48" t="n">
        <x:v>0.4</x:v>
      </x:c>
      <x:c r="K667" s="48" t="str">
        <x:v>Yes</x:v>
      </x:c>
      <x:c r="L667" s="48" t="str">
        <x:v>OCR</x:v>
      </x:c>
    </x:row>
    <x:row r="668">
      <x:c r="A668" s="48" t="str">
        <x:v>SILVER-0667</x:v>
      </x:c>
      <x:c r="B668" s="48" t="str">
        <x:v>SILVER</x:v>
      </x:c>
      <x:c r="C668" s="48" t="str">
        <x:v>Indonesian</x:v>
      </x:c>
      <x:c r="D668" s="48" t="n">
        <x:v>80</x:v>
      </x:c>
      <x:c r="E668" s="48" t="str"/>
      <x:c r="F668" s="48" t="str">
        <x:v>Nan Kar Ma la kn pc aan da an Na</x:v>
      </x:c>
      <x:c r="G668" s="48" t="str">
        <x:v>Obligation</x:v>
      </x:c>
      <x:c r="H668" s="48" t="str">
        <x:v>Shared</x:v>
      </x:c>
      <x:c r="I668" s="48" t="n">
        <x:v>0.45</x:v>
      </x:c>
      <x:c r="J668" s="48" t="n">
        <x:v>0.4</x:v>
      </x:c>
      <x:c r="K668" s="48" t="str">
        <x:v>Yes</x:v>
      </x:c>
      <x:c r="L668" s="48" t="str">
        <x:v>OCR</x:v>
      </x:c>
    </x:row>
    <x:row r="669">
      <x:c r="A669" s="48" t="str">
        <x:v>SILVER-0668</x:v>
      </x:c>
      <x:c r="B669" s="48" t="str">
        <x:v>SILVER</x:v>
      </x:c>
      <x:c r="C669" s="48" t="str">
        <x:v>Indonesian</x:v>
      </x:c>
      <x:c r="D669" s="48" t="n">
        <x:v>80</x:v>
      </x:c>
      <x:c r="E669" s="48" t="str"/>
      <x:c r="F669" s="48" t="str">
        <x:v>Tia Gan pg Mam Gan Ih #parprg Sewa Bl ane K3 man ps 0 peraertakn engmutroapemyasnpeNn. hak srrganman</x:v>
      </x:c>
      <x:c r="G669" s="48" t="str">
        <x:v>Obligation</x:v>
      </x:c>
      <x:c r="H669" s="48" t="str">
        <x:v>Shared</x:v>
      </x:c>
      <x:c r="I669" s="48" t="n">
        <x:v>0.45</x:v>
      </x:c>
      <x:c r="J669" s="48" t="n">
        <x:v>0.4</x:v>
      </x:c>
      <x:c r="K669" s="48" t="str">
        <x:v>Yes</x:v>
      </x:c>
      <x:c r="L669" s="48" t="str">
        <x:v>OCR</x:v>
      </x:c>
    </x:row>
    <x:row r="670">
      <x:c r="A670" s="48" t="str">
        <x:v>SILVER-0669</x:v>
      </x:c>
      <x:c r="B670" s="48" t="str">
        <x:v>SILVER</x:v>
      </x:c>
      <x:c r="C670" s="48" t="str">
        <x:v>Indonesian</x:v>
      </x:c>
      <x:c r="D670" s="48" t="n">
        <x:v>80</x:v>
      </x:c>
      <x:c r="E670" s="48" t="str"/>
      <x:c r="F670" s="48" t="str">
        <x:v>Karta, meal Mouur ka rae Bi ergataatu eka</x:v>
      </x:c>
      <x:c r="G670" s="48" t="str">
        <x:v>Obligation</x:v>
      </x:c>
      <x:c r="H670" s="48" t="str">
        <x:v>Shared</x:v>
      </x:c>
      <x:c r="I670" s="48" t="n">
        <x:v>0.45</x:v>
      </x:c>
      <x:c r="J670" s="48" t="n">
        <x:v>0.4</x:v>
      </x:c>
      <x:c r="K670" s="48" t="str">
        <x:v>Yes</x:v>
      </x:c>
      <x:c r="L670" s="48" t="str">
        <x:v>OCR</x:v>
      </x:c>
    </x:row>
    <x:row r="671">
      <x:c r="A671" s="48" t="str">
        <x:v>SILVER-0670</x:v>
      </x:c>
      <x:c r="B671" s="48" t="str">
        <x:v>SILVER</x:v>
      </x:c>
      <x:c r="C671" s="48" t="str">
        <x:v>Indonesian</x:v>
      </x:c>
      <x:c r="D671" s="48" t="n">
        <x:v>80</x:v>
      </x:c>
      <x:c r="E671" s="48" t="str"/>
      <x:c r="F671" s="48" t="str">
        <x:v>mms ponrgari (@ Fenatan jantan Isacaan ponecan gas eyegan cencarg cara ata Peri ermatr, (4 Tmpepowg erat minlknautoruninsinaekilenaharg “kaatl denprgar sn ersmeransorar enek ea Mn (9 Beren an 01 gan bur. rana nd ih tuna ata Pr art au an terur G mebsrkan kentan merksana berbaran Kwek ox Hasan Ka ewjana ana</x:v>
      </x:c>
      <x:c r="G671" s="48" t="str">
        <x:v>Obligation</x:v>
      </x:c>
      <x:c r="H671" s="48" t="str">
        <x:v>Shared</x:v>
      </x:c>
      <x:c r="I671" s="48" t="n">
        <x:v>0.45</x:v>
      </x:c>
      <x:c r="J671" s="48" t="n">
        <x:v>0.4</x:v>
      </x:c>
      <x:c r="K671" s="48" t="str">
        <x:v>Yes</x:v>
      </x:c>
      <x:c r="L671" s="48" t="str">
        <x:v>OCR</x:v>
      </x:c>
    </x:row>
    <x:row r="672">
      <x:c r="A672" s="48" t="str">
        <x:v>SILVER-0671</x:v>
      </x:c>
      <x:c r="B672" s="48" t="str">
        <x:v>SILVER</x:v>
      </x:c>
      <x:c r="C672" s="48" t="str">
        <x:v>Indonesian</x:v>
      </x:c>
      <x:c r="D672" s="48" t="n">
        <x:v>80</x:v>
      </x:c>
      <x:c r="E672" s="48" t="str"/>
      <x:c r="F672" s="48" t="str">
        <x:v>Wanyryakan pertstaan lara Pc merora hepan Au an</x:v>
      </x:c>
      <x:c r="G672" s="48" t="str">
        <x:v>Obligation</x:v>
      </x:c>
      <x:c r="H672" s="48" t="str">
        <x:v>Shared</x:v>
      </x:c>
      <x:c r="I672" s="48" t="n">
        <x:v>0.45</x:v>
      </x:c>
      <x:c r="J672" s="48" t="n">
        <x:v>0.4</x:v>
      </x:c>
      <x:c r="K672" s="48" t="str">
        <x:v>Yes</x:v>
      </x:c>
      <x:c r="L672" s="48" t="str">
        <x:v>OCR</x:v>
      </x:c>
    </x:row>
    <x:row r="673">
      <x:c r="A673" s="48" t="str">
        <x:v>SILVER-0672</x:v>
      </x:c>
      <x:c r="B673" s="48" t="str">
        <x:v>SILVER</x:v>
      </x:c>
      <x:c r="C673" s="48" t="str">
        <x:v>Indonesian</x:v>
      </x:c>
      <x:c r="D673" s="48" t="n">
        <x:v>80</x:v>
      </x:c>
      <x:c r="E673" s="48" t="str"/>
      <x:c r="F673" s="48" t="str">
        <x:v>Sa mangan Kar Kp Gn ha Merta lewat Keajana ang</x:v>
      </x:c>
      <x:c r="G673" s="48" t="str">
        <x:v>Obligation</x:v>
      </x:c>
      <x:c r="H673" s="48" t="str">
        <x:v>Shared</x:v>
      </x:c>
      <x:c r="I673" s="48" t="n">
        <x:v>0.45</x:v>
      </x:c>
      <x:c r="J673" s="48" t="n">
        <x:v>0.4</x:v>
      </x:c>
      <x:c r="K673" s="48" t="str">
        <x:v>Yes</x:v>
      </x:c>
      <x:c r="L673" s="48" t="str">
        <x:v>OCR</x:v>
      </x:c>
    </x:row>
    <x:row r="674">
      <x:c r="A674" s="48" t="str">
        <x:v>SILVER-0673</x:v>
      </x:c>
      <x:c r="B674" s="48" t="str">
        <x:v>SILVER</x:v>
      </x:c>
      <x:c r="C674" s="48" t="str">
        <x:v>Indonesian</x:v>
      </x:c>
      <x:c r="D674" s="48" t="n">
        <x:v>81</x:v>
      </x:c>
      <x:c r="E674" s="48" t="str"/>
      <x:c r="F674" s="48" t="str">
        <x:v>#eharnbat atu akan hambat Pembortahuan Fifara dkampskan dlam tenggang ed 1 ot za Pura menja seraya mana Ian</x:v>
      </x:c>
      <x:c r="G674" s="48" t="str">
        <x:v>Obligation</x:v>
      </x:c>
      <x:c r="H674" s="48" t="str">
        <x:v>Shared</x:v>
      </x:c>
      <x:c r="I674" s="48" t="n">
        <x:v>0.45</x:v>
      </x:c>
      <x:c r="J674" s="48" t="n">
        <x:v>0.4</x:v>
      </x:c>
      <x:c r="K674" s="48" t="str">
        <x:v>Yes</x:v>
      </x:c>
      <x:c r="L674" s="48" t="str">
        <x:v>OCR</x:v>
      </x:c>
    </x:row>
    <x:row r="675">
      <x:c r="A675" s="48" t="str">
        <x:v>SILVER-0674</x:v>
      </x:c>
      <x:c r="B675" s="48" t="str">
        <x:v>SILVER</x:v>
      </x:c>
      <x:c r="C675" s="48" t="str">
        <x:v>Indonesian</x:v>
      </x:c>
      <x:c r="D675" s="48" t="n">
        <x:v>81</x:v>
      </x:c>
      <x:c r="E675" s="48" t="str"/>
      <x:c r="F675" s="48" t="str">
        <x:v>Santan tar menga Ka Kara</x:v>
      </x:c>
      <x:c r="G675" s="48" t="str">
        <x:v>Obligation</x:v>
      </x:c>
      <x:c r="H675" s="48" t="str">
        <x:v>Shared</x:v>
      </x:c>
      <x:c r="I675" s="48" t="n">
        <x:v>0.45</x:v>
      </x:c>
      <x:c r="J675" s="48" t="n">
        <x:v>0.4</x:v>
      </x:c>
      <x:c r="K675" s="48" t="str">
        <x:v>Yes</x:v>
      </x:c>
      <x:c r="L675" s="48" t="str">
        <x:v>OCR</x:v>
      </x:c>
    </x:row>
    <x:row r="676">
      <x:c r="A676" s="48" t="str">
        <x:v>SILVER-0675</x:v>
      </x:c>
      <x:c r="B676" s="48" t="str">
        <x:v>SILVER</x:v>
      </x:c>
      <x:c r="C676" s="48" t="str">
        <x:v>Indonesian</x:v>
      </x:c>
      <x:c r="D676" s="48" t="n">
        <x:v>81</x:v>
      </x:c>
      <x:c r="E676" s="48" t="str"/>
      <x:c r="F676" s="48" t="str">
        <x:v>Ptak wrap sen menanetan perborutun, atatasen Gi</x:v>
      </x:c>
      <x:c r="G676" s="48" t="str">
        <x:v>Obligation</x:v>
      </x:c>
      <x:c r="H676" s="48" t="str">
        <x:v>Shared</x:v>
      </x:c>
      <x:c r="I676" s="48" t="n">
        <x:v>0.45</x:v>
      </x:c>
      <x:c r="J676" s="48" t="n">
        <x:v>0.4</x:v>
      </x:c>
      <x:c r="K676" s="48" t="str">
        <x:v>Yes</x:v>
      </x:c>
      <x:c r="L676" s="48" t="str">
        <x:v>OCR</x:v>
      </x:c>
    </x:row>
    <x:row r="677">
      <x:c r="A677" s="48" t="str">
        <x:v>SILVER-0676</x:v>
      </x:c>
      <x:c r="B677" s="48" t="str">
        <x:v>SILVER</x:v>
      </x:c>
      <x:c r="C677" s="48" t="str">
        <x:v>Indonesian</x:v>
      </x:c>
      <x:c r="D677" s="48" t="n">
        <x:v>81</x:v>
      </x:c>
      <x:c r="E677" s="48" t="str"/>
      <x:c r="F677" s="48" t="str">
        <x:v>pesanan tenan sera Kosan Ning” merpaargna Utk mesardantasabana. uga mempapatan kta Honu Fi Kan or ok ba Uk kene mtor perbaason 2 ar Pa pas Pacar</x:v>
      </x:c>
      <x:c r="G677" s="48" t="str">
        <x:v>Obligation</x:v>
      </x:c>
      <x:c r="H677" s="48" t="str">
        <x:v>Shared</x:v>
      </x:c>
      <x:c r="I677" s="48" t="n">
        <x:v>0.45</x:v>
      </x:c>
      <x:c r="J677" s="48" t="n">
        <x:v>0.4</x:v>
      </x:c>
      <x:c r="K677" s="48" t="str">
        <x:v>Yes</x:v>
      </x:c>
      <x:c r="L677" s="48" t="str">
        <x:v>OCR</x:v>
      </x:c>
    </x:row>
    <x:row r="678">
      <x:c r="A678" s="48" t="str">
        <x:v>SILVER-0677</x:v>
      </x:c>
      <x:c r="B678" s="48" t="str">
        <x:v>SILVER</x:v>
      </x:c>
      <x:c r="C678" s="48" t="str">
        <x:v>Indonesian</x:v>
      </x:c>
      <x:c r="D678" s="48" t="n">
        <x:v>81</x:v>
      </x:c>
      <x:c r="E678" s="48" t="str"/>
      <x:c r="F678" s="48" t="str">
        <x:v>Kemdiban truk Sp Pok Pt to bencana Enny Ak menunan lean</x:v>
      </x:c>
      <x:c r="G678" s="48" t="str">
        <x:v>Obligation</x:v>
      </x:c>
      <x:c r="H678" s="48" t="str">
        <x:v>Shared</x:v>
      </x:c>
      <x:c r="I678" s="48" t="n">
        <x:v>0.45</x:v>
      </x:c>
      <x:c r="J678" s="48" t="n">
        <x:v>0.4</x:v>
      </x:c>
      <x:c r="K678" s="48" t="str">
        <x:v>Yes</x:v>
      </x:c>
      <x:c r="L678" s="48" t="str">
        <x:v>OCR</x:v>
      </x:c>
    </x:row>
    <x:row r="679">
      <x:c r="A679" s="48" t="str">
        <x:v>SILVER-0678</x:v>
      </x:c>
      <x:c r="B679" s="48" t="str">
        <x:v>SILVER</x:v>
      </x:c>
      <x:c r="C679" s="48" t="str">
        <x:v>Indonesian</x:v>
      </x:c>
      <x:c r="D679" s="48" t="n">
        <x:v>81</x:v>
      </x:c>
      <x:c r="E679" s="48" t="str"/>
      <x:c r="F679" s="48" t="str">
        <x:v>(par Krk Sta BN Kan Kar</x:v>
      </x:c>
      <x:c r="G679" s="48" t="str">
        <x:v>Obligation</x:v>
      </x:c>
      <x:c r="H679" s="48" t="str">
        <x:v>Shared</x:v>
      </x:c>
      <x:c r="I679" s="48" t="n">
        <x:v>0.45</x:v>
      </x:c>
      <x:c r="J679" s="48" t="n">
        <x:v>0.4</x:v>
      </x:c>
      <x:c r="K679" s="48" t="str">
        <x:v>Yes</x:v>
      </x:c>
      <x:c r="L679" s="48" t="str">
        <x:v>OCR</x:v>
      </x:c>
    </x:row>
    <x:row r="680">
      <x:c r="A680" s="48" t="str">
        <x:v>SILVER-0679</x:v>
      </x:c>
      <x:c r="B680" s="48" t="str">
        <x:v>SILVER</x:v>
      </x:c>
      <x:c r="C680" s="48" t="str">
        <x:v>Indonesian</x:v>
      </x:c>
      <x:c r="D680" s="48" t="n">
        <x:v>81</x:v>
      </x:c>
      <x:c r="E680" s="48" t="str"/>
      <x:c r="F680" s="48" t="str">
        <x:v>San ati Pro tata penjngatan perbetatan kada Ptk lin lia</x:v>
      </x:c>
      <x:c r="G680" s="48" t="str">
        <x:v>Obligation</x:v>
      </x:c>
      <x:c r="H680" s="48" t="str">
        <x:v>Shared</x:v>
      </x:c>
      <x:c r="I680" s="48" t="n">
        <x:v>0.45</x:v>
      </x:c>
      <x:c r="J680" s="48" t="n">
        <x:v>0.4</x:v>
      </x:c>
      <x:c r="K680" s="48" t="str">
        <x:v>Yes</x:v>
      </x:c>
      <x:c r="L680" s="48" t="str">
        <x:v>OCR</x:v>
      </x:c>
    </x:row>
    <x:row r="681">
      <x:c r="A681" s="48" t="str">
        <x:v>SILVER-0680</x:v>
      </x:c>
      <x:c r="B681" s="48" t="str">
        <x:v>SILVER</x:v>
      </x:c>
      <x:c r="C681" s="48" t="str">
        <x:v>Indonesian</x:v>
      </x:c>
      <x:c r="D681" s="48" t="n">
        <x:v>81</x:v>
      </x:c>
      <x:c r="E681" s="48" t="str"/>
      <x:c r="F681" s="48" t="str">
        <x:v>PRO Kosan ara bm</x:v>
      </x:c>
      <x:c r="G681" s="48" t="str">
        <x:v>Obligation</x:v>
      </x:c>
      <x:c r="H681" s="48" t="str">
        <x:v>Shared</x:v>
      </x:c>
      <x:c r="I681" s="48" t="n">
        <x:v>0.45</x:v>
      </x:c>
      <x:c r="J681" s="48" t="n">
        <x:v>0.4</x:v>
      </x:c>
      <x:c r="K681" s="48" t="str">
        <x:v>Yes</x:v>
      </x:c>
      <x:c r="L681" s="48" t="str">
        <x:v>OCR</x:v>
      </x:c>
    </x:row>
    <x:row r="682">
      <x:c r="A682" s="48" t="str">
        <x:v>SILVER-0681</x:v>
      </x:c>
      <x:c r="B682" s="48" t="str">
        <x:v>SILVER</x:v>
      </x:c>
      <x:c r="C682" s="48" t="str">
        <x:v>Indonesian</x:v>
      </x:c>
      <x:c r="D682" s="48" t="n">
        <x:v>81</x:v>
      </x:c>
      <x:c r="E682" s="48" t="str"/>
      <x:c r="F682" s="48" t="str">
        <x:v>kematuai kabin KS rara Gam pesuaea kengarnyateatan Kak enakan Katue eh Kmdun Ki JG erbotirama man eungakan Deck Se Kama 102 Panbettar Katun Kart. can mergar hamtertaan 2 (merata Bada Kacan Kat Kontan an ber bean</x:v>
      </x:c>
      <x:c r="G682" s="48" t="str">
        <x:v>Obligation</x:v>
      </x:c>
      <x:c r="H682" s="48" t="str">
        <x:v>Shared</x:v>
      </x:c>
      <x:c r="I682" s="48" t="n">
        <x:v>0.45</x:v>
      </x:c>
      <x:c r="J682" s="48" t="n">
        <x:v>0.4</x:v>
      </x:c>
      <x:c r="K682" s="48" t="str">
        <x:v>Yes</x:v>
      </x:c>
      <x:c r="L682" s="48" t="str">
        <x:v>OCR</x:v>
      </x:c>
    </x:row>
    <x:row r="683">
      <x:c r="A683" s="48" t="str">
        <x:v>SILVER-0682</x:v>
      </x:c>
      <x:c r="B683" s="48" t="str">
        <x:v>SILVER</x:v>
      </x:c>
      <x:c r="C683" s="48" t="str">
        <x:v>Indonesian</x:v>
      </x:c>
      <x:c r="D683" s="48" t="n">
        <x:v>81</x:v>
      </x:c>
      <x:c r="E683" s="48" t="str"/>
      <x:c r="F683" s="48" t="str">
        <x:v>Stnk Imo Kr</x:v>
      </x:c>
      <x:c r="G683" s="48" t="str">
        <x:v>Obligation</x:v>
      </x:c>
      <x:c r="H683" s="48" t="str">
        <x:v>Shared</x:v>
      </x:c>
      <x:c r="I683" s="48" t="n">
        <x:v>0.45</x:v>
      </x:c>
      <x:c r="J683" s="48" t="n">
        <x:v>0.4</x:v>
      </x:c>
      <x:c r="K683" s="48" t="str">
        <x:v>Yes</x:v>
      </x:c>
      <x:c r="L683" s="48" t="str">
        <x:v>OCR</x:v>
      </x:c>
    </x:row>
    <x:row r="684">
      <x:c r="A684" s="48" t="str">
        <x:v>SILVER-0683</x:v>
      </x:c>
      <x:c r="B684" s="48" t="str">
        <x:v>SILVER</x:v>
      </x:c>
      <x:c r="C684" s="48" t="str">
        <x:v>Indonesian</x:v>
      </x:c>
      <x:c r="D684" s="48" t="n">
        <x:v>81</x:v>
      </x:c>
      <x:c r="E684" s="48" t="str"/>
      <x:c r="F684" s="48" t="str">
        <x:v>(at penrtrgan wet AK ttp tetotertemn, in pananasan</x:v>
      </x:c>
      <x:c r="G684" s="48" t="str">
        <x:v>Obligation</x:v>
      </x:c>
      <x:c r="H684" s="48" t="str">
        <x:v>Shared</x:v>
      </x:c>
      <x:c r="I684" s="48" t="n">
        <x:v>0.45</x:v>
      </x:c>
      <x:c r="J684" s="48" t="n">
        <x:v>0.4</x:v>
      </x:c>
      <x:c r="K684" s="48" t="str">
        <x:v>Yes</x:v>
      </x:c>
      <x:c r="L684" s="48" t="str">
        <x:v>OCR</x:v>
      </x:c>
    </x:row>
    <x:row r="685">
      <x:c r="A685" s="48" t="str">
        <x:v>SILVER-0684</x:v>
      </x:c>
      <x:c r="B685" s="48" t="str">
        <x:v>SILVER</x:v>
      </x:c>
      <x:c r="C685" s="48" t="str">
        <x:v>Indonesian</x:v>
      </x:c>
      <x:c r="D685" s="48" t="n">
        <x:v>81</x:v>
      </x:c>
      <x:c r="E685" s="48" t="str"/>
      <x:c r="F685" s="48" t="str">
        <x:v>Metro ni dan Want Degan Sa asia BA Parera</x:v>
      </x:c>
      <x:c r="G685" s="48" t="str">
        <x:v>Obligation</x:v>
      </x:c>
      <x:c r="H685" s="48" t="str">
        <x:v>Shared</x:v>
      </x:c>
      <x:c r="I685" s="48" t="n">
        <x:v>0.45</x:v>
      </x:c>
      <x:c r="J685" s="48" t="n">
        <x:v>0.4</x:v>
      </x:c>
      <x:c r="K685" s="48" t="str">
        <x:v>Yes</x:v>
      </x:c>
      <x:c r="L685" s="48" t="str">
        <x:v>OCR</x:v>
      </x:c>
    </x:row>
    <x:row r="686">
      <x:c r="A686" s="48" t="str">
        <x:v>SILVER-0685</x:v>
      </x:c>
      <x:c r="B686" s="48" t="str">
        <x:v>SILVER</x:v>
      </x:c>
      <x:c r="C686" s="48" t="str">
        <x:v>Indonesian</x:v>
      </x:c>
      <x:c r="D686" s="48" t="n">
        <x:v>81</x:v>
      </x:c>
      <x:c r="E686" s="48" t="str"/>
      <x:c r="F686" s="48" t="str">
        <x:v>Yg Pearari Oa</x:v>
      </x:c>
      <x:c r="G686" s="48" t="str">
        <x:v>Obligation</x:v>
      </x:c>
      <x:c r="H686" s="48" t="str">
        <x:v>Shared</x:v>
      </x:c>
      <x:c r="I686" s="48" t="n">
        <x:v>0.45</x:v>
      </x:c>
      <x:c r="J686" s="48" t="n">
        <x:v>0.4</x:v>
      </x:c>
      <x:c r="K686" s="48" t="str">
        <x:v>Yes</x:v>
      </x:c>
      <x:c r="L686" s="48" t="str">
        <x:v>OCR</x:v>
      </x:c>
    </x:row>
    <x:row r="687">
      <x:c r="A687" s="48" t="str">
        <x:v>SILVER-0686</x:v>
      </x:c>
      <x:c r="B687" s="48" t="str">
        <x:v>SILVER</x:v>
      </x:c>
      <x:c r="C687" s="48" t="str">
        <x:v>Indonesian</x:v>
      </x:c>
      <x:c r="D687" s="48" t="n">
        <x:v>81</x:v>
      </x:c>
      <x:c r="E687" s="48" t="str"/>
      <x:c r="F687" s="48" t="str">
        <x:v>(Demam Dai, Kila lady ah dapa IA Mearum dan apn arabic So On 11 Dn “kaan Kan an dana lb nga res Wp Gde aan</x:v>
      </x:c>
      <x:c r="G687" s="48" t="str">
        <x:v>Obligation</x:v>
      </x:c>
      <x:c r="H687" s="48" t="str">
        <x:v>Shared</x:v>
      </x:c>
      <x:c r="I687" s="48" t="n">
        <x:v>0.45</x:v>
      </x:c>
      <x:c r="J687" s="48" t="n">
        <x:v>0.4</x:v>
      </x:c>
      <x:c r="K687" s="48" t="str">
        <x:v>Yes</x:v>
      </x:c>
      <x:c r="L687" s="48" t="str">
        <x:v>OCR</x:v>
      </x:c>
    </x:row>
    <x:row r="688">
      <x:c r="A688" s="48" t="str">
        <x:v>SILVER-0687</x:v>
      </x:c>
      <x:c r="B688" s="48" t="str">
        <x:v>SILVER</x:v>
      </x:c>
      <x:c r="C688" s="48" t="str">
        <x:v>Indonesian</x:v>
      </x:c>
      <x:c r="D688" s="48" t="n">
        <x:v>81</x:v>
      </x:c>
      <x:c r="E688" s="48" t="str"/>
      <x:c r="F688" s="48" t="str">
        <x:v>Sen mertra perban F Para ds haus menta sni</x:v>
      </x:c>
      <x:c r="G688" s="48" t="str">
        <x:v>Obligation</x:v>
      </x:c>
      <x:c r="H688" s="48" t="str">
        <x:v>Shared</x:v>
      </x:c>
      <x:c r="I688" s="48" t="n">
        <x:v>0.45</x:v>
      </x:c>
      <x:c r="J688" s="48" t="n">
        <x:v>0.4</x:v>
      </x:c>
      <x:c r="K688" s="48" t="str">
        <x:v>Yes</x:v>
      </x:c>
      <x:c r="L688" s="48" t="str">
        <x:v>OCR</x:v>
      </x:c>
    </x:row>
    <x:row r="689">
      <x:c r="A689" s="48" t="str">
        <x:v>SILVER-0688</x:v>
      </x:c>
      <x:c r="B689" s="48" t="str">
        <x:v>SILVER</x:v>
      </x:c>
      <x:c r="C689" s="48" t="str">
        <x:v>Indonesian</x:v>
      </x:c>
      <x:c r="D689" s="48" t="n">
        <x:v>81</x:v>
      </x:c>
      <x:c r="E689" s="48" t="str"/>
      <x:c r="F689" s="48" t="str">
        <x:v>On Siam 35 Peran va mena B memlan MNT</x:v>
      </x:c>
      <x:c r="G689" s="48" t="str">
        <x:v>Obligation</x:v>
      </x:c>
      <x:c r="H689" s="48" t="str">
        <x:v>Shared</x:v>
      </x:c>
      <x:c r="I689" s="48" t="n">
        <x:v>0.45</x:v>
      </x:c>
      <x:c r="J689" s="48" t="n">
        <x:v>0.4</x:v>
      </x:c>
      <x:c r="K689" s="48" t="str">
        <x:v>Yes</x:v>
      </x:c>
      <x:c r="L689" s="48" t="str">
        <x:v>OCR</x:v>
      </x:c>
    </x:row>
    <x:row r="690">
      <x:c r="A690" s="48" t="str">
        <x:v>SILVER-0689</x:v>
      </x:c>
      <x:c r="B690" s="48" t="str">
        <x:v>SILVER</x:v>
      </x:c>
      <x:c r="C690" s="48" t="str">
        <x:v>Indonesian</x:v>
      </x:c>
      <x:c r="D690" s="48" t="n">
        <x:v>81</x:v>
      </x:c>
      <x:c r="E690" s="48" t="str"/>
      <x:c r="F690" s="48" t="str">
        <x:v>Kendam Katr yang Abi cetak maran tocaatan rak penang bella</x:v>
      </x:c>
      <x:c r="G690" s="48" t="str">
        <x:v>Obligation</x:v>
      </x:c>
      <x:c r="H690" s="48" t="str">
        <x:v>Shared</x:v>
      </x:c>
      <x:c r="I690" s="48" t="n">
        <x:v>0.45</x:v>
      </x:c>
      <x:c r="J690" s="48" t="n">
        <x:v>0.4</x:v>
      </x:c>
      <x:c r="K690" s="48" t="str">
        <x:v>Yes</x:v>
      </x:c>
      <x:c r="L690" s="48" t="str">
        <x:v>OCR</x:v>
      </x:c>
    </x:row>
    <x:row r="691">
      <x:c r="A691" s="48" t="str">
        <x:v>SILVER-0690</x:v>
      </x:c>
      <x:c r="B691" s="48" t="str">
        <x:v>SILVER</x:v>
      </x:c>
      <x:c r="C691" s="48" t="str">
        <x:v>Indonesian</x:v>
      </x:c>
      <x:c r="D691" s="48" t="n">
        <x:v>81</x:v>
      </x:c>
      <x:c r="E691" s="48" t="str"/>
      <x:c r="F691" s="48" t="str">
        <x:v>empang “On Pan beta ds kenari Kon Kara ro erran peron Stan yr MO ha ar dns Kn Tp aah</x:v>
      </x:c>
      <x:c r="G691" s="48" t="str">
        <x:v>Obligation</x:v>
      </x:c>
      <x:c r="H691" s="48" t="str">
        <x:v>Shared</x:v>
      </x:c>
      <x:c r="I691" s="48" t="n">
        <x:v>0.45</x:v>
      </x:c>
      <x:c r="J691" s="48" t="n">
        <x:v>0.4</x:v>
      </x:c>
      <x:c r="K691" s="48" t="str">
        <x:v>Yes</x:v>
      </x:c>
      <x:c r="L691" s="48" t="str">
        <x:v>OCR</x:v>
      </x:c>
    </x:row>
    <x:row r="692">
      <x:c r="A692" s="48" t="str">
        <x:v>SILVER-0691</x:v>
      </x:c>
      <x:c r="B692" s="48" t="str">
        <x:v>SILVER</x:v>
      </x:c>
      <x:c r="C692" s="48" t="str">
        <x:v>Indonesian</x:v>
      </x:c>
      <x:c r="D692" s="48" t="n">
        <x:v>81</x:v>
      </x:c>
      <x:c r="E692" s="48" t="str"/>
      <x:c r="F692" s="48" t="str">
        <x:v>Tatanan ko La ip menelan Kr wa Bak</x:v>
      </x:c>
      <x:c r="G692" s="48" t="str">
        <x:v>Obligation</x:v>
      </x:c>
      <x:c r="H692" s="48" t="str">
        <x:v>Shared</x:v>
      </x:c>
      <x:c r="I692" s="48" t="n">
        <x:v>0.45</x:v>
      </x:c>
      <x:c r="J692" s="48" t="n">
        <x:v>0.4</x:v>
      </x:c>
      <x:c r="K692" s="48" t="str">
        <x:v>Yes</x:v>
      </x:c>
      <x:c r="L692" s="48" t="str">
        <x:v>OCR</x:v>
      </x:c>
    </x:row>
    <x:row r="693">
      <x:c r="A693" s="48" t="str">
        <x:v>SILVER-0692</x:v>
      </x:c>
      <x:c r="B693" s="48" t="str">
        <x:v>SILVER</x:v>
      </x:c>
      <x:c r="C693" s="48" t="str">
        <x:v>Indonesian</x:v>
      </x:c>
      <x:c r="D693" s="48" t="n">
        <x:v>81</x:v>
      </x:c>
      <x:c r="E693" s="48" t="str"/>
      <x:c r="F693" s="48" t="str">
        <x:v>Opauna Toto men mera essay Pejan yeg mar ttwang</x:v>
      </x:c>
      <x:c r="G693" s="48" t="str">
        <x:v>Obligation</x:v>
      </x:c>
      <x:c r="H693" s="48" t="str">
        <x:v>Shared</x:v>
      </x:c>
      <x:c r="I693" s="48" t="n">
        <x:v>0.45</x:v>
      </x:c>
      <x:c r="J693" s="48" t="n">
        <x:v>0.4</x:v>
      </x:c>
      <x:c r="K693" s="48" t="str">
        <x:v>Yes</x:v>
      </x:c>
      <x:c r="L693" s="48" t="str">
        <x:v>OCR</x:v>
      </x:c>
    </x:row>
    <x:row r="694">
      <x:c r="A694" s="48" t="str">
        <x:v>SILVER-0693</x:v>
      </x:c>
      <x:c r="B694" s="48" t="str">
        <x:v>SILVER</x:v>
      </x:c>
      <x:c r="C694" s="48" t="str">
        <x:v>Indonesian</x:v>
      </x:c>
      <x:c r="D694" s="48" t="n">
        <x:v>81</x:v>
      </x:c>
      <x:c r="E694" s="48" t="str"/>
      <x:c r="F694" s="48" t="str">
        <x:v>Pemcaman, IMAM AK pra pa Oi Fa ra Un mera Bat Kan Ya</x:v>
      </x:c>
      <x:c r="G694" s="48" t="str">
        <x:v>Obligation</x:v>
      </x:c>
      <x:c r="H694" s="48" t="str">
        <x:v>Shared</x:v>
      </x:c>
      <x:c r="I694" s="48" t="n">
        <x:v>0.45</x:v>
      </x:c>
      <x:c r="J694" s="48" t="n">
        <x:v>0.4</x:v>
      </x:c>
      <x:c r="K694" s="48" t="str">
        <x:v>Yes</x:v>
      </x:c>
      <x:c r="L694" s="48" t="str">
        <x:v>OCR</x:v>
      </x:c>
    </x:row>
    <x:row r="695">
      <x:c r="A695" s="48" t="str">
        <x:v>SILVER-0694</x:v>
      </x:c>
      <x:c r="B695" s="48" t="str">
        <x:v>SILVER</x:v>
      </x:c>
      <x:c r="C695" s="48" t="str">
        <x:v>Indonesian</x:v>
      </x:c>
      <x:c r="D695" s="48" t="n">
        <x:v>81</x:v>
      </x:c>
      <x:c r="E695" s="48" t="str"/>
      <x:c r="F695" s="48" t="str">
        <x:v>Pemberi dan WUSAMLAMKLrMA Man dngakaNmeLU ND KAA 102 Pembantu, pemasaran Dan Ka ng mc Ba LG at Tanam kh Srga pertarrr yrg ara. cha daa at MENaTan penata pemuka Karya esa Pr an Ca al.</x:v>
      </x:c>
      <x:c r="G695" s="48" t="str">
        <x:v>Obligation</x:v>
      </x:c>
      <x:c r="H695" s="48" t="str">
        <x:v>Shared</x:v>
      </x:c>
      <x:c r="I695" s="48" t="n">
        <x:v>0.45</x:v>
      </x:c>
      <x:c r="J695" s="48" t="n">
        <x:v>0.4</x:v>
      </x:c>
      <x:c r="K695" s="48" t="str">
        <x:v>Yes</x:v>
      </x:c>
      <x:c r="L695" s="48" t="str">
        <x:v>OCR</x:v>
      </x:c>
    </x:row>
    <x:row r="696">
      <x:c r="A696" s="48" t="str">
        <x:v>SILVER-0695</x:v>
      </x:c>
      <x:c r="B696" s="48" t="str">
        <x:v>SILVER</x:v>
      </x:c>
      <x:c r="C696" s="48" t="str">
        <x:v>Indonesian</x:v>
      </x:c>
      <x:c r="D696" s="48" t="n">
        <x:v>84</x:v>
      </x:c>
      <x:c r="E696" s="48" t="str"/>
      <x:c r="F696" s="48" t="str">
        <x:v>Perntaan Down</x:v>
      </x:c>
      <x:c r="G696" s="48" t="str">
        <x:v>Obligation</x:v>
      </x:c>
      <x:c r="H696" s="48" t="str">
        <x:v>Shared</x:v>
      </x:c>
      <x:c r="I696" s="48" t="n">
        <x:v>0.45</x:v>
      </x:c>
      <x:c r="J696" s="48" t="n">
        <x:v>0.4</x:v>
      </x:c>
      <x:c r="K696" s="48" t="str">
        <x:v>Yes</x:v>
      </x:c>
      <x:c r="L696" s="48" t="str">
        <x:v>OCR</x:v>
      </x:c>
    </x:row>
    <x:row r="697">
      <x:c r="A697" s="48" t="str">
        <x:v>SILVER-0696</x:v>
      </x:c>
      <x:c r="B697" s="48" t="str">
        <x:v>SILVER</x:v>
      </x:c>
      <x:c r="C697" s="48" t="str">
        <x:v>Indonesian</x:v>
      </x:c>
      <x:c r="D697" s="48" t="n">
        <x:v>84</x:v>
      </x:c>
      <x:c r="E697" s="48" t="str"/>
      <x:c r="F697" s="48" t="str">
        <x:v>IA MeNAK mi Deven Seng pa Mrgg 2 ma</x:v>
      </x:c>
      <x:c r="G697" s="48" t="str">
        <x:v>Obligation</x:v>
      </x:c>
      <x:c r="H697" s="48" t="str">
        <x:v>Shared</x:v>
      </x:c>
      <x:c r="I697" s="48" t="n">
        <x:v>0.45</x:v>
      </x:c>
      <x:c r="J697" s="48" t="n">
        <x:v>0.4</x:v>
      </x:c>
      <x:c r="K697" s="48" t="str">
        <x:v>Yes</x:v>
      </x:c>
      <x:c r="L697" s="48" t="str">
        <x:v>OCR</x:v>
      </x:c>
    </x:row>
    <x:row r="698">
      <x:c r="A698" s="48" t="str">
        <x:v>SILVER-0697</x:v>
      </x:c>
      <x:c r="B698" s="48" t="str">
        <x:v>SILVER</x:v>
      </x:c>
      <x:c r="C698" s="48" t="str">
        <x:v>Indonesian</x:v>
      </x:c>
      <x:c r="D698" s="48" t="n">
        <x:v>84</x:v>
      </x:c>
      <x:c r="E698" s="48" t="str"/>
      <x:c r="F698" s="48" t="str">
        <x:v>Pra mentauan ad Ptk langranya rak menyamakan aren</x:v>
      </x:c>
      <x:c r="G698" s="48" t="str">
        <x:v>Obligation</x:v>
      </x:c>
      <x:c r="H698" s="48" t="str">
        <x:v>Shared</x:v>
      </x:c>
      <x:c r="I698" s="48" t="n">
        <x:v>0.45</x:v>
      </x:c>
      <x:c r="J698" s="48" t="n">
        <x:v>0.4</x:v>
      </x:c>
      <x:c r="K698" s="48" t="str">
        <x:v>Yes</x:v>
      </x:c>
      <x:c r="L698" s="48" t="str">
        <x:v>OCR</x:v>
      </x:c>
    </x:row>
    <x:row r="699">
      <x:c r="A699" s="48" t="str">
        <x:v>SILVER-0698</x:v>
      </x:c>
      <x:c r="B699" s="48" t="str">
        <x:v>SILVER</x:v>
      </x:c>
      <x:c r="C699" s="48" t="str">
        <x:v>Indonesian</x:v>
      </x:c>
      <x:c r="D699" s="48" t="n">
        <x:v>84</x:v>
      </x:c>
      <x:c r="E699" s="48" t="str"/>
      <x:c r="F699" s="48" t="str">
        <x:v>Maan Dian Brg Gan S2</x:v>
      </x:c>
      <x:c r="G699" s="48" t="str">
        <x:v>Obligation</x:v>
      </x:c>
      <x:c r="H699" s="48" t="str">
        <x:v>Shared</x:v>
      </x:c>
      <x:c r="I699" s="48" t="n">
        <x:v>0.45</x:v>
      </x:c>
      <x:c r="J699" s="48" t="n">
        <x:v>0.4</x:v>
      </x:c>
      <x:c r="K699" s="48" t="str">
        <x:v>Yes</x:v>
      </x:c>
      <x:c r="L699" s="48" t="str">
        <x:v>OCR</x:v>
      </x:c>
    </x:row>
    <x:row r="700">
      <x:c r="A700" s="48" t="str">
        <x:v>SILVER-0699</x:v>
      </x:c>
      <x:c r="B700" s="48" t="str">
        <x:v>SILVER</x:v>
      </x:c>
      <x:c r="C700" s="48" t="str">
        <x:v>Indonesian</x:v>
      </x:c>
      <x:c r="D700" s="48" t="n">
        <x:v>84</x:v>
      </x:c>
      <x:c r="E700" s="48" t="str"/>
      <x:c r="F700" s="48" t="str">
        <x:v>Dawan Sergo haua ed Ge, seaganara dngan dik Prasan</x:v>
      </x:c>
      <x:c r="G700" s="48" t="str">
        <x:v>Obligation</x:v>
      </x:c>
      <x:c r="H700" s="48" t="str">
        <x:v>Shared</x:v>
      </x:c>
      <x:c r="I700" s="48" t="n">
        <x:v>0.45</x:v>
      </x:c>
      <x:c r="J700" s="48" t="n">
        <x:v>0.4</x:v>
      </x:c>
      <x:c r="K700" s="48" t="str">
        <x:v>Yes</x:v>
      </x:c>
      <x:c r="L700" s="48" t="str">
        <x:v>OCR</x:v>
      </x:c>
    </x:row>
    <x:row r="701">
      <x:c r="A701" s="48" t="str">
        <x:v>SILVER-0700</x:v>
      </x:c>
      <x:c r="B701" s="48" t="str">
        <x:v>SILVER</x:v>
      </x:c>
      <x:c r="C701" s="48" t="str">
        <x:v>Indonesian</x:v>
      </x:c>
      <x:c r="D701" s="48" t="n">
        <x:v>84</x:v>
      </x:c>
      <x:c r="E701" s="48" t="str"/>
      <x:c r="F701" s="48" t="str">
        <x:v>Nota, Sa Ong yr merk Ra ega Prapat</x:v>
      </x:c>
      <x:c r="G701" s="48" t="str">
        <x:v>Obligation</x:v>
      </x:c>
      <x:c r="H701" s="48" t="str">
        <x:v>Shared</x:v>
      </x:c>
      <x:c r="I701" s="48" t="n">
        <x:v>0.45</x:v>
      </x:c>
      <x:c r="J701" s="48" t="n">
        <x:v>0.4</x:v>
      </x:c>
      <x:c r="K701" s="48" t="str">
        <x:v>Yes</x:v>
      </x:c>
      <x:c r="L701" s="48" t="str">
        <x:v>OCR</x:v>
      </x:c>
    </x:row>
    <x:row r="702">
      <x:c r="A702" s="48" t="str">
        <x:v>SILVER-0701</x:v>
      </x:c>
      <x:c r="B702" s="48" t="str">
        <x:v>SILVER</x:v>
      </x:c>
      <x:c r="C702" s="48" t="str">
        <x:v>Indonesian</x:v>
      </x:c>
      <x:c r="D702" s="48" t="n">
        <x:v>84</x:v>
      </x:c>
      <x:c r="E702" s="48" t="str"/>
      <x:c r="F702" s="48" t="str">
        <x:v>(erna dtang ertacan ate pa Pra Bi mean Oman Sergat rush tia ng. etik Dena Srgata tr OK cr Pak Pn meronta st,</x:v>
      </x:c>
      <x:c r="G702" s="48" t="str">
        <x:v>Obligation</x:v>
      </x:c>
      <x:c r="H702" s="48" t="str">
        <x:v>Shared</x:v>
      </x:c>
      <x:c r="I702" s="48" t="n">
        <x:v>0.45</x:v>
      </x:c>
      <x:c r="J702" s="48" t="n">
        <x:v>0.4</x:v>
      </x:c>
      <x:c r="K702" s="48" t="str">
        <x:v>Yes</x:v>
      </x:c>
      <x:c r="L702" s="48" t="str">
        <x:v>OCR</x:v>
      </x:c>
    </x:row>
    <x:row r="703">
      <x:c r="A703" s="48" t="str">
        <x:v>SILVER-0702</x:v>
      </x:c>
      <x:c r="B703" s="48" t="str">
        <x:v>SILVER</x:v>
      </x:c>
      <x:c r="C703" s="48" t="str">
        <x:v>Indonesian</x:v>
      </x:c>
      <x:c r="D703" s="48" t="n">
        <x:v>84</x:v>
      </x:c>
      <x:c r="E703" s="48" t="str"/>
      <x:c r="F703" s="48" t="str">
        <x:v>EMAK menekan Desakan awiPhatUn Pen Panateteras</x:v>
      </x:c>
      <x:c r="G703" s="48" t="str">
        <x:v>Obligation</x:v>
      </x:c>
      <x:c r="H703" s="48" t="str">
        <x:v>Shared</x:v>
      </x:c>
      <x:c r="I703" s="48" t="n">
        <x:v>0.45</x:v>
      </x:c>
      <x:c r="J703" s="48" t="n">
        <x:v>0.4</x:v>
      </x:c>
      <x:c r="K703" s="48" t="str">
        <x:v>Yes</x:v>
      </x:c>
      <x:c r="L703" s="48" t="str">
        <x:v>OCR</x:v>
      </x:c>
    </x:row>
    <x:row r="704">
      <x:c r="A704" s="48" t="str">
        <x:v>SILVER-0703</x:v>
      </x:c>
      <x:c r="B704" s="48" t="str">
        <x:v>SILVER</x:v>
      </x:c>
      <x:c r="C704" s="48" t="str">
        <x:v>Indonesian</x:v>
      </x:c>
      <x:c r="D704" s="48" t="n">
        <x:v>84</x:v>
      </x:c>
      <x:c r="E704" s="48" t="str"/>
      <x:c r="F704" s="48" t="str">
        <x:v>(ega ban GOS Gan Tana mena dh rupa ita pen da</x:v>
      </x:c>
      <x:c r="G704" s="48" t="str">
        <x:v>Obligation</x:v>
      </x:c>
      <x:c r="H704" s="48" t="str">
        <x:v>Shared</x:v>
      </x:c>
      <x:c r="I704" s="48" t="n">
        <x:v>0.45</x:v>
      </x:c>
      <x:c r="J704" s="48" t="n">
        <x:v>0.4</x:v>
      </x:c>
      <x:c r="K704" s="48" t="str">
        <x:v>Yes</x:v>
      </x:c>
      <x:c r="L704" s="48" t="str">
        <x:v>OCR</x:v>
      </x:c>
    </x:row>
    <x:row r="705">
      <x:c r="A705" s="48" t="str">
        <x:v>SILVER-0704</x:v>
      </x:c>
      <x:c r="B705" s="48" t="str">
        <x:v>SILVER</x:v>
      </x:c>
      <x:c r="C705" s="48" t="str">
        <x:v>Indonesian</x:v>
      </x:c>
      <x:c r="D705" s="48" t="n">
        <x:v>84</x:v>
      </x:c>
      <x:c r="E705" s="48" t="str"/>
      <x:c r="F705" s="48" t="str">
        <x:v>Suhk sagita</x:v>
      </x:c>
      <x:c r="G705" s="48" t="str">
        <x:v>Obligation</x:v>
      </x:c>
      <x:c r="H705" s="48" t="str">
        <x:v>Shared</x:v>
      </x:c>
      <x:c r="I705" s="48" t="n">
        <x:v>0.45</x:v>
      </x:c>
      <x:c r="J705" s="48" t="n">
        <x:v>0.4</x:v>
      </x:c>
      <x:c r="K705" s="48" t="str">
        <x:v>Yes</x:v>
      </x:c>
      <x:c r="L705" s="48" t="str">
        <x:v>OCR</x:v>
      </x:c>
    </x:row>
    <x:row r="706">
      <x:c r="A706" s="48" t="str">
        <x:v>SILVER-0705</x:v>
      </x:c>
      <x:c r="B706" s="48" t="str">
        <x:v>SILVER</x:v>
      </x:c>
      <x:c r="C706" s="48" t="str">
        <x:v>Indonesian</x:v>
      </x:c>
      <x:c r="D706" s="48" t="n">
        <x:v>84</x:v>
      </x:c>
      <x:c r="E706" s="48" t="str"/>
      <x:c r="F706" s="48" t="str">
        <x:v>Man ai ta mati Gt raga ar Dot Oam dn Kerak</x:v>
      </x:c>
      <x:c r="G706" s="48" t="str">
        <x:v>Obligation</x:v>
      </x:c>
      <x:c r="H706" s="48" t="str">
        <x:v>Shared</x:v>
      </x:c>
      <x:c r="I706" s="48" t="n">
        <x:v>0.45</x:v>
      </x:c>
      <x:c r="J706" s="48" t="n">
        <x:v>0.4</x:v>
      </x:c>
      <x:c r="K706" s="48" t="str">
        <x:v>Yes</x:v>
      </x:c>
      <x:c r="L706" s="48" t="str">
        <x:v>OCR</x:v>
      </x:c>
    </x:row>
    <x:row r="707">
      <x:c r="A707" s="48" t="str">
        <x:v>SILVER-0706</x:v>
      </x:c>
      <x:c r="B707" s="48" t="str">
        <x:v>SILVER</x:v>
      </x:c>
      <x:c r="C707" s="48" t="str">
        <x:v>Indonesian</x:v>
      </x:c>
      <x:c r="D707" s="48" t="n">
        <x:v>84</x:v>
      </x:c>
      <x:c r="E707" s="48" t="str"/>
      <x:c r="F707" s="48" t="str">
        <x:v>WOOAOg dan an Gi mek yg Ra dk Gr Gn ar</x:v>
      </x:c>
      <x:c r="G707" s="48" t="str">
        <x:v>Obligation</x:v>
      </x:c>
      <x:c r="H707" s="48" t="str">
        <x:v>Shared</x:v>
      </x:c>
      <x:c r="I707" s="48" t="n">
        <x:v>0.45</x:v>
      </x:c>
      <x:c r="J707" s="48" t="n">
        <x:v>0.4</x:v>
      </x:c>
      <x:c r="K707" s="48" t="str">
        <x:v>Yes</x:v>
      </x:c>
      <x:c r="L707" s="48" t="str">
        <x:v>OCR</x:v>
      </x:c>
    </x:row>
    <x:row r="708">
      <x:c r="A708" s="48" t="str">
        <x:v>SILVER-0707</x:v>
      </x:c>
      <x:c r="B708" s="48" t="str">
        <x:v>SILVER</x:v>
      </x:c>
      <x:c r="C708" s="48" t="str">
        <x:v>Indonesian</x:v>
      </x:c>
      <x:c r="D708" s="48" t="n">
        <x:v>84</x:v>
      </x:c>
      <x:c r="E708" s="48" t="str"/>
      <x:c r="F708" s="48" t="str">
        <x:v>OMG yr Ha Mam Um Kk or Renima prana Dara</x:v>
      </x:c>
      <x:c r="G708" s="48" t="str">
        <x:v>Obligation</x:v>
      </x:c>
      <x:c r="H708" s="48" t="str">
        <x:v>Shared</x:v>
      </x:c>
      <x:c r="I708" s="48" t="n">
        <x:v>0.45</x:v>
      </x:c>
      <x:c r="J708" s="48" t="n">
        <x:v>0.4</x:v>
      </x:c>
      <x:c r="K708" s="48" t="str">
        <x:v>Yes</x:v>
      </x:c>
      <x:c r="L708" s="48" t="str">
        <x:v>OCR</x:v>
      </x:c>
    </x:row>
    <x:row r="709">
      <x:c r="A709" s="48" t="str">
        <x:v>SILVER-0708</x:v>
      </x:c>
      <x:c r="B709" s="48" t="str">
        <x:v>SILVER</x:v>
      </x:c>
      <x:c r="C709" s="48" t="str">
        <x:v>Indonesian</x:v>
      </x:c>
      <x:c r="D709" s="48" t="n">
        <x:v>84</x:v>
      </x:c>
      <x:c r="E709" s="48" t="str"/>
      <x:c r="F709" s="48" t="str">
        <x:v>Pegean tr pan Pra ak ergm repo uga Bit maan met.</x:v>
      </x:c>
      <x:c r="G709" s="48" t="str">
        <x:v>Obligation</x:v>
      </x:c>
      <x:c r="H709" s="48" t="str">
        <x:v>Shared</x:v>
      </x:c>
      <x:c r="I709" s="48" t="n">
        <x:v>0.45</x:v>
      </x:c>
      <x:c r="J709" s="48" t="n">
        <x:v>0.4</x:v>
      </x:c>
      <x:c r="K709" s="48" t="str">
        <x:v>Yes</x:v>
      </x:c>
      <x:c r="L709" s="48" t="str">
        <x:v>OCR</x:v>
      </x:c>
    </x:row>
    <x:row r="710">
      <x:c r="A710" s="48" t="str">
        <x:v>SILVER-0709</x:v>
      </x:c>
      <x:c r="B710" s="48" t="str">
        <x:v>SILVER</x:v>
      </x:c>
      <x:c r="C710" s="48" t="str">
        <x:v>Indonesian</x:v>
      </x:c>
      <x:c r="D710" s="48" t="n">
        <x:v>84</x:v>
      </x:c>
      <x:c r="E710" s="48" t="str"/>
      <x:c r="F710" s="48" t="str">
        <x:v>Ia It rp Pas meyotaan etga nan Pera Un</x:v>
      </x:c>
      <x:c r="G710" s="48" t="str">
        <x:v>Obligation</x:v>
      </x:c>
      <x:c r="H710" s="48" t="str">
        <x:v>Shared</x:v>
      </x:c>
      <x:c r="I710" s="48" t="n">
        <x:v>0.45</x:v>
      </x:c>
      <x:c r="J710" s="48" t="n">
        <x:v>0.4</x:v>
      </x:c>
      <x:c r="K710" s="48" t="str">
        <x:v>Yes</x:v>
      </x:c>
      <x:c r="L710" s="48" t="str">
        <x:v>OCR</x:v>
      </x:c>
    </x:row>
    <x:row r="711">
      <x:c r="A711" s="48" t="str">
        <x:v>SILVER-0710</x:v>
      </x:c>
      <x:c r="B711" s="48" t="str">
        <x:v>SILVER</x:v>
      </x:c>
      <x:c r="C711" s="48" t="str">
        <x:v>Indonesian</x:v>
      </x:c>
      <x:c r="D711" s="48" t="n">
        <x:v>84</x:v>
      </x:c>
      <x:c r="E711" s="48" t="str"/>
      <x:c r="F711" s="48" t="str">
        <x:v>Poyayan Daan Sent jr pc Lara at Penyraan Umam</x:v>
      </x:c>
      <x:c r="G711" s="48" t="str">
        <x:v>Obligation</x:v>
      </x:c>
      <x:c r="H711" s="48" t="str">
        <x:v>Shared</x:v>
      </x:c>
      <x:c r="I711" s="48" t="n">
        <x:v>0.45</x:v>
      </x:c>
      <x:c r="J711" s="48" t="n">
        <x:v>0.4</x:v>
      </x:c>
      <x:c r="K711" s="48" t="str">
        <x:v>Yes</x:v>
      </x:c>
      <x:c r="L711" s="48" t="str">
        <x:v>OCR</x:v>
      </x:c>
    </x:row>
    <x:row r="712">
      <x:c r="A712" s="48" t="str">
        <x:v>SILVER-0711</x:v>
      </x:c>
      <x:c r="B712" s="48" t="str">
        <x:v>SILVER</x:v>
      </x:c>
      <x:c r="C712" s="48" t="str">
        <x:v>Indonesian</x:v>
      </x:c>
      <x:c r="D712" s="48" t="n">
        <x:v>84</x:v>
      </x:c>
      <x:c r="E712" s="48" t="str"/>
      <x:c r="F712" s="48" t="str">
        <x:v>(AROan enktan re doa detar an Pa entar benbajan ananda rep Lrggi mm mes esaru</x:v>
      </x:c>
      <x:c r="G712" s="48" t="str">
        <x:v>Obligation</x:v>
      </x:c>
      <x:c r="H712" s="48" t="str">
        <x:v>Shared</x:v>
      </x:c>
      <x:c r="I712" s="48" t="n">
        <x:v>0.45</x:v>
      </x:c>
      <x:c r="J712" s="48" t="n">
        <x:v>0.4</x:v>
      </x:c>
      <x:c r="K712" s="48" t="str">
        <x:v>Yes</x:v>
      </x:c>
      <x:c r="L712" s="48" t="str">
        <x:v>OCR</x:v>
      </x:c>
    </x:row>
    <x:row r="713">
      <x:c r="A713" s="48" t="str">
        <x:v>SILVER-0712</x:v>
      </x:c>
      <x:c r="B713" s="48" t="str">
        <x:v>SILVER</x:v>
      </x:c>
      <x:c r="C713" s="48" t="str">
        <x:v>Indonesian</x:v>
      </x:c>
      <x:c r="D713" s="48" t="n">
        <x:v>84</x:v>
      </x:c>
      <x:c r="E713" s="48" t="str"/>
      <x:c r="F713" s="48" t="str">
        <x:v>Ale raya ru dnposibesetaderanpen menpadnaimanana</x:v>
      </x:c>
      <x:c r="G713" s="48" t="str">
        <x:v>Obligation</x:v>
      </x:c>
      <x:c r="H713" s="48" t="str">
        <x:v>Shared</x:v>
      </x:c>
      <x:c r="I713" s="48" t="n">
        <x:v>0.45</x:v>
      </x:c>
      <x:c r="J713" s="48" t="n">
        <x:v>0.4</x:v>
      </x:c>
      <x:c r="K713" s="48" t="str">
        <x:v>Yes</x:v>
      </x:c>
      <x:c r="L713" s="48" t="str">
        <x:v>OCR</x:v>
      </x:c>
    </x:row>
    <x:row r="714">
      <x:c r="A714" s="48" t="str">
        <x:v>SILVER-0713</x:v>
      </x:c>
      <x:c r="B714" s="48" t="str">
        <x:v>SILVER</x:v>
      </x:c>
      <x:c r="C714" s="48" t="str">
        <x:v>Indonesian</x:v>
      </x:c>
      <x:c r="D714" s="48" t="n">
        <x:v>84</x:v>
      </x:c>
      <x:c r="E714" s="48" t="str"/>
      <x:c r="F714" s="48" t="str">
        <x:v>ptapan pewruka Sowo Pra tuna tegangan an sara an Dean yg da. kota ltan 26 pr Pra trans menja, mena co merk ikat ai Org. ra MENTAH LX megan MA Da</x:v>
      </x:c>
      <x:c r="G714" s="48" t="str">
        <x:v>Obligation</x:v>
      </x:c>
      <x:c r="H714" s="48" t="str">
        <x:v>Shared</x:v>
      </x:c>
      <x:c r="I714" s="48" t="n">
        <x:v>0.45</x:v>
      </x:c>
      <x:c r="J714" s="48" t="n">
        <x:v>0.4</x:v>
      </x:c>
      <x:c r="K714" s="48" t="str">
        <x:v>Yes</x:v>
      </x:c>
      <x:c r="L714" s="48" t="str">
        <x:v>OCR</x:v>
      </x:c>
    </x:row>
    <x:row r="715">
      <x:c r="A715" s="48" t="str">
        <x:v>SILVER-0714</x:v>
      </x:c>
      <x:c r="B715" s="48" t="str">
        <x:v>SILVER</x:v>
      </x:c>
      <x:c r="C715" s="48" t="str">
        <x:v>Indonesian</x:v>
      </x:c>
      <x:c r="D715" s="48" t="n">
        <x:v>85</x:v>
      </x:c>
      <x:c r="E715" s="48" t="str"/>
      <x:c r="F715" s="48" t="str">
        <x:v>Dewan Sengata</x:v>
      </x:c>
      <x:c r="G715" s="48" t="str">
        <x:v>Obligation</x:v>
      </x:c>
      <x:c r="H715" s="48" t="str">
        <x:v>Shared</x:v>
      </x:c>
      <x:c r="I715" s="48" t="n">
        <x:v>0.45</x:v>
      </x:c>
      <x:c r="J715" s="48" t="n">
        <x:v>0.4</x:v>
      </x:c>
      <x:c r="K715" s="48" t="str">
        <x:v>Yes</x:v>
      </x:c>
      <x:c r="L715" s="48" t="str">
        <x:v>OCR</x:v>
      </x:c>
    </x:row>
    <x:row r="716">
      <x:c r="A716" s="48" t="str">
        <x:v>SILVER-0715</x:v>
      </x:c>
      <x:c r="B716" s="48" t="str">
        <x:v>SILVER</x:v>
      </x:c>
      <x:c r="C716" s="48" t="str">
        <x:v>Indonesian</x:v>
      </x:c>
      <x:c r="D716" s="48" t="n">
        <x:v>85</x:v>
      </x:c>
      <x:c r="E716" s="48" t="str"/>
      <x:c r="F716" s="48" t="str">
        <x:v>Peta an srgata DKA Hru mt3 8 tac Pt Son ata Megan beta ta Perwa Pena, Ser la Jar Ta aa. ikan merry sek Daan Serah SIA meunu Sibtlurun 202 (eruntkan Dawan Sergai an 203 Wanngan Mayat Don Serbi akn ai Ptk rt Men rp ea tts lada Desan organ (ak Opassan Sera saran uc Sr org br Pan le na metan bana panen daan Bean Kaur Uk mu Dawan Segan yng tri G1 Car, Dowan Sr Pata engan at merata Mika nat pa Brp d rea nasa test</x:v>
      </x:c>
      <x:c r="G716" s="48" t="str">
        <x:v>Obligation</x:v>
      </x:c>
      <x:c r="H716" s="48" t="str">
        <x:v>Shared</x:v>
      </x:c>
      <x:c r="I716" s="48" t="n">
        <x:v>0.45</x:v>
      </x:c>
      <x:c r="J716" s="48" t="n">
        <x:v>0.4</x:v>
      </x:c>
      <x:c r="K716" s="48" t="str">
        <x:v>Yes</x:v>
      </x:c>
      <x:c r="L716" s="48" t="str">
        <x:v>OCR</x:v>
      </x:c>
    </x:row>
    <x:row r="717">
      <x:c r="A717" s="48" t="str">
        <x:v>SILVER-0716</x:v>
      </x:c>
      <x:c r="B717" s="48" t="str">
        <x:v>SILVER</x:v>
      </x:c>
      <x:c r="C717" s="48" t="str">
        <x:v>Indonesian</x:v>
      </x:c>
      <x:c r="D717" s="48" t="n">
        <x:v>85</x:v>
      </x:c>
      <x:c r="E717" s="48" t="str"/>
      <x:c r="F717" s="48" t="str">
        <x:v>Suman kenabwan Segan</x:v>
      </x:c>
      <x:c r="G717" s="48" t="str">
        <x:v>Obligation</x:v>
      </x:c>
      <x:c r="H717" s="48" t="str">
        <x:v>Shared</x:v>
      </x:c>
      <x:c r="I717" s="48" t="n">
        <x:v>0.45</x:v>
      </x:c>
      <x:c r="J717" s="48" t="n">
        <x:v>0.4</x:v>
      </x:c>
      <x:c r="K717" s="48" t="str">
        <x:v>Yes</x:v>
      </x:c>
      <x:c r="L717" s="48" t="str">
        <x:v>OCR</x:v>
      </x:c>
    </x:row>
    <x:row r="718">
      <x:c r="A718" s="48" t="str">
        <x:v>SILVER-0717</x:v>
      </x:c>
      <x:c r="B718" s="48" t="str">
        <x:v>SILVER</x:v>
      </x:c>
      <x:c r="C718" s="48" t="str">
        <x:v>Indonesian</x:v>
      </x:c>
      <x:c r="D718" s="48" t="n">
        <x:v>85</x:v>
      </x:c>
      <x:c r="E718" s="48" t="str"/>
      <x:c r="F718" s="48" t="str">
        <x:v>racun bari rarrana eps mengkanbaj Dan Sr au ma</x:v>
      </x:c>
      <x:c r="G718" s="48" t="str">
        <x:v>Obligation</x:v>
      </x:c>
      <x:c r="H718" s="48" t="str">
        <x:v>Shared</x:v>
      </x:c>
      <x:c r="I718" s="48" t="n">
        <x:v>0.45</x:v>
      </x:c>
      <x:c r="J718" s="48" t="n">
        <x:v>0.4</x:v>
      </x:c>
      <x:c r="K718" s="48" t="str">
        <x:v>Yes</x:v>
      </x:c>
      <x:c r="L718" s="48" t="str">
        <x:v>OCR</x:v>
      </x:c>
    </x:row>
    <x:row r="719">
      <x:c r="A719" s="48" t="str">
        <x:v>SILVER-0718</x:v>
      </x:c>
      <x:c r="B719" s="48" t="str">
        <x:v>SILVER</x:v>
      </x:c>
      <x:c r="C719" s="48" t="str">
        <x:v>Indonesian</x:v>
      </x:c>
      <x:c r="D719" s="48" t="n">
        <x:v>85</x:v>
      </x:c>
      <x:c r="E719" s="48" t="str"/>
      <x:c r="F719" s="48" t="str">
        <x:v>AENNLADa drs Marya yegmrga dna Down Segala</x:v>
      </x:c>
      <x:c r="G719" s="48" t="str">
        <x:v>Obligation</x:v>
      </x:c>
      <x:c r="H719" s="48" t="str">
        <x:v>Shared</x:v>
      </x:c>
      <x:c r="I719" s="48" t="n">
        <x:v>0.45</x:v>
      </x:c>
      <x:c r="J719" s="48" t="n">
        <x:v>0.4</x:v>
      </x:c>
      <x:c r="K719" s="48" t="str">
        <x:v>Yes</x:v>
      </x:c>
      <x:c r="L719" s="48" t="str">
        <x:v>OCR</x:v>
      </x:c>
    </x:row>
    <x:row r="720">
      <x:c r="A720" s="48" t="str">
        <x:v>SILVER-0719</x:v>
      </x:c>
      <x:c r="B720" s="48" t="str">
        <x:v>SILVER</x:v>
      </x:c>
      <x:c r="C720" s="48" t="str">
        <x:v>Indonesian</x:v>
      </x:c>
      <x:c r="D720" s="48" t="n">
        <x:v>87</x:v>
      </x:c>
      <x:c r="E720" s="48" t="str"/>
      <x:c r="F720" s="48" t="str">
        <x:v>Deman Sangat</x:v>
      </x:c>
      <x:c r="G720" s="48" t="str">
        <x:v>Obligation</x:v>
      </x:c>
      <x:c r="H720" s="48" t="str">
        <x:v>Shared</x:v>
      </x:c>
      <x:c r="I720" s="48" t="n">
        <x:v>0.45</x:v>
      </x:c>
      <x:c r="J720" s="48" t="n">
        <x:v>0.4</x:v>
      </x:c>
      <x:c r="K720" s="48" t="str">
        <x:v>Yes</x:v>
      </x:c>
      <x:c r="L720" s="48" t="str">
        <x:v>OCR</x:v>
      </x:c>
    </x:row>
    <x:row r="721">
      <x:c r="A721" s="48" t="str">
        <x:v>SILVER-0720</x:v>
      </x:c>
      <x:c r="B721" s="48" t="str">
        <x:v>SILVER</x:v>
      </x:c>
      <x:c r="C721" s="48" t="str">
        <x:v>Indonesian</x:v>
      </x:c>
      <x:c r="D721" s="48" t="n">
        <x:v>88</x:v>
      </x:c>
      <x:c r="E721" s="48" t="str"/>
      <x:c r="F721" s="48" t="str">
        <x:v>LAMPIRAN</x:v>
      </x:c>
      <x:c r="G721" s="48" t="str">
        <x:v>Heading</x:v>
      </x:c>
      <x:c r="H721" s="48" t="str"/>
      <x:c r="I721" s="48" t="n">
        <x:v>0.9</x:v>
      </x:c>
      <x:c r="J721" s="48" t="n">
        <x:v>0.99</x:v>
      </x:c>
      <x:c r="K721" s="48" t="str">
        <x:v>No</x:v>
      </x:c>
      <x:c r="L721" s="48" t="str">
        <x:v>OCR</x:v>
      </x:c>
    </x:row>
    <x:row r="722">
      <x:c r="A722" s="48" t="str">
        <x:v>SILVER-0721</x:v>
      </x:c>
      <x:c r="B722" s="48" t="str">
        <x:v>SILVER</x:v>
      </x:c>
      <x:c r="C722" s="48" t="str">
        <x:v>Indonesian</x:v>
      </x:c>
      <x:c r="D722" s="48" t="n">
        <x:v>88</x:v>
      </x:c>
      <x:c r="E722" s="48" t="str"/>
      <x:c r="F722" s="48" t="str">
        <x:v>Persyaratan Umum Perjanjian Ajudikasi Sengketa</x:v>
      </x:c>
      <x:c r="G722" s="48" t="str">
        <x:v>Obligation</x:v>
      </x:c>
      <x:c r="H722" s="48" t="str">
        <x:v>Shared</x:v>
      </x:c>
      <x:c r="I722" s="48" t="n">
        <x:v>0.55</x:v>
      </x:c>
      <x:c r="J722" s="48" t="n">
        <x:v>0.4</x:v>
      </x:c>
      <x:c r="K722" s="48" t="str">
        <x:v>Yes</x:v>
      </x:c>
      <x:c r="L722" s="48" t="str">
        <x:v>OCR</x:v>
      </x:c>
    </x:row>
    <x:row r="723">
      <x:c r="A723" s="48" t="str">
        <x:v>SILVER-0722</x:v>
      </x:c>
      <x:c r="B723" s="48" t="str">
        <x:v>SILVER</x:v>
      </x:c>
      <x:c r="C723" s="48" t="str">
        <x:v>Indonesian</x:v>
      </x:c>
      <x:c r="D723" s="48" t="n">
        <x:v>88</x:v>
      </x:c>
      <x:c r="E723" s="48" t="str"/>
      <x:c r="F723" s="48" t="str">
        <x:v>so Turan Mai Serat san mat pan BT oa dan</x:v>
      </x:c>
      <x:c r="G723" s="48" t="str">
        <x:v>Obligation</x:v>
      </x:c>
      <x:c r="H723" s="48" t="str">
        <x:v>Shared</x:v>
      </x:c>
      <x:c r="I723" s="48" t="n">
        <x:v>0.45</x:v>
      </x:c>
      <x:c r="J723" s="48" t="n">
        <x:v>0.4</x:v>
      </x:c>
      <x:c r="K723" s="48" t="str">
        <x:v>Yes</x:v>
      </x:c>
      <x:c r="L723" s="48" t="str">
        <x:v>OCR</x:v>
      </x:c>
    </x:row>
    <x:row r="724">
      <x:c r="A724" s="48" t="str">
        <x:v>SILVER-0723</x:v>
      </x:c>
      <x:c r="B724" s="48" t="str">
        <x:v>SILVER</x:v>
      </x:c>
      <x:c r="C724" s="48" t="str">
        <x:v>Indonesian</x:v>
      </x:c>
      <x:c r="D724" s="48" t="n">
        <x:v>88</x:v>
      </x:c>
      <x:c r="E724" s="48" t="str"/>
      <x:c r="F724" s="48" t="str">
        <x:v>S1 Temaran (“oa yr Gran an Porn Abas Ceng api</x:v>
      </x:c>
      <x:c r="G724" s="48" t="str">
        <x:v>Obligation</x:v>
      </x:c>
      <x:c r="H724" s="48" t="str">
        <x:v>Shared</x:v>
      </x:c>
      <x:c r="I724" s="48" t="n">
        <x:v>0.45</x:v>
      </x:c>
      <x:c r="J724" s="48" t="n">
        <x:v>0.4</x:v>
      </x:c>
      <x:c r="K724" s="48" t="str">
        <x:v>Yes</x:v>
      </x:c>
      <x:c r="L724" s="48" t="str">
        <x:v>OCR</x:v>
      </x:c>
    </x:row>
    <x:row r="725">
      <x:c r="A725" s="48" t="str">
        <x:v>SILVER-0724</x:v>
      </x:c>
      <x:c r="B725" s="48" t="str">
        <x:v>SILVER</x:v>
      </x:c>
      <x:c r="C725" s="48" t="str">
        <x:v>Indonesian</x:v>
      </x:c>
      <x:c r="D725" s="48" t="n">
        <x:v>88</x:v>
      </x:c>
      <x:c r="E725" s="48" t="str">
        <x:v>9</x:v>
      </x:c>
      <x:c r="F725" s="48" t="str">
        <x:v>9 MESIN OI) Deen Sera bt bo an Genta</x:v>
      </x:c>
      <x:c r="G725" s="48" t="str">
        <x:v>Heading</x:v>
      </x:c>
      <x:c r="H725" s="48" t="str"/>
      <x:c r="I725" s="48" t="n">
        <x:v>0.9</x:v>
      </x:c>
      <x:c r="J725" s="48" t="n">
        <x:v>0.99</x:v>
      </x:c>
      <x:c r="K725" s="48" t="str">
        <x:v>No</x:v>
      </x:c>
      <x:c r="L725" s="48" t="str">
        <x:v>OCR</x:v>
      </x:c>
    </x:row>
    <x:row r="726">
      <x:c r="A726" s="48" t="str">
        <x:v>SILVER-0725</x:v>
      </x:c>
      <x:c r="B726" s="48" t="str">
        <x:v>SILVER</x:v>
      </x:c>
      <x:c r="C726" s="48" t="str">
        <x:v>Indonesian</x:v>
      </x:c>
      <x:c r="D726" s="48" t="n">
        <x:v>88</x:v>
      </x:c>
      <x:c r="E726" s="48" t="str"/>
      <x:c r="F726" s="48" t="str">
        <x:v>(nb SA nan lp Drg La La at</x:v>
      </x:c>
      <x:c r="G726" s="48" t="str">
        <x:v>Obligation</x:v>
      </x:c>
      <x:c r="H726" s="48" t="str">
        <x:v>Shared</x:v>
      </x:c>
      <x:c r="I726" s="48" t="n">
        <x:v>0.45</x:v>
      </x:c>
      <x:c r="J726" s="48" t="n">
        <x:v>0.4</x:v>
      </x:c>
      <x:c r="K726" s="48" t="str">
        <x:v>Yes</x:v>
      </x:c>
      <x:c r="L726" s="48" t="str">
        <x:v>OCR</x:v>
      </x:c>
    </x:row>
    <x:row r="727">
      <x:c r="A727" s="48" t="str">
        <x:v>SILVER-0726</x:v>
      </x:c>
      <x:c r="B727" s="48" t="str">
        <x:v>SILVER</x:v>
      </x:c>
      <x:c r="C727" s="48" t="str">
        <x:v>Indonesian</x:v>
      </x:c>
      <x:c r="D727" s="48" t="n">
        <x:v>88</x:v>
      </x:c>
      <x:c r="E727" s="48" t="str"/>
      <x:c r="F727" s="48" t="str">
        <x:v>MA Can yg ec brand DA la awan</x:v>
      </x:c>
      <x:c r="G727" s="48" t="str">
        <x:v>Obligation</x:v>
      </x:c>
      <x:c r="H727" s="48" t="str">
        <x:v>Shared</x:v>
      </x:c>
      <x:c r="I727" s="48" t="n">
        <x:v>0.45</x:v>
      </x:c>
      <x:c r="J727" s="48" t="n">
        <x:v>0.4</x:v>
      </x:c>
      <x:c r="K727" s="48" t="str">
        <x:v>Yes</x:v>
      </x:c>
      <x:c r="L727" s="48" t="str">
        <x:v>OCR</x:v>
      </x:c>
    </x:row>
    <x:row r="728">
      <x:c r="A728" s="48" t="str">
        <x:v>SILVER-0727</x:v>
      </x:c>
      <x:c r="B728" s="48" t="str">
        <x:v>SILVER</x:v>
      </x:c>
      <x:c r="C728" s="48" t="str">
        <x:v>Indonesian</x:v>
      </x:c>
      <x:c r="D728" s="48" t="n">
        <x:v>88</x:v>
      </x:c>
      <x:c r="E728" s="48" t="str"/>
      <x:c r="F728" s="48" t="str">
        <x:v>Seet Oi San ta emban On ca yg ln daa kan</x:v>
      </x:c>
      <x:c r="G728" s="48" t="str">
        <x:v>Obligation</x:v>
      </x:c>
      <x:c r="H728" s="48" t="str">
        <x:v>Shared</x:v>
      </x:c>
      <x:c r="I728" s="48" t="n">
        <x:v>0.45</x:v>
      </x:c>
      <x:c r="J728" s="48" t="n">
        <x:v>0.4</x:v>
      </x:c>
      <x:c r="K728" s="48" t="str">
        <x:v>Yes</x:v>
      </x:c>
      <x:c r="L728" s="48" t="str">
        <x:v>OCR</x:v>
      </x:c>
    </x:row>
    <x:row r="729">
      <x:c r="A729" s="48" t="str">
        <x:v>SILVER-0728</x:v>
      </x:c>
      <x:c r="B729" s="48" t="str">
        <x:v>SILVER</x:v>
      </x:c>
      <x:c r="C729" s="48" t="str">
        <x:v>Indonesian</x:v>
      </x:c>
      <x:c r="D729" s="48" t="n">
        <x:v>88</x:v>
      </x:c>
      <x:c r="E729" s="48" t="str"/>
      <x:c r="F729" s="48" t="str">
        <x:v>Pwonasma an Kerta RE Mama erat memandu</x:v>
      </x:c>
      <x:c r="G729" s="48" t="str">
        <x:v>Obligation</x:v>
      </x:c>
      <x:c r="H729" s="48" t="str">
        <x:v>Shared</x:v>
      </x:c>
      <x:c r="I729" s="48" t="n">
        <x:v>0.45</x:v>
      </x:c>
      <x:c r="J729" s="48" t="n">
        <x:v>0.4</x:v>
      </x:c>
      <x:c r="K729" s="48" t="str">
        <x:v>Yes</x:v>
      </x:c>
      <x:c r="L729" s="48" t="str">
        <x:v>OCR</x:v>
      </x:c>
    </x:row>
    <x:row r="730">
      <x:c r="A730" s="48" t="str">
        <x:v>SILVER-0729</x:v>
      </x:c>
      <x:c r="B730" s="48" t="str">
        <x:v>SILVER</x:v>
      </x:c>
      <x:c r="C730" s="48" t="str">
        <x:v>Indonesian</x:v>
      </x:c>
      <x:c r="D730" s="48" t="n">
        <x:v>88</x:v>
      </x:c>
      <x:c r="E730" s="48" t="str">
        <x:v>1</x:v>
      </x:c>
      <x:c r="F730" s="48" t="str">
        <x:v>1 kat Tertak Gan dengan don Pan Asi Sang ng anatan Larean K4 akn Poavan Ab Segi aa Gn ba</x:v>
      </x:c>
      <x:c r="G730" s="48" t="str">
        <x:v>Heading</x:v>
      </x:c>
      <x:c r="H730" s="48" t="str"/>
      <x:c r="I730" s="48" t="n">
        <x:v>0.9</x:v>
      </x:c>
      <x:c r="J730" s="48" t="n">
        <x:v>0.99</x:v>
      </x:c>
      <x:c r="K730" s="48" t="str">
        <x:v>No</x:v>
      </x:c>
      <x:c r="L730" s="48" t="str">
        <x:v>OCR</x:v>
      </x:c>
    </x:row>
    <x:row r="731">
      <x:c r="A731" s="48" t="str">
        <x:v>SILVER-0730</x:v>
      </x:c>
      <x:c r="B731" s="48" t="str">
        <x:v>SILVER</x:v>
      </x:c>
      <x:c r="C731" s="48" t="str">
        <x:v>Indonesian</x:v>
      </x:c>
      <x:c r="D731" s="48" t="n">
        <x:v>88</x:v>
      </x:c>
      <x:c r="E731" s="48" t="str"/>
      <x:c r="F731" s="48" t="str">
        <x:v>Iu ea Kak Oitoka Gn aa mem an ngan daan mn</x:v>
      </x:c>
      <x:c r="G731" s="48" t="str">
        <x:v>Obligation</x:v>
      </x:c>
      <x:c r="H731" s="48" t="str">
        <x:v>Shared</x:v>
      </x:c>
      <x:c r="I731" s="48" t="n">
        <x:v>0.45</x:v>
      </x:c>
      <x:c r="J731" s="48" t="n">
        <x:v>0.4</x:v>
      </x:c>
      <x:c r="K731" s="48" t="str">
        <x:v>Yes</x:v>
      </x:c>
      <x:c r="L731" s="48" t="str">
        <x:v>OCR</x:v>
      </x:c>
    </x:row>
    <x:row r="732">
      <x:c r="A732" s="48" t="str">
        <x:v>SILVER-0731</x:v>
      </x:c>
      <x:c r="B732" s="48" t="str">
        <x:v>SILVER</x:v>
      </x:c>
      <x:c r="C732" s="48" t="str">
        <x:v>Indonesian</x:v>
      </x:c>
      <x:c r="D732" s="48" t="n">
        <x:v>88</x:v>
      </x:c>
      <x:c r="E732" s="48" t="str"/>
      <x:c r="F732" s="48" t="str">
        <x:v>Ketan Umum</x:v>
      </x:c>
      <x:c r="G732" s="48" t="str">
        <x:v>Obligation</x:v>
      </x:c>
      <x:c r="H732" s="48" t="str">
        <x:v>Shared</x:v>
      </x:c>
      <x:c r="I732" s="48" t="n">
        <x:v>0.45</x:v>
      </x:c>
      <x:c r="J732" s="48" t="n">
        <x:v>0.4</x:v>
      </x:c>
      <x:c r="K732" s="48" t="str">
        <x:v>Yes</x:v>
      </x:c>
      <x:c r="L732" s="48" t="str">
        <x:v>OCR</x:v>
      </x:c>
    </x:row>
    <x:row r="733">
      <x:c r="A733" s="48" t="str">
        <x:v>SILVER-0732</x:v>
      </x:c>
      <x:c r="B733" s="48" t="str">
        <x:v>SILVER</x:v>
      </x:c>
      <x:c r="C733" s="48" t="str">
        <x:v>Indonesian</x:v>
      </x:c>
      <x:c r="D733" s="48" t="n">
        <x:v>88</x:v>
      </x:c>
      <x:c r="E733" s="48" t="str"/>
      <x:c r="F733" s="48" t="str">
        <x:v>Perkakas Serat Wan bra an Pegara an Kera Gan</x:v>
      </x:c>
      <x:c r="G733" s="48" t="str">
        <x:v>Obligation</x:v>
      </x:c>
      <x:c r="H733" s="48" t="str">
        <x:v>Shared</x:v>
      </x:c>
      <x:c r="I733" s="48" t="n">
        <x:v>0.45</x:v>
      </x:c>
      <x:c r="J733" s="48" t="n">
        <x:v>0.4</x:v>
      </x:c>
      <x:c r="K733" s="48" t="str">
        <x:v>Yes</x:v>
      </x:c>
      <x:c r="L733" s="48" t="str">
        <x:v>OCR</x:v>
      </x:c>
    </x:row>
    <x:row r="734">
      <x:c r="A734" s="48" t="str">
        <x:v>SILVER-0733</x:v>
      </x:c>
      <x:c r="B734" s="48" t="str">
        <x:v>SILVER</x:v>
      </x:c>
      <x:c r="C734" s="48" t="str">
        <x:v>Indonesian</x:v>
      </x:c>
      <x:c r="D734" s="48" t="n">
        <x:v>88</x:v>
      </x:c>
      <x:c r="E734" s="48" t="str"/>
      <x:c r="F734" s="48" t="str">
        <x:v>TERM ME la Argo Swa Deng en merasa</x:v>
      </x:c>
      <x:c r="G734" s="48" t="str">
        <x:v>Obligation</x:v>
      </x:c>
      <x:c r="H734" s="48" t="str">
        <x:v>Shared</x:v>
      </x:c>
      <x:c r="I734" s="48" t="n">
        <x:v>0.45</x:v>
      </x:c>
      <x:c r="J734" s="48" t="n">
        <x:v>0.4</x:v>
      </x:c>
      <x:c r="K734" s="48" t="str">
        <x:v>Yes</x:v>
      </x:c>
      <x:c r="L734" s="48" t="str">
        <x:v>OCR</x:v>
      </x:c>
    </x:row>
    <x:row r="735">
      <x:c r="A735" s="48" t="str">
        <x:v>SILVER-0734</x:v>
      </x:c>
      <x:c r="B735" s="48" t="str">
        <x:v>SILVER</x:v>
      </x:c>
      <x:c r="C735" s="48" t="str">
        <x:v>Indonesian</x:v>
      </x:c>
      <x:c r="D735" s="48" t="n">
        <x:v>88</x:v>
      </x:c>
      <x:c r="E735" s="48" t="str"/>
      <x:c r="F735" s="48" t="str">
        <x:v>Seni pegnyan akan nga</x:v>
      </x:c>
      <x:c r="G735" s="48" t="str">
        <x:v>Obligation</x:v>
      </x:c>
      <x:c r="H735" s="48" t="str">
        <x:v>Shared</x:v>
      </x:c>
      <x:c r="I735" s="48" t="n">
        <x:v>0.45</x:v>
      </x:c>
      <x:c r="J735" s="48" t="n">
        <x:v>0.4</x:v>
      </x:c>
      <x:c r="K735" s="48" t="str">
        <x:v>Yes</x:v>
      </x:c>
      <x:c r="L735" s="48" t="str">
        <x:v>OCR</x:v>
      </x:c>
    </x:row>
    <x:row r="736">
      <x:c r="A736" s="48" t="str">
        <x:v>SILVER-0735</x:v>
      </x:c>
      <x:c r="B736" s="48" t="str">
        <x:v>SILVER</x:v>
      </x:c>
      <x:c r="C736" s="48" t="str">
        <x:v>Indonesian</x:v>
      </x:c>
      <x:c r="D736" s="48" t="n">
        <x:v>88</x:v>
      </x:c>
      <x:c r="E736" s="48" t="str"/>
      <x:c r="F736" s="48" t="str">
        <x:v>Poin ejagan Musa Srgoa kh baku Pergara da Gn Koatr</x:v>
      </x:c>
      <x:c r="G736" s="48" t="str">
        <x:v>Obligation</x:v>
      </x:c>
      <x:c r="H736" s="48" t="str">
        <x:v>Shared</x:v>
      </x:c>
      <x:c r="I736" s="48" t="n">
        <x:v>0.45</x:v>
      </x:c>
      <x:c r="J736" s="48" t="n">
        <x:v>0.4</x:v>
      </x:c>
      <x:c r="K736" s="48" t="str">
        <x:v>Yes</x:v>
      </x:c>
      <x:c r="L736" s="48" t="str">
        <x:v>OCR</x:v>
      </x:c>
    </x:row>
    <x:row r="737">
      <x:c r="A737" s="48" t="str">
        <x:v>SILVER-0736</x:v>
      </x:c>
      <x:c r="B737" s="48" t="str">
        <x:v>SILVER</x:v>
      </x:c>
      <x:c r="C737" s="48" t="str">
        <x:v>Indonesian</x:v>
      </x:c>
      <x:c r="D737" s="48" t="n">
        <x:v>88</x:v>
      </x:c>
      <x:c r="E737" s="48" t="str"/>
      <x:c r="F737" s="48" t="str">
        <x:v>TER MAUMameMATNMAN penganan el nga AN</x:v>
      </x:c>
      <x:c r="G737" s="48" t="str">
        <x:v>Obligation</x:v>
      </x:c>
      <x:c r="H737" s="48" t="str">
        <x:v>Shared</x:v>
      </x:c>
      <x:c r="I737" s="48" t="n">
        <x:v>0.45</x:v>
      </x:c>
      <x:c r="J737" s="48" t="n">
        <x:v>0.4</x:v>
      </x:c>
      <x:c r="K737" s="48" t="str">
        <x:v>Yes</x:v>
      </x:c>
      <x:c r="L737" s="48" t="str">
        <x:v>OCR</x:v>
      </x:c>
    </x:row>
    <x:row r="738">
      <x:c r="A738" s="48" t="str">
        <x:v>SILVER-0737</x:v>
      </x:c>
      <x:c r="B738" s="48" t="str">
        <x:v>SILVER</x:v>
      </x:c>
      <x:c r="C738" s="48" t="str">
        <x:v>Indonesian</x:v>
      </x:c>
      <x:c r="D738" s="48" t="n">
        <x:v>88</x:v>
      </x:c>
      <x:c r="E738" s="48" t="str"/>
      <x:c r="F738" s="48" t="str">
        <x:v>pengap eb ra al penodra enam</x:v>
      </x:c>
      <x:c r="G738" s="48" t="str">
        <x:v>Obligation</x:v>
      </x:c>
      <x:c r="H738" s="48" t="str">
        <x:v>Shared</x:v>
      </x:c>
      <x:c r="I738" s="48" t="n">
        <x:v>0.45</x:v>
      </x:c>
      <x:c r="J738" s="48" t="n">
        <x:v>0.4</x:v>
      </x:c>
      <x:c r="K738" s="48" t="str">
        <x:v>Yes</x:v>
      </x:c>
      <x:c r="L738" s="48" t="str">
        <x:v>OCR</x:v>
      </x:c>
    </x:row>
    <x:row r="739">
      <x:c r="A739" s="48" t="str">
        <x:v>SILVER-0738</x:v>
      </x:c>
      <x:c r="B739" s="48" t="str">
        <x:v>SILVER</x:v>
      </x:c>
      <x:c r="C739" s="48" t="str">
        <x:v>Indonesian</x:v>
      </x:c>
      <x:c r="D739" s="48" t="n">
        <x:v>88</x:v>
      </x:c>
      <x:c r="E739" s="48" t="str"/>
      <x:c r="F739" s="48" t="str">
        <x:v>Ara Sego pem meri asn an atas</x:v>
      </x:c>
      <x:c r="G739" s="48" t="str">
        <x:v>Obligation</x:v>
      </x:c>
      <x:c r="H739" s="48" t="str">
        <x:v>Shared</x:v>
      </x:c>
      <x:c r="I739" s="48" t="n">
        <x:v>0.45</x:v>
      </x:c>
      <x:c r="J739" s="48" t="n">
        <x:v>0.4</x:v>
      </x:c>
      <x:c r="K739" s="48" t="str">
        <x:v>Yes</x:v>
      </x:c>
      <x:c r="L739" s="48" t="str">
        <x:v>OCR</x:v>
      </x:c>
    </x:row>
    <x:row r="740">
      <x:c r="A740" s="48" t="str">
        <x:v>SILVER-0739</x:v>
      </x:c>
      <x:c r="B740" s="48" t="str">
        <x:v>SILVER</x:v>
      </x:c>
      <x:c r="C740" s="48" t="str">
        <x:v>Indonesian</x:v>
      </x:c>
      <x:c r="D740" s="48" t="n">
        <x:v>89</x:v>
      </x:c>
      <x:c r="E740" s="48" t="str"/>
      <x:c r="F740" s="48" t="str">
        <x:v>Konajtan Urun</x:v>
      </x:c>
      <x:c r="G740" s="48" t="str">
        <x:v>Obligation</x:v>
      </x:c>
      <x:c r="H740" s="48" t="str">
        <x:v>Shared</x:v>
      </x:c>
      <x:c r="I740" s="48" t="n">
        <x:v>0.45</x:v>
      </x:c>
      <x:c r="J740" s="48" t="n">
        <x:v>0.4</x:v>
      </x:c>
      <x:c r="K740" s="48" t="str">
        <x:v>Yes</x:v>
      </x:c>
      <x:c r="L740" s="48" t="str">
        <x:v>OCR</x:v>
      </x:c>
    </x:row>
    <x:row r="741">
      <x:c r="A741" s="48" t="str">
        <x:v>SILVER-0740</x:v>
      </x:c>
      <x:c r="B741" s="48" t="str">
        <x:v>SILVER</x:v>
      </x:c>
      <x:c r="C741" s="48" t="str">
        <x:v>Indonesian</x:v>
      </x:c>
      <x:c r="D741" s="48" t="n">
        <x:v>89</x:v>
      </x:c>
      <x:c r="E741" s="48" t="str"/>
      <x:c r="F741" s="48" t="str">
        <x:v>Konstan Umur</x:v>
      </x:c>
      <x:c r="G741" s="48" t="str">
        <x:v>Obligation</x:v>
      </x:c>
      <x:c r="H741" s="48" t="str">
        <x:v>Shared</x:v>
      </x:c>
      <x:c r="I741" s="48" t="n">
        <x:v>0.45</x:v>
      </x:c>
      <x:c r="J741" s="48" t="n">
        <x:v>0.4</x:v>
      </x:c>
      <x:c r="K741" s="48" t="str">
        <x:v>Yes</x:v>
      </x:c>
      <x:c r="L741" s="48" t="str">
        <x:v>OCR</x:v>
      </x:c>
    </x:row>
    <x:row r="742">
      <x:c r="A742" s="48" t="str">
        <x:v>SILVER-0741</x:v>
      </x:c>
      <x:c r="B742" s="48" t="str">
        <x:v>SILVER</x:v>
      </x:c>
      <x:c r="C742" s="48" t="str">
        <x:v>Indonesian</x:v>
      </x:c>
      <x:c r="D742" s="48" t="n">
        <x:v>89</x:v>
      </x:c>
      <x:c r="E742" s="48" t="str"/>
      <x:c r="F742" s="48" t="str">
        <x:v>PenggnaJaa gan</x:v>
      </x:c>
      <x:c r="G742" s="48" t="str">
        <x:v>Obligation</x:v>
      </x:c>
      <x:c r="H742" s="48" t="str">
        <x:v>Shared</x:v>
      </x:c>
      <x:c r="I742" s="48" t="n">
        <x:v>0.45</x:v>
      </x:c>
      <x:c r="J742" s="48" t="n">
        <x:v>0.4</x:v>
      </x:c>
      <x:c r="K742" s="48" t="str">
        <x:v>Yes</x:v>
      </x:c>
      <x:c r="L742" s="48" t="str">
        <x:v>OCR</x:v>
      </x:c>
    </x:row>
  </x:sheetData>
  <x:conditionalFormatting sqref="K2:K742">
    <x:cfRule type="expression" dxfId="8" priority="1">
      <x:formula>K2="Yes"</x:formula>
    </x:cfRule>
  </x:conditionalFormatting>
  <x:conditionalFormatting sqref="G2:G742">
    <x:cfRule type="expression" dxfId="9" priority="2">
      <x:formula>G2="Risk"</x:formula>
    </x:cfRule>
  </x:conditionalFormatting>
  <x:dataValidations count="3">
    <x:dataValidation type="list" sqref="G2:G742">
      <x:formula1>"Heading,Definition,Obligation,Risk,Right"</x:formula1>
    </x:dataValidation>
    <x:dataValidation type="list" sqref="H2:H742">
      <x:formula1>",Contractor,Employer,Shared"</x:formula1>
    </x:dataValidation>
    <x:dataValidation type="list" sqref="K2:K742">
      <x:formula1>"Yes,No"</x:formula1>
    </x:dataValidation>
  </x:dataValidations>
  <x:pageMargins left="0.7" right="0.7" top="0.75" bottom="0.75" header="0.3" footer="0.3"/>
  <x:tableParts count="1">
    <x:tablePart xmlns:r="http://schemas.openxmlformats.org/officeDocument/2006/relationships" r:id="R4404e47d96f64815"/>
  </x:tableParts>
</x:worksheet>
</file>